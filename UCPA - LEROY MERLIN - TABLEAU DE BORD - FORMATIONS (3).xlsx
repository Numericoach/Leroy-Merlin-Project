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RES" sheetId="1" r:id="rId5"/>
    <sheet state="visible" name="TABLEAU DE BORD" sheetId="2" r:id="rId6"/>
    <sheet state="visible" name="SESSIONS" sheetId="3" r:id="rId7"/>
    <sheet state="visible" name="FORMATIONS" sheetId="4" r:id="rId8"/>
    <sheet state="hidden" name="SESSIONS DANS 3 JOURS" sheetId="5" r:id="rId9"/>
    <sheet state="visible" name="INSCRIPTIONSS" sheetId="6" r:id="rId10"/>
    <sheet state="visible" name="INSCRIPTIONS" sheetId="7" r:id="rId11"/>
    <sheet state="visible" name="DETAIL DES INSCRIPTIONS PAR SES" sheetId="8" r:id="rId12"/>
    <sheet state="visible" name="UM CENTRE SITE" sheetId="9" r:id="rId13"/>
    <sheet state="hidden" name="INSCRIPTIONS OLD" sheetId="10" r:id="rId14"/>
    <sheet state="visible" name="Inscriptions détaillées par séa" sheetId="11" r:id="rId15"/>
    <sheet state="hidden" name="Détail2-Google Slides, Docs, Sh" sheetId="12" r:id="rId16"/>
    <sheet state="visible" name="GED" sheetId="13" r:id="rId17"/>
    <sheet state="visible" name="CONSOLIDATION GED" sheetId="14" r:id="rId18"/>
    <sheet state="visible" name="SESSION AGENDA" sheetId="15" r:id="rId19"/>
    <sheet state="visible" name="SESSIONS AT" sheetId="16" r:id="rId20"/>
    <sheet state="hidden" name="FEUILLE DE PRESENCE" sheetId="17" r:id="rId21"/>
    <sheet state="visible" name="LIEUX" sheetId="18" r:id="rId22"/>
    <sheet state="hidden" name="IMPORT TLA" sheetId="19" r:id="rId23"/>
    <sheet state="hidden" name="IMPORT FORMATEURS" sheetId="20" r:id="rId24"/>
    <sheet state="hidden" name="VALIDATION" sheetId="21" r:id="rId25"/>
    <sheet state="hidden" name="CHARGES DE FORMATION" sheetId="22" r:id="rId26"/>
    <sheet state="visible" name="ENTITES" sheetId="23" r:id="rId27"/>
    <sheet state="hidden" name="EMPLOYES" sheetId="24" r:id="rId28"/>
    <sheet state="visible" name="TEMPLATE AT" sheetId="25" r:id="rId29"/>
    <sheet state="visible" name="IMPORT APPLIS" sheetId="26" r:id="rId30"/>
    <sheet state="visible" name="INSCRIPTIONS FORM" sheetId="27" r:id="rId31"/>
    <sheet state="hidden" name="INSCRIPTIONS ERREURS" sheetId="28" r:id="rId32"/>
    <sheet state="visible" name="DESINSCRIPTIONS" sheetId="29" r:id="rId33"/>
    <sheet state="visible" name="DESINSCRIPTION FORM" sheetId="30" r:id="rId34"/>
    <sheet state="hidden" name="Feuille 20" sheetId="31" r:id="rId35"/>
    <sheet state="hidden" name="IMPORT COMPETENCES" sheetId="32" r:id="rId36"/>
  </sheets>
  <definedNames>
    <definedName name="SESSION_ID">SESSIONS!$B:$B</definedName>
    <definedName name="PARAMETRE_ID_FORMS_DESINSCRIPTION">PARAMETRES!$C$23</definedName>
    <definedName name="INSCRIPTION_HEURE_FIN">INSCRIPTIONS!$K:$K</definedName>
    <definedName name="DESINSCRIPTION_SESSION">'DESINSCRIPTION FORM'!$G:$G</definedName>
    <definedName name="FORMATION_SUPPORT_LINK">FORMATIONS!$J:$J</definedName>
    <definedName name="PARAMETRE_CONNEXION_1">PARAMETRES!$C$30</definedName>
    <definedName name="PARAMETRE_ID_MODELE_CONVOC">PARAMETRES!$C$13</definedName>
    <definedName name="VALIDATION">VALIDATION!$1:$1</definedName>
    <definedName name="PARAMETRE_ID_DOSSIER_CONVOC">PARAMETRES!$C$15</definedName>
    <definedName name="PARAMETRE_TEXTE_AGENDA">PARAMETRES!$C$31</definedName>
    <definedName name="INSCRIPTION_SESSION_ID">INSCRIPTIONS!$B:$B</definedName>
    <definedName name="PARAMETRES_URL_SITE_INSCRIPTION">PARAMETRES!$C$19</definedName>
    <definedName name="PARAMETRE_EMAIL">PARAMETRES!$C$10</definedName>
    <definedName name="PARAMETRE_URL_SITE">PARAMETRES!$C$19</definedName>
    <definedName name="INSCRIPTION_HEURE_DEBUT">INSCRIPTIONS!$J:$J</definedName>
    <definedName name="PARAMETRE_NOM_CLIENT">PARAMETRES!$C$8</definedName>
    <definedName name="INSCRIPTION_SESSION_DATE">INSCRIPTIONS!$I:$I</definedName>
    <definedName name="INSCRIPTION_TITRE_FORMATION">INSCRIPTIONS!$H:$H</definedName>
    <definedName name="INSCRIPTION_INSCRIT">INSCRIPTIONS!$C:$F</definedName>
    <definedName name="DESINSCRIPTION_EMAIL">'DESINSCRIPTION FORM'!$C:$C</definedName>
    <definedName name="PARAMETRE_ID_FORMS_INSCRIPTION">PARAMETRES!$C$21</definedName>
    <definedName name="DESINSCRIPTION_HORODATEUR">'DESINSCRIPTION FORM'!$B:$B</definedName>
    <definedName name="SESSION_FORMATION">SESSIONS!$N:$N</definedName>
    <definedName name="FORMATION_FORM_POSITIONNEMENT">FORMATIONS!$K:$K</definedName>
    <definedName name="PARAMETRE_ID_SITE">PARAMETRES!$C$17</definedName>
    <definedName name="FORMATION_ID">FORMATIONS!$B:$B</definedName>
    <definedName name="DESINSCRIPTION_EMAIL_SESSION">'DESINSCRIPTION FORM'!$A:$A</definedName>
    <definedName name="INSCRIPTION_DATE_BRUTE">INSCRIPTIONS!$I:$I</definedName>
    <definedName name="PARAMETRE_ID_AGENDA">PARAMETRES!$C$25</definedName>
    <definedName name="PARAMETRE_LOGO_CLIENT">PARAMETRES!$B$3</definedName>
    <definedName name="INSCRIPTION_SESSION_DUREE">INSCRIPTIONS!$L:$L</definedName>
    <definedName name="PARAMATRE_ID_TLA">PARAMETRES!$C$27</definedName>
    <definedName hidden="1" localSheetId="1" name="_xlnm._FilterDatabase">'TABLEAU DE BORD'!$B$7:$H$9</definedName>
    <definedName hidden="1" localSheetId="2" name="Z_704D4E3C_93E2_4FEF_965B_4E480533A4D8_.wvu.FilterData">SESSIONS!$A$1:$Z$100</definedName>
    <definedName hidden="1" localSheetId="2" name="Z_196E67E1_827B_460C_B6F7_15B643C48C5D_.wvu.FilterData">SESSIONS!$A$1:$M$100</definedName>
    <definedName hidden="1" localSheetId="9" name="Z_196E67E1_827B_460C_B6F7_15B643C48C5D_.wvu.FilterData">'INSCRIPTIONS OLD'!$A$1:$N$377</definedName>
    <definedName hidden="1" localSheetId="6" name="Z_196E67E1_827B_460C_B6F7_15B643C48C5D_.wvu.FilterData">INSCRIPTIONS!$A$1:$W$1334</definedName>
    <definedName hidden="1" localSheetId="26" name="Z_28983EAB_076F_416D_B2BA_E3EDB1CE0E4E_.wvu.FilterData">'INSCRIPTIONS FORM'!$A$1:$BA$2</definedName>
  </definedNames>
  <calcPr/>
  <customWorkbookViews>
    <customWorkbookView activeSheetId="0" maximized="1" windowHeight="0" windowWidth="0" guid="{704D4E3C-93E2-4FEF-965B-4E480533A4D8}" name="Filtre 2"/>
    <customWorkbookView activeSheetId="0" maximized="1" windowHeight="0" windowWidth="0" guid="{196E67E1-827B-460C-B6F7-15B643C48C5D}" name="Filtre 1"/>
    <customWorkbookView activeSheetId="0" maximized="1" windowHeight="0" windowWidth="0" guid="{28983EAB-076F-416D-B2BA-E3EDB1CE0E4E}" name="ANTOINE"/>
  </customWorkbookViews>
  <pivotCaches>
    <pivotCache cacheId="0" r:id="rId37"/>
    <pivotCache cacheId="1" r:id="rId38"/>
  </pivotCaches>
</workbook>
</file>

<file path=xl/sharedStrings.xml><?xml version="1.0" encoding="utf-8"?>
<sst xmlns="http://schemas.openxmlformats.org/spreadsheetml/2006/main" count="8499" uniqueCount="4824">
  <si>
    <t xml:space="preserve">NUM IEL - V 20201226 - propulsé par </t>
  </si>
  <si>
    <r>
      <rPr>
        <rFont val="&quot;Roboto Slab&quot;, Arial"/>
        <color rgb="FF4285F4"/>
        <sz val="18.0"/>
      </rPr>
      <t xml:space="preserve">LEROY MERLIN
</t>
    </r>
    <r>
      <rPr>
        <rFont val="Roboto Condensed"/>
        <color rgb="FF000000"/>
        <sz val="18.0"/>
      </rPr>
      <t>Inscription En Ligne</t>
    </r>
  </si>
  <si>
    <t>N</t>
  </si>
  <si>
    <t>Informations générales</t>
  </si>
  <si>
    <t>Nom du Client / entreprise  &gt;</t>
  </si>
  <si>
    <t>LEROY MERLIN</t>
  </si>
  <si>
    <t>Mail de contact formation général &gt;</t>
  </si>
  <si>
    <t>formation@numericoach.fr</t>
  </si>
  <si>
    <t>Références Externes</t>
  </si>
  <si>
    <t>TITRE DE LA FORMATION</t>
  </si>
  <si>
    <t>ID du docs Modéle de convocation &gt;</t>
  </si>
  <si>
    <t>APPLI</t>
  </si>
  <si>
    <t>DESCRIPTION</t>
  </si>
  <si>
    <t>1bJfgjsants-waATPS9Ks5C9ctPG6cu0BKopr5Ek0Gw0</t>
  </si>
  <si>
    <t>FORMATION</t>
  </si>
  <si>
    <t>DATE</t>
  </si>
  <si>
    <t>HEURE DEBUT</t>
  </si>
  <si>
    <t>HEURE FIN</t>
  </si>
  <si>
    <t xml:space="preserve">ID du dossier recueillant les convocations &gt; </t>
  </si>
  <si>
    <t>ID site internet &gt;</t>
  </si>
  <si>
    <t>NB DE PLACES</t>
  </si>
  <si>
    <t>1pIokYU-pxb9hRz58Mw0DOMTgHRDlU8yT</t>
  </si>
  <si>
    <t>LIEU</t>
  </si>
  <si>
    <t>INFORMATION COMPLEMENTAIRE</t>
  </si>
  <si>
    <t xml:space="preserve">Publier </t>
  </si>
  <si>
    <t>Nb Inscrits</t>
  </si>
  <si>
    <t xml:space="preserve">URL site inscription &gt; </t>
  </si>
  <si>
    <t>https://sites.google.com/numericoach.fr/testleroymerlin/accueil</t>
  </si>
  <si>
    <t>Support</t>
  </si>
  <si>
    <t>formulaire de positionnement</t>
  </si>
  <si>
    <t>ID Forms Inscription &gt;</t>
  </si>
  <si>
    <t>FOR-001</t>
  </si>
  <si>
    <t>1FAIpQLSeizAy3PO3esDiiugp_bv1E3tocJkuTTplHXzL7ZV9Z6RnVzQ</t>
  </si>
  <si>
    <t>Gmail Agenda Meet</t>
  </si>
  <si>
    <t>ID Forms Désinscription &gt;</t>
  </si>
  <si>
    <t>1FAIpQLScUsD8xIa_FlYSVu5MCaiAHovywccsOzvwhdKqeTUll50-_nA</t>
  </si>
  <si>
    <t>Agenda Gmail Meet</t>
  </si>
  <si>
    <t>Prise en main des outils de communication: les 15 fonctionnalités indispensables : Gmail, Agenda, Meet</t>
  </si>
  <si>
    <t>ID Agenda &gt;</t>
  </si>
  <si>
    <t>https://thierryvanoffe.com/numiel/CalendarGmailMeet.png</t>
  </si>
  <si>
    <t xml:space="preserve">ID TLA (service Présence / Absences) &gt; </t>
  </si>
  <si>
    <t>Gmail Agenda Meet [FOR-001]</t>
  </si>
  <si>
    <t>textes</t>
  </si>
  <si>
    <t>FOR-002</t>
  </si>
  <si>
    <t>Gemini</t>
  </si>
  <si>
    <t>Lien connexion unique</t>
  </si>
  <si>
    <t>GEMINI</t>
  </si>
  <si>
    <r>
      <rPr>
        <rFont val="Roboto Condensed"/>
        <sz val="10.0"/>
      </rPr>
      <t xml:space="preserve">
Connectez-vous le jour J, 5 minutes avant le début du webinaire sur ce lien Meet : 
</t>
    </r>
    <r>
      <rPr>
        <rFont val="Roboto Condensed"/>
        <color rgb="FF1155CC"/>
        <sz val="10.0"/>
        <u/>
      </rPr>
      <t>https://meet.google.com/apv-qoem-zpc</t>
    </r>
  </si>
  <si>
    <t>Prise en main des outils de Gemini pour savoir l'utilisé de la meilleure façon et d'optimisé c'est taches.</t>
  </si>
  <si>
    <t>Gemini [FOR-002]</t>
  </si>
  <si>
    <t xml:space="preserve">Texte pour tous les événements </t>
  </si>
  <si>
    <t>Inscrits</t>
  </si>
  <si>
    <t>SES-0001</t>
  </si>
  <si>
    <t>1:00</t>
  </si>
  <si>
    <t>DISTANCIEL [LIEU-001]</t>
  </si>
  <si>
    <t>ea4335</t>
  </si>
  <si>
    <t>https://docs.google.com/forms/d/e/1FAIpQLSeizAy3PO3esDiiugp_bv1E3tocJkuTTplHXzL7ZV9Z6RnVzQ/viewform?usp=pp_url&amp;entry.1709222927=Gmail Agenda Meet mardi 21 juillet 2026 [SES-0001]</t>
  </si>
  <si>
    <t>https://docs.google.com/forms/d/e/1FAIpQLSdmeQMPzCl85UWSmWM6LueOMRFYiRJX2kBSe_mxX7hCk60fPA/viewform?usp=pp_url&amp;entry.2116080188=Gmail Agenda Meet mardi 21 juillet 2026 [SES-0001]</t>
  </si>
  <si>
    <t>SES-0002</t>
  </si>
  <si>
    <t>2:30</t>
  </si>
  <si>
    <t>Formation Gemini avec pratique</t>
  </si>
  <si>
    <t>https://docs.google.com/forms/d/e/1FAIpQLSeizAy3PO3esDiiugp_bv1E3tocJkuTTplHXzL7ZV9Z6RnVzQ/viewform?usp=pp_url&amp;entry.1709222927=Gemini jeudi 23 juillet 2026 [SES-0002]</t>
  </si>
  <si>
    <t>https://docs.google.com/forms/d/e/1FAIpQLSdmeQMPzCl85UWSmWM6LueOMRFYiRJX2kBSe_mxX7hCk60fPA/viewform?usp=pp_url&amp;entry.2116080188=Gemini jeudi 23 juillet 2026 [SES-0002]</t>
  </si>
  <si>
    <t>SES-0003</t>
  </si>
  <si>
    <t>Horodateur</t>
  </si>
  <si>
    <t>1:30</t>
  </si>
  <si>
    <t>Formation Gemini sans pratique</t>
  </si>
  <si>
    <t>Civilite</t>
  </si>
  <si>
    <t>Prenom</t>
  </si>
  <si>
    <t>Nom</t>
  </si>
  <si>
    <t>Votre Entite</t>
  </si>
  <si>
    <t>Inscription a la formation suivante</t>
  </si>
  <si>
    <t>Reglement interieur Numericoach</t>
  </si>
  <si>
    <t>Unite metier (facultatif)</t>
  </si>
  <si>
    <t>Centre / Site (facultatif)</t>
  </si>
  <si>
    <t>https://docs.google.com/forms/d/e/1FAIpQLSeizAy3PO3esDiiugp_bv1E3tocJkuTTplHXzL7ZV9Z6RnVzQ/viewform?usp=pp_url&amp;entry.1709222927=Gemini jeudi 23 juillet 2026 [SES-0003]</t>
  </si>
  <si>
    <t>Adresse e-mail</t>
  </si>
  <si>
    <t>https://docs.google.com/forms/d/e/1FAIpQLSdmeQMPzCl85UWSmWM6LueOMRFYiRJX2kBSe_mxX7hCk60fPA/viewform?usp=pp_url&amp;entry.2116080188=Gemini jeudi 23 juillet 2026 [SES-0003]</t>
  </si>
  <si>
    <t xml:space="preserve">ID SESSION </t>
  </si>
  <si>
    <t>EMAIL</t>
  </si>
  <si>
    <t xml:space="preserve">NUM IEL - V 2020108 - propulsé par </t>
  </si>
  <si>
    <r>
      <rPr>
        <rFont val="&quot;Roboto Slab&quot;, Arial"/>
        <color rgb="FF4285F4"/>
        <sz val="14.0"/>
      </rPr>
      <t xml:space="preserve">LEROY MERLIN
</t>
    </r>
    <r>
      <rPr>
        <rFont val="Roboto Condensed"/>
        <color rgb="FF000000"/>
        <sz val="14.0"/>
      </rPr>
      <t>Inscription En Ligne</t>
    </r>
  </si>
  <si>
    <t xml:space="preserve">Suivi des inscriptions : </t>
  </si>
  <si>
    <t xml:space="preserve">Répartition des inscriptions par formation </t>
  </si>
  <si>
    <t>PLACES RESTANTES</t>
  </si>
  <si>
    <t>Colonnes</t>
  </si>
  <si>
    <t>Lignes</t>
  </si>
  <si>
    <t>Valeurs</t>
  </si>
  <si>
    <t>Votre adresse mail</t>
  </si>
  <si>
    <t>Votre prénom</t>
  </si>
  <si>
    <t>Votre nom</t>
  </si>
  <si>
    <t>Unité métier</t>
  </si>
  <si>
    <t>Centre / Site</t>
  </si>
  <si>
    <t>Civilité</t>
  </si>
  <si>
    <t>Prénom</t>
  </si>
  <si>
    <t>Votre Entité</t>
  </si>
  <si>
    <t xml:space="preserve">Inscription à la formation suivante : </t>
  </si>
  <si>
    <t>antoine.martin@amcms.net</t>
  </si>
  <si>
    <t>M.</t>
  </si>
  <si>
    <t>Antoine</t>
  </si>
  <si>
    <t>MARTIN</t>
  </si>
  <si>
    <t>Google Slides, Docs, Sheets, Forms mardi 11 mai 2021 [SES-0003]</t>
  </si>
  <si>
    <t>trst@tsst.com</t>
  </si>
  <si>
    <t>Jean</t>
  </si>
  <si>
    <t>Bon</t>
  </si>
  <si>
    <t>thierry@numericoach.fr</t>
  </si>
  <si>
    <t>THIERRY</t>
  </si>
  <si>
    <t>VANOFFE</t>
  </si>
  <si>
    <t>TIME</t>
  </si>
  <si>
    <t>TYPE DOC</t>
  </si>
  <si>
    <t>SESSION</t>
  </si>
  <si>
    <t>URL</t>
  </si>
  <si>
    <t>NAME</t>
  </si>
  <si>
    <t>CONVOCATION</t>
  </si>
  <si>
    <t>https://drive.google.com/file/d/1zMZ07vrHqxepk0rVVoD8IQV46RSsfYNt/view?usp=drivesdk</t>
  </si>
  <si>
    <t>convocation SES-0001 Antoine MARTIN</t>
  </si>
  <si>
    <t>https://drive.google.com/file/d/1dvN9USr_A-jLeDk6BrPj1JqN5TE1_GJY/view?usp=drivesdk</t>
  </si>
  <si>
    <t>convocation SES-0002 Antoine MARTIN</t>
  </si>
  <si>
    <t>https://drive.google.com/file/d/1278sYVxEa5a7mKCQP3gtUOqK2xkycD85/view?usp=drivesdk</t>
  </si>
  <si>
    <t>convocation SES-0003 Antoine MARTIN</t>
  </si>
  <si>
    <t>Antoine.martin@amcms.net</t>
  </si>
  <si>
    <t>https://drive.google.com/file/d/1Takmp2jWDsv1zWk1MIcrhqpdE62YNSjb/view?usp=drivesdk</t>
  </si>
  <si>
    <t>https://drive.google.com/file/d/1gAqHpK0EvehjjlHF57Ph3M8CDtuJxmQe/view?usp=drivesdk</t>
  </si>
  <si>
    <t>convocation SES-0001 THIERRY VANOFFE</t>
  </si>
  <si>
    <t>https://drive.google.com/file/d/1CxzFE1Wbn_sgLzBSBnkdMsHrjg7rOjGn/view?usp=drivesdk</t>
  </si>
  <si>
    <t>https://drive.google.com/file/d/1YIOW3D3W8ZL1QSHFeIZD6vJYdy5aSglb/view?usp=drivesdk</t>
  </si>
  <si>
    <t>antoine.martin@amcms.ner</t>
  </si>
  <si>
    <t>https://drive.google.com/file/d/1vt8MKLhgHt0V4Ivh5fwdORT0lm-DaQsT/view?usp=drivesdk</t>
  </si>
  <si>
    <t>https://drive.google.com/file/d/1nWVKb7t100NgycGki0J9UFu46wNxwtOf/view?usp=drivesdk</t>
  </si>
  <si>
    <t>https://drive.google.com/file/d/1irXIgCmq3UnSp45OWMM9Etq88MPeQua6/view?usp=drivesdk</t>
  </si>
  <si>
    <t>convocation SES-0002 THIERRY VANOFFE</t>
  </si>
  <si>
    <t>https://drive.google.com/file/d/1RmLiraFC_x-9GiCtWSP0vAoYKs4lgwii/view?usp=drivesdk</t>
  </si>
  <si>
    <t>convocation SES-0003 Jean Bon</t>
  </si>
  <si>
    <t>https://drive.google.com/file/d/1X3PX9-STZZwvhMPpui9ixg0pImxiX_dW/view?usp=drivesdk</t>
  </si>
  <si>
    <t>convocation SES-0003 THIERRY VANOFFE</t>
  </si>
  <si>
    <t>sbouteille@ucpa.asso.fr</t>
  </si>
  <si>
    <t>https://drive.google.com/file/d/13iW9V8aKH2qijagfAQu5rCdBu6T3IhIQ/view?usp=drivesdk</t>
  </si>
  <si>
    <t>convocation SES-0001 Stéphanie BOUTEILLE</t>
  </si>
  <si>
    <t>pbreton@ucpa.asso.fr</t>
  </si>
  <si>
    <t>https://drive.google.com/file/d/1bmgNaIBveO7fhm1ohE3nT6KwNuVmYaol/view?usp=drivesdk</t>
  </si>
  <si>
    <t>convocation SES-0001 Patricia BRETON</t>
  </si>
  <si>
    <t>ckolodka@ucpa.asso.fr</t>
  </si>
  <si>
    <t>https://drive.google.com/file/d/1c9sYOLd2AoaTQTHaw91jjbQ7hND_ffPH/view?usp=drivesdk</t>
  </si>
  <si>
    <t>convocation SES-0001 Christophe Kolodka</t>
  </si>
  <si>
    <t>https://drive.google.com/file/d/1XEST2q3ZUtr-B8qA6o1q8J3gm5J1MJRL/view?usp=drivesdk</t>
  </si>
  <si>
    <t>convocation SES-0002 Patricia BRETON</t>
  </si>
  <si>
    <t>emonard@ucpa.asso.fr</t>
  </si>
  <si>
    <t>https://drive.google.com/file/d/1Y-r3ggNOwYWX1pR8SKsU4XfDZ2aRmAjk/view?usp=drivesdk</t>
  </si>
  <si>
    <t>convocation SES-0001 Elsa Monard</t>
  </si>
  <si>
    <t>pdeplaix@ucpa.asso.fr</t>
  </si>
  <si>
    <t>https://drive.google.com/file/d/12LUy-jcdhnSyPxLky-4JP1YWD_3chyke/view?usp=drivesdk</t>
  </si>
  <si>
    <t>convocation SES-0001 Pauline Deplaix</t>
  </si>
  <si>
    <t>tbrouard@ucpa.asso.fr</t>
  </si>
  <si>
    <t>https://drive.google.com/file/d/15w0PoontBUoL0iw3cfyEGBPjbnt8qipR/view?usp=drivesdk</t>
  </si>
  <si>
    <t>convocation SES-0001 thierry brouard</t>
  </si>
  <si>
    <t>https://drive.google.com/file/d/14vNaogpj8ilnXTRcV2Gw6sXu4XjK2Hta/view?usp=drivesdk</t>
  </si>
  <si>
    <t>convocation SES-0002 Christophe Kolodka</t>
  </si>
  <si>
    <t>lmosnier@ucpa.asso.fr</t>
  </si>
  <si>
    <t>https://drive.google.com/file/d/1ViLdVQA_-hOe33FFUj2TF_MT17J4ZiVx/view?usp=drivesdk</t>
  </si>
  <si>
    <t>convocation SES-0001 Laurence MOSNIER</t>
  </si>
  <si>
    <t>https://drive.google.com/file/d/1y0oVcbXwyavgnH3iVNx1l0ai9_mmjKAx/view?usp=drivesdk</t>
  </si>
  <si>
    <t>convocation SES-0002 Laurence MOSNIER</t>
  </si>
  <si>
    <t>https://drive.google.com/file/d/18kGF12W0nZx3JnyEWpyoXXf01F87fUMt/view?usp=drivesdk</t>
  </si>
  <si>
    <t>convocation SES-0002 Pauline Deplaix</t>
  </si>
  <si>
    <t>apouffier@ucpasl.com</t>
  </si>
  <si>
    <t>https://drive.google.com/file/d/1QJ8782dNxX0Bu9nXd2T6hdlXLh6aKeGE/view?usp=drivesdk</t>
  </si>
  <si>
    <t xml:space="preserve">convocation SES-0001 Angélique  POUFFIER </t>
  </si>
  <si>
    <t>https://drive.google.com/file/d/1YsF1R2szHKKe1GAGW_Jw1AM760XoY9_G/view?usp=drivesdk</t>
  </si>
  <si>
    <t xml:space="preserve">convocation SES-0002 Angélique  POUFFIER </t>
  </si>
  <si>
    <t>nboumahammed@ucpa.asso.fr</t>
  </si>
  <si>
    <t>https://drive.google.com/file/d/1mbug-T6maELyd90i9jGi4t3Gn3Co91uT/view?usp=drivesdk</t>
  </si>
  <si>
    <t>convocation SES-0002 Nadir Boumahammed</t>
  </si>
  <si>
    <t>jgranger@ucpa.asso.fr</t>
  </si>
  <si>
    <t>https://drive.google.com/file/d/1mEzh41oz_2hRCXX7H4WdkXV0nv850e_O/view?usp=drivesdk</t>
  </si>
  <si>
    <t>convocation SES-0001 jean-charles GRANGER</t>
  </si>
  <si>
    <t>lmaury@ucpa.asso.fr</t>
  </si>
  <si>
    <t>https://drive.google.com/file/d/1ZzMFEinZnR7pf8OmsTE2t3CQGAz2ARkP/view?usp=drivesdk</t>
  </si>
  <si>
    <t>convocation SES-0001 Lionel Maury</t>
  </si>
  <si>
    <t>https://drive.google.com/file/d/1avmG1ZuzkOPeALMQvqE_0-IISAPqvitz/view?usp=drivesdk</t>
  </si>
  <si>
    <t>convocation SES-0002 Lionel Maury</t>
  </si>
  <si>
    <t>pvareille@ucpa.asso.fr</t>
  </si>
  <si>
    <t>https://drive.google.com/file/d/1O2X9odFj64VbNxugD3-wUy8cjK3yPDYo/view?usp=drivesdk</t>
  </si>
  <si>
    <t xml:space="preserve">convocation SES-0001 Pauline Vareille </t>
  </si>
  <si>
    <t>https://drive.google.com/file/d/1dw-Ptd50H-9Hc6Mh2DWENxM2x-UmrpGF/view?usp=drivesdk</t>
  </si>
  <si>
    <t>convocation SES-0002 Pauline Vareille</t>
  </si>
  <si>
    <t>aiftene@ucpa.asso.fr</t>
  </si>
  <si>
    <t>https://drive.google.com/file/d/14anGtu9WnFLeXByCFeIk1wPOGn6JT_W9/view?usp=drivesdk</t>
  </si>
  <si>
    <t xml:space="preserve">convocation SES-0001 ALI IFTENE </t>
  </si>
  <si>
    <t>https://drive.google.com/file/d/1uHD5o3n-FD3FnZMLbEXV9Zta0ONXaIQf/view?usp=drivesdk</t>
  </si>
  <si>
    <t xml:space="preserve">convocation SES-0002 ALI  IFTENE </t>
  </si>
  <si>
    <t>smoyou@ucpasl.com</t>
  </si>
  <si>
    <t>https://drive.google.com/file/d/1ny4ryAx69_NJtaj_kuP_7ewDOxUOT-xI/view?usp=drivesdk</t>
  </si>
  <si>
    <t xml:space="preserve">convocation SES-0001 Stéphanie MOYOU </t>
  </si>
  <si>
    <t>https://drive.google.com/file/d/14oCDy1OWC-mXC63ZFwTDPEiZxUfT6PC2/view?usp=drivesdk</t>
  </si>
  <si>
    <t xml:space="preserve">convocation SES-0002 Stéphanie  MOYOU </t>
  </si>
  <si>
    <t>sboumrar@vaires-torcy.iledeloisirs.fr</t>
  </si>
  <si>
    <t>https://drive.google.com/file/d/1ozSgNde2Ym21NhsDwG5z2rWHzDgLfnPV/view?usp=drivesdk</t>
  </si>
  <si>
    <t>convocation SES-0002 samira boumrar</t>
  </si>
  <si>
    <t>vcroue@ucpa.asso.fr</t>
  </si>
  <si>
    <t>https://drive.google.com/file/d/1EEgWPTqTPTf5BypxPWiW1RqAX4ZCJsUC/view?usp=drivesdk</t>
  </si>
  <si>
    <t>convocation SES-0002 Véronique Croué</t>
  </si>
  <si>
    <t>benoit_massin@hotmail.com</t>
  </si>
  <si>
    <t>https://drive.google.com/file/d/1Px2yc2lA7fQjhlYzEnz8dTRSPijFKlt2/view?usp=drivesdk</t>
  </si>
  <si>
    <t>convocation SES-0001 Benoit Massin</t>
  </si>
  <si>
    <t>https://drive.google.com/file/d/1xfX7PF0E29OnQ_ExK6bcNhAUg_vGEOoI/view?usp=drivesdk</t>
  </si>
  <si>
    <t>convocation SES-0002 Benoit Massin</t>
  </si>
  <si>
    <t>vincentcazalaa@labalaguere.com</t>
  </si>
  <si>
    <t>https://drive.google.com/file/d/1jH0Erglc1DkMOmE4CufMtjRspoOqQix5/view?usp=drivesdk</t>
  </si>
  <si>
    <t>convocation SES-0001 Vincent Cazalaa</t>
  </si>
  <si>
    <t>https://drive.google.com/file/d/1N5M7s1ofNFgcmx_ytzcV2cRHyuH3MqZO/view?usp=drivesdk</t>
  </si>
  <si>
    <t>convocation SES-0002 Vincent Cazalaa</t>
  </si>
  <si>
    <t>mlecocq@ucpa.asso.fr</t>
  </si>
  <si>
    <t>https://drive.google.com/file/d/1hiazb2CGNAMpfSLfnBAAkiiYUrBuTWvv/view?usp=drivesdk</t>
  </si>
  <si>
    <t>convocation SES-0002 Melissa  Lecocq</t>
  </si>
  <si>
    <t>https://drive.google.com/file/d/11G5y8vWkJeOPOY-b9E1l1U9l8gI2JIh0/view?usp=drivesdk</t>
  </si>
  <si>
    <t>hreinaudchapuis@ucpa.asso.fr</t>
  </si>
  <si>
    <t>https://drive.google.com/file/d/1kXtYKIT8wmUz34hbVv9ln_pCKE0XzJFB/view?usp=drivesdk</t>
  </si>
  <si>
    <t xml:space="preserve">convocation SES-0001 Hélène REINAUD CHAPUIS </t>
  </si>
  <si>
    <t>https://drive.google.com/file/d/1pZtqj_fifC2SUVp90mmE4STmtKwu7EsO/view?usp=drivesdk</t>
  </si>
  <si>
    <t xml:space="preserve">convocation SES-0002 Hélène  REINAUD CHAPUIS </t>
  </si>
  <si>
    <t>lboujjaadia@ucpa.asso.fr</t>
  </si>
  <si>
    <t>https://drive.google.com/file/d/1T8Zq8SVvzlsIvLlyQINNDYuqUWegrpMr/view?usp=drivesdk</t>
  </si>
  <si>
    <t>convocation SES-0001 Laila BOUJJAADIA</t>
  </si>
  <si>
    <t>fdadoy@ucpa.asso.fr</t>
  </si>
  <si>
    <t>https://drive.google.com/file/d/1U0fqf2s5R-OEjjDMSahtfLbuusl_PEh9/view?usp=drivesdk</t>
  </si>
  <si>
    <t>convocation SES-0002 Frédéric Dadoy</t>
  </si>
  <si>
    <t>https://drive.google.com/file/d/1U6ASMemDR50MeZLzQ90P02i4TUXcsJQ-/view?usp=drivesdk</t>
  </si>
  <si>
    <t>convocation SES-0002 Laila BOUJJAADIA</t>
  </si>
  <si>
    <t>cklipfel@ucpa.asso.fr</t>
  </si>
  <si>
    <t>https://drive.google.com/file/d/1g0gRjIXLRjuqGEvhgh7TFjzUttEY-oC8/view?usp=drivesdk</t>
  </si>
  <si>
    <t>convocation SES-0001 Carole KLIPFEL</t>
  </si>
  <si>
    <t>https://drive.google.com/file/d/1YedjWM_tGjl5prroUC1ul2fb-j2ewzhP/view?usp=drivesdk</t>
  </si>
  <si>
    <t>convocation SES-0002 Carole KLIPFEL</t>
  </si>
  <si>
    <t>npalisse@ucpa.asso.fr</t>
  </si>
  <si>
    <t>https://drive.google.com/file/d/1o-r27GOd-DnhGpbQ9ijUSJkfLoAy6cKD/view?usp=drivesdk</t>
  </si>
  <si>
    <t>convocation SES-0002 NATHALIE PALISSE</t>
  </si>
  <si>
    <t>courneuve.act@ucpa.asso.fr</t>
  </si>
  <si>
    <t>https://drive.google.com/file/d/1zGXjRcqiUZZZ3iOkVcZNGCz3jD2MWjDu/view?usp=drivesdk</t>
  </si>
  <si>
    <t>convocation SES-0002 REGINE MOREL</t>
  </si>
  <si>
    <t>https://drive.google.com/file/d/1JVCR9FwIuiOiztAXwpSV0CHSClCiTwKd/view?usp=drivesdk</t>
  </si>
  <si>
    <t>convocation SES-0001 PALISSE Nathalie</t>
  </si>
  <si>
    <t>asupiot@ucpa.asso.fr</t>
  </si>
  <si>
    <t>https://drive.google.com/file/d/1cfL3pfOJzFutM7805_03Ms37lq4FH9UR/view?usp=drivesdk</t>
  </si>
  <si>
    <t>convocation SES-0001 Anna Supiot</t>
  </si>
  <si>
    <t>https://drive.google.com/file/d/1OuHxufuju85YkbWZB5AX2kMqM5hcsND0/view?usp=drivesdk</t>
  </si>
  <si>
    <t>convocation SES-0002 Anna Supiot</t>
  </si>
  <si>
    <t>cpouliquen@ucpaplanete.com</t>
  </si>
  <si>
    <t>https://drive.google.com/file/d/17BhVoPgWCttJWOMOGKprWmycI7nBMOn_/view?usp=drivesdk</t>
  </si>
  <si>
    <t>convocation SES-0001 Catherine Pouliquen</t>
  </si>
  <si>
    <t>https://drive.google.com/file/d/1EcrUcml6czXhKB7oQure0_RjVb_E3yql/view?usp=drivesdk</t>
  </si>
  <si>
    <t>convocation SES-0002 Catherine Pouliquen</t>
  </si>
  <si>
    <t>csebany@ucpa.asso.fr</t>
  </si>
  <si>
    <t>https://drive.google.com/file/d/1OJmS7B8QjcntmZgEa6L_lbir63B4Ptd8/view?usp=drivesdk</t>
  </si>
  <si>
    <t>convocation SES-0001 Chouaib SEBANY</t>
  </si>
  <si>
    <t>https://drive.google.com/file/d/1er02pRumRIvZWLOsTawkaiDB3pTZ8S8R/view?usp=drivesdk</t>
  </si>
  <si>
    <t>convocation SES-0002 Chouaib SEBANY</t>
  </si>
  <si>
    <t>ctaverne@ucpa.asso.fr</t>
  </si>
  <si>
    <t>https://drive.google.com/file/d/10BiDAAMH14MpU6Fzmp62AwtfSN2YEqTH/view?usp=drivesdk</t>
  </si>
  <si>
    <t xml:space="preserve">convocation SES-0001 Catherine  TAVERNE </t>
  </si>
  <si>
    <t>rnisus@ucpasl.com</t>
  </si>
  <si>
    <t>https://drive.google.com/file/d/1Rv0UpbE4l8lxyTY30dwgKDh4rQaHsr8z/view?usp=drivesdk</t>
  </si>
  <si>
    <t>convocation SES-0001 rodolphe nisus</t>
  </si>
  <si>
    <t>https://drive.google.com/file/d/1ILU-k86uQJxw1omIntJx2cRXYO1JDC0R/view?usp=drivesdk</t>
  </si>
  <si>
    <t>convocation SES-0002 rodolphe nisus</t>
  </si>
  <si>
    <t>elisa.duret74@outlook.fr</t>
  </si>
  <si>
    <t>https://drive.google.com/file/d/1BCM2wN0NgM0sbfcTO6RaGbMMq3E7t7Uf/view?usp=drivesdk</t>
  </si>
  <si>
    <t>convocation SES-0001 Elisa Duret</t>
  </si>
  <si>
    <t>https://drive.google.com/file/d/1l0LjTLmI2L89fWfHVjpIO6iCdDVT3l3P/view?usp=drivesdk</t>
  </si>
  <si>
    <t>convocation SES-0002 Elisa DURET</t>
  </si>
  <si>
    <t>yohan.brun@telligo.fr</t>
  </si>
  <si>
    <t>https://drive.google.com/file/d/1NQRg6gVlBUAAamnGvuu0_75HVrBcXV1A/view?usp=drivesdk</t>
  </si>
  <si>
    <t>convocation SES-0001 Yohan Brun</t>
  </si>
  <si>
    <t>https://drive.google.com/file/d/190zf_8efXavPAWVP4NVXxYxWk4UFFq9N/view?usp=drivesdk</t>
  </si>
  <si>
    <t>convocation SES-0002 Yohan Brun</t>
  </si>
  <si>
    <t>llaval@ucpa.asso.fr</t>
  </si>
  <si>
    <t>https://drive.google.com/file/d/1Cn0UhB9cr-YOAZB605kz7KUiDprKctYE/view?usp=drivesdk</t>
  </si>
  <si>
    <t>convocation SES-0002 Laurence LAVAL</t>
  </si>
  <si>
    <t>maid@ucpaplanete.com</t>
  </si>
  <si>
    <t>https://drive.google.com/file/d/1W0Wo0l_NXG_YCiovictmX-XrRVkiNscw/view?usp=drivesdk</t>
  </si>
  <si>
    <t>convocation SES-0002 Marina AID</t>
  </si>
  <si>
    <t>ptassy@ucpa.asso.fr</t>
  </si>
  <si>
    <t>https://drive.google.com/file/d/1Z1V_m93q4jkWcKOT4os8z5ed-KmlpyN8/view?usp=drivesdk</t>
  </si>
  <si>
    <t>convocation SES-0001 Pascal Tassy</t>
  </si>
  <si>
    <t>https://drive.google.com/file/d/1Y3Hd55S72M0IHEtBfM69o8DNAnq7-T-v/view?usp=drivesdk</t>
  </si>
  <si>
    <t>convocation SES-0002 Pascal Tassy</t>
  </si>
  <si>
    <t>pbesancon@ucpasl.com</t>
  </si>
  <si>
    <t>https://drive.google.com/file/d/1yssA-V_AtZY_l-veevslFxMtXjnPvM0I/view?usp=drivesdk</t>
  </si>
  <si>
    <t xml:space="preserve">convocation SES-0001 Patrick Besançon </t>
  </si>
  <si>
    <t>https://drive.google.com/file/d/1njr6hRteDlcv5_AEjYWyE8oqvViIqH1S/view?usp=drivesdk</t>
  </si>
  <si>
    <t xml:space="preserve">convocation SES-0002 Patrick Besançon </t>
  </si>
  <si>
    <t>aderivet@ucpa.asso.fr</t>
  </si>
  <si>
    <t>https://drive.google.com/file/d/1hVMPb1qf2-u9qU_gUc_L4livwzaziaU-/view?usp=drivesdk</t>
  </si>
  <si>
    <t>convocation SES-0002 Annabelle de Rivet</t>
  </si>
  <si>
    <t>tschwartz@ucpasl.com</t>
  </si>
  <si>
    <t>https://drive.google.com/file/d/1hwc0MALbFHX9agdosP8vge0li3a-c2yt/view?usp=drivesdk</t>
  </si>
  <si>
    <t>convocation SES-0001 Thomas SCHWARTZ</t>
  </si>
  <si>
    <t>https://drive.google.com/file/d/1dmUPljzhRm5eF7PAOFovJ92fycb57KI2/view?usp=drivesdk</t>
  </si>
  <si>
    <t>convocation SES-0002 Thomas SCHWARTZ</t>
  </si>
  <si>
    <t>sbourrier@ucpa.asso.fr</t>
  </si>
  <si>
    <t>https://drive.google.com/file/d/1YtzEcEzVk7NpBetmxrJ7Eguwl73PsAiN/view?usp=drivesdk</t>
  </si>
  <si>
    <t>convocation SES-0001 BOURRIER Stéphane</t>
  </si>
  <si>
    <t>acottem@gmail.com</t>
  </si>
  <si>
    <t>https://drive.google.com/file/d/15PxlRYdwgs2d5E00qmS__EskGfMTu26V/view?usp=drivesdk</t>
  </si>
  <si>
    <t>convocation SES-0001 alain cottem</t>
  </si>
  <si>
    <t>acottem@ucpa.asso.fr</t>
  </si>
  <si>
    <t>https://drive.google.com/file/d/1nqKm7F-rJ_Mn6OzfksaV0rN2-HAx5bw3/view?usp=drivesdk</t>
  </si>
  <si>
    <t>convocation SES-0002 alain cottem</t>
  </si>
  <si>
    <t>https://drive.google.com/file/d/1nw1S_FHDoW0ngbWRsDh19Gmv7878j66p/view?usp=drivesdk</t>
  </si>
  <si>
    <t>frouhier@bois-le-roi.iledeloisirs.fr</t>
  </si>
  <si>
    <t>https://drive.google.com/file/d/1_lrjTIRT1qzKjYAq8MXOaIhHEOvB61dD/view?usp=drivesdk</t>
  </si>
  <si>
    <t>convocation SES-0001 rouhier frederic</t>
  </si>
  <si>
    <t>https://drive.google.com/file/d/1tI50yuEO5i4zAW3bs2pUZoPVN_YlqpNM/view?usp=drivesdk</t>
  </si>
  <si>
    <t>convocation SES-0002 rouhier frederic</t>
  </si>
  <si>
    <t>stephaniebrasier@labalaguere.com</t>
  </si>
  <si>
    <t>https://drive.google.com/file/d/1PRT9fcCI7mU_Oo3gcNlgZXlRAWuMPwid/view?usp=drivesdk</t>
  </si>
  <si>
    <t>convocation SES-0002 STEPHANIE BRASIER</t>
  </si>
  <si>
    <t>mvaujany@ucpa.asso.fr</t>
  </si>
  <si>
    <t>https://drive.google.com/file/d/196LgbIQNrlahy-8_wu4ok7sVznOuH4fA/view?usp=drivesdk</t>
  </si>
  <si>
    <t>convocation SES-0001 Magali VAUJANY</t>
  </si>
  <si>
    <t>https://drive.google.com/file/d/1EOw8aQbqNsYiURtjjfo8KMD0rb4_smXn/view?usp=drivesdk</t>
  </si>
  <si>
    <t>convocation SES-0002 Magali VAUJANY</t>
  </si>
  <si>
    <t>gebonnard@ucpa.asso.fr</t>
  </si>
  <si>
    <t>https://drive.google.com/file/d/1FILS7B4D9ErWIEMAev7tTPH_WGs1dm4c/view?usp=drivesdk</t>
  </si>
  <si>
    <t>convocation SES-0001 Géraldine BONNARD</t>
  </si>
  <si>
    <t>https://drive.google.com/file/d/1sYOCb8e7z6SmURFH0rIIS3QwI3y-Jg3l/view?usp=drivesdk</t>
  </si>
  <si>
    <t>convocation SES-0002 Géraldine BONNARD</t>
  </si>
  <si>
    <t>jthomas@ucpa.asso.fr</t>
  </si>
  <si>
    <t>https://drive.google.com/file/d/1z08ZiYSgSoE88LZNzm8bbF244DDjnkbM/view?usp=drivesdk</t>
  </si>
  <si>
    <t>convocation SES-0001 Julien THOMAS</t>
  </si>
  <si>
    <t>https://drive.google.com/file/d/1vp2511PwORXvXYLevqCufzdwacKcQVC2/view?usp=drivesdk</t>
  </si>
  <si>
    <t>convocation SES-0002 Julien THOMAS</t>
  </si>
  <si>
    <t>mdelnatte@ucpa.asso.fr</t>
  </si>
  <si>
    <t>https://drive.google.com/file/d/1GqKPio2lOVCT6c4M_1O1pecROiRW7dNW/view?usp=drivesdk</t>
  </si>
  <si>
    <t>convocation SES-0001 MARIE DELNATTE</t>
  </si>
  <si>
    <t>yfunke@ucpasl.com</t>
  </si>
  <si>
    <t>https://drive.google.com/file/d/1IzpgbuwrQrc8DYOKXcsPzbsJBgtUFUwz/view?usp=drivesdk</t>
  </si>
  <si>
    <t>convocation SES-0001 yannick funke</t>
  </si>
  <si>
    <t>benedicte.barre@tootazimut.fr</t>
  </si>
  <si>
    <t>https://drive.google.com/file/d/1MbaevhE_VKIHQpY3XFPjfbkUUb0OY58W/view?usp=drivesdk</t>
  </si>
  <si>
    <t>convocation SES-0001 BENEDICTE BARRE</t>
  </si>
  <si>
    <t>https://drive.google.com/file/d/1amsz2qHgf7CWjfTyWKZtKJLBBJfVruLP/view?usp=drivesdk</t>
  </si>
  <si>
    <t>convocation SES-0002 BENEDICTE BARRE</t>
  </si>
  <si>
    <t>https://drive.google.com/file/d/1PTaQeyVZL42xIRMsNKEduykSSi2Syh6V/view?usp=drivesdk</t>
  </si>
  <si>
    <t>convocation SES-0002 yannick funke</t>
  </si>
  <si>
    <t>kmillion@ucpa.asso.fr</t>
  </si>
  <si>
    <t>https://drive.google.com/file/d/1_OuLL3RJ-LP2xaWiPjgGX2dGudtwbVEB/view?usp=drivesdk</t>
  </si>
  <si>
    <t>convocation SES-0002 Karen Million</t>
  </si>
  <si>
    <t>cpham@ucpa.asso.fr</t>
  </si>
  <si>
    <t>https://drive.google.com/file/d/1-BCsEL3U2N_a7NJCkflH1JTm7n--E82Y/view?usp=drivesdk</t>
  </si>
  <si>
    <t>convocation SES-0001 Cyrille Pham van sam</t>
  </si>
  <si>
    <t>ecusey@ucpasl.com</t>
  </si>
  <si>
    <t>https://drive.google.com/file/d/1Dj8xUoE6tQl-5piKXDC01DOz_2G0Cswk/view?usp=drivesdk</t>
  </si>
  <si>
    <t>convocation SES-0001 EMILIE CUSEY</t>
  </si>
  <si>
    <t>abonville@ucpa.asso.fr</t>
  </si>
  <si>
    <t>https://drive.google.com/file/d/1SxUOXK8891wJNY3XpzRoq34X8Fdf8C5Y/view?usp=drivesdk</t>
  </si>
  <si>
    <t>convocation SES-0001 alexandra bonville</t>
  </si>
  <si>
    <t>https://drive.google.com/file/d/1x7vdUFlFv0Y6Mos-YN170z1npcF2pMfv/view?usp=drivesdk</t>
  </si>
  <si>
    <t>convocation SES-0002 EMILIE CUSEY</t>
  </si>
  <si>
    <t>https://drive.google.com/file/d/1inf_UtmB8qZEJEjxHqb3mATNU9MfbGvi/view?usp=drivesdk</t>
  </si>
  <si>
    <t>convocation SES-0002 Cyrille Pham van sam</t>
  </si>
  <si>
    <t>clapeyre@ucpasl.com</t>
  </si>
  <si>
    <t>https://drive.google.com/file/d/1SZID_Lv0vCdrxPln3ke8kEd0vV97KuEw/view?usp=drivesdk</t>
  </si>
  <si>
    <t>convocation SES-0001 CYRIL LAPEYRE</t>
  </si>
  <si>
    <t>https://drive.google.com/file/d/17DhuR_obpscVJQxWgIpj1H4XEyKDDBLs/view?usp=drivesdk</t>
  </si>
  <si>
    <t>convocation SES-0002 CYRIL LAPEYRE</t>
  </si>
  <si>
    <t>https://drive.google.com/file/d/127VzxLxjIOaVInuiuAWU3CBpkpN7apaM/view?usp=drivesdk</t>
  </si>
  <si>
    <t>convocation SES-0001 Karen Million</t>
  </si>
  <si>
    <t>mdamour@ucpasl.com</t>
  </si>
  <si>
    <t>https://drive.google.com/file/d/1geE3s_5cTI-68fQH2Hqe8j2isBWL_rQQ/view?usp=drivesdk</t>
  </si>
  <si>
    <t>convocation SES-0001 Mathieu DAMOUR</t>
  </si>
  <si>
    <t>https://drive.google.com/file/d/1MszwbCvT2pNjqdvQoGokfQLLUq8vQpYg/view?usp=drivesdk</t>
  </si>
  <si>
    <t>convocation SES-0002 Mathieu DAMOUR</t>
  </si>
  <si>
    <t>esene@ucpa.asso.fr</t>
  </si>
  <si>
    <t>https://drive.google.com/file/d/1C92wC6yfGmUjs41QsGlXv_SkjVcwQt-c/view?usp=drivesdk</t>
  </si>
  <si>
    <t>convocation SES-0001 Ervin Sene</t>
  </si>
  <si>
    <t>avermeersch@ucpa.asso.fr</t>
  </si>
  <si>
    <t>https://drive.google.com/file/d/19b442Yf6DwAlsojhw9zuhv5U5bNOdlat/view?usp=drivesdk</t>
  </si>
  <si>
    <t>convocation SES-0002 Aurélie Vermeersch</t>
  </si>
  <si>
    <t>lgrosjean@ucpa.asso.fr</t>
  </si>
  <si>
    <t>https://drive.google.com/file/d/1jjIBLbBZ83zslGPwGANsiWHNDxjKmwZp/view?usp=drivesdk</t>
  </si>
  <si>
    <t>convocation SES-0001 Laurianne Grosjean</t>
  </si>
  <si>
    <t>https://drive.google.com/file/d/1fOsfB7QoFjBXJnhaP3PO5pO4flKMP28y/view?usp=drivesdk</t>
  </si>
  <si>
    <t>convocation SES-0002 Laurianne Grosjean</t>
  </si>
  <si>
    <t>eesperse@ucpa.asso.fr</t>
  </si>
  <si>
    <t>https://drive.google.com/file/d/1vMeDRdnyq6NdSpz4oVheV4DKyfyJcMG7/view?usp=drivesdk</t>
  </si>
  <si>
    <t>convocation SES-0001 Emmanuelle ESPERSE</t>
  </si>
  <si>
    <t>https://drive.google.com/file/d/1XW5arMlkb71FcRm9SAfYdJU8VxWiL6G5/view?usp=drivesdk</t>
  </si>
  <si>
    <t>convocation SES-0002 Emmanuelle ESPERSE</t>
  </si>
  <si>
    <t>jcolombat@ucpasl.com</t>
  </si>
  <si>
    <t>https://drive.google.com/file/d/1_o3wDsQVDHOy-jXsgNuz1R5MEZoK3JT8/view?usp=drivesdk</t>
  </si>
  <si>
    <t>convocation SES-0001 COLOMBATJean Marie Colombat</t>
  </si>
  <si>
    <t>https://drive.google.com/file/d/1Yr6d81hDDjf2zdgUXOPbCG6NyQJh6fhi/view?usp=drivesdk</t>
  </si>
  <si>
    <t>convocation SES-0002 Jean Marie Colombat</t>
  </si>
  <si>
    <t>lrouffart@ucpa.asso.fr</t>
  </si>
  <si>
    <t>https://drive.google.com/file/d/16wbKCWSBvzJIDf-gjlUQmszhncvNrTcl/view?usp=drivesdk</t>
  </si>
  <si>
    <t>convocation SES-0002 Laurence Rouffart</t>
  </si>
  <si>
    <t>ptumbarello@ucpa.asso.fr</t>
  </si>
  <si>
    <t>https://drive.google.com/file/d/18WCs-z_-hyOwBC97NqYX1L8BoffJLlFA/view?usp=drivesdk</t>
  </si>
  <si>
    <t>convocation SES-0001 Tumbarello Patricia</t>
  </si>
  <si>
    <t>https://drive.google.com/file/d/1aqanjOppOIgFWJ7CgCppJDKIP3dweWeL/view?usp=drivesdk</t>
  </si>
  <si>
    <t>convocation SES-0002 Tumbarello Patricia</t>
  </si>
  <si>
    <t>ctsikras@ucpa.asso.fr</t>
  </si>
  <si>
    <t>https://drive.google.com/file/d/1sUt47gJC6gm91Aki5pCqii7VlkfhLXYV/view?usp=drivesdk</t>
  </si>
  <si>
    <t>convocation SES-0001 Christelle TSIKRAS</t>
  </si>
  <si>
    <t>https://drive.google.com/file/d/1nNH4FIjgolPptGYuwL8fxjJOQ2BRiL59/view?usp=drivesdk</t>
  </si>
  <si>
    <t>convocation SES-0002 Christelle TSIKRAS</t>
  </si>
  <si>
    <t>nferat@ucpa.asso.fr</t>
  </si>
  <si>
    <t>https://drive.google.com/file/d/1F2qA2IiuJLM_6af-phSCfx4C0WtXxtop/view?usp=drivesdk</t>
  </si>
  <si>
    <t>convocation SES-0001 NATHALIE  FERAT</t>
  </si>
  <si>
    <t>https://drive.google.com/file/d/1p-2eXKVL2xyY6UHz-Uiiq5WgRY0aoBfR/view?usp=drivesdk</t>
  </si>
  <si>
    <t>convocation SES-0002 NATHALIE  FERAT</t>
  </si>
  <si>
    <t>jcorre@ucpasl.com</t>
  </si>
  <si>
    <t>https://drive.google.com/file/d/1O6nGzjQ9rddhZTVSqwRTKzL-LIBXfZwp/view?usp=drivesdk</t>
  </si>
  <si>
    <t xml:space="preserve">convocation SES-0001 Jean-Pierre  Corre </t>
  </si>
  <si>
    <t>https://drive.google.com/file/d/1fPhB6MgZney1Tehl83YDX8MXtad_APd6/view?usp=drivesdk</t>
  </si>
  <si>
    <t xml:space="preserve">convocation SES-0002 Jean-Pierre  Corre </t>
  </si>
  <si>
    <t>awillem@ucpa.asso.fr</t>
  </si>
  <si>
    <t>https://drive.google.com/file/d/1b1drF0aRqJlYNpeEwL-2DjTNc_ZaKBvR/view?usp=drivesdk</t>
  </si>
  <si>
    <t>convocation SES-0002 Aurélie Willem</t>
  </si>
  <si>
    <t>https://drive.google.com/file/d/1SLm1ZG3okK-mQ_BsCCU_K9BgRn-Yt0Hi/view?usp=drivesdk</t>
  </si>
  <si>
    <t>convocation SES-0002 catherine TAVERNE</t>
  </si>
  <si>
    <t>mlepretre@ucpa.asso.fr</t>
  </si>
  <si>
    <t>https://drive.google.com/file/d/1F1OfPsfC9UlCgG34RcnvdszomfKBlQIA/view?usp=drivesdk</t>
  </si>
  <si>
    <t>convocation SES-0002 Matthieu LEPRETRE</t>
  </si>
  <si>
    <t>epatay@ucpa.asso.fr</t>
  </si>
  <si>
    <t>https://drive.google.com/file/d/1hNsS5v_049dHMeT1qnQ3IrbShoJsX7ay/view?usp=drivesdk</t>
  </si>
  <si>
    <t xml:space="preserve">convocation SES-0001 Emmanuelle PATAY </t>
  </si>
  <si>
    <t>platapie@ucpasl.com</t>
  </si>
  <si>
    <t>https://drive.google.com/file/d/10PB5nlg39rAcRB4bv2k1CamO8wq3_35H/view?usp=drivesdk</t>
  </si>
  <si>
    <t>convocation SES-0001 Philippe Latapie</t>
  </si>
  <si>
    <t>https://drive.google.com/file/d/1qkAxkFChzDdLNr7c9qPQYLN0jN1F2maV/view?usp=drivesdk</t>
  </si>
  <si>
    <t xml:space="preserve">convocation SES-0002 Emmanuelle PATAY </t>
  </si>
  <si>
    <t>https://drive.google.com/file/d/1kIMkocPxRxeyzNIFucQbavfIKPl47LXK/view?usp=drivesdk</t>
  </si>
  <si>
    <t>convocation SES-0002 Philippe Latapie</t>
  </si>
  <si>
    <t>stephanie.abaziou@labalaguere.com</t>
  </si>
  <si>
    <t>https://drive.google.com/file/d/1ZcgJnl5ycpiz9-mC8OiPnocqShSduucz/view?usp=drivesdk</t>
  </si>
  <si>
    <t>convocation SES-0002 Stephanie ABAZIOU</t>
  </si>
  <si>
    <t>tdossios@ucpasl.com</t>
  </si>
  <si>
    <t>https://drive.google.com/file/d/1OJ-qud5lbg1Bdro-GQ5ri7Q_xQ2S-Gf2/view?usp=drivesdk</t>
  </si>
  <si>
    <t>convocation SES-0001 Thierry DOSSIOS</t>
  </si>
  <si>
    <t>https://drive.google.com/file/d/1i0Pnw6Wo8I46YJxE_sx-56-mbLQQ78DY/view?usp=drivesdk</t>
  </si>
  <si>
    <t>convocation SES-0002 Thierry Dossios</t>
  </si>
  <si>
    <t>fguyonnaud@ucpa.asso.fr</t>
  </si>
  <si>
    <t>https://drive.google.com/file/d/1UTN4k6fCUXjCd0LZ2oIBHuzQAoUDZ7ra/view?usp=drivesdk</t>
  </si>
  <si>
    <t>convocation SES-0002 Frédérique Guyonnaud</t>
  </si>
  <si>
    <t>jdeschamps@ucpa.asso.fr</t>
  </si>
  <si>
    <t>https://drive.google.com/file/d/1pwawE6hlLlyhDKznYGEftRuGL_Cb94pt/view?usp=drivesdk</t>
  </si>
  <si>
    <t>convocation SES-0001 Julien deschamps</t>
  </si>
  <si>
    <t>catherine.mouton@tootazimut.fr</t>
  </si>
  <si>
    <t>https://drive.google.com/file/d/1H0nyppk3kD6ruKAdFJCEerkU4yiAQERZ/view?usp=drivesdk</t>
  </si>
  <si>
    <t>convocation SES-0001 catherine mouton</t>
  </si>
  <si>
    <t>https://drive.google.com/file/d/1ghVyAE0llulwTOdsLSW5xAq3iYY5cBvd/view?usp=drivesdk</t>
  </si>
  <si>
    <t>convocation SES-0002 catherine mouton</t>
  </si>
  <si>
    <t>jgoncalves@ucpa.asso.fr</t>
  </si>
  <si>
    <t>https://drive.google.com/file/d/1nii93Fi7g6oOGpomNjYTMV5xXb_4oPU3/view?usp=drivesdk</t>
  </si>
  <si>
    <t>convocation SES-0001 Julie GONCALVES</t>
  </si>
  <si>
    <t>https://drive.google.com/file/d/1Y7MeIcJxVqXDIM5eDqVjdQPGzQW14yHz/view?usp=drivesdk</t>
  </si>
  <si>
    <t>convocation SES-0002 Julie GONCALVES</t>
  </si>
  <si>
    <t>llanglois@ucpa.asso.fr</t>
  </si>
  <si>
    <t>https://drive.google.com/file/d/1qU6Q6DudzdB90-Z610HylfrD2H-mJh8B/view?usp=drivesdk</t>
  </si>
  <si>
    <t xml:space="preserve">convocation SES-0001 Laurent  Langlois </t>
  </si>
  <si>
    <t>https://drive.google.com/file/d/11zC2ACDFXAjBZrigXfPpaR0nkq8hr-E9/view?usp=drivesdk</t>
  </si>
  <si>
    <t xml:space="preserve">convocation SES-0002 Laurent  Langlois </t>
  </si>
  <si>
    <t>flagneau@ucpasl.com</t>
  </si>
  <si>
    <t>https://drive.google.com/file/d/1Bl-vpijN0ZhRcCcrVUSxI7Y-gz6GzIZG/view?usp=drivesdk</t>
  </si>
  <si>
    <t>convocation SES-0002 Frederic  Lagneau</t>
  </si>
  <si>
    <t>https://drive.google.com/file/d/1lkWIU5mHiG_rgyP7yp5AN-X_6b9okX67/view?usp=drivesdk</t>
  </si>
  <si>
    <t>convocation SES-0001 Frederic Lagneau</t>
  </si>
  <si>
    <t>veronique.perlin@labalaguere.com</t>
  </si>
  <si>
    <t>https://drive.google.com/file/d/1uNYUBcUh4wBV0YieFWDbyDAhsdVlrAsq/view?usp=drivesdk</t>
  </si>
  <si>
    <t>convocation SES-0001 Veronique PERLIN</t>
  </si>
  <si>
    <t>https://drive.google.com/file/d/116t9NncHlCCzBe49EN2TZpBLPLM6J0ID/view?usp=drivesdk</t>
  </si>
  <si>
    <t>convocation SES-0002 Veronique PERLIN</t>
  </si>
  <si>
    <t>stephane.tavernier@telligo.fr</t>
  </si>
  <si>
    <t>https://drive.google.com/file/d/11BIE2K6g0lhZ-mVlynLR3KQ00P2ArWSE/view?usp=drivesdk</t>
  </si>
  <si>
    <t>convocation SES-0002 STEPHANE TAVERNIER</t>
  </si>
  <si>
    <t>adanican@ucpa.asso.fr</t>
  </si>
  <si>
    <t>https://drive.google.com/file/d/1a7v_HmH4qCuE3DiiDZIvg3ISEdGIxc6C/view?usp=drivesdk</t>
  </si>
  <si>
    <t>convocation SES-0001 Amy Danican</t>
  </si>
  <si>
    <t>https://drive.google.com/file/d/11cU6Ap6H3QR6QHiZ_eAw9MIsKRK5sMjw/view?usp=drivesdk</t>
  </si>
  <si>
    <t>convocation SES-0002 Amy Danican</t>
  </si>
  <si>
    <t>jmartino@ucpasl.com</t>
  </si>
  <si>
    <t>https://drive.google.com/file/d/1Uhimiz-QqpyLKmqKFVl5_jNoLY0XNW6n/view?usp=drivesdk</t>
  </si>
  <si>
    <t>convocation SES-0002 Julie Martino</t>
  </si>
  <si>
    <t>https://drive.google.com/file/d/1794WowGF1BNF06kn1gC-lFU51ri5_Kmm/view?usp=drivesdk</t>
  </si>
  <si>
    <t>convocation SES-0001 Julie Martino</t>
  </si>
  <si>
    <t>mval@ucpasl.com</t>
  </si>
  <si>
    <t>https://drive.google.com/file/d/1koVMtoOz-l7iZIKYz5e8_FWKuqu6HTmK/view?usp=drivesdk</t>
  </si>
  <si>
    <t>convocation SES-0001 Maxime Val</t>
  </si>
  <si>
    <t>cynthia.malou@gmail.com</t>
  </si>
  <si>
    <t>https://drive.google.com/file/d/1V1pwKKt-MsxZNEqZOHni1jdK_L1ZwrE3/view?usp=drivesdk</t>
  </si>
  <si>
    <t>convocation SES-0001 MALOU Cynthia</t>
  </si>
  <si>
    <t>https://drive.google.com/file/d/1FGRHh43YG1MC8nBUt39LvNekXH7eHv7Z/view?usp=drivesdk</t>
  </si>
  <si>
    <t>convocation SES-0002 MALOU Cynthia</t>
  </si>
  <si>
    <t>dsnaidero@ucpa.asso.fr</t>
  </si>
  <si>
    <t>https://drive.google.com/file/d/1q74UcaW5vSabQmtWkn5eza_jHUoWctcZ/view?usp=drivesdk</t>
  </si>
  <si>
    <t>convocation SES-0001 DELPHINE SNAIDERO</t>
  </si>
  <si>
    <t>scassin@ucpa.asso.fr</t>
  </si>
  <si>
    <t>https://drive.google.com/file/d/11BO9dNjJi9B2S9sSegxdDa0RF8tIJuMG/view?usp=drivesdk</t>
  </si>
  <si>
    <t>convocation SES-0001 SOPHIE CASSIN</t>
  </si>
  <si>
    <t>https://drive.google.com/file/d/1COlYWVj-BUsAUiBx46CLBybtXaAcJ_mn/view?usp=drivesdk</t>
  </si>
  <si>
    <t>convocation SES-0002 SOPHIE CASSIN</t>
  </si>
  <si>
    <t>foyj@live.fr</t>
  </si>
  <si>
    <t>https://drive.google.com/file/d/1zGJyTU7sbcmd_WcJrbJV_1CL1dYhqZ7z/view?usp=drivesdk</t>
  </si>
  <si>
    <t>convocation SES-0001 jose FOY</t>
  </si>
  <si>
    <t>https://drive.google.com/file/d/1ozwVRdg4IwdCjCZ8UQoX9u5eXmq4MjOw/view?usp=drivesdk</t>
  </si>
  <si>
    <t>convocation SES-0002 jose FOY</t>
  </si>
  <si>
    <t>ltouratier@ucpa.asso.fr</t>
  </si>
  <si>
    <t>https://drive.google.com/file/d/1JJ5vv_wGBt6ZyWXnCbd9HqusMYBUdWCl/view?usp=drivesdk</t>
  </si>
  <si>
    <t>convocation SES-0001 Laure TOURATIER</t>
  </si>
  <si>
    <t>afrigo@ucpa.asso.fr</t>
  </si>
  <si>
    <t>https://drive.google.com/file/d/12sifCymyZgFIXJDKDqnbd5Q7vcxz4PSl/view?usp=drivesdk</t>
  </si>
  <si>
    <t>convocation SES-0001 audrey frigo</t>
  </si>
  <si>
    <t>https://drive.google.com/file/d/1fj7RBaRfzBtvIZgmvFdnRktWcKI6WkEt/view?usp=drivesdk</t>
  </si>
  <si>
    <t>convocation SES-0002 audrey frigo</t>
  </si>
  <si>
    <t>cdelbart@ucpa.asso.fr</t>
  </si>
  <si>
    <t>https://drive.google.com/file/d/1P6Ugj_P7u6XM5GNKwnZCxC1CqMKFoTdW/view?usp=drivesdk</t>
  </si>
  <si>
    <t>convocation SES-0001 Cyrille Delbart</t>
  </si>
  <si>
    <t>https://drive.google.com/file/d/1sfCD9XoXJ2ZnnvrmuNpYBS2r4f89lNgE/view?usp=drivesdk</t>
  </si>
  <si>
    <t>convocation SES-0002 Maxime Val</t>
  </si>
  <si>
    <t>tdelcourt@ucpasl.com</t>
  </si>
  <si>
    <t>https://drive.google.com/file/d/1l2cJMylOUw8atXrvqrMebUt-YE7MAp3G/view?usp=drivesdk</t>
  </si>
  <si>
    <t>convocation SES-0001 DELCOURT Tom</t>
  </si>
  <si>
    <t>https://drive.google.com/file/d/1PcHyPZ6WYVmCzbfFXmUkl6nkGNy_qarS/view?usp=drivesdk</t>
  </si>
  <si>
    <t>convocation SES-0002 DELCOURT Tom</t>
  </si>
  <si>
    <t>nleturcq@ucpasl.com</t>
  </si>
  <si>
    <t>https://drive.google.com/file/d/1Rk_HoP779xH26JMjWHGIg0lT4uPTFLCS/view?usp=drivesdk</t>
  </si>
  <si>
    <t>convocation SES-0001 Nathalie  LETURCQ</t>
  </si>
  <si>
    <t>https://drive.google.com/file/d/1J1sL0fbwmY9-Uz7zN4VthagnmsKLvIa6/view?usp=drivesdk</t>
  </si>
  <si>
    <t xml:space="preserve">convocation SES-0002 Nathalie  Leturcq </t>
  </si>
  <si>
    <t>slebris@ucpa.asso.fr</t>
  </si>
  <si>
    <t>https://drive.google.com/file/d/1kbYjHAmgLUbkQ9pxr6aRlOpdX3gVRvVq/view?usp=drivesdk</t>
  </si>
  <si>
    <t>convocation SES-0001 sylvie le bris</t>
  </si>
  <si>
    <t>https://drive.google.com/file/d/1fn5wBLIUzur1n9Ga60uNNHzUQd-00FwJ/view?usp=drivesdk</t>
  </si>
  <si>
    <t>convocation SES-0002 sylvie le bris</t>
  </si>
  <si>
    <t>pbouisson@ucpa.asso.fr</t>
  </si>
  <si>
    <t>https://drive.google.com/file/d/19g86C-a_tX3SPboLnyYpQ4AKZ3CYOSBd/view?usp=drivesdk</t>
  </si>
  <si>
    <t>convocation SES-0002 Pierre Bouisson</t>
  </si>
  <si>
    <t>isantos@ucpa.asso.fr</t>
  </si>
  <si>
    <t>https://drive.google.com/file/d/1zTcRLAoiCi32Cy7Cy70nIrDkZGAqBSf7/view?usp=drivesdk</t>
  </si>
  <si>
    <t>convocation SES-0001 Isabelle SANTOS</t>
  </si>
  <si>
    <t>https://drive.google.com/file/d/1EmfCKpJrMPm0qxAKJ3ev8p2yUvYvKxBA/view?usp=drivesdk</t>
  </si>
  <si>
    <t>convocation SES-0002 Isabelle SANTOS</t>
  </si>
  <si>
    <t>aliflammimb@gmail.com</t>
  </si>
  <si>
    <t>https://drive.google.com/file/d/1ObYQsydH_YKf-XJNNTrMBNuYvMss_3MC/view?usp=drivesdk</t>
  </si>
  <si>
    <t>convocation SES-0001 Allan BONNEAUX</t>
  </si>
  <si>
    <t>emornet@ucpasl.com</t>
  </si>
  <si>
    <t>https://drive.google.com/file/d/1viZhDu_YWgaj97NqRgWk2__R9BCpSDvR/view?usp=drivesdk</t>
  </si>
  <si>
    <t>convocation SES-0001 Emmanuel MORNET</t>
  </si>
  <si>
    <t>lverrier@ucpa.asso.fr</t>
  </si>
  <si>
    <t>https://drive.google.com/file/d/1I_cIPHxzSV2KFgquGErqv6aLrsl8c8hY/view?usp=drivesdk</t>
  </si>
  <si>
    <t>convocation SES-0001 Luc VERRIER</t>
  </si>
  <si>
    <t>https://drive.google.com/file/d/1hU0gPaRvyUhJOGYdpL7Amq8lt1DAfPJP/view?usp=drivesdk</t>
  </si>
  <si>
    <t>convocation SES-0002 Luc VERRIER</t>
  </si>
  <si>
    <t>imaitrejean@ucpa.asso.fr</t>
  </si>
  <si>
    <t>https://drive.google.com/file/d/179Jh5AGU-7FFmTMTJ2QtSd3O-3DueQL6/view?usp=drivesdk</t>
  </si>
  <si>
    <t xml:space="preserve">convocation SES-0001 Isabelle  Maitrejean </t>
  </si>
  <si>
    <t>https://drive.google.com/file/d/1brmd3rzMxmex_YuEwGBXeUvEEN8OTW3z/view?usp=drivesdk</t>
  </si>
  <si>
    <t xml:space="preserve">convocation SES-0002 Isabelle  Maitrejean </t>
  </si>
  <si>
    <t>mfloury1@ucpasl.com</t>
  </si>
  <si>
    <t>https://drive.google.com/file/d/1jSU3WTNOtkEMunRrRgSuuPojl74D103j/view?usp=drivesdk</t>
  </si>
  <si>
    <t>convocation SES-0001 Marie FLOURY</t>
  </si>
  <si>
    <t>https://drive.google.com/file/d/1FQcOrx0L2jG_9wOJfypgbZezmt_BleEy/view?usp=drivesdk</t>
  </si>
  <si>
    <t>convocation SES-0002 Marie FLOURY</t>
  </si>
  <si>
    <t>jlenaour@vaires-torcy.iledeloisirs.fr</t>
  </si>
  <si>
    <t>https://drive.google.com/file/d/16sxrumbY6mXmvPz2DOwcX1mFvC4Yns7u/view?usp=drivesdk</t>
  </si>
  <si>
    <t>convocation SES-0002 Julien LE NAOUR</t>
  </si>
  <si>
    <t>eboudy@ucpa.asso.fr</t>
  </si>
  <si>
    <t>https://drive.google.com/file/d/1ndoK-Q6McLyRzDpU0QMn98-rLHOztXJd/view?usp=drivesdk</t>
  </si>
  <si>
    <t>antoine.martin@amcms.net_SES-0001</t>
  </si>
  <si>
    <t>convocation SES-0002 ELIANE BOUDY</t>
  </si>
  <si>
    <t>cdelassus@ucpa.asso.fr</t>
  </si>
  <si>
    <t>https://drive.google.com/file/d/1Un7Pa3AOnFdWOulbj9iEoSf1ZvVwIaHS/view?usp=drivesdk</t>
  </si>
  <si>
    <t>convocation SES-0001 delassus constance</t>
  </si>
  <si>
    <t>antoine.martin@amcms.net_SES-0002</t>
  </si>
  <si>
    <t>https://drive.google.com/file/d/1cRjGBO9xAXNONFHRHSs264UhApdqf9ND/view?usp=drivesdk</t>
  </si>
  <si>
    <t>convocation SES-0002 constance delassus</t>
  </si>
  <si>
    <t>pgaultier@ucpa.asso.fr</t>
  </si>
  <si>
    <t>https://drive.google.com/file/d/1gmI-zZLmGTQWr0UjI80Z84P9mKvWas5h/view?usp=drivesdk</t>
  </si>
  <si>
    <t>antoine.martin@amcms.net_SES-0003</t>
  </si>
  <si>
    <t>convocation SES-0001 Patrice GAULTIER</t>
  </si>
  <si>
    <t>https://drive.google.com/file/d/12VWpt2T9D8QbirT8_Ko4KeKbRLGFHlSm/view?usp=drivesdk</t>
  </si>
  <si>
    <t>Antoine.martin@amcms.net_SES-0001</t>
  </si>
  <si>
    <t>convocation SES-0002 Patrice GAULTIER</t>
  </si>
  <si>
    <t>papegeot@ucpa.asso.fr</t>
  </si>
  <si>
    <t>https://drive.google.com/file/d/11duMR8Y-8Wep_klG1alGaYQSHTwEXRDz/view?usp=drivesdk</t>
  </si>
  <si>
    <t>thierry@numericoach.fr_SES-0001</t>
  </si>
  <si>
    <t>convocation SES-0001 pierre-alain pegeot</t>
  </si>
  <si>
    <t>https://drive.google.com/file/d/1ZYXB8ov0asz0QUNQQp9CaSQE0xfDXUVi/view?usp=drivesdk</t>
  </si>
  <si>
    <t>convocation SES-0002 pierre-alain pegeot</t>
  </si>
  <si>
    <t>spinto@ucpa.asso.fr</t>
  </si>
  <si>
    <t>https://drive.google.com/file/d/1q8tdEoXv5rhhLCmTDmVCGnWX3EmRo9EH/view?usp=drivesdk</t>
  </si>
  <si>
    <t>convocation SES-0002 Sonia PINTO</t>
  </si>
  <si>
    <t>https://drive.google.com/file/d/1g2mRiEsHCEjjaBbFVga82ucRNGgPWpzV/view?usp=drivesdk</t>
  </si>
  <si>
    <t>antoine.martin@amcms.ner_SES-0003</t>
  </si>
  <si>
    <t>convocation SES-0001 Sonia PINTO</t>
  </si>
  <si>
    <t>jpgiraud@ucpasl.com</t>
  </si>
  <si>
    <t>https://drive.google.com/file/d/1Of5chJ8axEkvVBP4gPgwZkCImRDiFGrh/view?usp=drivesdk</t>
  </si>
  <si>
    <t>convocation SES-0001 jean-philippe giraud</t>
  </si>
  <si>
    <t>https://drive.google.com/file/d/1t8niSY4XE_MI9KuN84vlT_-APdTBUBCO/view?usp=drivesdk</t>
  </si>
  <si>
    <t>thierry@numericoach.fr_SES-0002</t>
  </si>
  <si>
    <t>convocation SES-0002 jean-philippe giraud</t>
  </si>
  <si>
    <t>ochaigneau@ucpa.asso.fr</t>
  </si>
  <si>
    <t>https://drive.google.com/file/d/1c-z9NkxULLElSdrFqLMaGGqvyzQmDf41/view?usp=drivesdk</t>
  </si>
  <si>
    <t>trst@tsst.com_SES-0003</t>
  </si>
  <si>
    <t>convocation SES-0001 olivier Chaigneau</t>
  </si>
  <si>
    <t>https://drive.google.com/file/d/1cLtyBrVO_NZMIIdN-DjFqk2MPH2eDjJQ/view?usp=drivesdk</t>
  </si>
  <si>
    <t>thierry@numericoach.fr_SES-0003</t>
  </si>
  <si>
    <t>convocation SES-0002 olivier Chaigneau</t>
  </si>
  <si>
    <t>ivanneph@ucpa.asso.fr</t>
  </si>
  <si>
    <t>https://drive.google.com/file/d/1eGd2BdZaQ6ltzpvtvjceCPxDU6vtDIvC/view?usp=drivesdk</t>
  </si>
  <si>
    <t>sbouteille@ucpa.asso.fr_SES-0001</t>
  </si>
  <si>
    <t>convocation SES-0001 Isabelle VANNEPH</t>
  </si>
  <si>
    <t>vanneph.alain@gmail.com</t>
  </si>
  <si>
    <t>https://drive.google.com/file/d/1kKK_D_WJB57LhYEMSnTTWwMGUqiFBUad/view?usp=drivesdk</t>
  </si>
  <si>
    <t>pbreton@ucpa.asso.fr_SES-0001</t>
  </si>
  <si>
    <t>convocation SES-0001 Alain VANNEPH</t>
  </si>
  <si>
    <t>https://drive.google.com/file/d/1gy5gEKrTn3Ch9U2-YneVwBqNcGGOCQDV/view?usp=drivesdk</t>
  </si>
  <si>
    <t>ckolodka@ucpa.asso.fr_SES-0001</t>
  </si>
  <si>
    <t>convocation SES-0002 Alain VANNEPH</t>
  </si>
  <si>
    <t>i.vanneph@ucpa.asso.fr</t>
  </si>
  <si>
    <t>https://drive.google.com/file/d/1y40v7mAubwpNOrTTB_wXfOCrTREzwbQ5/view?usp=drivesdk</t>
  </si>
  <si>
    <t>pbreton@ucpa.asso.fr_SES-0002</t>
  </si>
  <si>
    <t>convocation SES-0002 Isabelle VANNEPH</t>
  </si>
  <si>
    <t>mattias.nilsson@labalaguere.com</t>
  </si>
  <si>
    <t>https://drive.google.com/file/d/1SY5BojdRov2HRVH9vLxnZmFfhwSNhkoj/view?usp=drivesdk</t>
  </si>
  <si>
    <t>emonard@ucpa.asso.fr_SES-0001</t>
  </si>
  <si>
    <t>convocation SES-0002 Mattias Nilsson</t>
  </si>
  <si>
    <t>https://drive.google.com/file/d/1odeVu2MGo5_z8U7SDi4csYPl1wVihRKS/view?usp=drivesdk</t>
  </si>
  <si>
    <t>pdeplaix@ucpa.asso.fr_SES-0001</t>
  </si>
  <si>
    <t>convocation SES-0001 Mattias Nilsson</t>
  </si>
  <si>
    <t>mboudon@ucpa.asso.fr</t>
  </si>
  <si>
    <t>https://drive.google.com/file/d/1q7hE2uvLNPj5usppxeSdzAfODTMjTfal/view?usp=drivesdk</t>
  </si>
  <si>
    <t>tbrouard@ucpa.asso.fr_SES-0001</t>
  </si>
  <si>
    <t>convocation SES-0001 BOUDON Mariannick</t>
  </si>
  <si>
    <t>https://drive.google.com/file/d/1yII6dqhkkZVN57rdgPaICaOhgZBUmgP-/view?usp=drivesdk</t>
  </si>
  <si>
    <t>ckolodka@ucpa.asso.fr_SES-0002</t>
  </si>
  <si>
    <t>lmosnier@ucpa.asso.fr_SES-0001</t>
  </si>
  <si>
    <t>convocation SES-0002 BOUDON Mariannick</t>
  </si>
  <si>
    <t>mmoreau@ucpa.asso.fr</t>
  </si>
  <si>
    <t>https://drive.google.com/file/d/1IOfxcLi01i2k3beKLl4ayKp97_BB6kI7/view?usp=drivesdk</t>
  </si>
  <si>
    <t>convocation SES-0001 Marine MOREAU</t>
  </si>
  <si>
    <t>cdian@ucpalanete.com</t>
  </si>
  <si>
    <t>https://drive.google.com/file/d/1-q0RHsbMG7rpK8D7BFQJErDx3noSOX06/view?usp=drivesdk</t>
  </si>
  <si>
    <t>convocation SES-0001 Christen DIAN</t>
  </si>
  <si>
    <t>cdian@ucpaplanete.com</t>
  </si>
  <si>
    <t>https://drive.google.com/file/d/1nGxK-S-aCJUkVXVORqMT2qvB2hT2eZib/view?usp=drivesdk</t>
  </si>
  <si>
    <t>convocation SES-0002 Christen DIAN</t>
  </si>
  <si>
    <t>ylesueur@ucpa.asso.fr</t>
  </si>
  <si>
    <t>https://drive.google.com/file/d/15tVfz3uwP5dYr7wbrwroWsGJDHmRLMFy/view?usp=drivesdk</t>
  </si>
  <si>
    <t>convocation SES-0001 yasmine LESUEUR</t>
  </si>
  <si>
    <t>https://drive.google.com/file/d/1zAUVthYe_LhOLSpJ0NONpQFx16_jL-Gc/view?usp=drivesdk</t>
  </si>
  <si>
    <t>convocation SES-0002 yasmine LESUEUR</t>
  </si>
  <si>
    <t>ccrochet@ucpasl.com</t>
  </si>
  <si>
    <t>https://drive.google.com/file/d/1v4LCNQMzsgmx_cSvu16eIpX1tmTgQ7aj/view?usp=drivesdk</t>
  </si>
  <si>
    <t>convocation SES-0001 catherine CROCHET</t>
  </si>
  <si>
    <t>https://drive.google.com/file/d/1dJuo2BYsXj6IY4t0ty24VZ5AjgNAWS08/view?usp=drivesdk</t>
  </si>
  <si>
    <t>convocation SES-0002 catherine CROCHET</t>
  </si>
  <si>
    <t>catherine.georges@telligo.fr</t>
  </si>
  <si>
    <t>https://drive.google.com/file/d/1ZDiQHeUJFeMGqhoQehWdNbhBaBGkhChT/view?usp=drivesdk</t>
  </si>
  <si>
    <t>convocation SES-0001 Catherine GEORGES</t>
  </si>
  <si>
    <t>lmosnier@ucpa.asso.fr_SES-0002</t>
  </si>
  <si>
    <t>https://drive.google.com/file/d/1cFiY2tSp0ko68uCfniXtr5pLbpFoujib/view?usp=drivesdk</t>
  </si>
  <si>
    <t>convocation SES-0002 Catherine GEORGES</t>
  </si>
  <si>
    <t>frederic.thuillier@telligo.fr</t>
  </si>
  <si>
    <t>https://drive.google.com/file/d/1cI18wVY9owMGU7Ej3hgTFwkKzGGkgDtM/view?usp=drivesdk</t>
  </si>
  <si>
    <t>pdeplaix@ucpa.asso.fr_SES-0002</t>
  </si>
  <si>
    <t>convocation SES-0001 Frédéric THUILLIER</t>
  </si>
  <si>
    <t>mathieu.desponts@telligo.fr</t>
  </si>
  <si>
    <t>https://drive.google.com/file/d/1BbewgHxaTP8SOv2vJ_dws6dQjlUwFN4L/view?usp=drivesdk</t>
  </si>
  <si>
    <t>convocation SES-0001 Mathieu DESPONTS</t>
  </si>
  <si>
    <t>apouffier@ucpasl.com_SES-0001</t>
  </si>
  <si>
    <t>https://drive.google.com/file/d/1RqFDK0pd9FzT0v4DYmRrCCvr-c2dev86/view?usp=drivesdk</t>
  </si>
  <si>
    <t>convocation SES-0002 Frédéric THUILLIER</t>
  </si>
  <si>
    <t>apouffier@ucpasl.com_SES-0002</t>
  </si>
  <si>
    <t>https://drive.google.com/file/d/1XvBMXDg1NZTTdXqVJGkfMdxaG8eVvJGs/view?usp=drivesdk</t>
  </si>
  <si>
    <t>convocation SES-0002 Mathieu DESPONTS</t>
  </si>
  <si>
    <t>nboumahammed@ucpa.asso.fr_SES-0002</t>
  </si>
  <si>
    <t>cindy.vermeersch@tootazimut.fr</t>
  </si>
  <si>
    <t>https://drive.google.com/file/d/1s7yATKxgWn8NjCTvOkfDcqgfDTRv1cFS/view?usp=drivesdk</t>
  </si>
  <si>
    <t>convocation SES-0001 CINDY VERMEERSCH</t>
  </si>
  <si>
    <t>ophelie.francart@telligo.fr</t>
  </si>
  <si>
    <t>https://drive.google.com/file/d/1KFFYJXGB7qmVAl5F9jZnSyyHPOZUJ8jz/view?usp=drivesdk</t>
  </si>
  <si>
    <t>convocation SES-0001 Ophélie FRANCART</t>
  </si>
  <si>
    <t>https://drive.google.com/file/d/1NhC0ciAO2MuB3R5Om2XwGwNEMxw8FUv9/view?usp=drivesdk</t>
  </si>
  <si>
    <t>convocation SES-0002 CINDY VERMEERSCH</t>
  </si>
  <si>
    <t>https://drive.google.com/file/d/1GWYNy75LlFySCoJX4vnVRYVNdNsbt1xG/view?usp=drivesdk</t>
  </si>
  <si>
    <t>jgranger@ucpa.asso.fr_SES-0001</t>
  </si>
  <si>
    <t>convocation SES-0002 Ophélie FRANCART</t>
  </si>
  <si>
    <t>amelie.guindon@telligo.fr</t>
  </si>
  <si>
    <t>https://drive.google.com/file/d/1IaQYZ2xPixQ-WIIZBdPsGdFozV1SzpUp/view?usp=drivesdk</t>
  </si>
  <si>
    <t>convocation SES-0001 Amélie Guindon</t>
  </si>
  <si>
    <t>https://drive.google.com/file/d/1GOnH8eYXFOd76me4BoQK89zqQ1e4EYJO/view?usp=drivesdk</t>
  </si>
  <si>
    <t>lmaury@ucpa.asso.fr_SES-0001</t>
  </si>
  <si>
    <t>lmaury@ucpa.asso.fr_SES-0002</t>
  </si>
  <si>
    <t>pvareille@ucpa.asso.fr_SES-0001</t>
  </si>
  <si>
    <t>convocation SES-0002 Amélie Guindon</t>
  </si>
  <si>
    <t>lroussellot@vaires-torcy.iledeloisirs.fr</t>
  </si>
  <si>
    <t>pvareille@ucpa.asso.fr_SES-0002</t>
  </si>
  <si>
    <t>https://drive.google.com/file/d/12a_5U8Pqq9OaH1uxPChfKpTa8IroOV2E/view?usp=drivesdk</t>
  </si>
  <si>
    <t>convocation SES-0001 Lydie Roussellot</t>
  </si>
  <si>
    <t>aiftene@ucpa.asso.fr_SES-0001</t>
  </si>
  <si>
    <t>https://drive.google.com/file/d/1JleWbMEljJDYmYyQIU4q80-KQkhmNt9V/view?usp=drivesdk</t>
  </si>
  <si>
    <t>aiftene@ucpa.asso.fr_SES-0002</t>
  </si>
  <si>
    <t>smoyou@ucpasl.com_SES-0001</t>
  </si>
  <si>
    <t>smoyou@ucpasl.com_SES-0002</t>
  </si>
  <si>
    <t>sboumrar@vaires-torcy.iledeloisirs.fr_SES-0002</t>
  </si>
  <si>
    <t>vcroue@ucpa.asso.fr_SES-0002</t>
  </si>
  <si>
    <t>convocation SES-0002 Lydie Roussellot</t>
  </si>
  <si>
    <t>lguitton@ucpasl.com</t>
  </si>
  <si>
    <t>https://drive.google.com/file/d/1O2Z8bBgWXPw5EwcN2rxqeXF-OPeA2Ulk/view?usp=drivesdk</t>
  </si>
  <si>
    <t>convocation SES-0001 Lise GUITTON</t>
  </si>
  <si>
    <t>sveilex@ucpa.asso.fr</t>
  </si>
  <si>
    <t>https://drive.google.com/file/d/1pGozD1uSbTiSPD_nsznBxKGtY4nieSUl/view?usp=drivesdk</t>
  </si>
  <si>
    <t>convocation SES-0001 SONIA VEILEX</t>
  </si>
  <si>
    <t>https://drive.google.com/file/d/12j1B8pl2THKiwHVLh8loLJdWr-d-4M60/view?usp=drivesdk</t>
  </si>
  <si>
    <t>benoit_massin@hotmail.com_SES-0001</t>
  </si>
  <si>
    <t>benoit_massin@hotmail.com_SES-0002</t>
  </si>
  <si>
    <t>vincentcazalaa@labalaguere.com_SES-0001</t>
  </si>
  <si>
    <t>vincentcazalaa@labalaguere.com_SES-0002</t>
  </si>
  <si>
    <t>mlecocq@ucpa.asso.fr_SES-0002</t>
  </si>
  <si>
    <t>convocation SES-0002 sonia veilex</t>
  </si>
  <si>
    <t>https://drive.google.com/file/d/1ngbxEVYfLYk_wwFJUcRiRpN-4GFOZSYR/view?usp=drivesdk</t>
  </si>
  <si>
    <t>hreinaudchapuis@ucpa.asso.fr_SES-0001</t>
  </si>
  <si>
    <t>convocation SES-0002 Lise GUITTON</t>
  </si>
  <si>
    <t>hreinaudchapuis@ucpa.asso.fr_SES-0002</t>
  </si>
  <si>
    <t>gilles.besnier@labalaguere.com</t>
  </si>
  <si>
    <t>https://drive.google.com/file/d/1BXCFBncwCW3d6h2OcPVsxSndYjGTsJeP/view?usp=drivesdk</t>
  </si>
  <si>
    <t>lboujjaadia@ucpa.asso.fr_SES-0001</t>
  </si>
  <si>
    <t>fdadoy@ucpa.asso.fr_SES-0002</t>
  </si>
  <si>
    <t>lboujjaadia@ucpa.asso.fr_SES-0002</t>
  </si>
  <si>
    <t>convocation SES-0001 Gilles Besnier</t>
  </si>
  <si>
    <t>https://drive.google.com/file/d/1-q9J23qdC4EOAr5-ySEe0TEoiG1z0wtg/view?usp=drivesdk</t>
  </si>
  <si>
    <t>cklipfel@ucpa.asso.fr_SES-0001</t>
  </si>
  <si>
    <t>convocation SES-0002 Gilles Besnier</t>
  </si>
  <si>
    <t>cklipfel@ucpa.asso.fr_SES-0002</t>
  </si>
  <si>
    <t>ygarsavanoff@ucpa.asso.fr</t>
  </si>
  <si>
    <t>https://drive.google.com/file/d/1i5x-M9Tzy3rqGivtyIufmAv7dClfKIHN/view?usp=drivesdk</t>
  </si>
  <si>
    <t>convocation SES-0002 YVAN GARSAVANOFF</t>
  </si>
  <si>
    <t>npalisse@ucpa.asso.fr_SES-0002</t>
  </si>
  <si>
    <t>https://drive.google.com/file/d/10kneF8HuKWEdqY5lxXXA9-gZKXPu24lF/view?usp=drivesdk</t>
  </si>
  <si>
    <t>convocation SES-0001 YVAN GARSAVANOFF</t>
  </si>
  <si>
    <t>courneuve.act@ucpa.asso.fr_SES-0002</t>
  </si>
  <si>
    <t>nbriat@ucpasl.com</t>
  </si>
  <si>
    <t>https://drive.google.com/file/d/1LNzn1gj9EhXFiGGtw3hrR_K1_-M1QGdl/view?usp=drivesdk</t>
  </si>
  <si>
    <t>convocation SES-0001 Nicolas Briat</t>
  </si>
  <si>
    <t>https://drive.google.com/file/d/1uIwwoVoYVtpB1yU72kAxmNPgDMwjaPAp/view?usp=drivesdk</t>
  </si>
  <si>
    <t>npalisse@ucpa.asso.fr_SES-0001</t>
  </si>
  <si>
    <t>convocation SES-0002 Nicolas Briat</t>
  </si>
  <si>
    <t>asupiot@ucpa.asso.fr_SES-0001</t>
  </si>
  <si>
    <t>jpartouche@ucpasl.com</t>
  </si>
  <si>
    <t>https://drive.google.com/file/d/1O6rakdBQ4yOaQQVEd4Cgct01ps-81CoT/view?usp=drivesdk</t>
  </si>
  <si>
    <t>asupiot@ucpa.asso.fr_SES-0002</t>
  </si>
  <si>
    <t>convocation SES-0001 Jeremy Partouche</t>
  </si>
  <si>
    <t>cpouliquen@ucpaplanete.com_SES-0001</t>
  </si>
  <si>
    <t>https://drive.google.com/file/d/1TXLfMCKwd_G_eJvm4pTP0gQiMVQFy72a/view?usp=drivesdk</t>
  </si>
  <si>
    <t>convocation SES-0002 Jeremy Partouche</t>
  </si>
  <si>
    <t>cromil@ucpa.com</t>
  </si>
  <si>
    <t>https://drive.google.com/file/d/1zHz7fnQiowBhUmq5mxBbGO17Veo4sZG7/view?usp=drivesdk</t>
  </si>
  <si>
    <t>cpouliquen@ucpaplanete.com_SES-0002</t>
  </si>
  <si>
    <t>convocation SES-0001 Christian Romil</t>
  </si>
  <si>
    <t>https://drive.google.com/file/d/166Xse8oZdjIx9uYa7X65iWMXkJJVx5xr/view?usp=drivesdk</t>
  </si>
  <si>
    <t>convocation SES-0002 Christian Romil</t>
  </si>
  <si>
    <t>csebany@ucpa.asso.fr_SES-0001</t>
  </si>
  <si>
    <t>alhericel@ucpasl.com</t>
  </si>
  <si>
    <t>https://drive.google.com/file/d/1vW-hg0RrA4FefgjadwUVixKiSquyFDUd/view?usp=drivesdk</t>
  </si>
  <si>
    <t>convocation SES-0001 Amadine lhericel</t>
  </si>
  <si>
    <t>https://drive.google.com/file/d/1dZyXpzTwqF3loj51E-l2kFcVcSAXpEya/view?usp=drivesdk</t>
  </si>
  <si>
    <t>convocation SES-0002 Amandine lhericel</t>
  </si>
  <si>
    <t>csebany@ucpa.asso.fr_SES-0002</t>
  </si>
  <si>
    <t>mmoulier@ucpasl.com</t>
  </si>
  <si>
    <t>https://drive.google.com/file/d/1e05HCstTN68SY_q_CKyFR1lJRIIg-Ndu/view?usp=drivesdk</t>
  </si>
  <si>
    <t>convocation SES-0001 Maryline Moulier</t>
  </si>
  <si>
    <t>https://drive.google.com/file/d/14sJhyasUmJ1cgHJKD2RM_b98LRX092vJ/view?usp=drivesdk</t>
  </si>
  <si>
    <t>ctaverne@ucpa.asso.fr_SES-0001</t>
  </si>
  <si>
    <t>convocation SES-0002 Maryline Moulier</t>
  </si>
  <si>
    <t>lneger@ucpa.asso.fr</t>
  </si>
  <si>
    <t>rnisus@ucpasl.com_SES-0001</t>
  </si>
  <si>
    <t>https://drive.google.com/file/d/17BePlK-V8l67Z5ZzoyAZpt4BqRh9uzHu/view?usp=drivesdk</t>
  </si>
  <si>
    <t>rnisus@ucpasl.com_SES-0002</t>
  </si>
  <si>
    <t>elisa.duret74@outlook.fr_SES-0001</t>
  </si>
  <si>
    <t>elisa.duret74@outlook.fr_SES-0002</t>
  </si>
  <si>
    <t>yohan.brun@telligo.fr_SES-0001</t>
  </si>
  <si>
    <t>yohan.brun@telligo.fr_SES-0002</t>
  </si>
  <si>
    <t>llaval@ucpa.asso.fr_SES-0002</t>
  </si>
  <si>
    <t>maid@ucpaplanete.com_SES-0002</t>
  </si>
  <si>
    <t>ptassy@ucpa.asso.fr_SES-0001</t>
  </si>
  <si>
    <t>ptassy@ucpa.asso.fr_SES-0002</t>
  </si>
  <si>
    <t>pbesancon@ucpasl.com_SES-0001</t>
  </si>
  <si>
    <t>pbesancon@ucpasl.com_SES-0002</t>
  </si>
  <si>
    <t>aderivet@ucpa.asso.fr_SES-0002</t>
  </si>
  <si>
    <t>tschwartz@ucpasl.com_SES-0001</t>
  </si>
  <si>
    <t>tschwartz@ucpasl.com_SES-0002</t>
  </si>
  <si>
    <t>sbourrier@ucpa.asso.fr_SES-0001</t>
  </si>
  <si>
    <t>convocation SES-0001 LAURENCE NEGER</t>
  </si>
  <si>
    <t>nkhoulalene@ucpa.asso.fr</t>
  </si>
  <si>
    <t>https://drive.google.com/file/d/19ih4Xh5dhv5veq_MbUlmaL1B-lLzvXjY/view?usp=drivesdk</t>
  </si>
  <si>
    <t>acottem@gmail.com_SES-0001</t>
  </si>
  <si>
    <t>convocation SES-0002 NADIA KHOULALENE</t>
  </si>
  <si>
    <t>acottem@ucpa.asso.fr_SES-0002</t>
  </si>
  <si>
    <t>spornin@ucpa.asso.fr</t>
  </si>
  <si>
    <t>https://drive.google.com/file/d/1PIqnH9aQUfynUY2IqIsgSTr9O_aaku79/view?usp=drivesdk</t>
  </si>
  <si>
    <t>acottem@ucpa.asso.fr_SES-0001</t>
  </si>
  <si>
    <t>convocation SES-0001 SOPHIE LEBRETON</t>
  </si>
  <si>
    <t>jbuhr@ucpa.asso.fr</t>
  </si>
  <si>
    <t>https://drive.google.com/file/d/1PPRwGsrAi0h6CHafMD3zbTXh-fYBhydJ/view?usp=drivesdk</t>
  </si>
  <si>
    <t>frouhier@bois-le-roi.iledeloisirs.fr_SES-0001</t>
  </si>
  <si>
    <t>convocation SES-0001 JACQUES BUHR</t>
  </si>
  <si>
    <t>https://drive.google.com/file/d/1Xo22GRw--eEityhuPRNtux-KzxBB_jz0/view?usp=drivesdk</t>
  </si>
  <si>
    <t>frouhier@bois-le-roi.iledeloisirs.fr_SES-0002</t>
  </si>
  <si>
    <t>convocation SES-0002 JACQUES BUHR</t>
  </si>
  <si>
    <t>fxmeuge@ucpa.asso.fr</t>
  </si>
  <si>
    <t>https://drive.google.com/file/d/1HNWRD2MUYO6wL3ppWBqiagd_8jii-BAJ/view?usp=drivesdk</t>
  </si>
  <si>
    <t>stephaniebrasier@labalaguere.com_SES-0002</t>
  </si>
  <si>
    <t>convocation SES-0001 François-Xavier Meugé</t>
  </si>
  <si>
    <t>https://drive.google.com/file/d/1oOMys4DVIrPIFunfiCGhJNcKuSQrWGIY/view?usp=drivesdk</t>
  </si>
  <si>
    <t>convocation SES-0002 François-Xavier Meugé</t>
  </si>
  <si>
    <t>fgehant@ucpa.asso.fr</t>
  </si>
  <si>
    <t>mvaujany@ucpa.asso.fr_SES-0001</t>
  </si>
  <si>
    <t>https://drive.google.com/file/d/1w9UYrWbGm5eGvSyxvLpd1pS2h8n75IQv/view?usp=drivesdk</t>
  </si>
  <si>
    <t>convocation SES-0001 Fabien GEHANT</t>
  </si>
  <si>
    <t>mvaujany@ucpa.asso.fr_SES-0002</t>
  </si>
  <si>
    <t>https://drive.google.com/file/d/1oNWvzMwVeG3O155Hrb6ykGf5thkZtIRk/view?usp=drivesdk</t>
  </si>
  <si>
    <t>convocation SES-0002 Fabien GEHANT</t>
  </si>
  <si>
    <t>arosse@ucpa.asso.fr</t>
  </si>
  <si>
    <t>gebonnard@ucpa.asso.fr_SES-0001</t>
  </si>
  <si>
    <t>https://drive.google.com/file/d/1lyXJ_k7nEwF63tw4cD8wmNKaiWkpdu2m/view?usp=drivesdk</t>
  </si>
  <si>
    <t xml:space="preserve">convocation SES-0001 Amandine Rosse </t>
  </si>
  <si>
    <t>gebonnard@ucpa.asso.fr_SES-0002</t>
  </si>
  <si>
    <t>https://drive.google.com/file/d/1wfhd8qgNey3YGlujTvH7hBJR1UiZ5dQJ/view?usp=drivesdk</t>
  </si>
  <si>
    <t>convocation SES-0002 Amandine Rosse</t>
  </si>
  <si>
    <t>advena2@hotmail.com</t>
  </si>
  <si>
    <t>https://drive.google.com/file/d/1Bypus2jyd4CXtGe1eEnSCgGaUOIoF-Gl/view?usp=drivesdk</t>
  </si>
  <si>
    <t>jthomas@ucpa.asso.fr_SES-0001</t>
  </si>
  <si>
    <t>convocation SES-0001 Bénédicte Birem</t>
  </si>
  <si>
    <t>https://drive.google.com/file/d/19dKCKxqaXfDUlcuKfEJxXvMzpq7MYCq7/view?usp=drivesdk</t>
  </si>
  <si>
    <t>jthomas@ucpa.asso.fr_SES-0002</t>
  </si>
  <si>
    <t>convocation SES-0002 Bénédicte Birem</t>
  </si>
  <si>
    <t>jeanmichel.petre@sfr.fr</t>
  </si>
  <si>
    <t>https://drive.google.com/file/d/1JO-LOgcmrMqENn-ZXb2Ug3KSWryP8iWn/view?usp=drivesdk</t>
  </si>
  <si>
    <t>mdelnatte@ucpa.asso.fr_SES-0001</t>
  </si>
  <si>
    <t>convocation SES-0001 Jean-Michel PÉTRÉ</t>
  </si>
  <si>
    <t>https://drive.google.com/file/d/1kSOs6NsVTxaTGptCFnplcyjAaVGRvzyP/view?usp=drivesdk</t>
  </si>
  <si>
    <t>yfunke@ucpasl.com_SES-0001</t>
  </si>
  <si>
    <t>convocation SES-0002 Jean-Michel PÉTRÉ</t>
  </si>
  <si>
    <t>stefanie.zanaret@gmail.com</t>
  </si>
  <si>
    <t>https://drive.google.com/file/d/1FgZX1pj7qiWQFnMLJPUGtUZab7Yc-q_z/view?usp=drivesdk</t>
  </si>
  <si>
    <t>benedicte.barre@tootazimut.fr_SES-0001</t>
  </si>
  <si>
    <t>convocation SES-0001 Stefanie Zanaret</t>
  </si>
  <si>
    <t>marcbonaventure.service@gmail.com</t>
  </si>
  <si>
    <t>https://drive.google.com/file/d/1tJcIdSKq_cDjXHoXXP9b3KyvA2InXHVf/view?usp=drivesdk</t>
  </si>
  <si>
    <t>benedicte.barre@tootazimut.fr_SES-0002</t>
  </si>
  <si>
    <t>convocation SES-0001 MARC BONAVENTURE</t>
  </si>
  <si>
    <t>https://drive.google.com/file/d/1fLRUHfngCjdU_tajvmqRbS1pRCn-vETV/view?usp=drivesdk</t>
  </si>
  <si>
    <t>yfunke@ucpasl.com_SES-0002</t>
  </si>
  <si>
    <t>convocation SES-0002 MARC BONAVENTURE</t>
  </si>
  <si>
    <t>drubiola@ucpa.asso.fr</t>
  </si>
  <si>
    <t>https://drive.google.com/file/d/1fqLhzJdVoOMSO-y9Az2ijK1cQgJjTZGg/view?usp=drivesdk</t>
  </si>
  <si>
    <t>kmillion@ucpa.asso.fr_SES-0002</t>
  </si>
  <si>
    <t>convocation SES-0001 didier rubiola</t>
  </si>
  <si>
    <t>https://drive.google.com/file/d/1XXoYTHpcuWh2IgUAVqO2E4UJ14r85BME/view?usp=drivesdk</t>
  </si>
  <si>
    <t>cpham@ucpa.asso.fr_SES-0001</t>
  </si>
  <si>
    <t>convocation SES-0002 didier rubiola</t>
  </si>
  <si>
    <t>opiera@ucpa.asso.fr</t>
  </si>
  <si>
    <t>https://drive.google.com/file/d/1Lq4VgAlCaMXTZJPiZDeg2RyMp-gI6e1_/view?usp=drivesdk</t>
  </si>
  <si>
    <t>ecusey@ucpasl.com_SES-0001</t>
  </si>
  <si>
    <t>convocation SES-0002 OLIVIER PIERA</t>
  </si>
  <si>
    <t>apauletcatrin@ucpa.asso.fr</t>
  </si>
  <si>
    <t>https://drive.google.com/file/d/1_nbO9sUgmxMKXaDXpO-3JE_rXb0rg8pP/view?usp=drivesdk</t>
  </si>
  <si>
    <t>abonville@ucpa.asso.fr_SES-0001</t>
  </si>
  <si>
    <t>ecusey@ucpasl.com_SES-0002</t>
  </si>
  <si>
    <t>cpham@ucpa.asso.fr_SES-0002</t>
  </si>
  <si>
    <t>convocation SES-0001 Agathe PAULET CATRIN</t>
  </si>
  <si>
    <t>https://drive.google.com/file/d/1PhyhOmeIgLKg6nZZkA2BhQmN4E9N345A/view?usp=drivesdk</t>
  </si>
  <si>
    <t>clapeyre@ucpasl.com_SES-0001</t>
  </si>
  <si>
    <t>convocation SES-0002 Agathe Paulet Catrin</t>
  </si>
  <si>
    <t>llecacheur@ucpasl.com</t>
  </si>
  <si>
    <t>https://drive.google.com/file/d/1y5-PvqQS3_sp1HHQeWywfrWcmSr6uztx/view?usp=drivesdk</t>
  </si>
  <si>
    <t>clapeyre@ucpasl.com_SES-0002</t>
  </si>
  <si>
    <t>convocation SES-0001 Leslie Lecacheur</t>
  </si>
  <si>
    <t>https://drive.google.com/file/d/1MlcHaLBIbvAQDuOQP7y1utIme6-esCn_/view?usp=drivesdk</t>
  </si>
  <si>
    <t>kmillion@ucpa.asso.fr_SES-0001</t>
  </si>
  <si>
    <t>convocation SES-0002 Julien Deschamps</t>
  </si>
  <si>
    <t>https://drive.google.com/file/d/1nKRJKtA5L4jY86IVlt3vEZ2OD8A1jjdJ/view?usp=drivesdk</t>
  </si>
  <si>
    <t>mdamour@ucpasl.com_SES-0001</t>
  </si>
  <si>
    <t>convocation SES-0002 Leslie Lecacheur</t>
  </si>
  <si>
    <t>mdamour@ucpasl.com_SES-0002</t>
  </si>
  <si>
    <t>ssouza@ucpa.asso.fr</t>
  </si>
  <si>
    <t>https://drive.google.com/file/d/1-p9hrsHTfrcMVFq1ftR3vZbX5pL0ALWy/view?usp=drivesdk</t>
  </si>
  <si>
    <t>convocation SES-0001 Sandra SOUZA</t>
  </si>
  <si>
    <t>esene@ucpa.asso.fr_SES-0001</t>
  </si>
  <si>
    <t>https://drive.google.com/file/d/1wb8EMDmffvXpMFyfD60k4HGDW1Xr2WdT/view?usp=drivesdk</t>
  </si>
  <si>
    <t>convocation SES-0002 Sandra SOUZA</t>
  </si>
  <si>
    <t>avermeersch@ucpa.asso.fr_SES-0002</t>
  </si>
  <si>
    <t>fsaussac@ucpa.asso.fr</t>
  </si>
  <si>
    <t>https://drive.google.com/file/d/1xaoR8s8Ra1_9-WQXdohwXy9SDEQeIzSK/view?usp=drivesdk</t>
  </si>
  <si>
    <t>lgrosjean@ucpa.asso.fr_SES-0001</t>
  </si>
  <si>
    <t>convocation SES-0001 Frédérique SAUSSAC</t>
  </si>
  <si>
    <t>https://drive.google.com/file/d/1F-ttSxH-EzdswZBdb0hgVMVC8aXl5sSc/view?usp=drivesdk</t>
  </si>
  <si>
    <t>lgrosjean@ucpa.asso.fr_SES-0002</t>
  </si>
  <si>
    <t>convocation SES-0002 Frédérique SAUSSAC</t>
  </si>
  <si>
    <t>pgaudin@ucpa.asso.fr</t>
  </si>
  <si>
    <t>https://drive.google.com/file/d/1rcTUSz6-GUSsQ2lo6zdgOnhahGyQm5Ns/view?usp=drivesdk</t>
  </si>
  <si>
    <t>eesperse@ucpa.asso.fr_SES-0001</t>
  </si>
  <si>
    <t>convocation SES-0001 Philippe GAUDIN</t>
  </si>
  <si>
    <t>https://drive.google.com/file/d/19vyLwgsBBNtq5dNYReFl2MKi-gLKSi0d/view?usp=drivesdk</t>
  </si>
  <si>
    <t>eesperse@ucpa.asso.fr_SES-0002</t>
  </si>
  <si>
    <t>convocation SES-0002 Philippe GAUDIN</t>
  </si>
  <si>
    <t>echochois@gmail.com</t>
  </si>
  <si>
    <t>https://drive.google.com/file/d/1N1FFA_aCO1ChBUaT-PJGYsgkpyKcw5Ir/view?usp=drivesdk</t>
  </si>
  <si>
    <t>jcolombat@ucpasl.com_SES-0001</t>
  </si>
  <si>
    <t>convocation SES-0001 EVELYNE CHOCHOIS</t>
  </si>
  <si>
    <t>echochois@ucpa.asso.fr</t>
  </si>
  <si>
    <t>https://drive.google.com/file/d/1YrJgxHbqCf1VAuUY_S8VEaEhewW0HPEM/view?usp=drivesdk</t>
  </si>
  <si>
    <t>jcolombat@ucpasl.com_SES-0002</t>
  </si>
  <si>
    <t>convocation SES-0002 EVELYNE  CHOCHOIS</t>
  </si>
  <si>
    <t>https://drive.google.com/file/d/1ftbfip5SjaApmw7-x2hAynP4_CkwaYxJ/view?usp=drivesdk</t>
  </si>
  <si>
    <t>lrouffart@ucpa.asso.fr_SES-0002</t>
  </si>
  <si>
    <t>aborgies@ucpa.asso.fr</t>
  </si>
  <si>
    <t>https://drive.google.com/file/d/1b8k_15K3q_btiviUeMRxFp4zqhYXnTNI/view?usp=drivesdk</t>
  </si>
  <si>
    <t>ptumbarello@ucpa.asso.fr_SES-0001</t>
  </si>
  <si>
    <t>convocation SES-0001 Alain BORGIES</t>
  </si>
  <si>
    <t>https://drive.google.com/file/d/1VyDANjHreOavi81Hbzyr0KpVHrmOjABL/view?usp=drivesdk</t>
  </si>
  <si>
    <t>ptumbarello@ucpa.asso.fr_SES-0002</t>
  </si>
  <si>
    <t>convocation SES-0002 Alain BORGIES</t>
  </si>
  <si>
    <t>aletoffet@ucpa.asso.com</t>
  </si>
  <si>
    <t>https://drive.google.com/file/d/1EInajmP27ThwvI3_pxbdocoFSGCYwExq/view?usp=drivesdk</t>
  </si>
  <si>
    <t>ctsikras@ucpa.asso.fr_SES-0001</t>
  </si>
  <si>
    <t>convocation SES-0001 Aurélie LETOFFET</t>
  </si>
  <si>
    <t>sbourmaud@ucpa.asso.fr</t>
  </si>
  <si>
    <t>https://drive.google.com/file/d/1YEq9im1OE-kB1QdRAOm2K4FK7EDSumoh/view?usp=drivesdk</t>
  </si>
  <si>
    <t>ctsikras@ucpa.asso.fr_SES-0002</t>
  </si>
  <si>
    <t>convocation SES-0002 Sylvain bourmaud</t>
  </si>
  <si>
    <t>jmporcher@ucpa.asso.fr</t>
  </si>
  <si>
    <t>https://drive.google.com/file/d/1C94pyLzsk3_F_z_OEqIlKOGubp3gqwf5/view?usp=drivesdk</t>
  </si>
  <si>
    <t>nferat@ucpa.asso.fr_SES-0001</t>
  </si>
  <si>
    <t>convocation SES-0001 Jean Marc Porcher</t>
  </si>
  <si>
    <t>emeline.miltgen@ucpa.asso.fr</t>
  </si>
  <si>
    <t>https://drive.google.com/file/d/1VjEffNQ4Y3YPDU3JLN1IA8QmsQO_ijoa/view?usp=drivesdk</t>
  </si>
  <si>
    <t>nferat@ucpa.asso.fr_SES-0002</t>
  </si>
  <si>
    <t>convocation SES-0001 Emeline MILTGEN</t>
  </si>
  <si>
    <t>abrossard@ucpa.asso.fr</t>
  </si>
  <si>
    <t>https://drive.google.com/file/d/1xjPlMZxlxAXa3N4PqN-LmgslqvvxWzQD/view?usp=drivesdk</t>
  </si>
  <si>
    <t>jcorre@ucpasl.com_SES-0001</t>
  </si>
  <si>
    <t>jcorre@ucpasl.com_SES-0002</t>
  </si>
  <si>
    <t>convocation SES-0001 Alain BROSSARD</t>
  </si>
  <si>
    <t>https://drive.google.com/file/d/13J4q5JkKzNQ8SZr7KaSNr_qaMXGXmATC/view?usp=drivesdk</t>
  </si>
  <si>
    <t>awillem@ucpa.asso.fr_SES-0002</t>
  </si>
  <si>
    <t>convocation SES-0002 Alain BROSSARD</t>
  </si>
  <si>
    <t>soheude@ucpa.asso.fr</t>
  </si>
  <si>
    <t>https://drive.google.com/file/d/1sndmzjlML2wzvC6fTQvn1a7O5yMgeAdW/view?usp=drivesdk</t>
  </si>
  <si>
    <t>ctaverne@ucpa.asso.fr_SES-0002</t>
  </si>
  <si>
    <t>convocation SES-0001 Sophie  Heude</t>
  </si>
  <si>
    <t>https://drive.google.com/file/d/1sg6ZlACdWDXwrDvMMx9cg0Wx7D2CBTwK/view?usp=drivesdk</t>
  </si>
  <si>
    <t>mlepretre@ucpa.asso.fr_SES-0002</t>
  </si>
  <si>
    <t>convocation SES-0002 Sophie Heude</t>
  </si>
  <si>
    <t>sverrier@ucpa.asso.fr</t>
  </si>
  <si>
    <t>https://drive.google.com/file/d/1uXuT6EWtrzkaZ1XUyF2ppHOV7xxF8O6D/view?usp=drivesdk</t>
  </si>
  <si>
    <t>epatay@ucpa.asso.fr_SES-0001</t>
  </si>
  <si>
    <t>convocation SES-0001 SOPHIE VERRIER</t>
  </si>
  <si>
    <t>https://drive.google.com/file/d/1551Vs0BClQ1LXZ4uaQuwxQa-nzfuEKyi/view?usp=drivesdk</t>
  </si>
  <si>
    <t>convocation SES-0002 Sophie  VERRIER</t>
  </si>
  <si>
    <t>maureen.tharel@ucpa.asso.fr</t>
  </si>
  <si>
    <t>https://drive.google.com/file/d/1CvdsdYLCW_qsFqIQg473v7RGtLh04ULX/view?usp=drivesdk</t>
  </si>
  <si>
    <t>platapie@ucpasl.com_SES-0001</t>
  </si>
  <si>
    <t>convocation SES-0001 Maureen THAREL</t>
  </si>
  <si>
    <t>mdegregorio@ucpa.asso.fr</t>
  </si>
  <si>
    <t>https://drive.google.com/file/d/1304LsO6EjxEuOxhYvmKOI73OW0DuiDps/view?usp=drivesdk</t>
  </si>
  <si>
    <t>epatay@ucpa.asso.fr_SES-0002</t>
  </si>
  <si>
    <t>convocation SES-0001 Mathilde DE GREGORIO</t>
  </si>
  <si>
    <t>emilie.pace@yahoo.fr</t>
  </si>
  <si>
    <t>https://drive.google.com/file/d/1vsLbFDLm13WI66wOYu29qosUlzxwLiN3/view?usp=drivesdk</t>
  </si>
  <si>
    <t>platapie@ucpasl.com_SES-0002</t>
  </si>
  <si>
    <t>convocation SES-0001 Émilie Pace</t>
  </si>
  <si>
    <t>https://drive.google.com/file/d/1ybQSJLFia9-yUqb1jsQCGm24yct9yLhU/view?usp=drivesdk</t>
  </si>
  <si>
    <t>stephanie.abaziou@labalaguere.com_SES-0002</t>
  </si>
  <si>
    <t>convocation SES-0002 Émilie Pace</t>
  </si>
  <si>
    <t>Aurelien.fouquet@tootazimut.fr</t>
  </si>
  <si>
    <t>https://drive.google.com/file/d/1z201EXLf2uqV6XgAiB5PV5JGi0qHnP5Z/view?usp=drivesdk</t>
  </si>
  <si>
    <t>tdossios@ucpasl.com_SES-0001</t>
  </si>
  <si>
    <t>convocation SES-0001 Aurélien FOUQUET</t>
  </si>
  <si>
    <t>aurelien.fouquet@tootazimut.fr</t>
  </si>
  <si>
    <t>https://drive.google.com/file/d/10MUrrOiw2PMmb9U-yj5T71J3EByw1J49/view?usp=drivesdk</t>
  </si>
  <si>
    <t>tdossios@ucpasl.com_SES-0002</t>
  </si>
  <si>
    <t>convocation SES-0002 Aurélien FOUQUET</t>
  </si>
  <si>
    <t>edidier@ucpa.asso.fr</t>
  </si>
  <si>
    <t>https://drive.google.com/file/d/1ueNriv1ZnbQZyXBDDwqhnOpa0TLftt0I/view?usp=drivesdk</t>
  </si>
  <si>
    <t>fguyonnaud@ucpa.asso.fr_SES-0002</t>
  </si>
  <si>
    <t>convocation SES-0001 Elena DIDIER</t>
  </si>
  <si>
    <t>https://drive.google.com/file/d/13yIujtG1_6aaebGt7p9G9rTQi3acHFuK/view?usp=drivesdk</t>
  </si>
  <si>
    <t>jdeschamps@ucpa.asso.fr_SES-0001</t>
  </si>
  <si>
    <t>convocation SES-0002 Elena DIDIER</t>
  </si>
  <si>
    <t>stcyprien.res@ucpa.asso.fr</t>
  </si>
  <si>
    <t>https://drive.google.com/file/d/1fLGPNXf4_MsqEehHWtgYUlsY1gBj4zpt/view?usp=drivesdk</t>
  </si>
  <si>
    <t>catherine.mouton@tootazimut.fr_SES-0001</t>
  </si>
  <si>
    <t>https://drive.google.com/file/d/1_MU0cLx3tx1B_2QgpldrVAFxMH3l3J99/view?usp=drivesdk</t>
  </si>
  <si>
    <t>catherine.mouton@tootazimut.fr_SES-0002</t>
  </si>
  <si>
    <t>bperrin@ucpaplanete.com</t>
  </si>
  <si>
    <t>https://drive.google.com/file/d/1AGoXaibT0tVCeC8BQ0j4D62HxHDqoBkE/view?usp=drivesdk</t>
  </si>
  <si>
    <t>jgoncalves@ucpa.asso.fr_SES-0001</t>
  </si>
  <si>
    <t>convocation SES-0001 Betty Perrin</t>
  </si>
  <si>
    <t>https://drive.google.com/file/d/1wfxw1KyfPGKMVbMIqPdqYXzJ3bcCsFH2/view?usp=drivesdk</t>
  </si>
  <si>
    <t>jgoncalves@ucpa.asso.fr_SES-0002</t>
  </si>
  <si>
    <t>convocation SES-0002 Betty Perrin</t>
  </si>
  <si>
    <t>marie.defer@tootazimut.fr</t>
  </si>
  <si>
    <t>https://drive.google.com/file/d/1Q_HJY3BylYacqBNEY-cjw4YDgWQjSJKQ/view?usp=drivesdk</t>
  </si>
  <si>
    <t>llanglois@ucpa.asso.fr_SES-0001</t>
  </si>
  <si>
    <t>convocation SES-0001 Marie DEFER</t>
  </si>
  <si>
    <t>https://drive.google.com/file/d/1ujF1BBkPbilsuQQ511eCU3UssKCpIKiw/view?usp=drivesdk</t>
  </si>
  <si>
    <t>llanglois@ucpa.asso.fr_SES-0002</t>
  </si>
  <si>
    <t>convocation SES-0002 Marie DEFER</t>
  </si>
  <si>
    <t>rthivin@ucpa.asso.fr</t>
  </si>
  <si>
    <t>https://drive.google.com/file/d/1Z6jlOuHxTZJZJahRSh5LUt7fVJN6XShQ/view?usp=drivesdk</t>
  </si>
  <si>
    <t>flagneau@ucpasl.com_SES-0002</t>
  </si>
  <si>
    <t>convocation SES-0001 Raphael THIVIN</t>
  </si>
  <si>
    <t>hpoudevigne@ucpa.asso.fr</t>
  </si>
  <si>
    <t>https://drive.google.com/file/d/1-nvdt2zsq8zbBK4n4u8eSkSnUq5i8RQc/view?usp=drivesdk</t>
  </si>
  <si>
    <t>flagneau@ucpasl.com_SES-0001</t>
  </si>
  <si>
    <t>veronique.perlin@labalaguere.com_SES-0001</t>
  </si>
  <si>
    <t>convocation SES-0002 HERVE POUDEVIGNE</t>
  </si>
  <si>
    <t>hmaziere@ucpa.asso.fr</t>
  </si>
  <si>
    <t>https://drive.google.com/file/d/1Vfg3HUzdyn5pVId_k4j58DLmivBYcb2d/view?usp=drivesdk</t>
  </si>
  <si>
    <t>convocation SES-0001 HELENE MAZIERE</t>
  </si>
  <si>
    <t>https://drive.google.com/file/d/1iM5QXcCqiUTB6pvOBwidFqxFgH7V82Oo/view?usp=drivesdk</t>
  </si>
  <si>
    <t>convocation SES-0002 HELENE MAZIERE</t>
  </si>
  <si>
    <t>tnanthakumar@ucpa.asso.fr</t>
  </si>
  <si>
    <t>https://drive.google.com/file/d/1L6cQ8sxKdQVmgOXD0M7ychYx8T2wJVVH/view?usp=drivesdk</t>
  </si>
  <si>
    <t>convocation SES-0001 Thushiyanthi NANTHAKUMAR</t>
  </si>
  <si>
    <t>https://drive.google.com/file/d/1T6FWv4AZtDZC7pVU5K2mLkMQtYWrKzFd/view?usp=drivesdk</t>
  </si>
  <si>
    <t>convocation SES-0002 Thushiyanthi NANTHAKUMAR</t>
  </si>
  <si>
    <t>david.serano@labalaguere.com</t>
  </si>
  <si>
    <t>https://drive.google.com/file/d/1gtALv6Q5qRWVP2HPFDcPSyeGaWHD3thz/view?usp=drivesdk</t>
  </si>
  <si>
    <t>convocation SES-0001 DAVID SERANO-GROCQ</t>
  </si>
  <si>
    <t>https://drive.google.com/file/d/14OLEIWuMVyOpKcSTBT2INazotiLISqjN/view?usp=drivesdk</t>
  </si>
  <si>
    <t>veronique.perlin@labalaguere.com_SES-0002</t>
  </si>
  <si>
    <t>convocation SES-0002 DAVID SERANO-GROCQ</t>
  </si>
  <si>
    <t>natacha4fabre@gmail.com</t>
  </si>
  <si>
    <t>https://drive.google.com/file/d/15yPt6BG5M6Z3f8pKKpWJvWNtsp20AiBX/view?usp=drivesdk</t>
  </si>
  <si>
    <t>stephane.tavernier@telligo.fr_SES-0002</t>
  </si>
  <si>
    <t>convocation SES-0001 Natacha FABRE</t>
  </si>
  <si>
    <t>adanican@ucpa.asso.fr_SES-0001</t>
  </si>
  <si>
    <t>https://drive.google.com/file/d/1fPzfcTShd8l0LCaFjacxeKatn8EKGQba/view?usp=drivesdk</t>
  </si>
  <si>
    <t>convocation SES-0002 Natacha FABRE</t>
  </si>
  <si>
    <t>adanican@ucpa.asso.fr_SES-0002</t>
  </si>
  <si>
    <t>odudflot@ucpa.asso.fr</t>
  </si>
  <si>
    <t>https://drive.google.com/file/d/1St7BUUuYer79rzpG8vd7ADBk2ErIw885/view?usp=drivesdk</t>
  </si>
  <si>
    <t>convocation SES-0001 odile duflot</t>
  </si>
  <si>
    <t>jmartino@ucpasl.com_SES-0002</t>
  </si>
  <si>
    <t>oduflot@ucpa.asso.fr</t>
  </si>
  <si>
    <t>https://drive.google.com/file/d/1kktzRiJl0Vq1D7OAFfJCiFPtenYDxwMX/view?usp=drivesdk</t>
  </si>
  <si>
    <t>jmartino@ucpasl.com_SES-0001</t>
  </si>
  <si>
    <t>convocation SES-0002 odile duflot</t>
  </si>
  <si>
    <t>lcharlot@vaires-torcy.iledeloisirs.fr</t>
  </si>
  <si>
    <t>https://drive.google.com/file/d/1h2mGzM7Wbs3gSpBa_59iOJVbPwZNta2Z/view?usp=drivesdk</t>
  </si>
  <si>
    <t>convocation SES-0001 Laura Charlot</t>
  </si>
  <si>
    <t>https://drive.google.com/file/d/1Bt6fT1afR2U-ak9p1_ka_y7x2HLfJo0R/view?usp=drivesdk</t>
  </si>
  <si>
    <t>mval@ucpasl.com_SES-0001</t>
  </si>
  <si>
    <t>convocation SES-0002 Laura Charlot</t>
  </si>
  <si>
    <t>cynthia.malou@gmail.com_SES-0001</t>
  </si>
  <si>
    <t>https://drive.google.com/file/d/1JoA74YbiqOsqoZ4Tzwvh65wtZdAyMl-3/view?usp=drivesdk</t>
  </si>
  <si>
    <t>cynthia.malou@gmail.com_SES-0002</t>
  </si>
  <si>
    <t>cdupuis@ucpasl.com</t>
  </si>
  <si>
    <t>https://drive.google.com/file/d/1cnMaIL9MlIeM_5sny9yYgWFfJ_ArL3WN/view?usp=drivesdk</t>
  </si>
  <si>
    <t>convocation SES-0002 Cannelle Dupuis</t>
  </si>
  <si>
    <t>dsnaidero@ucpa.asso.fr_SES-0001</t>
  </si>
  <si>
    <t>melanie.legrand@tootazimut.fr</t>
  </si>
  <si>
    <t>https://drive.google.com/file/d/1vP1CmzUWv2S8ygDyg0o8nSRdCNMn0TxY/view?usp=drivesdk</t>
  </si>
  <si>
    <t>convocation SES-0002 MELANIE LEGRAND</t>
  </si>
  <si>
    <t>ypetiot@ucpa.asso.fr</t>
  </si>
  <si>
    <t>scassin@ucpa.asso.fr_SES-0001</t>
  </si>
  <si>
    <t>https://drive.google.com/file/d/1DuIvLOFgEYQzI0_-EXGsnhAw9UglqKAt/view?usp=drivesdk</t>
  </si>
  <si>
    <t>convocation SES-0002 Yoann PETIOT</t>
  </si>
  <si>
    <t>scassin@ucpa.asso.fr_SES-0002</t>
  </si>
  <si>
    <t>https://drive.google.com/file/d/1_AUdy6kAnRXq3gTZ7t1I9Du3GDQ1awXv/view?usp=drivesdk</t>
  </si>
  <si>
    <t>convocation SES-0002 Allan BONNEAUX</t>
  </si>
  <si>
    <t>foyj@live.fr_SES-0001</t>
  </si>
  <si>
    <t>https://drive.google.com/file/d/1hd9M1coDPygQO5hUKbsmZQT4DZuTm4F9/view?usp=drivesdk</t>
  </si>
  <si>
    <t>convocation SES-0002 alexandra bonville</t>
  </si>
  <si>
    <t>foyj@live.fr_SES-0002</t>
  </si>
  <si>
    <t>https://drive.google.com/file/d/157BUbV2deByGxx-TuOCq0LEA1QwZiVHl/view?usp=drivesdk</t>
  </si>
  <si>
    <t>convocation SES-0002 DELPHINE snaidero</t>
  </si>
  <si>
    <t>ltouratier@ucpa.asso.fr_SES-0001</t>
  </si>
  <si>
    <t>francois.cellier@tootazimut.fr</t>
  </si>
  <si>
    <t>https://drive.google.com/file/d/1U69QzSgL1sGVmE3D5EtMgl_MmXGOF6xX/view?usp=drivesdk</t>
  </si>
  <si>
    <t>afrigo@ucpa.asso.fr_SES-0001</t>
  </si>
  <si>
    <t>convocation SES-0002 François Cellier</t>
  </si>
  <si>
    <t>aurore.geudin@tootazimut.fr</t>
  </si>
  <si>
    <t>https://drive.google.com/file/d/14h4JAaLIFwJooHksF6zU7CsVLjzpq5-u/view?usp=drivesdk</t>
  </si>
  <si>
    <t>afrigo@ucpa.asso.fr_SES-0002</t>
  </si>
  <si>
    <t>convocation SES-0002 Aurore Geudin</t>
  </si>
  <si>
    <t>criva@ucpasl.com</t>
  </si>
  <si>
    <t>https://drive.google.com/file/d/1j4TWVnNjXprDjzvGBpBXcH6L3LKSZLX9/view?usp=drivesdk</t>
  </si>
  <si>
    <t>cdelbart@ucpa.asso.fr_SES-0001</t>
  </si>
  <si>
    <t>convocation SES-0002 Charlène RIVA</t>
  </si>
  <si>
    <t>https://drive.google.com/file/d/1EmBa4FAERTSR2VRVKMSpm5GubmxUEIHl/view?usp=drivesdk</t>
  </si>
  <si>
    <t>mval@ucpasl.com_SES-0002</t>
  </si>
  <si>
    <t>cvincent@ucpasl.com</t>
  </si>
  <si>
    <t>https://drive.google.com/file/d/1HFXkTrUQ8mI7mp9ox_hwUEQogpkDhj2e/view?usp=drivesdk</t>
  </si>
  <si>
    <t>tdelcourt@ucpasl.com_SES-0001</t>
  </si>
  <si>
    <t>convocation SES-0002 Cloé VINCENT</t>
  </si>
  <si>
    <t>crios@ucpa.asso.fr</t>
  </si>
  <si>
    <t>https://drive.google.com/file/d/1dtKtdd_2kCj2_XWZ00HVUoDI14oKWQL4/view?usp=drivesdk</t>
  </si>
  <si>
    <t>tdelcourt@ucpasl.com_SES-0002</t>
  </si>
  <si>
    <t>convocation SES-0002 Camille Rios</t>
  </si>
  <si>
    <t>vmorgan@ucpa.asso.fr</t>
  </si>
  <si>
    <t>https://drive.google.com/file/d/12EZ-0hdDByn4A9gXqy3Z4L9vFQIJgKL2/view?usp=drivesdk</t>
  </si>
  <si>
    <t>nleturcq@ucpasl.com_SES-0001</t>
  </si>
  <si>
    <t>convocation SES-0002 Vanessa Morgan</t>
  </si>
  <si>
    <t>csimon@ucpa.asso.fr</t>
  </si>
  <si>
    <t>https://drive.google.com/file/d/1lEBclQDmBNasLSWXgu6GpjmLM1nX5T8A/view?usp=drivesdk</t>
  </si>
  <si>
    <t>nleturcq@ucpasl.com_SES-0002</t>
  </si>
  <si>
    <t>convocation SES-0002 charlotte SIMON</t>
  </si>
  <si>
    <t>vmissonnier@ucpa.asso.fr</t>
  </si>
  <si>
    <t>https://drive.google.com/file/d/1lFqMuk9T6prpgaqenUZUP6Hwsdo0Ncm_/view?usp=drivesdk</t>
  </si>
  <si>
    <t>slebris@ucpa.asso.fr_SES-0001</t>
  </si>
  <si>
    <t>convocation SES-0002 Véronique MISSONNIER</t>
  </si>
  <si>
    <t>smorvan@ucpasl.com</t>
  </si>
  <si>
    <t>https://drive.google.com/file/d/1aj7Q5nXzie7X_kkGv7Mr5TZMo32MVvqQ/view?usp=drivesdk</t>
  </si>
  <si>
    <t>slebris@ucpa.asso.fr_SES-0002</t>
  </si>
  <si>
    <t>convocation SES-0002 Sabrina Morvan</t>
  </si>
  <si>
    <t>https://drive.google.com/file/d/1nEUcans5pxNoQdhVDl_cCCF39uTDdH75/view?usp=drivesdk</t>
  </si>
  <si>
    <t>pbouisson@ucpa.asso.fr_SES-0002</t>
  </si>
  <si>
    <t>convocation SES-0002 Stefanie Zanaret</t>
  </si>
  <si>
    <t>clecain@ucpa.asso.fr</t>
  </si>
  <si>
    <t>https://drive.google.com/file/d/1WxQnPDGyuKLDhmNp2E_AF1gpTLgRiy6l/view?usp=drivesdk</t>
  </si>
  <si>
    <t>isantos@ucpa.asso.fr_SES-0001</t>
  </si>
  <si>
    <t>convocation SES-0002 Céline Le Cain</t>
  </si>
  <si>
    <t>rhalimi@ucpa.asso.fr</t>
  </si>
  <si>
    <t>https://drive.google.com/file/d/1N-PKkpWQPuoplyB3cl1MRHoWrvYnvFEh/view?usp=drivesdk</t>
  </si>
  <si>
    <t>isantos@ucpa.asso.fr_SES-0002</t>
  </si>
  <si>
    <t>convocation SES-0002 Raphaël HALIMI</t>
  </si>
  <si>
    <t>gpersonnic@ucpa.asso.fr</t>
  </si>
  <si>
    <t>https://drive.google.com/file/d/1fxwED91ZZ2Ggr1xfqLYRQIjkUeDntuJD/view?usp=drivesdk</t>
  </si>
  <si>
    <t>aliflammimb@gmail.com_SES-0001</t>
  </si>
  <si>
    <t>convocation SES-0002 Goulven PERSONNIC</t>
  </si>
  <si>
    <t>https://drive.google.com/file/d/1L5TmGqQauidtdwgqcFHR0iQVL7sGGBXe/view?usp=drivesdk</t>
  </si>
  <si>
    <t>emornet@ucpasl.com_SES-0001</t>
  </si>
  <si>
    <t>convocation SES-0002 Sophie LEBRETON</t>
  </si>
  <si>
    <t>mlabetant@ucpa.asso.fr</t>
  </si>
  <si>
    <t>https://drive.google.com/file/d/1MjdAEC5qysaTiCYdBVSQqAovqePeWkb9/view?usp=drivesdk</t>
  </si>
  <si>
    <t>lverrier@ucpa.asso.fr_SES-0001</t>
  </si>
  <si>
    <t>convocation SES-0002 Muriel LABETANT</t>
  </si>
  <si>
    <t>jperrin@ucpa.asso.fr</t>
  </si>
  <si>
    <t>https://drive.google.com/file/d/1l0UDvQPuymxfjtbBHuTPYQVvqo9DSkXh/view?usp=drivesdk</t>
  </si>
  <si>
    <t>lverrier@ucpa.asso.fr_SES-0002</t>
  </si>
  <si>
    <t>convocation SES-0002 Jessica Perrin</t>
  </si>
  <si>
    <t>nlienard@ucpa.asso.fr</t>
  </si>
  <si>
    <t>https://drive.google.com/file/d/1qfhWTmCGCNemTH3yMIvXcnMY4oa4hL1R/view?usp=drivesdk</t>
  </si>
  <si>
    <t>imaitrejean@ucpa.asso.fr_SES-0001</t>
  </si>
  <si>
    <t>convocation SES-0002 Nathalie Liénard</t>
  </si>
  <si>
    <t>imaitrejean@ucpa.asso.fr_SES-0002</t>
  </si>
  <si>
    <t>jm.jugielaffitte@labalaguere.com</t>
  </si>
  <si>
    <t>https://drive.google.com/file/d/1HuG3e_0OTRm6Dw0gNx0q-ikpRiAmv5wW/view?usp=drivesdk</t>
  </si>
  <si>
    <t>mfloury1@ucpasl.com_SES-0001</t>
  </si>
  <si>
    <t>convocation SES-0002 Jeanne-Marie JUGIE LAFFITTE</t>
  </si>
  <si>
    <t>https://drive.google.com/file/d/15tWdWfq3P7_7JTW65rBXTn0G5erpqLLw/view?usp=drivesdk</t>
  </si>
  <si>
    <t>mfloury1@ucpasl.com_SES-0002</t>
  </si>
  <si>
    <t>convocation SES-0002 Raphael THIVIN</t>
  </si>
  <si>
    <t>jlenaour@vaires-torcy.iledeloisirs.fr_SES-0002</t>
  </si>
  <si>
    <t>https://drive.google.com/file/d/1uhzMzBFd766QgNn14Q3PaQYbSj5AAZYX/view?usp=drivesdk</t>
  </si>
  <si>
    <t>convocation SES-0003 Géraldine BONNARD</t>
  </si>
  <si>
    <t>eboudy@ucpa.asso.fr_SES-0002</t>
  </si>
  <si>
    <t>https://drive.google.com/file/d/1cQ_qRWCdDrQC5YqDvGmkbfbiKbJIAQOR/view?usp=drivesdk</t>
  </si>
  <si>
    <t>cdelassus@ucpa.asso.fr_SES-0001</t>
  </si>
  <si>
    <t>convocation SES-0003 Magali VAUJANY</t>
  </si>
  <si>
    <t>https://drive.google.com/file/d/1Mzi0vTuApqFcIFijtyaRHM1knwErBTgY/view?usp=drivesdk</t>
  </si>
  <si>
    <t>cdelassus@ucpa.asso.fr_SES-0002</t>
  </si>
  <si>
    <t>convocation SES-0003 Anna Supiot</t>
  </si>
  <si>
    <t>https://drive.google.com/file/d/1OCEOKAg406LoLmiRdzzqElSTZixZ4Cnw/view?usp=drivesdk</t>
  </si>
  <si>
    <t>pgaultier@ucpa.asso.fr_SES-0001</t>
  </si>
  <si>
    <t>convocation SES-0003 Mariannick Boudon</t>
  </si>
  <si>
    <t>SES-0004</t>
  </si>
  <si>
    <t>https://drive.google.com/file/d/1jDKyjcp8gvgnr6AVuT7tirZ6-OG6FTbH/view?usp=drivesdk</t>
  </si>
  <si>
    <t>convocation SES-0004 Anna Supiot</t>
  </si>
  <si>
    <t>pgaultier@ucpa.asso.fr_SES-0002</t>
  </si>
  <si>
    <t>https://drive.google.com/file/d/1Kshsyw6mXQqDYPBveAWvW0AXjSIuCUlZ/view?usp=drivesdk</t>
  </si>
  <si>
    <t>papegeot@ucpa.asso.fr_SES-0001</t>
  </si>
  <si>
    <t>convocation SES-0004 Géraldine BONNARD</t>
  </si>
  <si>
    <t>SES-0005</t>
  </si>
  <si>
    <t>https://drive.google.com/file/d/1c2hPreWkFBNRC3KUpiLMdZ-M6ToJuq_q/view?usp=drivesdk</t>
  </si>
  <si>
    <t>papegeot@ucpa.asso.fr_SES-0002</t>
  </si>
  <si>
    <t>convocation SES-0005 Géraldine BONNARD</t>
  </si>
  <si>
    <t>https://drive.google.com/file/d/1ICEECJou3xZrCvyNc-82J1cL9dSJDB9f/view?usp=drivesdk</t>
  </si>
  <si>
    <t>spinto@ucpa.asso.fr_SES-0002</t>
  </si>
  <si>
    <t>convocation SES-0003 Carole  KLIPFEL</t>
  </si>
  <si>
    <t>mnodin@ucpa.asso.fr</t>
  </si>
  <si>
    <t>https://drive.google.com/file/d/1b1iWcrqFl9ks9zJ7wp4yocjLzE0qIvXa/view?usp=drivesdk</t>
  </si>
  <si>
    <t>spinto@ucpa.asso.fr_SES-0001</t>
  </si>
  <si>
    <t>convocation SES-0003 Madison Nodin</t>
  </si>
  <si>
    <t>https://drive.google.com/file/d/1698ouHLg9C2RLcPmDozTvongjAhgmvAH/view?usp=drivesdk</t>
  </si>
  <si>
    <t>jpgiraud@ucpasl.com_SES-0001</t>
  </si>
  <si>
    <t>convocation SES-0004 Madison Nodin</t>
  </si>
  <si>
    <t>jpgiraud@ucpasl.com_SES-0002</t>
  </si>
  <si>
    <t>https://drive.google.com/file/d/1cNgMFZ4PulcG7-q-jMGiyBNFSsVZeFeA/view?usp=drivesdk</t>
  </si>
  <si>
    <t>convocation SES-0004 Carole  KLIPFEL</t>
  </si>
  <si>
    <t>ochaigneau@ucpa.asso.fr_SES-0001</t>
  </si>
  <si>
    <t>https://drive.google.com/file/d/1q2uFSMVN-vksQ6dYupCsJcmiRO_wGOl_/view?usp=drivesdk</t>
  </si>
  <si>
    <t>convocation SES-0005 Madison Nodin</t>
  </si>
  <si>
    <t>ochaigneau@ucpa.asso.fr_SES-0002</t>
  </si>
  <si>
    <t>https://drive.google.com/file/d/1jJFk-xXTLNVVfv2u77x47wEDeGJkWK2U/view?usp=drivesdk</t>
  </si>
  <si>
    <t>ivanneph@ucpa.asso.fr_SES-0001</t>
  </si>
  <si>
    <t>vanneph.alain@gmail.com_SES-0001</t>
  </si>
  <si>
    <t>vanneph.alain@gmail.com_SES-0002</t>
  </si>
  <si>
    <t>i.vanneph@ucpa.asso.fr_SES-0002</t>
  </si>
  <si>
    <t>mattias.nilsson@labalaguere.com_SES-0002</t>
  </si>
  <si>
    <t>mattias.nilsson@labalaguere.com_SES-0001</t>
  </si>
  <si>
    <t>mboudon@ucpa.asso.fr_SES-0001</t>
  </si>
  <si>
    <t>mboudon@ucpa.asso.fr_SES-0002</t>
  </si>
  <si>
    <t>mmoreau@ucpa.asso.fr_SES-0001</t>
  </si>
  <si>
    <t>cdian@ucpalanete.com_SES-0001</t>
  </si>
  <si>
    <t>cdian@ucpaplanete.com_SES-0002</t>
  </si>
  <si>
    <t>ylesueur@ucpa.asso.fr_SES-0001</t>
  </si>
  <si>
    <t>ylesueur@ucpa.asso.fr_SES-0002</t>
  </si>
  <si>
    <t>ccrochet@ucpasl.com_SES-0001</t>
  </si>
  <si>
    <t>ccrochet@ucpasl.com_SES-0002</t>
  </si>
  <si>
    <t>catherine.georges@telligo.fr_SES-0001</t>
  </si>
  <si>
    <t>catherine.georges@telligo.fr_SES-0002</t>
  </si>
  <si>
    <t>frederic.thuillier@telligo.fr_SES-0001</t>
  </si>
  <si>
    <t>mathieu.desponts@telligo.fr_SES-0001</t>
  </si>
  <si>
    <t>frederic.thuillier@telligo.fr_SES-0002</t>
  </si>
  <si>
    <t>mathieu.desponts@telligo.fr_SES-0002</t>
  </si>
  <si>
    <t>cindy.vermeersch@tootazimut.fr_SES-0001</t>
  </si>
  <si>
    <t>ophelie.francart@telligo.fr_SES-0001</t>
  </si>
  <si>
    <t>cindy.vermeersch@tootazimut.fr_SES-0002</t>
  </si>
  <si>
    <t>ophelie.francart@telligo.fr_SES-0002</t>
  </si>
  <si>
    <t>amelie.guindon@telligo.fr_SES-0001</t>
  </si>
  <si>
    <t>amelie.guindon@telligo.fr_SES-0002</t>
  </si>
  <si>
    <t>convocation SES-0003 MARIE DEFER</t>
  </si>
  <si>
    <t>https://drive.google.com/file/d/19B5W2-jwaS2PI17g9BRyvxapOA947DDW/view?usp=drivesdk</t>
  </si>
  <si>
    <t>lroussellot@vaires-torcy.iledeloisirs.fr_SES-0001</t>
  </si>
  <si>
    <t>convocation SES-0004 MARIE DEFER</t>
  </si>
  <si>
    <t>marie0defer@tootazimut.fr</t>
  </si>
  <si>
    <t>lroussellot@vaires-torcy.iledeloisirs.fr_SES-0002</t>
  </si>
  <si>
    <t>https://drive.google.com/file/d/1lHmOe0Yq9hINAmdQut83Ysy_zRD1F4S1/view?usp=drivesdk</t>
  </si>
  <si>
    <t>convocation SES-0005 MARIE DEFER</t>
  </si>
  <si>
    <t>lguitton@ucpasl.com_SES-0001</t>
  </si>
  <si>
    <t>https://drive.google.com/file/d/1Z6OJupNRwl2d8FsMeMEROl4viwfjFehp/view?usp=drivesdk</t>
  </si>
  <si>
    <t>convocation SES-0005 Carole  KLIPFEL</t>
  </si>
  <si>
    <t>sveilex@ucpa.asso.fr_SES-0001</t>
  </si>
  <si>
    <t>mdidier@ucpa.asso.fr</t>
  </si>
  <si>
    <t>https://drive.google.com/file/d/1GzaLcBQljtJt3FTbBE7x2VZSPlKAU7EU/view?usp=drivesdk</t>
  </si>
  <si>
    <t>sveilex@ucpa.asso.fr_SES-0002</t>
  </si>
  <si>
    <t>convocation SES-0003 Marc DIDIER</t>
  </si>
  <si>
    <t>https://drive.google.com/file/d/1kgKDut1HZJ1TF0930m58PoKCHHnQSp6n/view?usp=drivesdk</t>
  </si>
  <si>
    <t>lguitton@ucpasl.com_SES-0002</t>
  </si>
  <si>
    <t>convocation SES-0004 Marc DIDIER</t>
  </si>
  <si>
    <t>https://drive.google.com/file/d/1CZ0V2gxkokuQMjVEHUWZYm2rLSpY4McT/view?usp=drivesdk</t>
  </si>
  <si>
    <t>gilles.besnier@labalaguere.com_SES-0001</t>
  </si>
  <si>
    <t>convocation SES-0005 Marc DIDIER</t>
  </si>
  <si>
    <t>https://drive.google.com/file/d/1jb9toYRwFUTpi_b5zLM17LfiC4EtksPV/view?usp=drivesdk</t>
  </si>
  <si>
    <t>gilles.besnier@labalaguere.com_SES-0002</t>
  </si>
  <si>
    <t>convocation SES-0005 HELENE MAZIERE</t>
  </si>
  <si>
    <t>zoubida.sofi@tootazimut.fr</t>
  </si>
  <si>
    <t>https://drive.google.com/file/d/1z1V0hWJZrhqgNj3ytUiF6waUSu42dGFT/view?usp=drivesdk</t>
  </si>
  <si>
    <t>ygarsavanoff@ucpa.asso.fr_SES-0002</t>
  </si>
  <si>
    <t>convocation SES-0003 Zoubida SOFI</t>
  </si>
  <si>
    <t>ygarsavanoff@ucpa.asso.fr_SES-0001</t>
  </si>
  <si>
    <t>https://drive.google.com/file/d/1RZO3fXELypm84qgqXo4RQiS1EBcnzQZg/view?usp=drivesdk</t>
  </si>
  <si>
    <t>convocation SES-0004 Zoubida SOFI</t>
  </si>
  <si>
    <t>nbriat@ucpasl.com_SES-0001</t>
  </si>
  <si>
    <t>https://drive.google.com/file/d/1XRPzm65UtQwbE9h6i8PdzWMzclrUIhch/view?usp=drivesdk</t>
  </si>
  <si>
    <t>nbriat@ucpasl.com_SES-0002</t>
  </si>
  <si>
    <t>convocation SES-0003 Patricia BRETON</t>
  </si>
  <si>
    <t>https://drive.google.com/file/d/1eYw20duzYmTtQ_uTpeGRJlhwWmLIRHiE/view?usp=drivesdk</t>
  </si>
  <si>
    <t>jpartouche@ucpasl.com_SES-0001</t>
  </si>
  <si>
    <t>convocation SES-0004 Patricia BRETON</t>
  </si>
  <si>
    <t>https://drive.google.com/file/d/1rCZHap-8foZe1nLv7LBts14J7y172r9p/view?usp=drivesdk</t>
  </si>
  <si>
    <t>jpartouche@ucpasl.com_SES-0002</t>
  </si>
  <si>
    <t>convocation SES-0005 Patricia BRETON</t>
  </si>
  <si>
    <t>bmarchal@ucpasl.com</t>
  </si>
  <si>
    <t>https://drive.google.com/file/d/15TNbS_oKHaLUaFkFQWbJJRmzz63t70HU/view?usp=drivesdk</t>
  </si>
  <si>
    <t>cromil@ucpa.com_SES-0001</t>
  </si>
  <si>
    <t>convocation SES-0003 Benjamin MARCHAL</t>
  </si>
  <si>
    <t>https://drive.google.com/file/d/1vBeQHh4Dx4l0a_n_YV09kux3sZBpTPyB/view?usp=drivesdk</t>
  </si>
  <si>
    <t>cromil@ucpa.com_SES-0002</t>
  </si>
  <si>
    <t>convocation SES-0003 Karen Million</t>
  </si>
  <si>
    <t>https://drive.google.com/file/d/15669PapkCaVAWsX8ZKEW5OZiFyeYNd5S/view?usp=drivesdk</t>
  </si>
  <si>
    <t>alhericel@ucpasl.com_SES-0001</t>
  </si>
  <si>
    <t>convocation SES-0004 Benjamin MARCHAL</t>
  </si>
  <si>
    <t>https://drive.google.com/file/d/1rNtxqRZUsFSdLD090ldpyXiYxBP0qdz_/view?usp=drivesdk</t>
  </si>
  <si>
    <t>convocation SES-0004 Karen Million</t>
  </si>
  <si>
    <t>https://drive.google.com/file/d/10GC1D3vNZxS_itq06gvOQSUPlPFOWLoQ/view?usp=drivesdk</t>
  </si>
  <si>
    <t>convocation SES-0005 Benjamin MARCHAL</t>
  </si>
  <si>
    <t>https://drive.google.com/file/d/1BlubGnbwk3jRf39NAdtDsKcXiQGIAlJy/view?usp=drivesdk</t>
  </si>
  <si>
    <t>convocation SES-0005 Karen Million</t>
  </si>
  <si>
    <t>jmonnette@ucpa.asso.fr</t>
  </si>
  <si>
    <t>https://drive.google.com/file/d/14kJHqcZqVgPGVuP63ePXhZJ77KKpk0hJ/view?usp=drivesdk</t>
  </si>
  <si>
    <t>convocation SES-0003 Jonathan Monnette</t>
  </si>
  <si>
    <t>https://drive.google.com/file/d/1FbTtN_iyPwPefP8YlNXUd0Yh9Ye1rV9R/view?usp=drivesdk</t>
  </si>
  <si>
    <t>convocation SES-0004 Jonathan Monnette</t>
  </si>
  <si>
    <t>blachaize@ucpa.asso.fr</t>
  </si>
  <si>
    <t>https://drive.google.com/file/d/1xnfgUh7utvQcRrstZsWuoHaKozmTv9bo/view?usp=drivesdk</t>
  </si>
  <si>
    <t>alhericel@ucpasl.com_SES-0002</t>
  </si>
  <si>
    <t>convocation SES-0003 Benjamin Lachaize</t>
  </si>
  <si>
    <t>https://drive.google.com/file/d/1m6R8NS7VIceFSvrMoprvXlnwzHDZuVKP/view?usp=drivesdk</t>
  </si>
  <si>
    <t>mmoulier@ucpasl.com_SES-0001</t>
  </si>
  <si>
    <t>convocation SES-0004 yohan Brun</t>
  </si>
  <si>
    <t>https://drive.google.com/file/d/1y790UBl_WOyGoZBwkKja8W08qYknVl5E/view?usp=drivesdk</t>
  </si>
  <si>
    <t>mmoulier@ucpasl.com_SES-0002</t>
  </si>
  <si>
    <t>convocation SES-0003 yohan Brun</t>
  </si>
  <si>
    <t>https://drive.google.com/file/d/1bo6X1jO9040rWMPm0zB6hUTrYOr_Vf3T/view?usp=drivesdk</t>
  </si>
  <si>
    <t>convocation SES-0005 yohan Brun</t>
  </si>
  <si>
    <t>lneger@ucpa.asso.fr_SES-0001</t>
  </si>
  <si>
    <t>https://drive.google.com/file/d/1sx08gDWAzFKCwNChQ7IsUOVl1lWlzRie/view?usp=drivesdk</t>
  </si>
  <si>
    <t>nkhoulalene@ucpa.asso.fr_SES-0002</t>
  </si>
  <si>
    <t>https://drive.google.com/file/d/1wRDYQDmtRwmgeYXzIys2jZN25aytzoR9/view?usp=drivesdk</t>
  </si>
  <si>
    <t>convocation SES-0003 sylvie le bris</t>
  </si>
  <si>
    <t>spornin@ucpa.asso.fr_SES-0001</t>
  </si>
  <si>
    <t>https://drive.google.com/file/d/1L4YlogT7dmwtzKmn0ANJ7L-B8Q8Kei63/view?usp=drivesdk</t>
  </si>
  <si>
    <t>convocation SES-0004 sylvie le bris</t>
  </si>
  <si>
    <t>https://drive.google.com/file/d/1Tp40kIzezeUy2j5SstrNy4LVcn9r5sF3/view?usp=drivesdk</t>
  </si>
  <si>
    <t>jbuhr@ucpa.asso.fr_SES-0001</t>
  </si>
  <si>
    <t>convocation SES-0005 sylvie le bris</t>
  </si>
  <si>
    <t>jbuhr@ucpa.asso.fr_SES-0002</t>
  </si>
  <si>
    <t>https://drive.google.com/file/d/12zEbo2L-KRNjb-mZybDsD_umg4xHCyNg/view?usp=drivesdk</t>
  </si>
  <si>
    <t>fxmeuge@ucpa.asso.fr_SES-0001</t>
  </si>
  <si>
    <t>convocation SES-0003 ALI IFTENE</t>
  </si>
  <si>
    <t>https://drive.google.com/file/d/1ldGi1Yilwg545T7r9AfbGNEdPw--Nl-Y/view?usp=drivesdk</t>
  </si>
  <si>
    <t>fxmeuge@ucpa.asso.fr_SES-0002</t>
  </si>
  <si>
    <t>convocation SES-0004 ALI IFTENE</t>
  </si>
  <si>
    <t>https://drive.google.com/file/d/1aIDlRtu18MbUcMTzMuhceHgc5HmhobX2/view?usp=drivesdk</t>
  </si>
  <si>
    <t>fgehant@ucpa.asso.fr_SES-0001</t>
  </si>
  <si>
    <t>fgehant@ucpa.asso.fr_SES-0002</t>
  </si>
  <si>
    <t>convocation SES-0005 ALI IFTENE</t>
  </si>
  <si>
    <t>mjacquemod@ucpa.asso.fr</t>
  </si>
  <si>
    <t>https://drive.google.com/file/d/1aWJ5ws3YbcFSwEb-c7mTPLEnJLEqfSxX/view?usp=drivesdk</t>
  </si>
  <si>
    <t>arosse@ucpa.asso.fr_SES-0001</t>
  </si>
  <si>
    <t>convocation SES-0003 Mélanie JACQUEMOD</t>
  </si>
  <si>
    <t>https://drive.google.com/file/d/1Nt9hec4-3s-qa-uzeaCksQAD8c6iGSR4/view?usp=drivesdk</t>
  </si>
  <si>
    <t>arosse@ucpa.asso.fr_SES-0002</t>
  </si>
  <si>
    <t>convocation SES-0004 Mélanie JACQUEMOD</t>
  </si>
  <si>
    <t>https://drive.google.com/file/d/15m2deQ8VpQUE6SWdLUY3RF10GPqFvKMi/view?usp=drivesdk</t>
  </si>
  <si>
    <t>advena2@hotmail.com_SES-0001</t>
  </si>
  <si>
    <t>convocation SES-0005 Mélanie JACQUEMOD</t>
  </si>
  <si>
    <t>https://drive.google.com/file/d/19DljcYkBIkWcjbe0pi2l7VZckodsdhmf/view?usp=drivesdk</t>
  </si>
  <si>
    <t>advena2@hotmail.com_SES-0002</t>
  </si>
  <si>
    <t>convocation SES-0003 Pauline Deplaix</t>
  </si>
  <si>
    <t>pastolz@ucpa.asso.fr</t>
  </si>
  <si>
    <t>https://drive.google.com/file/d/1vZ1FpmPs5GCBq7XHftDPZg1cm4A9O-Ux/view?usp=drivesdk</t>
  </si>
  <si>
    <t>jeanmichel.petre@sfr.fr_SES-0001</t>
  </si>
  <si>
    <t>convocation SES-0003 Pierre-Alexandre  Stolz</t>
  </si>
  <si>
    <t>https://drive.google.com/file/d/108AO5a8RfvV858onNNyJWTmv6c_eosDJ/view?usp=drivesdk</t>
  </si>
  <si>
    <t>jeanmichel.petre@sfr.fr_SES-0002</t>
  </si>
  <si>
    <t xml:space="preserve">convocation SES-0003 Isabelle  Maitrejean </t>
  </si>
  <si>
    <t>https://drive.google.com/file/d/1A19-bVyRzk34Ls5GfZ5YMq8hltMHPqVZ/view?usp=drivesdk</t>
  </si>
  <si>
    <t>stefanie.zanaret@gmail.com_SES-0001</t>
  </si>
  <si>
    <t xml:space="preserve">convocation SES-0004 Isabelle  Maitrejean </t>
  </si>
  <si>
    <t>https://drive.google.com/file/d/1pqYKKka5ZgwKmO7pEV6UvHQy3P3Xcs97/view?usp=drivesdk</t>
  </si>
  <si>
    <t>marcbonaventure.service@gmail.com_SES-0001</t>
  </si>
  <si>
    <t>convocation SES-0004 Pierre-Alexandre  Stolz</t>
  </si>
  <si>
    <t>https://drive.google.com/file/d/1BpXJTp2BB4-ILmi5QT1sVCY5OYxm3Cb3/view?usp=drivesdk</t>
  </si>
  <si>
    <t>marcbonaventure.service@gmail.com_SES-0002</t>
  </si>
  <si>
    <t xml:space="preserve">convocation SES-0005 Isabelle  Maitrejean </t>
  </si>
  <si>
    <t>https://drive.google.com/file/d/1FL1h7hOa2Z3lCTP14stIbMNpeEEsBSib/view?usp=drivesdk</t>
  </si>
  <si>
    <t>drubiola@ucpa.asso.fr_SES-0001</t>
  </si>
  <si>
    <t>convocation SES-0005 Pierre-Alexandre  Stolz</t>
  </si>
  <si>
    <t>https://drive.google.com/file/d/1MfyzFqnJ--UfG3LjPJTKcYqQNO5xZ5yc/view?usp=drivesdk</t>
  </si>
  <si>
    <t>drubiola@ucpa.asso.fr_SES-0002</t>
  </si>
  <si>
    <t>convocation SES-0003 christelle TSIKRAS</t>
  </si>
  <si>
    <t>https://drive.google.com/file/d/1JuScUh8o5eH84EO3wonhDdV_hweT7Zh-/view?usp=drivesdk</t>
  </si>
  <si>
    <t>opiera@ucpa.asso.fr_SES-0002</t>
  </si>
  <si>
    <t>apauletcatrin@ucpa.asso.fr_SES-0001</t>
  </si>
  <si>
    <t>convocation SES-0004 Christelle TSIKRAS</t>
  </si>
  <si>
    <t>https://drive.google.com/file/d/1XNeff26pe2EWxDuoT9TtrPzB2vQfuSFw/view?usp=drivesdk</t>
  </si>
  <si>
    <t>apauletcatrin@ucpa.asso.fr_SES-0002</t>
  </si>
  <si>
    <t>convocation SES-0005 Christelle TSIKRAS</t>
  </si>
  <si>
    <t>https://drive.google.com/file/d/1wD8H0N7psslogXV2Y338b-tu5kJSzjAz/view?usp=drivesdk</t>
  </si>
  <si>
    <t>convocation SES-0003 LAILA BOUJJAADIA</t>
  </si>
  <si>
    <t>llecacheur@ucpasl.com_SES-0001</t>
  </si>
  <si>
    <t>https://drive.google.com/file/d/1bGduSD993ajgmRM5nKHoVIWWfAQjqOO-/view?usp=drivesdk</t>
  </si>
  <si>
    <t>convocation SES-0004 BOUJJAADIA LAILA</t>
  </si>
  <si>
    <t>jdeschamps@ucpa.asso.fr_SES-0002</t>
  </si>
  <si>
    <t>https://drive.google.com/file/d/1yVtl2db8WtZohK2hm2clVbT8R-VbxADU/view?usp=drivesdk</t>
  </si>
  <si>
    <t>convocation SES-0005 BOUJJAADIA LAILA</t>
  </si>
  <si>
    <t>llecacheur@ucpasl.com_SES-0002</t>
  </si>
  <si>
    <t>cthoby@ucpa.asso.fr</t>
  </si>
  <si>
    <t>https://drive.google.com/file/d/1fofPIG1hps7AVhMsJmY3JjApXp24Y49u/view?usp=drivesdk</t>
  </si>
  <si>
    <t>convocation SES-0004 Charlotte THOBY</t>
  </si>
  <si>
    <t>ssouza@ucpa.asso.fr_SES-0001</t>
  </si>
  <si>
    <t>cvialon@ucpa.asso.fr</t>
  </si>
  <si>
    <t>https://drive.google.com/file/d/174Wbe6MOhOFi-7jLWOyOaJ3jjMdvrmRW/view?usp=drivesdk</t>
  </si>
  <si>
    <t>convocation SES-0004 C VIALON</t>
  </si>
  <si>
    <t>jfoy@ucpa.asso.fr</t>
  </si>
  <si>
    <t>ssouza@ucpa.asso.fr_SES-0002</t>
  </si>
  <si>
    <t>https://drive.google.com/file/d/1rQFP6HVO292x7tUXXAl59TDzMuGCY9B_/view?usp=drivesdk</t>
  </si>
  <si>
    <t>convocation SES-0003 Jose  Foy</t>
  </si>
  <si>
    <t>fsaussac@ucpa.asso.fr_SES-0001</t>
  </si>
  <si>
    <t>https://drive.google.com/file/d/17gG3RhAM_ORVQ_aGBgRaPK3RXHmVyzWV/view?usp=drivesdk</t>
  </si>
  <si>
    <t>convocation SES-0005 C VIALON</t>
  </si>
  <si>
    <t>https://drive.google.com/file/d/1FxttsOhJ7eIPnjUw2eTjtMUggY5Uopek/view?usp=drivesdk</t>
  </si>
  <si>
    <t>fsaussac@ucpa.asso.fr_SES-0002</t>
  </si>
  <si>
    <t xml:space="preserve">convocation SES-0004 Jose  Foy </t>
  </si>
  <si>
    <t>ccoeur@ucpa.asso.fr</t>
  </si>
  <si>
    <t>https://drive.google.com/file/d/1CWxfGrNhwLJWCiMcRNDH7V596n6a0BEE/view?usp=drivesdk</t>
  </si>
  <si>
    <t>pgaudin@ucpa.asso.fr_SES-0001</t>
  </si>
  <si>
    <t>convocation SES-0003 Catherine COEUR</t>
  </si>
  <si>
    <t>https://drive.google.com/file/d/1EkLT7T_Pr8-vG5d0aGG6BQbLrO9k7yOO/view?usp=drivesdk</t>
  </si>
  <si>
    <t>pgaudin@ucpa.asso.fr_SES-0002</t>
  </si>
  <si>
    <t>convocation SES-0004 Catherine COEUR</t>
  </si>
  <si>
    <t>https://drive.google.com/file/d/1VJXnFzDAGGBXnWW0EDpY90D0UyEoTSr9/view?usp=drivesdk</t>
  </si>
  <si>
    <t>echochois@gmail.com_SES-0001</t>
  </si>
  <si>
    <t>convocation SES-0005 Catherine COEUR</t>
  </si>
  <si>
    <t>goulven.personnic@gmail.com</t>
  </si>
  <si>
    <t>https://drive.google.com/file/d/15WpnmJYyN2li6tuP1nWPAP2gCAvXuR6C/view?usp=drivesdk</t>
  </si>
  <si>
    <t>echochois@ucpa.asso.fr_SES-0002</t>
  </si>
  <si>
    <t>convocation SES-0004 Goulven PERSONNIC</t>
  </si>
  <si>
    <t>https://drive.google.com/file/d/1Gi3Y3yjK6xrKk1mfIkoYh8vluLuYcE2E/view?usp=drivesdk</t>
  </si>
  <si>
    <t>convocation SES-0003 Goulven PERSONNIC</t>
  </si>
  <si>
    <t>echochois@ucpa.asso.fr_SES-0001</t>
  </si>
  <si>
    <t>https://drive.google.com/file/d/1F9lFnEXIYdK6cG516RY5F6SrxU8UX3fL/view?usp=drivesdk</t>
  </si>
  <si>
    <t>convocation SES-0005 Goulven PERSONNIC</t>
  </si>
  <si>
    <t>https://drive.google.com/file/d/1LdMnV-siuRj3mTMuK_Hq1IVpc2iRxwDL/view?usp=drivesdk</t>
  </si>
  <si>
    <t>aborgies@ucpa.asso.fr_SES-0001</t>
  </si>
  <si>
    <t xml:space="preserve">convocation SES-0005 Jose  Foy </t>
  </si>
  <si>
    <t>https://drive.google.com/file/d/1glowXBag9_jK6AxE3ufPPVbNJzLBX2sl/view?usp=drivesdk</t>
  </si>
  <si>
    <t>aborgies@ucpa.asso.fr_SES-0002</t>
  </si>
  <si>
    <t>convocation SES-0003 Alain BROSSARD</t>
  </si>
  <si>
    <t>https://drive.google.com/file/d/1iMWNd8aTrnO-JzW3SeF54rqoB5ddaBGP/view?usp=drivesdk</t>
  </si>
  <si>
    <t>aletoffet@ucpa.asso.com_SES-0001</t>
  </si>
  <si>
    <t>convocation SES-0004 Alain BROSSARD</t>
  </si>
  <si>
    <t>https://drive.google.com/file/d/1TeT_ds9teVwG807Uj9F12pUo82ZxjRGU/view?usp=drivesdk</t>
  </si>
  <si>
    <t>sbourmaud@ucpa.asso.fr_SES-0002</t>
  </si>
  <si>
    <t>convocation SES-0005 Alain BROSSARD</t>
  </si>
  <si>
    <t>https://drive.google.com/file/d/1ltJARfn7Z-jyrwEG2NyHL5elj6EkcEIs/view?usp=drivesdk</t>
  </si>
  <si>
    <t>jmporcher@ucpa.asso.fr_SES-0001</t>
  </si>
  <si>
    <t>convocation SES-0003 Alain BORGIES</t>
  </si>
  <si>
    <t>https://drive.google.com/file/d/1VgkOw3C5AKWeiV2Lb6enGwobaaKtsG1p/view?usp=drivesdk</t>
  </si>
  <si>
    <t>convocation SES-0003 thierry brouard</t>
  </si>
  <si>
    <t>https://drive.google.com/file/d/1WrZR13cfeCgBGC6BX-pXssk_XwUzG0Fz/view?usp=drivesdk</t>
  </si>
  <si>
    <t>convocation SES-0003 PATRICE GAULTIER</t>
  </si>
  <si>
    <t>https://drive.google.com/file/d/1didkJC_0EGoWSwi_BrNaIcXwb0wNvu8N/view?usp=drivesdk</t>
  </si>
  <si>
    <t>convocation SES-0005 PATRICE GAULTIER</t>
  </si>
  <si>
    <t>https://drive.google.com/file/d/18_61c2sEq-B2UJxZO0VkexCDSPnz3uxM/view?usp=drivesdk</t>
  </si>
  <si>
    <t>convocation SES-0004 PATRICE GAULTIER</t>
  </si>
  <si>
    <t>https://drive.google.com/file/d/15Le6LZCRmYhzKvRPP7htOAfvZTeY-Dyx/view?usp=drivesdk</t>
  </si>
  <si>
    <t>convocation SES-0004 Vincent Cazalaa</t>
  </si>
  <si>
    <t>JCOLOMBAT@UCPASL.COM</t>
  </si>
  <si>
    <t>https://drive.google.com/file/d/1fNm8iIthF0LsV91ycDE57MxsgIeYwA9O/view?usp=drivesdk</t>
  </si>
  <si>
    <t>convocation SES-0003 jean marie colombat</t>
  </si>
  <si>
    <t>https://drive.google.com/file/d/15yrbaHTj7Am9-YBQQA1RxVwKkh-zWg_i/view?usp=drivesdk</t>
  </si>
  <si>
    <t>convocation SES-0004 jean marie colombat</t>
  </si>
  <si>
    <t>christinecoumet@labalaguere.com</t>
  </si>
  <si>
    <t>https://drive.google.com/file/d/1saauvIdy7dtaHC4gLAvRpCQWGUUX-t-p/view?usp=drivesdk</t>
  </si>
  <si>
    <t>convocation SES-0003 Christine COUMET</t>
  </si>
  <si>
    <t>https://drive.google.com/file/d/1KeBZfEYOiEfkpfczcp-Qbl-qxMIy7aWq/view?usp=drivesdk</t>
  </si>
  <si>
    <t>convocation SES-0005 jean marie colombat</t>
  </si>
  <si>
    <t>https://drive.google.com/file/d/1r8lRWCGx-SZhCla5Gsbgq_SPfLo-zXYW/view?usp=drivesdk</t>
  </si>
  <si>
    <t>convocation SES-0004 Christine COUMET</t>
  </si>
  <si>
    <t>https://drive.google.com/file/d/1XpSmdHiwOeMKgOuQrJLHct6LMhRRA2kc/view?usp=drivesdk</t>
  </si>
  <si>
    <t>convocation SES-0005 Christine COUMET</t>
  </si>
  <si>
    <t>https://drive.google.com/file/d/1n_QHiMCFpsWJUsxLBVCluZWIlDcjvEk-/view?usp=drivesdk</t>
  </si>
  <si>
    <t>convocation SES-0004 Stephanie ABAZIOU</t>
  </si>
  <si>
    <t>https://drive.google.com/file/d/1XvQ6a-xvBMg-hBwxabhukAokA5az_QX9/view?usp=drivesdk</t>
  </si>
  <si>
    <t>convocation SES-0005 Stephanie ABAZIOU</t>
  </si>
  <si>
    <t>https://drive.google.com/file/d/1qnKlHUlYf_6R7dGz8zGD-rEaOt5WfJXC/view?usp=drivesdk</t>
  </si>
  <si>
    <t>convocation SES-0004 Matthieu LEPRETRE</t>
  </si>
  <si>
    <t>lfeuillet@ucpa.asso.fr</t>
  </si>
  <si>
    <t>https://drive.google.com/file/d/1WXm163kpKMFX7Q5TzvuxKdppkF5k6dXD/view?usp=drivesdk</t>
  </si>
  <si>
    <t>convocation SES-0003 laurent feuillet</t>
  </si>
  <si>
    <t>https://drive.google.com/file/d/1c-RgmmsygzEN5-PFbjsdr7dD77lIguBi/view?usp=drivesdk</t>
  </si>
  <si>
    <t>convocation SES-0004 laurent feuillet</t>
  </si>
  <si>
    <t>https://drive.google.com/file/d/1ecMrvVuSncajGo63yod4XR7XV5jSrcBq/view?usp=drivesdk</t>
  </si>
  <si>
    <t>convocation SES-0005 laurent feuillet</t>
  </si>
  <si>
    <t>https://drive.google.com/file/d/1BtxNxCHJmtX3Zlujzk5odVs-AVXidFFq/view?usp=drivesdk</t>
  </si>
  <si>
    <t>convocation SES-0003 HERVE POUDEVIGNE</t>
  </si>
  <si>
    <t>https://drive.google.com/file/d/1OpwJBoALfwoVfEI5eFjaNTd50ptamYxo/view?usp=drivesdk</t>
  </si>
  <si>
    <t>convocation SES-0004 HERVE POUDEVIGNE</t>
  </si>
  <si>
    <t>ftaffin@ucpa.asso.fr</t>
  </si>
  <si>
    <t>https://drive.google.com/file/d/1Jvh9GKRMvkeS257ZmqTHP6wq_c3Of2mW/view?usp=drivesdk</t>
  </si>
  <si>
    <t>convocation SES-0003 François TAFFIN</t>
  </si>
  <si>
    <t>https://drive.google.com/file/d/17BtMPJMPwsKEQGJ_ncNwF3kK-Zx6Sq0k/view?usp=drivesdk</t>
  </si>
  <si>
    <t>convocation SES-0003 DELCOURT Tom</t>
  </si>
  <si>
    <t>https://drive.google.com/file/d/18G35AkSX5yqC620G0_DX5Z8mYqzZy-6G/view?usp=drivesdk</t>
  </si>
  <si>
    <t>convocation SES-0004 DELCOURT Tom</t>
  </si>
  <si>
    <t>https://drive.google.com/file/d/1aabaN6DnRJqCiVC2DAE0yZX4DGf8qy-A/view?usp=drivesdk</t>
  </si>
  <si>
    <t>convocation SES-0005 DELCOURT Tom</t>
  </si>
  <si>
    <t>https://drive.google.com/file/d/1X69DLFl2UYKPP2ryTpwnQDuh6p_scD0o/view?usp=drivesdk</t>
  </si>
  <si>
    <t>convocation SES-0003 REGINE MOREL</t>
  </si>
  <si>
    <t>https://drive.google.com/file/d/1ff67FJ49ZvIAvD7P0y7yj3PHg1h11Esp/view?usp=drivesdk</t>
  </si>
  <si>
    <t>convocation SES-0004 Catherine GEORGES</t>
  </si>
  <si>
    <t>gpouleur@pailleron19.com</t>
  </si>
  <si>
    <t>https://drive.google.com/file/d/1NgJk-7wG5ecjEsYPFtMUbUO5Wwepj2XN/view?usp=drivesdk</t>
  </si>
  <si>
    <t>convocation SES-0005 GREGORY POULEUR</t>
  </si>
  <si>
    <t>https://drive.google.com/file/d/1BOHYcFHkFHx7c0hzu6XwEeEub8k99gUX/view?usp=drivesdk</t>
  </si>
  <si>
    <t>convocation SES-0005 Catherine GEORGES</t>
  </si>
  <si>
    <t>https://drive.google.com/file/d/1Q7BS30K6OiLS4Jud_rTC8SkWtlor7qtl/view?usp=drivesdk</t>
  </si>
  <si>
    <t>convocation SES-0003 Catherine GEORGES</t>
  </si>
  <si>
    <t>https://drive.google.com/file/d/1fU5LjiMtLIhxy0Mgo5Q7BlwCW01F83fs/view?usp=drivesdk</t>
  </si>
  <si>
    <t>convocation SES-0005 REGINE MOREL</t>
  </si>
  <si>
    <t>vmeigneux@ucpa.asso.com</t>
  </si>
  <si>
    <t>https://drive.google.com/file/d/1-ql085kz00eHHTPZR4qG1ulb-IaTREss/view?usp=drivesdk</t>
  </si>
  <si>
    <t>convocation SES-0003 Véronique Meigneux</t>
  </si>
  <si>
    <t>vmeigneux@ucpa.asso.fr</t>
  </si>
  <si>
    <t>https://drive.google.com/file/d/1CT1YH1Q42TVl9ugTksxC4lxdHsHxAhq5/view?usp=drivesdk</t>
  </si>
  <si>
    <t>convocation SES-0004 Véronique MEIGNEUX</t>
  </si>
  <si>
    <t>https://drive.google.com/file/d/1pOzF5ka02eTS7v-dgfhtoLFBa2PAuKzv/view?usp=drivesdk</t>
  </si>
  <si>
    <t>convocation SES-0005 VERONIQUE MEIGNEUX</t>
  </si>
  <si>
    <t>https://drive.google.com/file/d/1ug75MGlhTrUJuLkLa7VYXg1gEu1hkv3c/view?usp=drivesdk</t>
  </si>
  <si>
    <t>convocation SES-0004 PERRIN BETTY</t>
  </si>
  <si>
    <t>https://drive.google.com/file/d/1XujfTic3Ka75ZGlbW12w23By7gJl4BBC/view?usp=drivesdk</t>
  </si>
  <si>
    <t>convocation SES-0005 PERRIN BETTY</t>
  </si>
  <si>
    <t>https://drive.google.com/file/d/11b65UNIvexgf2TUl-13Syqk7UyjVgMRP/view?usp=drivesdk</t>
  </si>
  <si>
    <t>convocation SES-0003 Jeanne-Marie JUGIE LAFFITTE</t>
  </si>
  <si>
    <t>https://drive.google.com/file/d/1AfifteHgDaHt4JzWzqb_GfkMojBqP1Ic/view?usp=drivesdk</t>
  </si>
  <si>
    <t>emeline.miltgen@ucpa.asso.fr_SES-0001</t>
  </si>
  <si>
    <t>convocation SES-0004 Jeanne-Marie JUGIE LAFFITTE</t>
  </si>
  <si>
    <t>https://drive.google.com/file/d/1GRlw9uJN_DpanyvcNB8mYx8QbtV4OujK/view?usp=drivesdk</t>
  </si>
  <si>
    <t>convocation SES-0005 Jeanne-Marie JUGIE LAFFITTE</t>
  </si>
  <si>
    <t>https://drive.google.com/file/d/1XmU_AbhREgXoPufWtDl56j_ay4QPYyMr/view?usp=drivesdk</t>
  </si>
  <si>
    <t>abrossard@ucpa.asso.fr_SES-0001</t>
  </si>
  <si>
    <t>convocation SES-0003 SAMIRA BOUMRAR</t>
  </si>
  <si>
    <t>https://drive.google.com/file/d/10dhcIUa9C5wSYnS1fXGibeAUMbyhOCAq/view?usp=drivesdk</t>
  </si>
  <si>
    <t>abrossard@ucpa.asso.fr_SES-0002</t>
  </si>
  <si>
    <t>convocation SES-0003 Lydie ROUSSELLOT</t>
  </si>
  <si>
    <t>https://drive.google.com/file/d/1Yan-3YN2ukoJOtZc6k0kWiWa3w5ZwLcr/view?usp=drivesdk</t>
  </si>
  <si>
    <t>soheude@ucpa.asso.fr_SES-0001</t>
  </si>
  <si>
    <t>convocation SES-0003 Isabelle SANTOS</t>
  </si>
  <si>
    <t>https://drive.google.com/file/d/1B3XGFQ3qMUzjPCmHcUoLj9bFRgN8Azsi/view?usp=drivesdk</t>
  </si>
  <si>
    <t>soheude@ucpa.asso.fr_SES-0002</t>
  </si>
  <si>
    <t>convocation SES-0004 Isabelle SANTOS</t>
  </si>
  <si>
    <t>https://drive.google.com/file/d/1eaVZ2UArhkvmg-c_ocdPEGg4BTbrG-sY/view?usp=drivesdk</t>
  </si>
  <si>
    <t>convocation SES-0005 Isabelle SANTOS</t>
  </si>
  <si>
    <t>sverrier@ucpa.asso.fr_SES-0001</t>
  </si>
  <si>
    <t>https://drive.google.com/file/d/1WRzkvdZmxHcvot2wSpuiOpBwCxpV5_G9/view?usp=drivesdk</t>
  </si>
  <si>
    <t>sverrier@ucpa.asso.fr_SES-0002</t>
  </si>
  <si>
    <t>convocation SES-0003 François-Xavier Meugé</t>
  </si>
  <si>
    <t>https://drive.google.com/file/d/1DvMoNMlJbx4vUVd1r6EAAylevJJnZ_JT/view?usp=drivesdk</t>
  </si>
  <si>
    <t>maureen.tharel@ucpa.asso.fr_SES-0001</t>
  </si>
  <si>
    <t>mdegregorio@ucpa.asso.fr_SES-0001</t>
  </si>
  <si>
    <t>convocation SES-0004 François-Xavier Meugé</t>
  </si>
  <si>
    <t>emilie.pace@yahoo.fr_SES-0001</t>
  </si>
  <si>
    <t>https://drive.google.com/file/d/15sX8jpk4Btkx0D69tSX4kwI-WFWUyYuK/view?usp=drivesdk</t>
  </si>
  <si>
    <t>convocation SES-0005 François-Xavier Meugé</t>
  </si>
  <si>
    <t>emilie.pace@yahoo.fr_SES-0002</t>
  </si>
  <si>
    <t>https://drive.google.com/file/d/1qxnX2b7ypMSMJjhn2PU2ORtCpqNsI-iM/view?usp=drivesdk</t>
  </si>
  <si>
    <t>convocation SES-0003 CYRIL LAPEYRE</t>
  </si>
  <si>
    <t>Aurelien.fouquet@tootazimut.fr_SES-0001</t>
  </si>
  <si>
    <t>https://drive.google.com/file/d/1_Da3K8xQTkorHg4VRNNo5qZB4djUgtnf/view?usp=drivesdk</t>
  </si>
  <si>
    <t>aurelien.fouquet@tootazimut.fr_SES-0002</t>
  </si>
  <si>
    <t>convocation SES-0004 CYRIL LAPEYRE</t>
  </si>
  <si>
    <t>https://drive.google.com/file/d/1jh5wFuB3QWcPn6lpTyHCc1z_mBK0DMkY/view?usp=drivesdk</t>
  </si>
  <si>
    <t>edidier@ucpa.asso.fr_SES-0001</t>
  </si>
  <si>
    <t>convocation SES-0005 CYRIL LAPEYRE</t>
  </si>
  <si>
    <t>ytortel@ucpa.asso.fr</t>
  </si>
  <si>
    <t>https://drive.google.com/file/d/11CrYNzid0bJ9peRr4x7L5P7G6I2uK_oK/view?usp=drivesdk</t>
  </si>
  <si>
    <t>edidier@ucpa.asso.fr_SES-0002</t>
  </si>
  <si>
    <t>convocation SES-0004 Yann TORTEL</t>
  </si>
  <si>
    <t>https://drive.google.com/file/d/1nufJFXvYLRiYseKJRz9PQ6yeY4ORSnOv/view?usp=drivesdk</t>
  </si>
  <si>
    <t>stcyprien.res@ucpa.asso.fr_SES-0001</t>
  </si>
  <si>
    <t>convocation SES-0003 Angélique POUFFIER</t>
  </si>
  <si>
    <t>https://drive.google.com/file/d/1faDvn0snXDbWj8Q77m3y0XLEmeZnuwZb/view?usp=drivesdk</t>
  </si>
  <si>
    <t>stcyprien.res@ucpa.asso.fr_SES-0002</t>
  </si>
  <si>
    <t>convocation SES-0004 Angélique POUFFIER</t>
  </si>
  <si>
    <t>bperrin@ucpaplanete.com_SES-0001</t>
  </si>
  <si>
    <t>https://drive.google.com/file/d/1DBWOIqEgm2A9PHYIpv3gv6OXWaBp-72e/view?usp=drivesdk</t>
  </si>
  <si>
    <t>convocation SES-0005 Angélique  POUFFIER</t>
  </si>
  <si>
    <t>bperrin@ucpaplanete.com_SES-0002</t>
  </si>
  <si>
    <t>https://drive.google.com/file/d/1GQN-0nQnvlqhits57_2cdJkVmbr_vAF1/view?usp=drivesdk</t>
  </si>
  <si>
    <t>convocation SES-0003 MARC BONAVENTURE</t>
  </si>
  <si>
    <t>https://drive.google.com/file/d/1JyNC9MsslXrU5JrQvsDNOcRCyvj2SFTn/view?usp=drivesdk</t>
  </si>
  <si>
    <t>marie.defer@tootazimut.fr_SES-0001</t>
  </si>
  <si>
    <t>convocation SES-0004 MARC BONAVENTURE</t>
  </si>
  <si>
    <t>https://drive.google.com/file/d/124OkD4Wxyd2zgWja2h-Zzo61nem-5s-J/view?usp=drivesdk</t>
  </si>
  <si>
    <t>marie.defer@tootazimut.fr_SES-0002</t>
  </si>
  <si>
    <t>convocation SES-0005 MARC BONAVENTURE</t>
  </si>
  <si>
    <t>revano@ucpa.asso.fr</t>
  </si>
  <si>
    <t>https://drive.google.com/file/d/1vrsFM4iCSCiqgR_QyFjUx0Xn26f9-YTD/view?usp=drivesdk</t>
  </si>
  <si>
    <t>rthivin@ucpa.asso.fr_SES-0001</t>
  </si>
  <si>
    <t>convocation SES-0004 Romain Evano</t>
  </si>
  <si>
    <t>https://drive.google.com/file/d/1nu4XR_ibcrT-H8_CGRt5y44LksLSvu-T/view?usp=drivesdk</t>
  </si>
  <si>
    <t>hpoudevigne@ucpa.asso.fr_SES-0002</t>
  </si>
  <si>
    <t>convocation SES-0005 Romain Evano</t>
  </si>
  <si>
    <t>sdecq@pailleron19.com</t>
  </si>
  <si>
    <t>https://drive.google.com/file/d/1KNWpzXg8QmDdwOBKPKcPdRu-eqEiDNBT/view?usp=drivesdk</t>
  </si>
  <si>
    <t>hmaziere@ucpa.asso.fr_SES-0001</t>
  </si>
  <si>
    <t>convocation SES-0003 Sandrine DECQ</t>
  </si>
  <si>
    <t>https://drive.google.com/file/d/1DWJ1iZDUCj3HCxQqWYYFVig27sliLX5H/view?usp=drivesdk</t>
  </si>
  <si>
    <t>convocation SES-0004 Sandrine DECQ</t>
  </si>
  <si>
    <t>https://drive.google.com/file/d/1wji3aQXRlkdNPszoJg0_FF6BA6UEseB6/view?usp=drivesdk</t>
  </si>
  <si>
    <t>hmaziere@ucpa.asso.fr_SES-0002</t>
  </si>
  <si>
    <t>convocation SES-0005 Sandrine DECQ</t>
  </si>
  <si>
    <t>https://drive.google.com/file/d/11I7Tc2Lb8plvATBG2Pm3nRRllcfh-MnG/view?usp=drivesdk</t>
  </si>
  <si>
    <t>tnanthakumar@ucpa.asso.fr_SES-0001</t>
  </si>
  <si>
    <t>convocation SES-0003 Luc VERRIER</t>
  </si>
  <si>
    <t>https://drive.google.com/file/d/1LzDdu1b-YSopP2ELdwOj8JZwxvDGd9WA/view?usp=drivesdk</t>
  </si>
  <si>
    <t>tnanthakumar@ucpa.asso.fr_SES-0002</t>
  </si>
  <si>
    <t>convocation SES-0004 Luc VERRIER</t>
  </si>
  <si>
    <t>https://drive.google.com/file/d/1JHYgoZPok_JhPeGqMK26rBv7ZkMKrDB7/view?usp=drivesdk</t>
  </si>
  <si>
    <t>convocation SES-0005 Luc VERRIER</t>
  </si>
  <si>
    <t>tchevallier@ucpa.asso.fr</t>
  </si>
  <si>
    <t>https://drive.google.com/file/d/1jf-tQDHTvyPbTKJprThStmdIISJkIvOs/view?usp=drivesdk</t>
  </si>
  <si>
    <t>david.serano@labalaguere.com_SES-0001</t>
  </si>
  <si>
    <t>convocation SES-0003 Thibaud Chevallier</t>
  </si>
  <si>
    <t>https://drive.google.com/file/d/1UjjEPuanCQLxmNR7FrSyp6HAMvYoMcvT/view?usp=drivesdk</t>
  </si>
  <si>
    <t>david.serano@labalaguere.com_SES-0002</t>
  </si>
  <si>
    <t>convocation SES-0004 Thibaud Chevallier</t>
  </si>
  <si>
    <t>https://drive.google.com/file/d/16Pdslxe7dJGBRFnO0XFi08azSVOmCk0H/view?usp=drivesdk</t>
  </si>
  <si>
    <t>natacha4fabre@gmail.com_SES-0001</t>
  </si>
  <si>
    <t>convocation SES-0005 Thibaud Chevallier</t>
  </si>
  <si>
    <t>https://drive.google.com/file/d/1gazejt4reID2nW9hEZDWgGg2g22SqeFX/view?usp=drivesdk</t>
  </si>
  <si>
    <t>natacha4fabre@gmail.com_SES-0002</t>
  </si>
  <si>
    <t>convocation SES-0005 Aurore Geudin</t>
  </si>
  <si>
    <t>ythiery@ucpa.asso.fr</t>
  </si>
  <si>
    <t>https://drive.google.com/file/d/1uEWDpez-NpqtgWYWR0DNEyyLg72glI8y/view?usp=drivesdk</t>
  </si>
  <si>
    <t>odudflot@ucpa.asso.fr_SES-0001</t>
  </si>
  <si>
    <t>convocation SES-0003 Yann THIERY</t>
  </si>
  <si>
    <t>veronique.gentillet@labalaguere.com</t>
  </si>
  <si>
    <t>https://drive.google.com/file/d/1sVn5nfknJs3SVlK20hH9CP9MzZMO41A-/view?usp=drivesdk</t>
  </si>
  <si>
    <t>convocation SES-0003 Véronique GENTILLET</t>
  </si>
  <si>
    <t>https://drive.google.com/file/d/1bMBogpPHu-w6_PkW_w2tdBep6xrLDz9S/view?usp=drivesdk</t>
  </si>
  <si>
    <t>convocation SES-0005 Véronique  GENTILLET</t>
  </si>
  <si>
    <t>oduflot@ucpa.asso.fr_SES-0002</t>
  </si>
  <si>
    <t>mattiasnilsson@labalaguere.com</t>
  </si>
  <si>
    <t>https://drive.google.com/file/d/1l39D6hWcUaP5MtN9wmfXezs6i0rHLErz/view?usp=drivesdk</t>
  </si>
  <si>
    <t>convocation SES-0003 Mattias Nilsson</t>
  </si>
  <si>
    <t>mnilsson@free.fr</t>
  </si>
  <si>
    <t>lcharlot@vaires-torcy.iledeloisirs.fr_SES-0001</t>
  </si>
  <si>
    <t>https://drive.google.com/file/d/11jETUwIslEs-shrE6JBCCYKEnNfT4lIy/view?usp=drivesdk</t>
  </si>
  <si>
    <t>convocation SES-0004 Mattias Nilsson</t>
  </si>
  <si>
    <t>lcharlot@vaires-torcy.iledeloisirs.fr_SES-0002</t>
  </si>
  <si>
    <t>https://drive.google.com/file/d/1SSi9dOp6SWoIVJjkNwq_HiF0cd1T7tK6/view?usp=drivesdk</t>
  </si>
  <si>
    <t>convocation SES-0005 Mattias Nilsson</t>
  </si>
  <si>
    <t>https://drive.google.com/file/d/1OgnNqcwdfxcizc1GRxgAs3cKGmFTkrwa/view?usp=drivesdk</t>
  </si>
  <si>
    <t>oduflot@ucpa.asso.fr_SES-0001</t>
  </si>
  <si>
    <t>convocation SES-0003 LAURENCE MOSNIER</t>
  </si>
  <si>
    <t>https://drive.google.com/file/d/17DYMxjjrk0ITXPUO2wSzMVx2_4YGUF3R/view?usp=drivesdk</t>
  </si>
  <si>
    <t>cdupuis@ucpasl.com_SES-0002</t>
  </si>
  <si>
    <t>convocation SES-0004 LAURENCE MOSNIER</t>
  </si>
  <si>
    <t>https://drive.google.com/file/d/1SZ0yI52-QqVgZf2RwUU5YdBHSYCupGC6/view?usp=drivesdk</t>
  </si>
  <si>
    <t>melanie.legrand@tootazimut.fr_SES-0002</t>
  </si>
  <si>
    <t>convocation SES-0005 LAURENCE MOSNIER</t>
  </si>
  <si>
    <t>https://drive.google.com/file/d/1JmeFm0Rdvf2e3tzFOn2RkyqmvDz36xQJ/view?usp=drivesdk</t>
  </si>
  <si>
    <t>ypetiot@ucpa.asso.fr_SES-0002</t>
  </si>
  <si>
    <t>amelique@uca.asso.fr</t>
  </si>
  <si>
    <t>https://drive.google.com/file/d/1f2CEYVLOMld3BYtHzMoul8cZaEgX-q__/view?usp=drivesdk</t>
  </si>
  <si>
    <t>convocation SES-0003 Agathe Melique</t>
  </si>
  <si>
    <t>aliflammimb@gmail.com_SES-0002</t>
  </si>
  <si>
    <t>amelique@ucpa.asso.fr</t>
  </si>
  <si>
    <t>https://drive.google.com/file/d/1WYj2rZLif0lGepQQL9vCpCrJPFfbjW49/view?usp=drivesdk</t>
  </si>
  <si>
    <t>convocation SES-0004 Agathe Melique</t>
  </si>
  <si>
    <t>abonville@ucpa.asso.fr_SES-0002</t>
  </si>
  <si>
    <t>https://drive.google.com/file/d/1Um4PZYlcU4RbTUMbAdaWmvgj6qAsxTRG/view?usp=drivesdk</t>
  </si>
  <si>
    <t>convocation SES-0003 MELANIE LEGRAND</t>
  </si>
  <si>
    <t>dsnaidero@ucpa.asso.fr_SES-0002</t>
  </si>
  <si>
    <t>https://drive.google.com/file/d/1EyJbsdsZ1XfQ_-XiYs5eSh0mahbXtJmN/view?usp=drivesdk</t>
  </si>
  <si>
    <t>convocation SES-0004 MELANIE LEGRAND</t>
  </si>
  <si>
    <t>fratard@ucpa.asso.fr</t>
  </si>
  <si>
    <t>https://drive.google.com/file/d/1-Q-0hU7480uQtld1kF8uRJzMYQsQqev5/view?usp=drivesdk</t>
  </si>
  <si>
    <t>francois.cellier@tootazimut.fr_SES-0002</t>
  </si>
  <si>
    <t>convocation SES-0003 Fantine RATARD</t>
  </si>
  <si>
    <t>https://drive.google.com/file/d/1n0YwYsfhzXIhx_O1rswPSBG-3ULAwTDa/view?usp=drivesdk</t>
  </si>
  <si>
    <t>convocation SES-0004 Fantine RATARD</t>
  </si>
  <si>
    <t>aurore.geudin@tootazimut.fr_SES-0002</t>
  </si>
  <si>
    <t>https://drive.google.com/file/d/1tGYHra4ty3Sk8B7hEQWGT1Uf9AzmWGVp/view?usp=drivesdk</t>
  </si>
  <si>
    <t>convocation SES-0003 Philippe GAUDIN</t>
  </si>
  <si>
    <t>criva@ucpasl.com_SES-0002</t>
  </si>
  <si>
    <t>https://drive.google.com/file/d/1m6NhJji_K1W5lSLRUsdLvKIPQvxhpXSG/view?usp=drivesdk</t>
  </si>
  <si>
    <t>convocation SES-0004 Philippe GAUDIN</t>
  </si>
  <si>
    <t>https://drive.google.com/file/d/1HO8wuqvsRhgbw7X_a8UMiv8oPFLORghi/view?usp=drivesdk</t>
  </si>
  <si>
    <t>convocation SES-0005 A D</t>
  </si>
  <si>
    <t>https://drive.google.com/file/d/1QTBQ-X3k6G_8lA2LSrMf1jVq24jBpQR7/view?usp=drivesdk</t>
  </si>
  <si>
    <t>cvincent@ucpasl.com_SES-0002</t>
  </si>
  <si>
    <t>convocation SES-0003 Annabelle de Rivet</t>
  </si>
  <si>
    <t>https://drive.google.com/file/d/1hrLE9tmC6woOgAnczozM7tjmLaJHfA3X/view?usp=drivesdk</t>
  </si>
  <si>
    <t>crios@ucpa.asso.fr_SES-0002</t>
  </si>
  <si>
    <t>convocation SES-0004 Annabelle de Rivet</t>
  </si>
  <si>
    <t>https://drive.google.com/file/d/1KSZMZxw5aYIgBv_oC1bw-YDnRy_i3CEv/view?usp=drivesdk</t>
  </si>
  <si>
    <t>vmorgan@ucpa.asso.fr_SES-0002</t>
  </si>
  <si>
    <t>convocation SES-0005 Annabelle de Rivet</t>
  </si>
  <si>
    <t>https://drive.google.com/file/d/1hwGcB-p_K6R7kAYBqyAiXZW33AxQryJ3/view?usp=drivesdk</t>
  </si>
  <si>
    <t>csimon@ucpa.asso.fr_SES-0002</t>
  </si>
  <si>
    <t>convocation SES-0003 Chouaib SEBANY</t>
  </si>
  <si>
    <t>https://drive.google.com/file/d/1Yk5ctTSyTiOOmygYo0W1ukHH2-eqZIcm/view?usp=drivesdk</t>
  </si>
  <si>
    <t>convocation SES-0004 Chouaib SEBANY</t>
  </si>
  <si>
    <t>vmissonnier@ucpa.asso.fr_SES-0002</t>
  </si>
  <si>
    <t>https://drive.google.com/file/d/1FAaHZOFWLOwCpRNAkx74X2chbTxJe-CV/view?usp=drivesdk</t>
  </si>
  <si>
    <t>convocation SES-0005 Chouaib SEBANY</t>
  </si>
  <si>
    <t>smorvan@ucpasl.com_SES-0002</t>
  </si>
  <si>
    <t>https://drive.google.com/file/d/1ElytO8UbrxiJUQidGmGzTMFp6tIpskF4/view?usp=drivesdk</t>
  </si>
  <si>
    <t>convocation SES-0003 jeremy partouche</t>
  </si>
  <si>
    <t>stefanie.zanaret@gmail.com_SES-0002</t>
  </si>
  <si>
    <t>https://drive.google.com/file/d/1UNyNy03V7ZXzCO8xqqfzwprae-nuBvRr/view?usp=drivesdk</t>
  </si>
  <si>
    <t>convocation SES-0004 Jeremy Partouche</t>
  </si>
  <si>
    <t>clecain@ucpa.asso.fr_SES-0002</t>
  </si>
  <si>
    <t>https://drive.google.com/file/d/12XwZs4v4KzRkuxHJIXNN0KPaDTekdM_3/view?usp=drivesdk</t>
  </si>
  <si>
    <t>convocation SES-0005 Jeremy Partouche</t>
  </si>
  <si>
    <t>rhalimi@ucpa.asso.fr_SES-0002</t>
  </si>
  <si>
    <t>https://drive.google.com/file/d/1vwvYoACLP9NYefNsE_kbwGkgw8jz8piw/view?usp=drivesdk</t>
  </si>
  <si>
    <t>convocation SES-0003 yannick Funke</t>
  </si>
  <si>
    <t>https://drive.google.com/file/d/1L8jYGmoCbnUv8fU2a3BEMvsq_-OhOPgQ/view?usp=drivesdk</t>
  </si>
  <si>
    <t>gpersonnic@ucpa.asso.fr_SES-0002</t>
  </si>
  <si>
    <t>convocation SES-0004 Yannick FUnke</t>
  </si>
  <si>
    <t>https://drive.google.com/file/d/1UJHnNsFvIU-_p4wOIHM9qwADIxtYFoNg/view?usp=drivesdk</t>
  </si>
  <si>
    <t>spornin@ucpa.asso.fr_SES-0002</t>
  </si>
  <si>
    <t>convocation SES-0005 Yannick funke</t>
  </si>
  <si>
    <t>https://drive.google.com/file/d/1eWOwL6d6iy-OPGAYPFMMk239A9OwZS3b/view?usp=drivesdk</t>
  </si>
  <si>
    <t>convocation SES-0003 Maryline Moulier</t>
  </si>
  <si>
    <t>mlabetant@ucpa.asso.fr_SES-0002</t>
  </si>
  <si>
    <t>https://drive.google.com/file/d/1x_s-nnza5MAx9P3IgHQuMjSpm6iNAqh1/view?usp=drivesdk</t>
  </si>
  <si>
    <t>convocation SES-0004 Maryline Moulier</t>
  </si>
  <si>
    <t>https://drive.google.com/file/d/1n_lm9AMDcxljMUUiJ_ky0EB-JK5Cwuvp/view?usp=drivesdk</t>
  </si>
  <si>
    <t>jperrin@ucpa.asso.fr_SES-0002</t>
  </si>
  <si>
    <t>convocation SES-0005 Maryline Moulier</t>
  </si>
  <si>
    <t>https://drive.google.com/file/d/1WILgo7Bf2BDBolWguczsUa5TW4l4NZdz/view?usp=drivesdk</t>
  </si>
  <si>
    <t>nlienard@ucpa.asso.fr_SES-0002</t>
  </si>
  <si>
    <t>convocation SES-0003 Benoit Massin</t>
  </si>
  <si>
    <t>https://drive.google.com/file/d/1xmC4FYmyDWcFu72XItmvkS-rSMrn2yxt/view?usp=drivesdk</t>
  </si>
  <si>
    <t>jm.jugielaffitte@labalaguere.com_SES-0002</t>
  </si>
  <si>
    <t>convocation SES-0004 Benoit Massin</t>
  </si>
  <si>
    <t>https://drive.google.com/file/d/1x8DU19ZF-h1XA8TwGFT9Xy5trtjKD0m6/view?usp=drivesdk</t>
  </si>
  <si>
    <t>rthivin@ucpa.asso.fr_SES-0002</t>
  </si>
  <si>
    <t>convocation SES-0005 Benoit  Massin</t>
  </si>
  <si>
    <t>epacull@ucpa.asso.fr</t>
  </si>
  <si>
    <t>https://drive.google.com/file/d/1qm7s1j1acxWo1TkAb8I1Q4TrqoU_AJZU/view?usp=drivesdk</t>
  </si>
  <si>
    <t>gebonnard@ucpa.asso.fr_SES-0003</t>
  </si>
  <si>
    <t>convocation SES-0003 Estelle Pacull</t>
  </si>
  <si>
    <t>https://drive.google.com/file/d/1rhop4LbH87qj06Ygp7YOtVAFcQbdHnWj/view?usp=drivesdk</t>
  </si>
  <si>
    <t>mvaujany@ucpa.asso.fr_SES-0003</t>
  </si>
  <si>
    <t>convocation SES-0004 Estelle Pacull</t>
  </si>
  <si>
    <t>snobis@ucpa.asso.fr</t>
  </si>
  <si>
    <t>https://drive.google.com/file/d/1PZm5D4o0iOlGkkaiyBFYlCRK4dOtlh1G/view?usp=drivesdk</t>
  </si>
  <si>
    <t>asupiot@ucpa.asso.fr_SES-0003</t>
  </si>
  <si>
    <t>convocation SES-0003 Sébastien Nobis</t>
  </si>
  <si>
    <t>cchardin@ucpa.asso.fr</t>
  </si>
  <si>
    <t>https://drive.google.com/file/d/122-Sm2m1ABUtwUCrntQE1dQnX_oLKHjy/view?usp=drivesdk</t>
  </si>
  <si>
    <t>convocation SES-0005 Christophe Chardin</t>
  </si>
  <si>
    <t>mboudon@ucpa.asso.fr_SES-0003</t>
  </si>
  <si>
    <t>fgarcin@ucpa.asso.fr</t>
  </si>
  <si>
    <t>https://drive.google.com/file/d/1_zdaT-jZ07Nxn9eNGBbSaggQFU5gsF8v/view?usp=drivesdk</t>
  </si>
  <si>
    <t>convocation SES-0003 Frédéric GARCIN</t>
  </si>
  <si>
    <t>https://drive.google.com/file/d/1p9LdMav26QTnoPfljCN6qlglgiW9WMH9/view?usp=drivesdk</t>
  </si>
  <si>
    <t>asupiot@ucpa.asso.fr_SES-0004</t>
  </si>
  <si>
    <t>convocation SES-0003 Céline LE CAIN</t>
  </si>
  <si>
    <t>https://drive.google.com/file/d/1Ok-qMr_zvblE6jN3JZ0pb4Rx--DZ9_7K/view?usp=drivesdk</t>
  </si>
  <si>
    <t>convocation SES-0004 Céline LE CAIN</t>
  </si>
  <si>
    <t>gebonnard@ucpa.asso.fr_SES-0004</t>
  </si>
  <si>
    <t>https://drive.google.com/file/d/1fR231AJPOIgqOB3N_rR5UmPj8ysz2wxl/view?usp=drivesdk</t>
  </si>
  <si>
    <t>convocation SES-0005 Céline LE CAIN</t>
  </si>
  <si>
    <t>gebonnard@ucpa.asso.fr_SES-0005</t>
  </si>
  <si>
    <t>pamaury@ucpa.asso.fr</t>
  </si>
  <si>
    <t>https://drive.google.com/file/d/1Fxv_3I6RUngPWfPDLE4VrOvCmEaFb9LQ/view?usp=drivesdk</t>
  </si>
  <si>
    <t>convocation SES-0003 Patrick AMAURY</t>
  </si>
  <si>
    <t>ebenet@ucpa.asso.fr</t>
  </si>
  <si>
    <t>https://drive.google.com/file/d/1rDuoDDafAm7Y4UMqJkjC9bEMTtkdGywA/view?usp=drivesdk</t>
  </si>
  <si>
    <t>cklipfel@ucpa.asso.fr_SES-0003</t>
  </si>
  <si>
    <t xml:space="preserve">convocation SES-0003 Emilie Benet </t>
  </si>
  <si>
    <t>mnodin@ucpa.asso.fr_SES-0003</t>
  </si>
  <si>
    <t>https://drive.google.com/file/d/1zVjqC_hWqSRVTLRfiqIQixbpx0ZKJLyF/view?usp=drivesdk</t>
  </si>
  <si>
    <t>mnodin@ucpa.asso.fr_SES-0004</t>
  </si>
  <si>
    <t xml:space="preserve">convocation SES-0004 Emilie Benet </t>
  </si>
  <si>
    <t>https://drive.google.com/file/d/10cZWmcNssbtO6NYyInMcvlKd8xToXqqL/view?usp=drivesdk</t>
  </si>
  <si>
    <t>cklipfel@ucpa.asso.fr_SES-0004</t>
  </si>
  <si>
    <t>convocation SES-0005 Emilie Benet</t>
  </si>
  <si>
    <t>mnodin@ucpa.asso.fr_SES-0005</t>
  </si>
  <si>
    <t>https://drive.google.com/file/d/1yMBumSPJMYaEx3mbNjnDP-FzlFvYROQ9/view?usp=drivesdk</t>
  </si>
  <si>
    <t>convocation SES-0005 yasmine LESUEUR</t>
  </si>
  <si>
    <t>marie.defer@tootazimut.fr_SES-0003</t>
  </si>
  <si>
    <t>https://drive.google.com/file/d/1cPLcKqBU3Z3hIT1P5sRM1w4EFMovq_WO/view?usp=drivesdk</t>
  </si>
  <si>
    <t>marie.defer@tootazimut.fr_SES-0004</t>
  </si>
  <si>
    <t>convocation SES-0004 yasmine LESUEUR</t>
  </si>
  <si>
    <t>https://drive.google.com/file/d/1L0QLXoWBWGAmiYlq0vNHa4rUrLKpVq7a/view?usp=drivesdk</t>
  </si>
  <si>
    <t>marie0defer@tootazimut.fr_SES-0005</t>
  </si>
  <si>
    <t>convocation SES-0003 yasmine LESUEUR</t>
  </si>
  <si>
    <t>https://drive.google.com/file/d/1eNqQX0LHhg87PQzyxpkTmaLMFMsFPzfs/view?usp=drivesdk</t>
  </si>
  <si>
    <t>cklipfel@ucpa.asso.fr_SES-0005</t>
  </si>
  <si>
    <t>convocation SES-0003 catherine mouton</t>
  </si>
  <si>
    <t>mdidier@ucpa.asso.fr_SES-0003</t>
  </si>
  <si>
    <t>https://drive.google.com/file/d/1ynNWfE5dYu1ZgjB3NRpP5DUdQhRhylsh/view?usp=drivesdk</t>
  </si>
  <si>
    <t>mdidier@ucpa.asso.fr_SES-0004</t>
  </si>
  <si>
    <t>convocation SES-0004 catherine mouton</t>
  </si>
  <si>
    <t>https://drive.google.com/file/d/1LXYOQDI4j86WFQHJ3Q9tpM3pEmn3LB0F/view?usp=drivesdk</t>
  </si>
  <si>
    <t>mdidier@ucpa.asso.fr_SES-0005</t>
  </si>
  <si>
    <t>convocation SES-0005 catherine mouton</t>
  </si>
  <si>
    <t>nathalie_leturcq@yahoo.fr</t>
  </si>
  <si>
    <t>https://drive.google.com/file/d/1Cbe8BsL36OS5-YfDjWdn_K8jB0Ys9oM2/view?usp=drivesdk</t>
  </si>
  <si>
    <t>hmaziere@ucpa.asso.fr_SES-0005</t>
  </si>
  <si>
    <t>convocation SES-0003 NATHALIE LETURCQ</t>
  </si>
  <si>
    <t>https://drive.google.com/file/d/1t_SiZmn0BmZTtvCRD5vomEjmmPGHziiZ/view?usp=drivesdk</t>
  </si>
  <si>
    <t>zoubida.sofi@tootazimut.fr_SES-0003</t>
  </si>
  <si>
    <t>https://drive.google.com/file/d/1Qr3f6l83NR2xdhUjfJttdtTIlJZ8ja46/view?usp=drivesdk</t>
  </si>
  <si>
    <t>zoubida.sofi@tootazimut.fr_SES-0004</t>
  </si>
  <si>
    <t>convocation SES-0004 NATHALIE LETURCQ</t>
  </si>
  <si>
    <t>https://drive.google.com/file/d/19VsqW31w4cA32yDqdiP6JVuqJy1t-5im/view?usp=drivesdk</t>
  </si>
  <si>
    <t>pbreton@ucpa.asso.fr_SES-0003</t>
  </si>
  <si>
    <t>convocation SES-0005 NATHALIE LETURCQ</t>
  </si>
  <si>
    <t>https://drive.google.com/file/d/1KVxj6ymLv9ulLJahfXaHm104CnrQ0UxI/view?usp=drivesdk</t>
  </si>
  <si>
    <t>pbreton@ucpa.asso.fr_SES-0004</t>
  </si>
  <si>
    <t>convocation SES-0004 Magali VAUJANY</t>
  </si>
  <si>
    <t>pbreton@ucpa.asso.fr_SES-0005</t>
  </si>
  <si>
    <t>https://drive.google.com/file/d/1a8-DEaZeLwwQV8sEE1GU6KL_a9-SfV7T/view?usp=drivesdk</t>
  </si>
  <si>
    <t>bmarchal@ucpasl.com_SES-0003</t>
  </si>
  <si>
    <t>convocation SES-0005 Magali VAUJANY</t>
  </si>
  <si>
    <t>https://drive.google.com/file/d/1MBvd0v7neU-FUViQB2w4GaQAJtMxCZBq/view?usp=drivesdk</t>
  </si>
  <si>
    <t>kmillion@ucpa.asso.fr_SES-0003</t>
  </si>
  <si>
    <t>convocation SES-0003 Aurélien FOUQUET</t>
  </si>
  <si>
    <t>https://drive.google.com/file/d/1LMdwlc54u39C0pl-zU6z2Dvr8qB-JJBA/view?usp=drivesdk</t>
  </si>
  <si>
    <t>bmarchal@ucpasl.com_SES-0004</t>
  </si>
  <si>
    <t>convocation SES-0004 Aurélien FOUQUET</t>
  </si>
  <si>
    <t>https://drive.google.com/file/d/1uY8R2lyLxqy4fl8Jj10nvMoQ-FRQDcC7/view?usp=drivesdk</t>
  </si>
  <si>
    <t>kmillion@ucpa.asso.fr_SES-0004</t>
  </si>
  <si>
    <t>convocation SES-0003 MARIE FLOURY</t>
  </si>
  <si>
    <t>https://drive.google.com/file/d/1Mvjf0QK7EWsVTh1Qvy9FjSE9L1niehin/view?usp=drivesdk</t>
  </si>
  <si>
    <t>bmarchal@ucpasl.com_SES-0005</t>
  </si>
  <si>
    <t>convocation SES-0004 MARIE FLOURY</t>
  </si>
  <si>
    <t>https://drive.google.com/file/d/1l7ctssJ-zM7iaH20afN5MKb4tZL-gVY1/view?usp=drivesdk</t>
  </si>
  <si>
    <t>convocation SES-0005 MARIE FLOURY</t>
  </si>
  <si>
    <t>cgex@ucpa.asso.ff</t>
  </si>
  <si>
    <t>https://drive.google.com/file/d/1ZWpaFftVSHhhFTgOI5C20rwK0-SC15uq/view?usp=drivesdk</t>
  </si>
  <si>
    <t>kmillion@ucpa.asso.fr_SES-0005</t>
  </si>
  <si>
    <t>convocation SES-0003 Coralie  GEX-FABRY</t>
  </si>
  <si>
    <t>vmorin@ucpa.asso.fr</t>
  </si>
  <si>
    <t>https://drive.google.com/file/d/1_TBNyQvCPozmJ0fMswsIeJGIc1xoizjG/view?usp=drivesdk</t>
  </si>
  <si>
    <t>jmonnette@ucpa.asso.fr_SES-0003</t>
  </si>
  <si>
    <t>convocation SES-0004 Virginie Morin</t>
  </si>
  <si>
    <t>https://drive.google.com/file/d/1w1lXBua-EuZDDCg54BayAiUiSdlfG5tu/view?usp=drivesdk</t>
  </si>
  <si>
    <t>jmonnette@ucpa.asso.fr_SES-0004</t>
  </si>
  <si>
    <t>convocation SES-0005 Virginie Morin</t>
  </si>
  <si>
    <t>https://drive.google.com/file/d/1pJWYWBraBt-9a8-4rGJklRvuCP5LJ9vq/view?usp=drivesdk</t>
  </si>
  <si>
    <t>blachaize@ucpa.asso.fr_SES-0003</t>
  </si>
  <si>
    <t>convocation SES-0003 Laurianne Grosjean</t>
  </si>
  <si>
    <t>blecomte@ucpa.asso.fr</t>
  </si>
  <si>
    <t>https://drive.google.com/file/d/1iuAvbFnMIXnD9pOHMl0UbwecznrlJ32m/view?usp=drivesdk</t>
  </si>
  <si>
    <t>yohan.brun@telligo.fr_SES-0004</t>
  </si>
  <si>
    <t>convocation SES-0004 Béatrice LECOMTE</t>
  </si>
  <si>
    <t>https://drive.google.com/file/d/1mTPsT5B-oCaTTZoqNTXU808t2qDrnmjk/view?usp=drivesdk</t>
  </si>
  <si>
    <t>yohan.brun@telligo.fr_SES-0003</t>
  </si>
  <si>
    <t>convocation SES-0003 JEAN MARC PORCHER</t>
  </si>
  <si>
    <t>https://drive.google.com/file/d/1N0PfpMd9alWvjXSeXz35OV8LagWjofRR/view?usp=drivesdk</t>
  </si>
  <si>
    <t>yohan.brun@telligo.fr_SES-0005</t>
  </si>
  <si>
    <t>convocation SES-0004 JEAN MARC PORCHER</t>
  </si>
  <si>
    <t>https://drive.google.com/file/d/1I-0rrY_vY_crauRu_v9BmwJUblt9NJXy/view?usp=drivesdk</t>
  </si>
  <si>
    <t>convocation SES-0005 JEAN MARC PORCHER</t>
  </si>
  <si>
    <t>jlanson@ucpa.asso.fr</t>
  </si>
  <si>
    <t>https://drive.google.com/file/d/1v89vgyylT9Qnekra4V0WU_ahXkfuKlOL/view?usp=drivesdk</t>
  </si>
  <si>
    <t>convocation SES-0003 Julie LANSON</t>
  </si>
  <si>
    <t>https://drive.google.com/file/d/19UjzTRwcAK_mv5d7Upr4wiloQds0iOr4/view?usp=drivesdk</t>
  </si>
  <si>
    <t>slebris@ucpa.asso.fr_SES-0003</t>
  </si>
  <si>
    <t>convocation SES-0004 Julie LANSON</t>
  </si>
  <si>
    <t>https://drive.google.com/file/d/19TqOGmxg8qepMoOImhbMmmNfe5BmEOia/view?usp=drivesdk</t>
  </si>
  <si>
    <t>slebris@ucpa.asso.fr_SES-0004</t>
  </si>
  <si>
    <t>convocation SES-0005 Julie LANSON</t>
  </si>
  <si>
    <t>mpoque@ucpa.asso.fr</t>
  </si>
  <si>
    <t>https://drive.google.com/file/d/1QTcV7TJWIc6IXNvmuhK63dh_x_9_pKGo/view?usp=drivesdk</t>
  </si>
  <si>
    <t>slebris@ucpa.asso.fr_SES-0005</t>
  </si>
  <si>
    <t>convocation SES-0005 matthieu poque</t>
  </si>
  <si>
    <t>https://drive.google.com/file/d/1Nyv91knhZPKqyrO4kHHV2HyZs2faHSMd/view?usp=drivesdk</t>
  </si>
  <si>
    <t>aiftene@ucpa.asso.fr_SES-0003</t>
  </si>
  <si>
    <t>convocation SES-0004 Charlène RIVA</t>
  </si>
  <si>
    <t>jmathlouthi@ucpa.asso.fr</t>
  </si>
  <si>
    <t>https://drive.google.com/file/d/1Lk5rpM3oHXydSuvKFykAsTyOJ-xfRd3E/view?usp=drivesdk</t>
  </si>
  <si>
    <t>aiftene@ucpa.asso.fr_SES-0004</t>
  </si>
  <si>
    <t>convocation SES-0004 Justine MATHLOUTHI</t>
  </si>
  <si>
    <t>https://drive.google.com/file/d/1Sld4LneTy970dZeagu3K9pgq5PjoutgC/view?usp=drivesdk</t>
  </si>
  <si>
    <t>aiftene@ucpa.asso.fr_SES-0005</t>
  </si>
  <si>
    <t>convocation SES-0005 Justine MATHLOUTHI</t>
  </si>
  <si>
    <t>vmathelin@ucpa.asso.fr</t>
  </si>
  <si>
    <t>https://drive.google.com/file/d/1NlstKV2myYrxqVH7palFjXnd5s-egVkV/view?usp=drivesdk</t>
  </si>
  <si>
    <t>convocation SES-0004 Virginie MATHELIN</t>
  </si>
  <si>
    <t>https://drive.google.com/file/d/15QAv4M6PNdG1pgFj7uT3ns_043Y9aqJD/view?usp=drivesdk</t>
  </si>
  <si>
    <t>mjacquemod@ucpa.asso.fr_SES-0003</t>
  </si>
  <si>
    <t>convocation SES-0005 Virginie MATHELIN</t>
  </si>
  <si>
    <t>https://drive.google.com/file/d/1xAmIP16iVLiBqjVVwMcExCjDLCexNoHS/view?usp=drivesdk</t>
  </si>
  <si>
    <t>mjacquemod@ucpa.asso.fr_SES-0004</t>
  </si>
  <si>
    <t>convocation SES-0004 audrey frigo</t>
  </si>
  <si>
    <t>rseguin@ucpa.asso.fr</t>
  </si>
  <si>
    <t>https://drive.google.com/file/d/1FVuBK4B3s-hKrgmhZC5hpx9eOfxb1nt0/view?usp=drivesdk</t>
  </si>
  <si>
    <t>convocation SES-0004 ENAUD SEGUIN</t>
  </si>
  <si>
    <t>mjacquemod@ucpa.asso.fr_SES-0005</t>
  </si>
  <si>
    <t>https://drive.google.com/file/d/1n5lyvY_mgCf-ccw-M8WgK9ZAWGBul9s5/view?usp=drivesdk</t>
  </si>
  <si>
    <t>convocation SES-0005 RENAUD SEGUIN</t>
  </si>
  <si>
    <t>pdeplaix@ucpa.asso.fr_SES-0003</t>
  </si>
  <si>
    <t>https://drive.google.com/file/d/1XA9uH9LprWLP6Yd9dCjssGbKkH7D3Vzj/view?usp=drivesdk</t>
  </si>
  <si>
    <t>convocation SES-0004 LISE GUITTON</t>
  </si>
  <si>
    <t>pastolz@ucpa.asso.fr_SES-0003</t>
  </si>
  <si>
    <t>https://drive.google.com/file/d/1Y0t-9MXUzrX1LwI8e3s3RJ4Bhmi6Xo2u/view?usp=drivesdk</t>
  </si>
  <si>
    <t>imaitrejean@ucpa.asso.fr_SES-0003</t>
  </si>
  <si>
    <t>convocation SES-0004 Amélie Guindon</t>
  </si>
  <si>
    <t>https://drive.google.com/file/d/1Oo80ytYD6ofy3l9811IG_cdg-IL1KAM7/view?usp=drivesdk</t>
  </si>
  <si>
    <t>convocation SES-0005 Amélie Guindon</t>
  </si>
  <si>
    <t>imaitrejean@ucpa.asso.fr_SES-0004</t>
  </si>
  <si>
    <t>https://drive.google.com/file/d/1KiBOA-ezi0OJ58IIRpyzoOY65VZ8mrDH/view?usp=drivesdk</t>
  </si>
  <si>
    <t>convocation SES-0005 LISE GUITTON</t>
  </si>
  <si>
    <t>pastolz@ucpa.asso.fr_SES-0004</t>
  </si>
  <si>
    <t>https://drive.google.com/file/d/11o4d3re2tCNdxH0NVoI_taQOlKbhyupy/view?usp=drivesdk</t>
  </si>
  <si>
    <t>convocation SES-0004 Agathe PAULET CATRIN</t>
  </si>
  <si>
    <t>imaitrejean@ucpa.asso.fr_SES-0005</t>
  </si>
  <si>
    <t>https://drive.google.com/file/d/1TxV1Zoo5zs_JZfiKcF_3f43Oy0bmSjtr/view?usp=drivesdk</t>
  </si>
  <si>
    <t>pastolz@ucpa.asso.fr_SES-0005</t>
  </si>
  <si>
    <t>convocation SES-0005 Agathe Paulet Catrin</t>
  </si>
  <si>
    <t>https://drive.google.com/file/d/1ilV_OQxHr_JQdfkJ5OrTNmsQXTpdAdZe/view?usp=drivesdk</t>
  </si>
  <si>
    <t>ctsikras@ucpa.asso.fr_SES-0003</t>
  </si>
  <si>
    <t>convocation SES-0004 Stéphane Tavernier</t>
  </si>
  <si>
    <t>https://drive.google.com/file/d/1Xs_CMZLmT5eRGFlFieocTjRryEkWEpp3/view?usp=drivesdk</t>
  </si>
  <si>
    <t>ctsikras@ucpa.asso.fr_SES-0004</t>
  </si>
  <si>
    <t>convocation SES-0005 Stéphane Tavernier</t>
  </si>
  <si>
    <t>jlaureau@ucpa.asso.fr</t>
  </si>
  <si>
    <t>https://drive.google.com/file/d/1arE0ciCYdUELL6uILdFbB2J7QW4s2oNW/view?usp=drivesdk</t>
  </si>
  <si>
    <t>ctsikras@ucpa.asso.fr_SES-0005</t>
  </si>
  <si>
    <t>convocation SES-0004 Judit Laureau</t>
  </si>
  <si>
    <t>https://drive.google.com/file/d/1PiPg5WySyM6etiUypEATflM4M4JNI4r8/view?usp=drivesdk</t>
  </si>
  <si>
    <t>lboujjaadia@ucpa.asso.fr_SES-0003</t>
  </si>
  <si>
    <t>convocation SES-0005 Judit Laureau</t>
  </si>
  <si>
    <t>apequignot@ucpa.asso.fr</t>
  </si>
  <si>
    <t>https://drive.google.com/file/d/17sOtapDycQtRabsaaS075PZf9FA3YVRg/view?usp=drivesdk</t>
  </si>
  <si>
    <t>lboujjaadia@ucpa.asso.fr_SES-0004</t>
  </si>
  <si>
    <t>convocation SES-0004 Antoine Péquignot</t>
  </si>
  <si>
    <t>ajudas@ucpasl.com</t>
  </si>
  <si>
    <t>https://drive.google.com/file/d/1r8hKHS_5Q1fyVAGsa6sZCXbaKmJ_f9JG/view?usp=drivesdk</t>
  </si>
  <si>
    <t>lboujjaadia@ucpa.asso.fr_SES-0005</t>
  </si>
  <si>
    <t>convocation SES-0004 Aurélien JUDAS</t>
  </si>
  <si>
    <t>https://drive.google.com/file/d/1ku_Ugh6P9AAR0CqUpf-mUH5uKkqgibiH/view?usp=drivesdk</t>
  </si>
  <si>
    <t>cthoby@ucpa.asso.fr_SES-0004</t>
  </si>
  <si>
    <t>convocation SES-0005 Aurélien JUDAS</t>
  </si>
  <si>
    <t>https://drive.google.com/file/d/1w5tVWbmkwAy7HoKFforyHOvAnM2KnoSI/view?usp=drivesdk</t>
  </si>
  <si>
    <t>cvialon@ucpa.asso.fr_SES-0004</t>
  </si>
  <si>
    <t>convocation SES-0005 Antoine Péquignot</t>
  </si>
  <si>
    <t>https://drive.google.com/file/d/1oXRbQKgLSZl5ixltDa2Xhs3sxBVxVANf/view?usp=drivesdk</t>
  </si>
  <si>
    <t>jfoy@ucpa.asso.fr_SES-0003</t>
  </si>
  <si>
    <t>convocation SES-0004 Leslie LECACHEUR</t>
  </si>
  <si>
    <t>https://drive.google.com/file/d/19_IDKHkRbubc5iWzfkOGYbNo6o2fPitz/view?usp=drivesdk</t>
  </si>
  <si>
    <t>cvialon@ucpa.asso.fr_SES-0005</t>
  </si>
  <si>
    <t>convocation SES-0004 Christophe Chardin</t>
  </si>
  <si>
    <t>fprost@ucpa.asso.fr</t>
  </si>
  <si>
    <t>https://drive.google.com/file/d/1-pXFfpT2tFvWD4yTKxSR0pKpBYhpip3d/view?usp=drivesdk</t>
  </si>
  <si>
    <t>jfoy@ucpa.asso.fr_SES-0004</t>
  </si>
  <si>
    <t>convocation SES-0004 François Prost</t>
  </si>
  <si>
    <t>fprost@asso.ucpa.fr</t>
  </si>
  <si>
    <t>https://drive.google.com/file/d/1-C-eYD7UWOHznndAhlKZB3ue-0x8l4m9/view?usp=drivesdk</t>
  </si>
  <si>
    <t>ccoeur@ucpa.asso.fr_SES-0003</t>
  </si>
  <si>
    <t>convocation SES-0005 François Prost</t>
  </si>
  <si>
    <t>https://drive.google.com/file/d/1GGGZuF2aZVNDjVsz559fgma1SRO6e2ts/view?usp=drivesdk</t>
  </si>
  <si>
    <t>ccoeur@ucpa.asso.fr_SES-0004</t>
  </si>
  <si>
    <t>https://drive.google.com/file/d/1ie_XvGPGgIGdKqUFDfEttn8aqOGiJK4w/view?usp=drivesdk</t>
  </si>
  <si>
    <t>convocation SES-0004 Aurore Geudin</t>
  </si>
  <si>
    <t>ccoeur@ucpa.asso.fr_SES-0005</t>
  </si>
  <si>
    <t>https://drive.google.com/file/d/1hawU69lVIUfpr5WJBdlddoXL9FjPEwV5/view?usp=drivesdk</t>
  </si>
  <si>
    <t>convocation SES-0004 Stéphanie MOYOU</t>
  </si>
  <si>
    <t>goulven.personnic@gmail.com_SES-0004</t>
  </si>
  <si>
    <t>https://drive.google.com/file/d/1d4KmZFYXuq2n-AgTqZSaH-VCjTFu4uwa/view?usp=drivesdk</t>
  </si>
  <si>
    <t>convocation SES-0005 Stéphanie MOYOU</t>
  </si>
  <si>
    <t>goulven.personnic@gmail.com_SES-0003</t>
  </si>
  <si>
    <t>amandine@labalaguere.com</t>
  </si>
  <si>
    <t>https://drive.google.com/file/d/1Pj4bBE4RWooDYJaE7prno5oPTeSiHppR/view?usp=drivesdk</t>
  </si>
  <si>
    <t>convocation SES-0004 amandine rocques</t>
  </si>
  <si>
    <t>goulven.personnic@gmail.com_SES-0005</t>
  </si>
  <si>
    <t>https://drive.google.com/file/d/1M2hG1mH2gtQytRQQrNc8DX2djB0abIXp/view?usp=drivesdk</t>
  </si>
  <si>
    <t>jfoy@ucpa.asso.fr_SES-0005</t>
  </si>
  <si>
    <t>https://drive.google.com/file/d/1m29Ndsh3fp3rtKoVaHQsNguA3TvHzw0f/view?usp=drivesdk</t>
  </si>
  <si>
    <t>abrossard@ucpa.asso.fr_SES-0003</t>
  </si>
  <si>
    <t>cgex@ucpa.asso.fr</t>
  </si>
  <si>
    <t>https://drive.google.com/file/d/1wLJ_xJY0QJLFcOLqqDJDxYqzMPDkEKzB/view?usp=drivesdk</t>
  </si>
  <si>
    <t>abrossard@ucpa.asso.fr_SES-0004</t>
  </si>
  <si>
    <t>convocation SES-0004 coralie gex-fabry</t>
  </si>
  <si>
    <t>https://drive.google.com/file/d/18hCeoz-wanIRK0pTuzHh5rGb6aXQ_leo/view?usp=drivesdk</t>
  </si>
  <si>
    <t>abrossard@ucpa.asso.fr_SES-0005</t>
  </si>
  <si>
    <t>convocation SES-0005 Véronique  Croué</t>
  </si>
  <si>
    <t>https://drive.google.com/file/d/14Xj2EaaX7L4E1pOMnuThOBqiY_-yRL8F/view?usp=drivesdk</t>
  </si>
  <si>
    <t>aborgies@ucpa.asso.fr_SES-0003</t>
  </si>
  <si>
    <t>convocation SES-0004 DELPHINE SNAIDERO</t>
  </si>
  <si>
    <t>laurine.llop@gmail.com</t>
  </si>
  <si>
    <t>https://drive.google.com/file/d/1eRwac-UqjH6rK0c7CA6qvACVg_h90pBq/view?usp=drivesdk</t>
  </si>
  <si>
    <t>tbrouard@ucpa.asso.fr_SES-0003</t>
  </si>
  <si>
    <t>convocation SES-0004 Laurine LLOP</t>
  </si>
  <si>
    <t>https://drive.google.com/file/d/1QbTATlCukCZK3d13L7Bc1cPwFqhV08sX/view?usp=drivesdk</t>
  </si>
  <si>
    <t>pgaultier@ucpa.asso.fr_SES-0003</t>
  </si>
  <si>
    <t>convocation SES-0005 Laurine LLOP</t>
  </si>
  <si>
    <t>https://drive.google.com/file/d/14TW83JObA4U3fCHrbDK8ajvYqAI7odqh/view?usp=drivesdk</t>
  </si>
  <si>
    <t>pgaultier@ucpa.asso.fr_SES-0005</t>
  </si>
  <si>
    <t xml:space="preserve">convocation SES-0004 Catherine  TAVERNE </t>
  </si>
  <si>
    <t>pgaultier@ucpa.asso.fr_SES-0004</t>
  </si>
  <si>
    <t>https://drive.google.com/file/d/1nsFF8X2gIYqJRnyPU_g2-EiV7MGTMAk6/view?usp=drivesdk</t>
  </si>
  <si>
    <t>vincentcazalaa@labalaguere.com_SES-0004</t>
  </si>
  <si>
    <t xml:space="preserve">convocation SES-0005 Catherine  TAVERNE </t>
  </si>
  <si>
    <t>https://drive.google.com/file/d/1wa5MNk1ji0rfjraFHyzwTOjENsJCvhuZ/view?usp=drivesdk</t>
  </si>
  <si>
    <t>JCOLOMBAT@UCPASL.COM_SES-0003</t>
  </si>
  <si>
    <t>JCOLOMBAT@UCPASL.COM_SES-0004</t>
  </si>
  <si>
    <t>convocation SES-0004 Elena Didier</t>
  </si>
  <si>
    <t>https://drive.google.com/file/d/1fW7nkGvtA_5-QxAx-sQ649kGX0mpJhHe/view?usp=drivesdk</t>
  </si>
  <si>
    <t>christinecoumet@labalaguere.com_SES-0003</t>
  </si>
  <si>
    <t>convocation SES-0005 Elena Didier</t>
  </si>
  <si>
    <t>https://drive.google.com/file/d/1eZVD5VIMRXjj-o44sHUYgPPMkDAVYdYU/view?usp=drivesdk</t>
  </si>
  <si>
    <t>JCOLOMBAT@UCPASL.COM_SES-0005</t>
  </si>
  <si>
    <t>christinecoumet@labalaguere.com_SES-0004</t>
  </si>
  <si>
    <t>convocation SES-0004 nATHALIE lI2NARD</t>
  </si>
  <si>
    <t>https://drive.google.com/file/d/18ieULr1xWEQjY2cC5IlFsbT0cn61eRQX/view?usp=drivesdk</t>
  </si>
  <si>
    <t>christinecoumet@labalaguere.com_SES-0005</t>
  </si>
  <si>
    <t>convocation SES-0005 Nathalie Liénard</t>
  </si>
  <si>
    <t>https://drive.google.com/file/d/10KRMK_p70w0JX9Nwb3TSst_cHQRH2XLx/view?usp=drivesdk</t>
  </si>
  <si>
    <t>stephanie.abaziou@labalaguere.com_SES-0004</t>
  </si>
  <si>
    <t>convocation SES-0004 NADIA KHOULALENE</t>
  </si>
  <si>
    <t>stephanie.abaziou@labalaguere.com_SES-0005</t>
  </si>
  <si>
    <t>https://drive.google.com/file/d/1E3y-nOe-HoOMcPmInezPNCKWLgqb1Jq7/view?usp=drivesdk</t>
  </si>
  <si>
    <t>convocation SES-0005 NADIA KHOULALENE</t>
  </si>
  <si>
    <t>lcaron@ucpa.asso.fr</t>
  </si>
  <si>
    <t>https://drive.google.com/file/d/1Ar73Hi1yRLVTfGMKXUp1xh_-AV8c4omx/view?usp=drivesdk</t>
  </si>
  <si>
    <t>mlepretre@ucpa.asso.fr_SES-0004</t>
  </si>
  <si>
    <t>convocation SES-0004 Laure Caron</t>
  </si>
  <si>
    <t>lfeuillet@ucpa.asso.fr_SES-0003</t>
  </si>
  <si>
    <t>bbrunelle@ucpa.asso.fr</t>
  </si>
  <si>
    <t>https://drive.google.com/file/d/1FxQjG_GiC9lilaPBMZLN641GG1hS4i2S/view?usp=drivesdk</t>
  </si>
  <si>
    <t>lfeuillet@ucpa.asso.fr_SES-0004</t>
  </si>
  <si>
    <t>convocation SES-0004 baptiste brunelle</t>
  </si>
  <si>
    <t>jorisriffaud@gmail.com</t>
  </si>
  <si>
    <t>https://drive.google.com/file/d/1I8SRm4JZsk5GeCB9RAPXoq3MpD0IN9mW/view?usp=drivesdk</t>
  </si>
  <si>
    <t>lfeuillet@ucpa.asso.fr_SES-0005</t>
  </si>
  <si>
    <t>convocation SES-0004 Joris Riffaud</t>
  </si>
  <si>
    <t>https://drive.google.com/file/d/1X6gWfUyo9CnuhVxHcC-0sTk7XFjKycHq/view?usp=drivesdk</t>
  </si>
  <si>
    <t>hpoudevigne@ucpa.asso.fr_SES-0003</t>
  </si>
  <si>
    <t>convocation SES-0005 Joris Riffaud</t>
  </si>
  <si>
    <t>rrodriguez@ucpa.asso.fr</t>
  </si>
  <si>
    <t>https://drive.google.com/file/d/14U3-gUoB_38zJbAObzG2r3NewyCB_m_r/view?usp=drivesdk</t>
  </si>
  <si>
    <t>hpoudevigne@ucpa.asso.fr_SES-0004</t>
  </si>
  <si>
    <t>convocation SES-0004 Romy Rodriguez</t>
  </si>
  <si>
    <t>https://drive.google.com/file/d/1HxWSRCgUETSt1cttnrBikc_z02zFq3tm/view?usp=drivesdk</t>
  </si>
  <si>
    <t>ftaffin@ucpa.asso.fr_SES-0003</t>
  </si>
  <si>
    <t>convocation SES-0005 Romy Rodriguez</t>
  </si>
  <si>
    <t>https://drive.google.com/file/d/1yyjKMXhxY6fkJSiXHcNQt-Cu-6kNdM3z/view?usp=drivesdk</t>
  </si>
  <si>
    <t>tdelcourt@ucpasl.com_SES-0003</t>
  </si>
  <si>
    <t>convocation SES-0005 baptiste Brunelle</t>
  </si>
  <si>
    <t>dweinman@ucpa.asso.fr</t>
  </si>
  <si>
    <t>https://drive.google.com/file/d/1S9pPHXHkmx2xDMsffz3Z0JfuhDd8npeO/view?usp=drivesdk</t>
  </si>
  <si>
    <t>tdelcourt@ucpasl.com_SES-0004</t>
  </si>
  <si>
    <t>convocation SES-0004 Deborah Weinman</t>
  </si>
  <si>
    <t>tdelcourt@ucpasl.com_SES-0005</t>
  </si>
  <si>
    <t>https://drive.google.com/file/d/1R0s_9AUVvi9v7gj0cpMqxM-29F6-Gdhv/view?usp=drivesdk</t>
  </si>
  <si>
    <t>convocation SES-0005 Déborah Weinman</t>
  </si>
  <si>
    <t>courneuve.act@ucpa.asso.fr_SES-0003</t>
  </si>
  <si>
    <t>sheurtel@ucpa.asso.fr</t>
  </si>
  <si>
    <t>https://drive.google.com/file/d/1-V5kMjLQQjtKlJwfktZiNMWkU8TUevh1/view?usp=drivesdk</t>
  </si>
  <si>
    <t>convocation SES-0004 Stéphanie HEURTEL</t>
  </si>
  <si>
    <t>catherine.georges@telligo.fr_SES-0004</t>
  </si>
  <si>
    <t>https://drive.google.com/file/d/10DBi4qrRVcAWCweJ-n6GiXGkasrSOtaz/view?usp=drivesdk</t>
  </si>
  <si>
    <t>gpouleur@pailleron19.com_SES-0005</t>
  </si>
  <si>
    <t>convocation SES-0005 Stéphanie HEURTEL</t>
  </si>
  <si>
    <t>dakhla@ucpaplanete.com</t>
  </si>
  <si>
    <t>https://drive.google.com/file/d/1ZNxUKsYEEurmWt0vN3G6_gi6Y0OVX95N/view?usp=drivesdk</t>
  </si>
  <si>
    <t>catherine.georges@telligo.fr_SES-0005</t>
  </si>
  <si>
    <t>convocation SES-0004 morgane ridoret</t>
  </si>
  <si>
    <t>skerfyser@ucpasl.com</t>
  </si>
  <si>
    <t>https://drive.google.com/file/d/1M0hdw5TjPdks2FPPmthdYgBEZAfuCbuH/view?usp=drivesdk</t>
  </si>
  <si>
    <t>catherine.georges@telligo.fr_SES-0003</t>
  </si>
  <si>
    <t>convocation SES-0005 Simon Kerfyser</t>
  </si>
  <si>
    <t>courneuve.act@ucpa.asso.fr_SES-0005</t>
  </si>
  <si>
    <t>SES-0006</t>
  </si>
  <si>
    <t>https://drive.google.com/file/d/1ZEO-kzHKIW1-l_RZpgFo4-Yf9P-elYSL/view?usp=drivesdk</t>
  </si>
  <si>
    <t>vmeigneux@ucpa.asso.com_SES-0003</t>
  </si>
  <si>
    <t>convocation SES-0006 THIERRY VANOFFE</t>
  </si>
  <si>
    <t>kevin.lagarde@labalaguere.com</t>
  </si>
  <si>
    <t>https://drive.google.com/file/d/1Qxm6utV51eGqkC_2IpCMUfTLpKVAh4Vn/view?usp=drivesdk</t>
  </si>
  <si>
    <t>vmeigneux@ucpa.asso.fr_SES-0004</t>
  </si>
  <si>
    <t>convocation SES-0004 Kévin Lagarde</t>
  </si>
  <si>
    <t>https://drive.google.com/file/d/1kx590FtfkGfAJ4WexuGwtHt8Rqi2zEB2/view?usp=drivesdk</t>
  </si>
  <si>
    <t>vmeigneux@ucpa.asso.fr_SES-0005</t>
  </si>
  <si>
    <t>convocation SES-0005 Kévin Lagarde</t>
  </si>
  <si>
    <t>emert@ucpa.asso.fr</t>
  </si>
  <si>
    <t>https://drive.google.com/file/d/11UeWXMoQGutJ3piXD9RUuFi3cdPgWTf0/view?usp=drivesdk</t>
  </si>
  <si>
    <t>bperrin@ucpaplanete.com_SES-0004</t>
  </si>
  <si>
    <t xml:space="preserve">convocation SES-0004 Emmanuelle Mert </t>
  </si>
  <si>
    <t>SES-0022</t>
  </si>
  <si>
    <t>https://drive.google.com/file/d/1SIcv-Bg0u49-Qisai_2BsD0yytPenMmz/view?usp=drivesdk</t>
  </si>
  <si>
    <t>bperrin@ucpaplanete.com_SES-0005</t>
  </si>
  <si>
    <t>convocation SES-0022 Antoine MARTiN</t>
  </si>
  <si>
    <t>https://drive.google.com/file/d/1mEkAjZW8JsWmoU1EJB-xzQ8p3_F8dQgr/view?usp=drivesdk</t>
  </si>
  <si>
    <t>convocation SES-0022 Thierry VANOFFE</t>
  </si>
  <si>
    <t>mlavigne@ucpa.asso.fr</t>
  </si>
  <si>
    <t>https://drive.google.com/file/d/1F-cxvPD9lhkTwiefL6CW5OhjtS74NYpd/view?usp=drivesdk</t>
  </si>
  <si>
    <t>convocation SES-0004 Martin LAVIGNE</t>
  </si>
  <si>
    <t>jkuylle@laposte.net</t>
  </si>
  <si>
    <t>https://drive.google.com/file/d/1yg1d3XzfFfdNbfGBkVzcv3ebZWEFGj4b/view?usp=drivesdk</t>
  </si>
  <si>
    <t>convocation SES-0004 Julie Kuylle</t>
  </si>
  <si>
    <t>https://drive.google.com/file/d/1RvzDTNnwD_MdOZ9eWr7lAMKoyEPxOo9h/view?usp=drivesdk</t>
  </si>
  <si>
    <t>convocation SES-0006 thierry vanoffe</t>
  </si>
  <si>
    <t>SES-0016</t>
  </si>
  <si>
    <t>https://drive.google.com/file/d/1wlTRhpNRbGu5OdO7CR6hgZNVy5bPpt-T/view?usp=drivesdk</t>
  </si>
  <si>
    <t>convocation SES-0016 alexandra bonville</t>
  </si>
  <si>
    <t>SES-0019</t>
  </si>
  <si>
    <t>https://drive.google.com/file/d/1sx6B-_0_fnPIkM8WBk-9co7hrBQFlX70/view?usp=drivesdk</t>
  </si>
  <si>
    <t>convocation SES-0019 alexandra bonville</t>
  </si>
  <si>
    <t>https://drive.google.com/file/d/19bvNLnMhnBx4AtHLCSPSGHoVqcvs_BrV/view?usp=drivesdk</t>
  </si>
  <si>
    <t>convocation SES-0004 Alain BORGIES</t>
  </si>
  <si>
    <t>victoria.debruyne@tootazimut.fr</t>
  </si>
  <si>
    <t>https://drive.google.com/file/d/1r3TrhY_nY4ErSyh5LvNzNnTCNv_U_S5X/view?usp=drivesdk</t>
  </si>
  <si>
    <t>convocation SES-0004 Victoria Debruyne</t>
  </si>
  <si>
    <t>imuzellec@ucpa.asso.fr</t>
  </si>
  <si>
    <t>https://drive.google.com/file/d/1NybX6qyIRGz5OcVw0yw-qc4QQCU-p_wr/view?usp=drivesdk</t>
  </si>
  <si>
    <t>convocation SES-0006 ISABELLE MUZELLEC</t>
  </si>
  <si>
    <t>https://drive.google.com/file/d/1QXpsIPR1kMuTf1nhvcBlypXFRloz2FkR/view?usp=drivesdk</t>
  </si>
  <si>
    <t>convocation SES-0004 ISABELLE MUZELLEC</t>
  </si>
  <si>
    <t>helsenechal@gmail.com</t>
  </si>
  <si>
    <t>https://drive.google.com/file/d/17oJ6MO4-3i3CcV4CGXCs3uJfsZBjDxvW/view?usp=drivesdk</t>
  </si>
  <si>
    <t>convocation SES-0006 HELENE MAZIERE</t>
  </si>
  <si>
    <t>SES-0012</t>
  </si>
  <si>
    <t>https://drive.google.com/file/d/1NM9hE7naIQw4Qe0LBH5P-s-qg2HwjHID/view?usp=drivesdk</t>
  </si>
  <si>
    <t>convocation SES-0012 HELENE MAZIERE</t>
  </si>
  <si>
    <t>SES-0007</t>
  </si>
  <si>
    <t>https://drive.google.com/file/d/1eqhBqLVDjXPHbqew_xmhBImXOplfdg1t/view?usp=drivesdk</t>
  </si>
  <si>
    <t xml:space="preserve">convocation SES-0007 Isabelle  Maitrejean </t>
  </si>
  <si>
    <t>SES-0008</t>
  </si>
  <si>
    <t>https://drive.google.com/file/d/1IeEF-KwoRj70KwALBFfOoMf321plIIfN/view?usp=drivesdk</t>
  </si>
  <si>
    <t>jm.jugielaffitte@labalaguere.com_SES-0003</t>
  </si>
  <si>
    <t xml:space="preserve">convocation SES-0008 Aurélien  JUDAS </t>
  </si>
  <si>
    <t>https://drive.google.com/file/d/1EsPueOgCHV8Dh1chhOmi4RerOx0G2zWs/view?usp=drivesdk</t>
  </si>
  <si>
    <t>jm.jugielaffitte@labalaguere.com_SES-0004</t>
  </si>
  <si>
    <t xml:space="preserve">convocation SES-0008 Isabelle  Maitrejean </t>
  </si>
  <si>
    <t>SES-0014</t>
  </si>
  <si>
    <t>https://drive.google.com/file/d/1QgEb-pKZ9y0QWHPkuKrX_G-kpM2s4hki/view?usp=drivesdk</t>
  </si>
  <si>
    <t xml:space="preserve">convocation SES-0014 Isabelle  Maitrejean </t>
  </si>
  <si>
    <t>jm.jugielaffitte@labalaguere.com_SES-0005</t>
  </si>
  <si>
    <t>etissot@ucpasl.com</t>
  </si>
  <si>
    <t>https://drive.google.com/file/d/1Z8op4lrljr3bHWpk4GyYA6iYV5HWZYIs/view?usp=drivesdk</t>
  </si>
  <si>
    <t>convocation SES-0006 Emmanuelle  Tissot</t>
  </si>
  <si>
    <t>sboumrar@vaires-torcy.iledeloisirs.fr_SES-0003</t>
  </si>
  <si>
    <t>SES-0009</t>
  </si>
  <si>
    <t>https://drive.google.com/file/d/1eXGhHmhVn3fbD0iigwSQ3lJTXODITpvg/view?usp=drivesdk</t>
  </si>
  <si>
    <t>convocation SES-0009 Emmanuelle  Tissot</t>
  </si>
  <si>
    <t>lroussellot@vaires-torcy.iledeloisirs.fr_SES-0003</t>
  </si>
  <si>
    <t>https://drive.google.com/file/d/1BCT0edHgPa4ChDoJzelZqLe--OS1etHi/view?usp=drivesdk</t>
  </si>
  <si>
    <t>convocation SES-0004 Emmanuelle  Tissot</t>
  </si>
  <si>
    <t>https://drive.google.com/file/d/1m27rUHF1IkfqU3PXUAwV_ASQvC2T-Ymc/view?usp=drivesdk</t>
  </si>
  <si>
    <t>isantos@ucpa.asso.fr_SES-0003</t>
  </si>
  <si>
    <t>isantos@ucpa.asso.fr_SES-0004</t>
  </si>
  <si>
    <t>convocation SES-0007 Aurore Geudin</t>
  </si>
  <si>
    <t>SES-0010</t>
  </si>
  <si>
    <t>https://drive.google.com/file/d/1zAB7FrJxjEKNAXq45bYTmaoQioqvm5pY/view?usp=drivesdk</t>
  </si>
  <si>
    <t>isantos@ucpa.asso.fr_SES-0005</t>
  </si>
  <si>
    <t>convocation SES-0010 Aurore Geudin</t>
  </si>
  <si>
    <t>SES-0017</t>
  </si>
  <si>
    <t>https://drive.google.com/file/d/1wP3ztjznMdhYLC4f-75rGF4eL1Q1baJ2/view?usp=drivesdk</t>
  </si>
  <si>
    <t>fxmeuge@ucpa.asso.fr_SES-0003</t>
  </si>
  <si>
    <t>convocation SES-0017 Aurore GEUDIN</t>
  </si>
  <si>
    <t>https://drive.google.com/file/d/1fLJ_KBsiK-R1oVTp1ye0o9az_ZHPo2sP/view?usp=drivesdk</t>
  </si>
  <si>
    <t>fxmeuge@ucpa.asso.fr_SES-0004</t>
  </si>
  <si>
    <t>convocation SES-0019 Geudin Aurore</t>
  </si>
  <si>
    <t>https://drive.google.com/file/d/1bN-bMKiKXitnTPNvKM4ITuDakzbFIJuu/view?usp=drivesdk</t>
  </si>
  <si>
    <t>fxmeuge@ucpa.asso.fr_SES-0005</t>
  </si>
  <si>
    <t xml:space="preserve">convocation SES-0006 Isabelle  Maitrejean </t>
  </si>
  <si>
    <t>https://drive.google.com/file/d/1xIXcrghzKbHJVrhBVYMf-lCIkAIC7qUM/view?usp=drivesdk</t>
  </si>
  <si>
    <t>clapeyre@ucpasl.com_SES-0003</t>
  </si>
  <si>
    <t xml:space="preserve">convocation SES-0016 Isabelle  Maitrejean </t>
  </si>
  <si>
    <t>https://drive.google.com/file/d/1Nm3F5N0pbq8cs-7PoRdlBNuc727FAJen/view?usp=drivesdk</t>
  </si>
  <si>
    <t>clapeyre@ucpasl.com_SES-0004</t>
  </si>
  <si>
    <t>convocation SES-0006 Simon Kerfyser</t>
  </si>
  <si>
    <t>https://drive.google.com/file/d/1t0ivAuWGhOL-bIdthuZ8hruEpsAu6-ke/view?usp=drivesdk</t>
  </si>
  <si>
    <t>clapeyre@ucpasl.com_SES-0005</t>
  </si>
  <si>
    <t>convocation SES-0008 Emmanuelle  Tissot</t>
  </si>
  <si>
    <t>https://drive.google.com/file/d/1CJalXErOdTUHsF6sHgt3gmjHhCiyG8_j/view?usp=drivesdk</t>
  </si>
  <si>
    <t>ytortel@ucpa.asso.fr_SES-0004</t>
  </si>
  <si>
    <t xml:space="preserve">convocation SES-0019 Isabelle  Maitrejean </t>
  </si>
  <si>
    <t>SES-0020</t>
  </si>
  <si>
    <t>apouffier@ucpasl.com_SES-0003</t>
  </si>
  <si>
    <t>https://drive.google.com/file/d/1ae5f1z9AtHlXy5Njr-abN48HLKEqocza/view?usp=drivesdk</t>
  </si>
  <si>
    <t xml:space="preserve">convocation SES-0020 Isabelle  Maitrejean </t>
  </si>
  <si>
    <t>apouffier@ucpasl.com_SES-0004</t>
  </si>
  <si>
    <t>https://drive.google.com/file/d/1plT7Xip9oL27xr6WS_btKn1E3zOJ7U16/view?usp=drivesdk</t>
  </si>
  <si>
    <t>convocation SES-0005 Emmy Tissot</t>
  </si>
  <si>
    <t>apouffier@ucpasl.com_SES-0005</t>
  </si>
  <si>
    <t>https://drive.google.com/file/d/1Lb_4VWiEwrTlEF5FxbjCijkISTS_qhnW/view?usp=drivesdk</t>
  </si>
  <si>
    <t>convocation SES-0016 Emmanuelle  Tissot</t>
  </si>
  <si>
    <t>marcbonaventure.service@gmail.com_SES-0003</t>
  </si>
  <si>
    <t>SES-0015</t>
  </si>
  <si>
    <t>https://drive.google.com/file/d/1rRuNjLjbPjGgPMp0hTjSDrWFp0BIjpJz/view?usp=drivesdk</t>
  </si>
  <si>
    <t>convocation SES-0015 Aurore  Geudin</t>
  </si>
  <si>
    <t>marcbonaventure.service@gmail.com_SES-0004</t>
  </si>
  <si>
    <t>SES-0018</t>
  </si>
  <si>
    <t>alison.tomine@gmail.com</t>
  </si>
  <si>
    <t>https://drive.google.com/file/d/1S-5Zg-ZrHjJCUQMdjooGF0s-SfboVp3R/view?usp=drivesdk</t>
  </si>
  <si>
    <t>convocation SES-0018 Alison Tomine</t>
  </si>
  <si>
    <t>marcbonaventure.service@gmail.com_SES-0005</t>
  </si>
  <si>
    <t>https://drive.google.com/file/d/1Al3lOUHGFRzwm9Ai37mwEVXvgLc5R8An/view?usp=drivesdk</t>
  </si>
  <si>
    <t>revano@ucpa.asso.fr_SES-0004</t>
  </si>
  <si>
    <t>convocation SES-0020 Emmanuelle  Tissot</t>
  </si>
  <si>
    <t>SES-0021</t>
  </si>
  <si>
    <t>https://drive.google.com/file/d/129ztC3Rx9Cj_pnwes0uz4ucA-9f0EBYk/view?usp=drivesdk</t>
  </si>
  <si>
    <t>revano@ucpa.asso.fr_SES-0005</t>
  </si>
  <si>
    <t xml:space="preserve">convocation SES-0021 Isabelle  Maitrejean </t>
  </si>
  <si>
    <t>laure.boubehira@labalaguere.com</t>
  </si>
  <si>
    <t>https://drive.google.com/file/d/1-N_4khuk9yONdmdRcO93exJaswC70ZzB/view?usp=drivesdk</t>
  </si>
  <si>
    <t>sdecq@pailleron19.com_SES-0003</t>
  </si>
  <si>
    <t>convocation SES-0014 laure boubehira</t>
  </si>
  <si>
    <t>https://drive.google.com/file/d/1RzqNcWzQJd4ulsGpdYlT0HGju8HCgYQf/view?usp=drivesdk</t>
  </si>
  <si>
    <t>sdecq@pailleron19.com_SES-0004</t>
  </si>
  <si>
    <t>convocation SES-0019 Aurélien FOUQUET</t>
  </si>
  <si>
    <t>https://drive.google.com/file/d/1RJgjTY1nkHjhjMF4oKddLdm8x27jrQ4z/view?usp=drivesdk</t>
  </si>
  <si>
    <t>sdecq@pailleron19.com_SES-0005</t>
  </si>
  <si>
    <t>convocation SES-0008 Aurélien FOUQUET</t>
  </si>
  <si>
    <t>https://drive.google.com/file/d/1-KS2mgkQZVku7mKSe3RB9qj4K6H_0LNs/view?usp=drivesdk</t>
  </si>
  <si>
    <t>lverrier@ucpa.asso.fr_SES-0003</t>
  </si>
  <si>
    <t>convocation SES-0004 Camille Rios</t>
  </si>
  <si>
    <t>https://drive.google.com/file/d/1y7w0xqbmD3iksLa32z_9U7PlarhAtkuY/view?usp=drivesdk</t>
  </si>
  <si>
    <t>lverrier@ucpa.asso.fr_SES-0004</t>
  </si>
  <si>
    <t>convocation SES-0007 Camille Rios</t>
  </si>
  <si>
    <t>https://drive.google.com/file/d/1LC-S9xI3zKimJuy50njaRkqeoHWed6W5/view?usp=drivesdk</t>
  </si>
  <si>
    <t>lverrier@ucpa.asso.fr_SES-0005</t>
  </si>
  <si>
    <t>convocation SES-0008 Camille Rios</t>
  </si>
  <si>
    <t>https://drive.google.com/file/d/1Rx2LTM428-3-bxC5iRmIoC-7xqzk9SdG/view?usp=drivesdk</t>
  </si>
  <si>
    <t>tchevallier@ucpa.asso.fr_SES-0003</t>
  </si>
  <si>
    <t>convocation SES-0007 Zoubida SOFI</t>
  </si>
  <si>
    <t>https://drive.google.com/file/d/1tJGICOCTa88uADPUNISs6cnttOD79CHi/view?usp=drivesdk</t>
  </si>
  <si>
    <t>tchevallier@ucpa.asso.fr_SES-0004</t>
  </si>
  <si>
    <t>convocation SES-0009 Véronique MISSONNIER</t>
  </si>
  <si>
    <t>https://drive.google.com/file/d/1ZpxWl2xKTvmJmtJN2OvNhgu1h7STxer2/view?usp=drivesdk</t>
  </si>
  <si>
    <t>tchevallier@ucpa.asso.fr_SES-0005</t>
  </si>
  <si>
    <t xml:space="preserve">convocation SES-0008 Zoubida  SOFI </t>
  </si>
  <si>
    <t>https://drive.google.com/file/d/1LzD5NQcqO6qtEGY-tBH4DM-J0FYr0wGH/view?usp=drivesdk</t>
  </si>
  <si>
    <t>aurore.geudin@tootazimut.fr_SES-0005</t>
  </si>
  <si>
    <t>convocation SES-0010 Véronique MISSONNIER</t>
  </si>
  <si>
    <t>SES-0011</t>
  </si>
  <si>
    <t>https://drive.google.com/file/d/1L63ZgXrw4ASRMRaPoaAsI8Fj5qHhRFzU/view?usp=drivesdk</t>
  </si>
  <si>
    <t>convocation SES-0011 Véronique MISSONNIER</t>
  </si>
  <si>
    <t>ythiery@ucpa.asso.fr_SES-0003</t>
  </si>
  <si>
    <t>https://drive.google.com/file/d/1Io8QxzKvaMvB1Xz8T8nNMQ5bj05r-VUf/view?usp=drivesdk</t>
  </si>
  <si>
    <t>convocation SES-0017 Zoubida  SOFI</t>
  </si>
  <si>
    <t>veronique.gentillet@labalaguere.com_SES-0003</t>
  </si>
  <si>
    <t>https://drive.google.com/file/d/1uFQsX-7WGtH0yZqzxwduQwhOsVglvUMt/view?usp=drivesdk</t>
  </si>
  <si>
    <t>convocation SES-0012 Véronique MISSONNIER</t>
  </si>
  <si>
    <t>veronique.gentillet@labalaguere.com_SES-0005</t>
  </si>
  <si>
    <t>https://drive.google.com/file/d/1m33iya4G-PnM-dXKpMxrdq7iww-vjjnU/view?usp=drivesdk</t>
  </si>
  <si>
    <t>convocation SES-0016 Véronique MISSONNIER</t>
  </si>
  <si>
    <t>mattiasnilsson@labalaguere.com_SES-0003</t>
  </si>
  <si>
    <t>https://drive.google.com/file/d/1HxCqErIEc7XoHY5vyWE3J8OmcpCC9y6L/view?usp=drivesdk</t>
  </si>
  <si>
    <t>convocation SES-0019 Véronique MISSONNIER</t>
  </si>
  <si>
    <t>mnilsson@free.fr_SES-0004</t>
  </si>
  <si>
    <t>https://drive.google.com/file/d/1CGdM0t9EQ_jo3zoXYaQW_QpqvoIeqcPL/view?usp=drivesdk</t>
  </si>
  <si>
    <t xml:space="preserve">convocation SES-0019 Zoubida  SOFI </t>
  </si>
  <si>
    <t>mattiasnilsson@labalaguere.com_SES-0005</t>
  </si>
  <si>
    <t>https://drive.google.com/file/d/1lWk1oNh34YBzskZxkWriVbyfoFRumnrq/view?usp=drivesdk</t>
  </si>
  <si>
    <t xml:space="preserve">convocation SES-0011 Zoubida SOFI </t>
  </si>
  <si>
    <t>lmosnier@ucpa.asso.fr_SES-0003</t>
  </si>
  <si>
    <t>https://drive.google.com/file/d/1E0ESWfiqIjkXRb1YhAYt2OnhvmkJPVxZ/view?usp=drivesdk</t>
  </si>
  <si>
    <t>convocation SES-0008 yannick funke</t>
  </si>
  <si>
    <t>lmosnier@ucpa.asso.fr_SES-0004</t>
  </si>
  <si>
    <t>lmosnier@ucpa.asso.fr_SES-0005</t>
  </si>
  <si>
    <t>mattiasnilsson@labalaguere.com_SES-0004</t>
  </si>
  <si>
    <t>pspaeter@ucpa.asso.fr</t>
  </si>
  <si>
    <t>https://drive.google.com/file/d/1g572mjgSq81-a6Fvxw6LZ3HeZbaSQAbE/view?usp=drivesdk</t>
  </si>
  <si>
    <t>amelique@uca.asso.fr_SES-0003</t>
  </si>
  <si>
    <t>convocation SES-0006 Pascal Spaeter</t>
  </si>
  <si>
    <t>amelique@ucpa.asso.fr_SES-0004</t>
  </si>
  <si>
    <t>https://drive.google.com/file/d/1nKpruC0Jvt5yq92-CgljjuAJtaJW_m0G/view?usp=drivesdk</t>
  </si>
  <si>
    <t>melanie.legrand@tootazimut.fr_SES-0003</t>
  </si>
  <si>
    <t>convocation SES-0005 Pascal Spaeter</t>
  </si>
  <si>
    <t>https://drive.google.com/file/d/1UB9vinjT93jtp_TINFxC19esz-P9Y0w8/view?usp=drivesdk</t>
  </si>
  <si>
    <t>melanie.legrand@tootazimut.fr_SES-0004</t>
  </si>
  <si>
    <t>convocation SES-0018 yannick funke</t>
  </si>
  <si>
    <t>nleturcq@yahoo.fr</t>
  </si>
  <si>
    <t>https://drive.google.com/file/d/1ytGuZ1ajmtHOFFhNBx161Sh8UAgtkOqY/view?usp=drivesdk</t>
  </si>
  <si>
    <t>convocation SES-0007 nathalie leturcq</t>
  </si>
  <si>
    <t>fratard@ucpa.asso.fr_SES-0003</t>
  </si>
  <si>
    <t>https://drive.google.com/file/d/1v2_QOkbViBcKpo9Gm2tl8hRxgwqqd8Vo/view?usp=drivesdk</t>
  </si>
  <si>
    <t>convocation SES-0008 nathalie leturcq</t>
  </si>
  <si>
    <t>fratard@ucpa.asso.fr_SES-0004</t>
  </si>
  <si>
    <t>https://drive.google.com/file/d/1qAmQeRKgmApvYcJdzMXccSdiulwxsLrB/view?usp=drivesdk</t>
  </si>
  <si>
    <t>pgaudin@ucpa.asso.fr_SES-0003</t>
  </si>
  <si>
    <t>pgaudin@ucpa.asso.fr_SES-0004</t>
  </si>
  <si>
    <t>convocation SES-0010 nathalie leturcq</t>
  </si>
  <si>
    <t>adanican@ucpa.asso.fr_SES-0005</t>
  </si>
  <si>
    <t>https://drive.google.com/file/d/1h2sSZpmq7P3vRUbRMhfNMvkDaknIifU3/view?usp=drivesdk</t>
  </si>
  <si>
    <t>convocation SES-0012 nathalie leturcq</t>
  </si>
  <si>
    <t>aderivet@ucpa.asso.fr_SES-0003</t>
  </si>
  <si>
    <t>https://drive.google.com/file/d/1-vwAIpx_Ah221r0FSYJc9Q7YEMJY-oGc/view?usp=drivesdk</t>
  </si>
  <si>
    <t>convocation SES-0004 Maxime Val</t>
  </si>
  <si>
    <t>aderivet@ucpa.asso.fr_SES-0004</t>
  </si>
  <si>
    <t>https://drive.google.com/file/d/1ttdRXZ_4Iu3DAv9Pn0NnviFnem5fCa-q/view?usp=drivesdk</t>
  </si>
  <si>
    <t>convocation SES-0005 Maxime Val</t>
  </si>
  <si>
    <t>aderivet@ucpa.asso.fr_SES-0005</t>
  </si>
  <si>
    <t>https://drive.google.com/file/d/1kwRUqaQrZREZugza9HbYnAi05QwRFGJj/view?usp=drivesdk</t>
  </si>
  <si>
    <t>csebany@ucpa.asso.fr_SES-0003</t>
  </si>
  <si>
    <t>convocation SES-0016 nathalie leturcq</t>
  </si>
  <si>
    <t>https://drive.google.com/file/d/1dkMxKVpMjpfzrEWQD2yI8JvRElL5piqq/view?usp=drivesdk</t>
  </si>
  <si>
    <t>csebany@ucpa.asso.fr_SES-0004</t>
  </si>
  <si>
    <t>https://drive.google.com/file/d/1wrLT1RWE3l4nIpavLij9tf6Bk4hY6sJj/view?usp=drivesdk</t>
  </si>
  <si>
    <t>csebany@ucpa.asso.fr_SES-0005</t>
  </si>
  <si>
    <t>https://drive.google.com/file/d/1EYByNsReaAjSXPo-qPGsTTDYERoIeowp/view?usp=drivesdk</t>
  </si>
  <si>
    <t>convocation SES-0007 Stéphanie ABAZIOU</t>
  </si>
  <si>
    <t>jpartouche@ucpasl.com_SES-0003</t>
  </si>
  <si>
    <t>https://drive.google.com/file/d/19gKabIJ3E4UJB9-9O0Wc7CLt1_IQKiMq/view?usp=drivesdk</t>
  </si>
  <si>
    <t>convocation SES-0008 Stéphanie ABAZIOU</t>
  </si>
  <si>
    <t>https://drive.google.com/file/d/1_0t0AorubOI-QjYT6JbhMUjFyrgbfWyO/view?usp=drivesdk</t>
  </si>
  <si>
    <t>jpartouche@ucpasl.com_SES-0004</t>
  </si>
  <si>
    <t>https://drive.google.com/file/d/19K2pE6DzMO1g-gJKs8H7SV6KhfbSFdpZ/view?usp=drivesdk</t>
  </si>
  <si>
    <t>jpartouche@ucpasl.com_SES-0005</t>
  </si>
  <si>
    <t>https://drive.google.com/file/d/1y_gFTGsCh5Rku7BRoesUkHjr6pRSzFBw/view?usp=drivesdk</t>
  </si>
  <si>
    <t>yfunke@ucpasl.com_SES-0003</t>
  </si>
  <si>
    <t>convocation SES-0009 Sabrina Morvan</t>
  </si>
  <si>
    <t>s.morvan@ucpasl.com</t>
  </si>
  <si>
    <t>https://drive.google.com/file/d/1AhNUYBICzZsd_HQTMPGOBn82Fmjs3ru5/view?usp=drivesdk</t>
  </si>
  <si>
    <t>yfunke@ucpasl.com_SES-0004</t>
  </si>
  <si>
    <t>convocation SES-0008 Sabrina Morvan</t>
  </si>
  <si>
    <t>https://drive.google.com/file/d/1o_BKPuvkW1LpXB8gKrM23UncLmMAu5CP/view?usp=drivesdk</t>
  </si>
  <si>
    <t>yfunke@ucpasl.com_SES-0005</t>
  </si>
  <si>
    <t>convocation SES-0008 François-Xavier Meugé</t>
  </si>
  <si>
    <t>mmoulier@ucpasl.com_SES-0003</t>
  </si>
  <si>
    <t>https://drive.google.com/file/d/1im-l2rbg2q_d0lzkEHGFMggeIeEMI0QL/view?usp=drivesdk</t>
  </si>
  <si>
    <t>convocation SES-0019 François-Xavier Meugé</t>
  </si>
  <si>
    <t>mmoulier@ucpasl.com_SES-0004</t>
  </si>
  <si>
    <t>https://drive.google.com/file/d/1zyej0sWjvrZR3biiaUXCtZy1-71tJXxe/view?usp=drivesdk</t>
  </si>
  <si>
    <t>convocation SES-0018 Nathalie Palisse</t>
  </si>
  <si>
    <t>mmoulier@ucpasl.com_SES-0005</t>
  </si>
  <si>
    <t>https://drive.google.com/file/d/1eROfNZeqE58D0EVHJzsikXjY0y52LPQq/view?usp=drivesdk</t>
  </si>
  <si>
    <t>convocation SES-0006 patricia breton</t>
  </si>
  <si>
    <t>benoit_massin@hotmail.com_SES-0003</t>
  </si>
  <si>
    <t>https://drive.google.com/file/d/1j-HhJCRdumGC04KU3SUJ7AZuIqfdA0-B/view?usp=drivesdk</t>
  </si>
  <si>
    <t>benoit_massin@hotmail.com_SES-0004</t>
  </si>
  <si>
    <t>convocation SES-0007 patricia breton</t>
  </si>
  <si>
    <t>https://drive.google.com/file/d/1T3xJy8e9S8edo34vVz-_vB8RUK7Pe99c/view?usp=drivesdk</t>
  </si>
  <si>
    <t>benoit_massin@hotmail.com_SES-0005</t>
  </si>
  <si>
    <t>convocation SES-0018 Géraldine BONNARD</t>
  </si>
  <si>
    <t>https://drive.google.com/file/d/1slC6wU9iGI8AZxdqMwpTGd-6kWcl0GQz/view?usp=drivesdk</t>
  </si>
  <si>
    <t>convocation SES-0009 jose FOY</t>
  </si>
  <si>
    <t>epacull@ucpa.asso.fr_SES-0003</t>
  </si>
  <si>
    <t>https://drive.google.com/file/d/1JbLik0DKQmjS4Ou-4I2pfzqFNqGUWr4p/view?usp=drivesdk</t>
  </si>
  <si>
    <t>convocation SES-0011 jose FOY</t>
  </si>
  <si>
    <t>https://drive.google.com/file/d/1GKe98NusoIL-gkUScO7f3cCb5O8i5lzq/view?usp=drivesdk</t>
  </si>
  <si>
    <t>epacull@ucpa.asso.fr_SES-0004</t>
  </si>
  <si>
    <t>convocation SES-0012 jose FOY</t>
  </si>
  <si>
    <t>azamorahautier@ucpa.asso.fr</t>
  </si>
  <si>
    <t>https://drive.google.com/file/d/1e36GVIDVMozN9Cf6SwFggk_pW3H_8v23/view?usp=drivesdk</t>
  </si>
  <si>
    <t>snobis@ucpa.asso.fr_SES-0003</t>
  </si>
  <si>
    <t>convocation SES-0018 Anne ZAMORA</t>
  </si>
  <si>
    <t>ecusey@uscpasl.com</t>
  </si>
  <si>
    <t>https://drive.google.com/file/d/1jKFhiek4VK7nhSVe4OD7AA6uzKmwr_En/view?usp=drivesdk</t>
  </si>
  <si>
    <t>cchardin@ucpa.asso.fr_SES-0005</t>
  </si>
  <si>
    <t>convocation SES-0004 Emilie CUSEY</t>
  </si>
  <si>
    <t>https://drive.google.com/file/d/1cDedenisdbPMRL5tam42SewNZIprFIwO/view?usp=drivesdk</t>
  </si>
  <si>
    <t>fgarcin@ucpa.asso.fr_SES-0003</t>
  </si>
  <si>
    <t>convocation SES-0007 jose FOY</t>
  </si>
  <si>
    <t>https://drive.google.com/file/d/1aqv5e7ZkZueAn0KwkCN9ZzKgIFrnpXgR/view?usp=drivesdk</t>
  </si>
  <si>
    <t>clecain@ucpa.asso.fr_SES-0003</t>
  </si>
  <si>
    <t>convocation SES-0008 jose FOY</t>
  </si>
  <si>
    <t>https://drive.google.com/file/d/12st4sDkN-lXot5puqdt4z-Vj9cg41alw/view?usp=drivesdk</t>
  </si>
  <si>
    <t>clecain@ucpa.asso.fr_SES-0004</t>
  </si>
  <si>
    <t>convocation SES-0010 jose FOY</t>
  </si>
  <si>
    <t>https://drive.google.com/file/d/1Vzg5S0vHdtnVpxCFxh918WamZjf7k8fK/view?usp=drivesdk</t>
  </si>
  <si>
    <t>clecain@ucpa.asso.fr_SES-0005</t>
  </si>
  <si>
    <t>convocation SES-0016 jose FOY</t>
  </si>
  <si>
    <t>https://drive.google.com/file/d/1DH-UQPSXVD-f8_jKT5P8JT5TcL9SCFVk/view?usp=drivesdk</t>
  </si>
  <si>
    <t>pamaury@ucpa.asso.fr_SES-0003</t>
  </si>
  <si>
    <t>convocation SES-0019 jose FOY</t>
  </si>
  <si>
    <t>ebenet@ucpa.asso.fr_SES-0003</t>
  </si>
  <si>
    <t>https://drive.google.com/file/d/12GEJ4liqMSU4mPitjcHtsHeZTXQf84rH/view?usp=drivesdk</t>
  </si>
  <si>
    <t>convocation SES-0020 jose FOY</t>
  </si>
  <si>
    <t>ebenet@ucpa.asso.fr_SES-0004</t>
  </si>
  <si>
    <t>vdelamaire@pailleron19.com</t>
  </si>
  <si>
    <t>https://drive.google.com/file/d/1dzgB-Fbb7deMbMlOBFpRg-lLkPGqiQDZ/view?usp=drivesdk</t>
  </si>
  <si>
    <t>convocation SES-0006 Vanessa Delamaire</t>
  </si>
  <si>
    <t>ebenet@ucpa.asso.fr_SES-0005</t>
  </si>
  <si>
    <t>https://drive.google.com/file/d/1FKHTG3j08EI_uRstm6EMFQvxT5DKTbmL/view?usp=drivesdk</t>
  </si>
  <si>
    <t>convocation SES-0010 Isabelle Maitrejean</t>
  </si>
  <si>
    <t>ylesueur@ucpa.asso.fr_SES-0005</t>
  </si>
  <si>
    <t>https://drive.google.com/file/d/1dsSO-VdI0HWsCVXvnXAeBzKMYBh6Xnwe/view?usp=drivesdk</t>
  </si>
  <si>
    <t>convocation SES-0012 Isabelle Maitrejean</t>
  </si>
  <si>
    <t>ylesueur@ucpa.asso.fr_SES-0004</t>
  </si>
  <si>
    <t>mmahe@ucpa.asso.fr</t>
  </si>
  <si>
    <t>https://drive.google.com/file/d/1DFtCgF8pWDvSsI_8bqLSlAuDaDj-cgay/view?usp=drivesdk</t>
  </si>
  <si>
    <t>convocation SES-0006 Michel Mahe</t>
  </si>
  <si>
    <t>ylesueur@ucpa.asso.fr_SES-0003</t>
  </si>
  <si>
    <t>https://drive.google.com/file/d/1zMv6a_t0h2c5n1b5mHIB_R98G0H5ikuL/view?usp=drivesdk</t>
  </si>
  <si>
    <t>convocation SES-0004 Michel MAHE</t>
  </si>
  <si>
    <t>catherine.mouton@tootazimut.fr_SES-0003</t>
  </si>
  <si>
    <t>https://drive.google.com/file/d/1hRU2FMZR8YA-GzEP5S6KSUmM5YwManT4/view?usp=drivesdk</t>
  </si>
  <si>
    <t>catherine.mouton@tootazimut.fr_SES-0004</t>
  </si>
  <si>
    <t>convocation SES-0007 Michel  MAHE</t>
  </si>
  <si>
    <t>https://drive.google.com/file/d/14A7a5qUmLzj6kBjE0E5pFuh7A1EYv1TV/view?usp=drivesdk</t>
  </si>
  <si>
    <t>catherine.mouton@tootazimut.fr_SES-0005</t>
  </si>
  <si>
    <t>convocation SES-0008 Michel MAHE</t>
  </si>
  <si>
    <t>https://drive.google.com/file/d/19YyCELlhci4nyn8wXx9sGyqKHf_TLHL8/view?usp=drivesdk</t>
  </si>
  <si>
    <t>nathalie_leturcq@yahoo.fr_SES-0003</t>
  </si>
  <si>
    <t>convocation SES-0009 Michel  MAHE</t>
  </si>
  <si>
    <t>https://drive.google.com/file/d/1Af47sUTPGytDcEH1zWuqJqfD5KPU0yLM/view?usp=drivesdk</t>
  </si>
  <si>
    <t>convocation SES-0010 Michel MAHE</t>
  </si>
  <si>
    <t>https://drive.google.com/file/d/1vyBri-3MK8tySVMWlhe8TAn-H3mL0WkZ/view?usp=drivesdk</t>
  </si>
  <si>
    <t>nathalie_leturcq@yahoo.fr_SES-0004</t>
  </si>
  <si>
    <t>convocation SES-0011 Michel MAHE</t>
  </si>
  <si>
    <t>https://drive.google.com/file/d/1TqMMjG3F3X_XJ54GOfqIY_ktLDZdDVtk/view?usp=drivesdk</t>
  </si>
  <si>
    <t>nathalie_leturcq@yahoo.fr_SES-0005</t>
  </si>
  <si>
    <t>convocation SES-0012 Michel MAHE</t>
  </si>
  <si>
    <t>https://drive.google.com/file/d/1qdUW0z_LsbBEiepmVLppyKfrMF3tjln5/view?usp=drivesdk</t>
  </si>
  <si>
    <t>mvaujany@ucpa.asso.fr_SES-0004</t>
  </si>
  <si>
    <t>convocation SES-0005 Michel MAHE</t>
  </si>
  <si>
    <t>https://drive.google.com/file/d/1J2Fq4WLc-3-Q4rO0Iu4-HQseykY9xIzI/view?usp=drivesdk</t>
  </si>
  <si>
    <t>mvaujany@ucpa.asso.fr_SES-0005</t>
  </si>
  <si>
    <t>convocation SES-0012 NADIA NADIA KHOULALENE</t>
  </si>
  <si>
    <t>https://drive.google.com/file/d/1j3foYCCTlBqpNGAtYRkUykE8FmuBua82/view?usp=drivesdk</t>
  </si>
  <si>
    <t>aurelien.fouquet@tootazimut.fr_SES-0003</t>
  </si>
  <si>
    <t>convocation SES-0015 Tom DELCOURT Tom</t>
  </si>
  <si>
    <t>https://drive.google.com/file/d/1ugAcscezVq4WxOszX-Klca-mL1egK3VO/view?usp=drivesdk</t>
  </si>
  <si>
    <t>aurelien.fouquet@tootazimut.fr_SES-0004</t>
  </si>
  <si>
    <t>convocation SES-0018 Tom DELCOURT Tom</t>
  </si>
  <si>
    <t>sradiguet@ucpa.asso.fr</t>
  </si>
  <si>
    <t>https://drive.google.com/file/d/1MXa8ciWYvenZLusMX_9C0faZ71PtXJdc/view?usp=drivesdk</t>
  </si>
  <si>
    <t>mfloury1@ucpasl.com_SES-0003</t>
  </si>
  <si>
    <t>convocation SES-0019 Stephane RADIGUET</t>
  </si>
  <si>
    <t>https://drive.google.com/file/d/1VF2gsJ0XY5g_VM2T0yA2NYo4_l69XTmi/view?usp=drivesdk</t>
  </si>
  <si>
    <t>mfloury1@ucpasl.com_SES-0004</t>
  </si>
  <si>
    <t>convocation SES-0005 Stephane Radiguet</t>
  </si>
  <si>
    <t>gmeissonnier@ucpa.asso.fr</t>
  </si>
  <si>
    <t>https://drive.google.com/file/d/1E4rorM1zwCrID19CS3q85vFnRipZHCj_/view?usp=drivesdk</t>
  </si>
  <si>
    <t>mfloury1@ucpasl.com_SES-0005</t>
  </si>
  <si>
    <t>convocation SES-0006 Gérald meissonnier</t>
  </si>
  <si>
    <t>cassin.sophie.18@gmail.com</t>
  </si>
  <si>
    <t>https://drive.google.com/file/d/1MxeMctbq0r5HOwwT4tcSeCrb6PMbyMMh/view?usp=drivesdk</t>
  </si>
  <si>
    <t>cgex@ucpa.asso.ff_SES-0003</t>
  </si>
  <si>
    <t>convocation SES-0012 SOPHIE CASSIN</t>
  </si>
  <si>
    <t>https://drive.google.com/file/d/1dA1NW6KRznD4HqnLoVoM09LJ1NApDpL1/view?usp=drivesdk</t>
  </si>
  <si>
    <t>vmorin@ucpa.asso.fr_SES-0004</t>
  </si>
  <si>
    <t>convocation SES-0005 SOPHIE CASSIN</t>
  </si>
  <si>
    <t>vmorin@ucpa.asso.fr_SES-0005</t>
  </si>
  <si>
    <t>https://drive.google.com/file/d/1Fi78ds-z9wUFBSDgSIdWHqv7lH7CzS9z/view?usp=drivesdk</t>
  </si>
  <si>
    <t>convocation SES-0015 SOPHIE CASSIN</t>
  </si>
  <si>
    <t>lgrosjean@ucpa.asso.fr_SES-0003</t>
  </si>
  <si>
    <t>https://drive.google.com/file/d/1suOB0YyIZquzNPSemyhLTH1wrI9o_Sf0/view?usp=drivesdk</t>
  </si>
  <si>
    <t>blecomte@ucpa.asso.fr_SES-0004</t>
  </si>
  <si>
    <t>convocation SES-0016 SOPHIE CASSIN</t>
  </si>
  <si>
    <t>https://drive.google.com/file/d/1V631CHOaeNaqLVO_y7WNGDvai9VjNMJL/view?usp=drivesdk</t>
  </si>
  <si>
    <t>jmporcher@ucpa.asso.fr_SES-0003</t>
  </si>
  <si>
    <t>convocation SES-0018 SOPHIE CASSIN</t>
  </si>
  <si>
    <t>https://drive.google.com/file/d/1LbGnUe-hH-tJxosOpQsKw8EgPj7stPLN/view?usp=drivesdk</t>
  </si>
  <si>
    <t>jmporcher@ucpa.asso.fr_SES-0004</t>
  </si>
  <si>
    <t>jmporcher@ucpa.asso.fr_SES-0005</t>
  </si>
  <si>
    <t>jlanson@ucpa.asso.fr_SES-0003</t>
  </si>
  <si>
    <t>jlanson@ucpa.asso.fr_SES-0004</t>
  </si>
  <si>
    <t>jlanson@ucpa.asso.fr_SES-0005</t>
  </si>
  <si>
    <t>mpoque@ucpa.asso.fr_SES-0005</t>
  </si>
  <si>
    <t>convocation SES-0021 SOPHIE CASSIN</t>
  </si>
  <si>
    <t>https://drive.google.com/file/d/1Qvh6mdLwaSkvYJrm4e5uSnDavJj5Hmaw/view?usp=drivesdk</t>
  </si>
  <si>
    <t>criva@ucpasl.com_SES-0004</t>
  </si>
  <si>
    <t>convocation SES-0020 SOPHIE CASSIN</t>
  </si>
  <si>
    <t>https://drive.google.com/file/d/1OdAyrrUs0oyBHeWWYBP2O2DSo41XRl0g/view?usp=drivesdk</t>
  </si>
  <si>
    <t>jmathlouthi@ucpa.asso.fr_SES-0004</t>
  </si>
  <si>
    <t>convocation SES-0004 SOPHIE CASSIN</t>
  </si>
  <si>
    <t>https://drive.google.com/file/d/1i3S-7aM0OXDAilSRqXq36Dl2ovtF_Eai/view?usp=drivesdk</t>
  </si>
  <si>
    <t>jmathlouthi@ucpa.asso.fr_SES-0005</t>
  </si>
  <si>
    <t>convocation SES-0006 SOPHIE CASSIN</t>
  </si>
  <si>
    <t>mjouan@ucpa.asso.fr</t>
  </si>
  <si>
    <t>https://drive.google.com/file/d/11SmhYzYXjAuIKuKnyC0z1XRapvAZD96m/view?usp=drivesdk</t>
  </si>
  <si>
    <t>vmathelin@ucpa.asso.fr_SES-0004</t>
  </si>
  <si>
    <t>convocation SES-0014 Mylène JOUAN</t>
  </si>
  <si>
    <t>https://drive.google.com/file/d/1VtMG1rq5DXE-83wGWw2-sKGsbCIRXN48/view?usp=drivesdk</t>
  </si>
  <si>
    <t>vmathelin@ucpa.asso.fr_SES-0005</t>
  </si>
  <si>
    <t>convocation SES-0004 Vanessa Delamaire</t>
  </si>
  <si>
    <t>https://drive.google.com/file/d/1k-ri_t4VWpuDuQMwO0y1MSvu0V4VdpXY/view?usp=drivesdk</t>
  </si>
  <si>
    <t>afrigo@ucpa.asso.fr_SES-0004</t>
  </si>
  <si>
    <t>convocation SES-0007 Vanessa Delamaire</t>
  </si>
  <si>
    <t>https://drive.google.com/file/d/1n07XQRgJW33XH3dEIfTEluQmYDFMLZ7z/view?usp=drivesdk</t>
  </si>
  <si>
    <t>rseguin@ucpa.asso.fr_SES-0004</t>
  </si>
  <si>
    <t>convocation SES-0009 Vanessa Delamaire</t>
  </si>
  <si>
    <t>https://drive.google.com/file/d/1m2Nthrtq57lScVf5IQR5DRKn-ZPKIDmG/view?usp=drivesdk</t>
  </si>
  <si>
    <t>rseguin@ucpa.asso.fr_SES-0005</t>
  </si>
  <si>
    <t>convocation SES-0011 Vanessa Delamaire</t>
  </si>
  <si>
    <t>https://drive.google.com/file/d/1JU9mQ6z29BsH_VMPPSg2gVX6tBWDWqyy/view?usp=drivesdk</t>
  </si>
  <si>
    <t>lguitton@ucpasl.com_SES-0004</t>
  </si>
  <si>
    <t>convocation SES-0012 Vanessa Delamaire</t>
  </si>
  <si>
    <t>https://drive.google.com/file/d/1cLtthlNZKiIVK6fKx5_JkJ-8ts2_CGyb/view?usp=drivesdk</t>
  </si>
  <si>
    <t>amelie.guindon@telligo.fr_SES-0004</t>
  </si>
  <si>
    <t>convocation SES-0005 Vanessa Delamaire</t>
  </si>
  <si>
    <t>https://drive.google.com/file/d/1H4e3rbz2OiM6Tr_QSVVyK5p8mtS52Vha/view?usp=drivesdk</t>
  </si>
  <si>
    <t>amelie.guindon@telligo.fr_SES-0005</t>
  </si>
  <si>
    <t>convocation SES-0014 Vanessa Delamaire</t>
  </si>
  <si>
    <t>https://drive.google.com/file/d/1yh8tvzS5rWJfMSCqpotIV_oz3xYuyJce/view?usp=drivesdk</t>
  </si>
  <si>
    <t>lguitton@ucpasl.com_SES-0005</t>
  </si>
  <si>
    <t>convocation SES-0015 Vanessa Delamaire</t>
  </si>
  <si>
    <t>https://drive.google.com/file/d/1QVKUHnhzAnypvtfyDaV9c5J2Dc68Vu_J/view?usp=drivesdk</t>
  </si>
  <si>
    <t>apauletcatrin@ucpa.asso.fr_SES-0004</t>
  </si>
  <si>
    <t>convocation SES-0016 Vanessa Delamaire</t>
  </si>
  <si>
    <t>https://drive.google.com/file/d/1YiYJi3ZoiWpRAfKQf6eMCEI7_pqLImAY/view?usp=drivesdk</t>
  </si>
  <si>
    <t>apauletcatrin@ucpa.asso.fr_SES-0005</t>
  </si>
  <si>
    <t>convocation SES-0017 Vanessa Delamaire</t>
  </si>
  <si>
    <t>dsamson@ucpa.asso.fr</t>
  </si>
  <si>
    <t>https://drive.google.com/file/d/1bfGlVl7WOLLV_Y2gs1QLbYzTROo6ofYQ/view?usp=drivesdk</t>
  </si>
  <si>
    <t>stephane.tavernier@telligo.fr_SES-0004</t>
  </si>
  <si>
    <t>Time</t>
  </si>
  <si>
    <t>SESSION ID</t>
  </si>
  <si>
    <t>EVENT ID</t>
  </si>
  <si>
    <t xml:space="preserve">convocation SES-0006 Diana  Samson </t>
  </si>
  <si>
    <t>https://drive.google.com/file/d/1RA8-hAvgTxc4mUHsWXuRMOH5sHgpFA-e/view?usp=drivesdk</t>
  </si>
  <si>
    <t>stephane.tavernier@telligo.fr_SES-0005</t>
  </si>
  <si>
    <t xml:space="preserve">convocation SES-0005 Diana  Samson </t>
  </si>
  <si>
    <t>ehavet@ucpa.asso.fr</t>
  </si>
  <si>
    <t>https://drive.google.com/file/d/1FWUEMxbrgc3APxcpOEvbJEQyCRZIEHfH/view?usp=drivesdk</t>
  </si>
  <si>
    <t>jlaureau@ucpa.asso.fr_SES-0004</t>
  </si>
  <si>
    <t>convocation SES-0004 Emmanuelle Havet</t>
  </si>
  <si>
    <t>https://drive.google.com/file/d/18wBKEaW_oyeJSIMeYb95Az53qH9WYmaw/view?usp=drivesdk</t>
  </si>
  <si>
    <t>jlaureau@ucpa.asso.fr_SES-0005</t>
  </si>
  <si>
    <t>convocation SES-0011 Emmanuelle Havet</t>
  </si>
  <si>
    <t>https://drive.google.com/file/d/1fm8Urkyl82htjTvl4a6MbDoLSkFS0B1t/view?usp=drivesdk</t>
  </si>
  <si>
    <t>apequignot@ucpa.asso.fr_SES-0004</t>
  </si>
  <si>
    <t>convocation SES-0012 Emmanuelle Havet</t>
  </si>
  <si>
    <t>https://drive.google.com/file/d/1WJgQ6iIhJaymANwYjWtUN7KvmCL68BUC/view?usp=drivesdk</t>
  </si>
  <si>
    <t>ajudas@ucpasl.com_SES-0004</t>
  </si>
  <si>
    <t>ajudas@ucpasl.com_SES-0005</t>
  </si>
  <si>
    <t>convocation SES-0016 Emmanuelle Havet</t>
  </si>
  <si>
    <t>https://drive.google.com/file/d/1f_ydedLr_VKKZtbC10Dpp98q7X2e9hSW/view?usp=drivesdk</t>
  </si>
  <si>
    <t>apequignot@ucpa.asso.fr_SES-0005</t>
  </si>
  <si>
    <t>convocation SES-0011 Emmanuelle  Tissot</t>
  </si>
  <si>
    <t>https://drive.google.com/file/d/1VZGD5vZFRHaH1KWVZ2Yj4C-F9c7E5z7k/view?usp=drivesdk</t>
  </si>
  <si>
    <t>llecacheur@ucpasl.com_SES-0004</t>
  </si>
  <si>
    <t>convocation SES-0019 Emmanuelle  Tissot</t>
  </si>
  <si>
    <t>https://drive.google.com/file/d/1enYdWxVYliKAIFlScCa1BTa87erYs4ga/view?usp=drivesdk</t>
  </si>
  <si>
    <t>cchardin@ucpa.asso.fr_SES-0004</t>
  </si>
  <si>
    <t>convocation SES-0021 Emmanuelle  Tissot</t>
  </si>
  <si>
    <t>Layout</t>
  </si>
  <si>
    <t>https://drive.google.com/file/d/1p9NYWXLFJ0ES5ht6b4hWa4BK_o0ztrk_/view?usp=drivesdk</t>
  </si>
  <si>
    <t>TITRE FORMATION</t>
  </si>
  <si>
    <t>fprost@ucpa.asso.fr_SES-0004</t>
  </si>
  <si>
    <t>COMPETENCES</t>
  </si>
  <si>
    <t>LIEN INSCRIPTION</t>
  </si>
  <si>
    <t>LIEN IMAGE APPLI</t>
  </si>
  <si>
    <t>COULEUR APPLI</t>
  </si>
  <si>
    <t>convocation SES-0018 Mattias Nilsson</t>
  </si>
  <si>
    <t>CardsContent</t>
  </si>
  <si>
    <t>fprost@asso.ucpa.fr_SES-0005</t>
  </si>
  <si>
    <t>https://drive.google.com/file/d/1h2MX-dnK3aEKBXIOO4qAuYg4R49YezkH/view?usp=drivesdk</t>
  </si>
  <si>
    <t>fprost@ucpa.asso.fr_SES-0005</t>
  </si>
  <si>
    <t>convocation SES-0020 Mattias Nilsson</t>
  </si>
  <si>
    <t>https://drive.google.com/file/d/15TYtsYzqBxVGOzufE4-rSnnCn9HQqO1l/view?usp=drivesdk</t>
  </si>
  <si>
    <t>aurore.geudin@tootazimut.fr_SES-0004</t>
  </si>
  <si>
    <t>convocation SES-0019 Mattias Nilsson</t>
  </si>
  <si>
    <t>https://drive.google.com/file/d/1NHIztSR98VAsJHC1D3IxCIIPl6sIjHgx/view?usp=drivesdk</t>
  </si>
  <si>
    <t>smoyou@ucpasl.com_SES-0004</t>
  </si>
  <si>
    <t>convocation SES-0016 Mattias Nilsson</t>
  </si>
  <si>
    <t>rledieu@ucpa.asso.fr</t>
  </si>
  <si>
    <t>https://drive.google.com/file/d/1zldDakR0PajbzcJS70-lXVXmrSFpMTuI/view?usp=drivesdk</t>
  </si>
  <si>
    <t>smoyou@ucpasl.com_SES-0005</t>
  </si>
  <si>
    <t>convocation SES-0004 Robin LEDIEU</t>
  </si>
  <si>
    <t>https://drive.google.com/file/d/1Nsvkn4sFreup8wQbwoaE8f1R_8VVDeaN/view?usp=drivesdk</t>
  </si>
  <si>
    <t>amandine@labalaguere.com_SES-0004</t>
  </si>
  <si>
    <t>convocation SES-0007 Robin Ledieu</t>
  </si>
  <si>
    <t>amsoili@ucpa.asso.fr</t>
  </si>
  <si>
    <t>https://drive.google.com/file/d/1HENecsKxGr1OV6qawnWIpVYhCx-04Sdv/view?usp=drivesdk</t>
  </si>
  <si>
    <t>convocation SES-0017 Amirdine MSOILI</t>
  </si>
  <si>
    <t>nlamy@ucpa.asso.fr</t>
  </si>
  <si>
    <t>https://drive.google.com/file/d/1CBDXGLfIj_ROMygBx6yZ06xCvM9bUvGr/view?usp=drivesdk</t>
  </si>
  <si>
    <t>cgex@ucpa.asso.fr_SES-0004</t>
  </si>
  <si>
    <t>vcroue@ucpa.asso.fr_SES-0005</t>
  </si>
  <si>
    <t>convocation SES-0004 nathalie LAMY</t>
  </si>
  <si>
    <t>https://drive.google.com/file/d/1ZJbR66ovzDo1WfEy673LqMvj7jEDn7nl/view?usp=drivesdk</t>
  </si>
  <si>
    <t>dsnaidero@ucpa.asso.fr_SES-0004</t>
  </si>
  <si>
    <t>laurine.llop@gmail.com_SES-0004</t>
  </si>
  <si>
    <t>convocation SES-0021 nathalie Leturcq</t>
  </si>
  <si>
    <t>https://drive.google.com/file/d/114G0Qmawpn6_2NOJb7PHkd3Kaj4WDWuf/view?usp=drivesdk</t>
  </si>
  <si>
    <t>laurine.llop@gmail.com_SES-0005</t>
  </si>
  <si>
    <t>convocation SES-0010 sylvie le bris</t>
  </si>
  <si>
    <t>https://drive.google.com/file/d/19VzvMih44hYLpbIV8iwM4Iz6yBiKZFvH/view?usp=drivesdk</t>
  </si>
  <si>
    <t>ctaverne@ucpa.asso.fr_SES-0004</t>
  </si>
  <si>
    <t>convocation SES-0011 sylvie le bris</t>
  </si>
  <si>
    <t>https://drive.google.com/file/d/17fIZXaU-iouRU_rT5-0GYtyVZ1uQuUcr/view?usp=drivesdk</t>
  </si>
  <si>
    <t>ctaverne@ucpa.asso.fr_SES-0005</t>
  </si>
  <si>
    <t>convocation SES-0012 sylvie le bris</t>
  </si>
  <si>
    <t>https://drive.google.com/file/d/1LBPUKoTYLh5c1pjUGCMtFSZWOabq6vvy/view?usp=drivesdk</t>
  </si>
  <si>
    <t>edidier@ucpa.asso.fr_SES-0004</t>
  </si>
  <si>
    <t>convocation SES-0019 sylvie le bris</t>
  </si>
  <si>
    <t>https://drive.google.com/file/d/1HYc_PqJsDxBhaXM-89Me0dqkn7vaVAgt/view?usp=drivesdk</t>
  </si>
  <si>
    <t>edidier@ucpa.asso.fr_SES-0005</t>
  </si>
  <si>
    <t>convocation SES-0016 sylvie le bris</t>
  </si>
  <si>
    <t>https://drive.google.com/file/d/1Y9NuNphe_S_gRzFXCYIpumIwRHV_OTn3/view?usp=drivesdk</t>
  </si>
  <si>
    <t>nlienard@ucpa.asso.fr_SES-0004</t>
  </si>
  <si>
    <t>convocation SES-0017 sylvie le bris</t>
  </si>
  <si>
    <t>https://drive.google.com/file/d/1Jxggx05AO77NxROgelOo24t0LEwA-aMl/view?usp=drivesdk</t>
  </si>
  <si>
    <t>nlienard@ucpa.asso.fr_SES-0005</t>
  </si>
  <si>
    <t>convocation SES-0011 Benoit Massin</t>
  </si>
  <si>
    <t>https://drive.google.com/file/d/1dj7t1_gN8M2MLF5GaM-1i7hNqXopQdqY/view?usp=drivesdk</t>
  </si>
  <si>
    <t>nkhoulalene@ucpa.asso.fr_SES-0004</t>
  </si>
  <si>
    <t>convocation SES-0018 Benoit Massin</t>
  </si>
  <si>
    <t>https://drive.google.com/file/d/1R1FpFZrL3bw8CuksxO0PIDWDuQdBecEq/view?usp=drivesdk</t>
  </si>
  <si>
    <t>nkhoulalene@ucpa.asso.fr_SES-0005</t>
  </si>
  <si>
    <t>convocation SES-0018 Sébastien Nobis</t>
  </si>
  <si>
    <t>https://drive.google.com/file/d/1-T6BSeInQiQ2e-oPTsRnVlFPUpOOUg6q/view?usp=drivesdk</t>
  </si>
  <si>
    <t>lcaron@ucpa.asso.fr_SES-0004</t>
  </si>
  <si>
    <t>convocation SES-0021 Romain Evano</t>
  </si>
  <si>
    <t>https://drive.google.com/file/d/1_jbTTr1hSw0qpBEyKsux3WAwU7Vaj7pB/view?usp=drivesdk</t>
  </si>
  <si>
    <t>bbrunelle@ucpa.asso.fr_SES-0004</t>
  </si>
  <si>
    <t>convocation SES-0009 Julie LANSON</t>
  </si>
  <si>
    <t>https://drive.google.com/file/d/1oSnzRJOHGJ42PbQb-Y7Yz3UDs_8SVHtD/view?usp=drivesdk</t>
  </si>
  <si>
    <t>jorisriffaud@gmail.com_SES-0004</t>
  </si>
  <si>
    <t>convocation SES-0011 Emilie benet</t>
  </si>
  <si>
    <t>https://drive.google.com/file/d/1wbqLIEAlRTVqm5OEnuBSLAClt6P350Mc/view?usp=drivesdk</t>
  </si>
  <si>
    <t>jorisriffaud@gmail.com_SES-0005</t>
  </si>
  <si>
    <t>convocation SES-0014 Romain Evano</t>
  </si>
  <si>
    <t>https://drive.google.com/file/d/1WUd9vmSqcDMgvNWovSlNdzi6HRk3tBoz/view?usp=drivesdk</t>
  </si>
  <si>
    <t>rrodriguez@ucpa.asso.fr_SES-0004</t>
  </si>
  <si>
    <t>convocation SES-0011 Julie LANSON</t>
  </si>
  <si>
    <t>https://drive.google.com/file/d/1K5sucQG84VPUzxRS4PkJx7v0BPzv5Ive/view?usp=drivesdk</t>
  </si>
  <si>
    <t>rrodriguez@ucpa.asso.fr_SES-0005</t>
  </si>
  <si>
    <t>convocation SES-0012 Emilie benet</t>
  </si>
  <si>
    <t>https://drive.google.com/file/d/17dHRYc5wRmQNTpTCYIF_rTj-frYQZurM/view?usp=drivesdk</t>
  </si>
  <si>
    <t>bbrunelle@ucpa.asso.fr_SES-0005</t>
  </si>
  <si>
    <t>convocation SES-0010 Julie LANSON</t>
  </si>
  <si>
    <t>https://drive.google.com/file/d/1wH6oiuJH_cu-yXfIhHItYlC2KS51DJVP/view?usp=drivesdk</t>
  </si>
  <si>
    <t>dweinman@ucpa.asso.fr_SES-0004</t>
  </si>
  <si>
    <t>convocation SES-0012 Julie LANSON</t>
  </si>
  <si>
    <t>dweinman@ucpa.asso.fr_SES-0005</t>
  </si>
  <si>
    <t>https://drive.google.com/file/d/1NGLbDArSeHb9mv1xlTUUF80nBlD0SweO/view?usp=drivesdk</t>
  </si>
  <si>
    <t>sheurtel@ucpa.asso.fr_SES-0004</t>
  </si>
  <si>
    <t>convocation SES-0016 Julie LANSON</t>
  </si>
  <si>
    <t>sheurtel@ucpa.asso.fr_SES-0005</t>
  </si>
  <si>
    <t>https://drive.google.com/file/d/1MgVKfr9sERH00DQ8tMzg_P70bwnkZOyl/view?usp=drivesdk</t>
  </si>
  <si>
    <t>dakhla@ucpaplanete.com_SES-0004</t>
  </si>
  <si>
    <t>convocation SES-0018 Julie LANSON</t>
  </si>
  <si>
    <t>https://drive.google.com/file/d/1tUARJ0MGxdhnbOJwXsobW_Y7FO5IDyBf/view?usp=drivesdk</t>
  </si>
  <si>
    <t>skerfyser@ucpasl.com_SES-0005</t>
  </si>
  <si>
    <t>convocation SES-0019 Julie Lanson</t>
  </si>
  <si>
    <t>https://drive.google.com/file/d/1izzF0IcFtPG1IRVw3IjIg_mePpFoqb0E/view?usp=drivesdk</t>
  </si>
  <si>
    <t>thierry@numericoach.fr_SES-0006</t>
  </si>
  <si>
    <t>convocation SES-0020 Julie LANSON</t>
  </si>
  <si>
    <t>kevin.lagarde@labalaguere.com_SES-0004</t>
  </si>
  <si>
    <t>https://drive.google.com/file/d/1Gb2Ev1wDrBy09LGfBqyZDYEUuEa2pcfl/view?usp=drivesdk</t>
  </si>
  <si>
    <t>kevin.lagarde@labalaguere.com_SES-0005</t>
  </si>
  <si>
    <t>convocation SES-0015 laurent feuillet</t>
  </si>
  <si>
    <t>https://drive.google.com/file/d/1Smf9dexy8FBQUYChkSHf9tWFsbB-3s5i/view?usp=drivesdk</t>
  </si>
  <si>
    <t>emert@ucpa.asso.fr_SES-0004</t>
  </si>
  <si>
    <t>convocation SES-0009 François Prost</t>
  </si>
  <si>
    <t>fprost@ucpa.aso.fr</t>
  </si>
  <si>
    <t>https://drive.google.com/file/d/1TNEnS99QlCW87gdt8Rd5HQoMQ4qkwX-e/view?usp=drivesdk</t>
  </si>
  <si>
    <t>antoine.martin@amcms.net_SES-0022</t>
  </si>
  <si>
    <t>convocation SES-0010 François Prost</t>
  </si>
  <si>
    <t>https://drive.google.com/file/d/11J__VD3Y4f87jgcJJlMZBaOMJ_XKiJKF/view?usp=drivesdk</t>
  </si>
  <si>
    <t>thierry@numericoach.fr_SES-0022</t>
  </si>
  <si>
    <t>convocation SES-0016 laurent feuillet</t>
  </si>
  <si>
    <t>mlavigne@ucpa.asso.fr_SES-0004</t>
  </si>
  <si>
    <t>https://drive.google.com/file/d/1-ASE4tiAw8wVmFniLiCIAhhBOamIXXkM/view?usp=drivesdk</t>
  </si>
  <si>
    <t>jkuylle@laposte.net_SES-0004</t>
  </si>
  <si>
    <t>convocation SES-0016 François Prost</t>
  </si>
  <si>
    <t>https://drive.google.com/file/d/142gFyPMH6eqmsL8FZ-HhorB-SGJbVLR1/view?usp=drivesdk</t>
  </si>
  <si>
    <t>formation@numericoach.fr_SES-0006</t>
  </si>
  <si>
    <t>convocation SES-0012 François Prost</t>
  </si>
  <si>
    <t>https://drive.google.com/file/d/1k8CgQcY5KHiLb7RH_DYHoHDBYsKs9wMD/view?usp=drivesdk</t>
  </si>
  <si>
    <t>abonville@ucpa.asso.fr_SES-0016</t>
  </si>
  <si>
    <t>convocation SES-0014 laurent feuillet</t>
  </si>
  <si>
    <t>https://drive.google.com/file/d/1tpFFkc61_91ZpCOqyuCgR1E-r9q2LG1P/view?usp=drivesdk</t>
  </si>
  <si>
    <t>abonville@ucpa.asso.fr_SES-0019</t>
  </si>
  <si>
    <t>convocation SES-0010 Emilie benet</t>
  </si>
  <si>
    <t>nkhoulalene@gmail.com</t>
  </si>
  <si>
    <t>https://drive.google.com/file/d/1B-iCe9qtx1eV8kNJ11BCjbSm8TXE72ez/view?usp=drivesdk</t>
  </si>
  <si>
    <t>aborgies@ucpa.asso.fr_SES-0004</t>
  </si>
  <si>
    <t>convocation SES-0009 Nadia KHOULALENE</t>
  </si>
  <si>
    <t>https://drive.google.com/file/d/1h6e5h_3XDStIxjeiQ1CbpzOn-E1OR74K/view?usp=drivesdk</t>
  </si>
  <si>
    <t>victoria.debruyne@tootazimut.fr_SES-0004</t>
  </si>
  <si>
    <t>convocation SES-0015 Christine COUMET</t>
  </si>
  <si>
    <t>imuzellec@ucpa.asso.fr_SES-0006</t>
  </si>
  <si>
    <t>https://drive.google.com/file/d/1lGf496vsrYfPV-0ZE1Xf9ClYDE8m8d9Q/view?usp=drivesdk</t>
  </si>
  <si>
    <t>convocation SES-0010 Catherine COEUR</t>
  </si>
  <si>
    <t>imuzellec@ucpa.asso.fr_SES-0004</t>
  </si>
  <si>
    <t>https://drive.google.com/file/d/1VZW8jWWQVwNQ8KAAl8nTEQac-Vkpdkvp/view?usp=drivesdk</t>
  </si>
  <si>
    <t>convocation SES-0020 Catherine COEUR</t>
  </si>
  <si>
    <t>sophie.feysel@telligo.fr</t>
  </si>
  <si>
    <t>https://drive.google.com/file/d/1Z-SM3QF83J_Svm42Kiq3mjXFWnosoFn5/view?usp=drivesdk</t>
  </si>
  <si>
    <t>helsenechal@gmail.com_SES-0006</t>
  </si>
  <si>
    <t>convocation SES-0018 Sophie FEYSEL</t>
  </si>
  <si>
    <t>https://drive.google.com/file/d/1TEJlPq5969yK0X7DERjQf9yh0BUtMrv8/view?usp=drivesdk</t>
  </si>
  <si>
    <t>hmaziere@ucpa.asso.fr_SES-0012</t>
  </si>
  <si>
    <t>convocation SES-0009 Philippe GAUDIN</t>
  </si>
  <si>
    <t>imaitrejean@ucpa.asso.fr_SES-0007</t>
  </si>
  <si>
    <t>https://drive.google.com/file/d/1k1_Li6f-L_9wezzvtaF-N-xAHxwzuQoT/view?usp=drivesdk</t>
  </si>
  <si>
    <t>convocation SES-0014 Angélique POUFFIER</t>
  </si>
  <si>
    <t>smathieu@ucpa.asso.fr</t>
  </si>
  <si>
    <t>ajudas@ucpasl.com_SES-0008</t>
  </si>
  <si>
    <t>https://drive.google.com/file/d/1voItg-g_UwJ8AuKnpU0NnfwzYJphJs5c/view?usp=drivesdk</t>
  </si>
  <si>
    <t>convocation SES-0015 Sylvie Mathieu</t>
  </si>
  <si>
    <t>lweissenburger@ucpa.asso.fr</t>
  </si>
  <si>
    <t>https://drive.google.com/file/d/15uvFl6njArvzhWvF3NzVtgS-JUlJGR9f/view?usp=drivesdk</t>
  </si>
  <si>
    <t>imaitrejean@ucpa.asso.fr_SES-0008</t>
  </si>
  <si>
    <t>imaitrejean@ucpa.asso.fr_SES-0014</t>
  </si>
  <si>
    <t>convocation SES-0014 Laurence weissenburger</t>
  </si>
  <si>
    <t>plecointe@ucpa.asso.fr</t>
  </si>
  <si>
    <t>https://drive.google.com/file/d/1yjnpokQ4EAAvz8kj_tidTA7Q-7RO1rPB/view?usp=drivesdk</t>
  </si>
  <si>
    <t>etissot@ucpasl.com_SES-0006</t>
  </si>
  <si>
    <t>convocation SES-0020 Philippe LE COINTE</t>
  </si>
  <si>
    <t>https://drive.google.com/file/d/1drnF4GSfDiihCB-ZcCVogFp1RjAFxaME/view?usp=drivesdk</t>
  </si>
  <si>
    <t>etissot@ucpasl.com_SES-0009</t>
  </si>
  <si>
    <t>convocation SES-0018 Philippe LE COINTE</t>
  </si>
  <si>
    <t>https://drive.google.com/file/d/1L0CZf9GY2mIswHDqHWvwN10eZeqnt-SN/view?usp=drivesdk</t>
  </si>
  <si>
    <t>etissot@ucpasl.com_SES-0004</t>
  </si>
  <si>
    <t>convocation SES-0005 NATHALIE  FERAT</t>
  </si>
  <si>
    <t>https://drive.google.com/file/d/1MkhNH8IIM9u-xxf3nev_OFilbWkgeBKM/view?usp=drivesdk</t>
  </si>
  <si>
    <t>aurore.geudin@tootazimut.fr_SES-0007</t>
  </si>
  <si>
    <t>convocation SES-0018 Laurence weissenburger</t>
  </si>
  <si>
    <t>hmingot@ucpa.asso.fr</t>
  </si>
  <si>
    <t>https://drive.google.com/file/d/1VDE3z0pQJ8P3bcuSmHItmG90dF-dojhc/view?usp=drivesdk</t>
  </si>
  <si>
    <t>aurore.geudin@tootazimut.fr_SES-0010</t>
  </si>
  <si>
    <t>convocation SES-0011 Hélène Mingot</t>
  </si>
  <si>
    <t>https://drive.google.com/file/d/1Y-Hmq1JLyoYuA2VVPS1LCrIVUY5H1Wvg/view?usp=drivesdk</t>
  </si>
  <si>
    <t>aurore.geudin@tootazimut.fr_SES-0017</t>
  </si>
  <si>
    <t>convocation SES-0021 Philippe LE COINTE</t>
  </si>
  <si>
    <t>https://drive.google.com/file/d/1w1Fz_nAm6Xtrdje8SvBFO9ODRNEUP-AD/view?usp=drivesdk</t>
  </si>
  <si>
    <t>aurore.geudin@tootazimut.fr_SES-0019</t>
  </si>
  <si>
    <t>convocation SES-0015 NATHALIE  FERAT</t>
  </si>
  <si>
    <t>lgeulin@ucpa.asso.fr</t>
  </si>
  <si>
    <t>https://drive.google.com/file/d/1I96rw_HWa08XMAVJGIq8jAV0v5sYmeHZ/view?usp=drivesdk</t>
  </si>
  <si>
    <t>imaitrejean@ucpa.asso.fr_SES-0006</t>
  </si>
  <si>
    <t>convocation SES-0017 Laurent Geulin</t>
  </si>
  <si>
    <t>https://drive.google.com/file/d/1dG-v2DoRWPZ_gLPuOjhwnMds-R1HrZYK/view?usp=drivesdk</t>
  </si>
  <si>
    <t>imaitrejean@ucpa.asso.fr_SES-0016</t>
  </si>
  <si>
    <t>convocation SES-0011 NATHALIE  FERAT</t>
  </si>
  <si>
    <t>vbuffy@ucpa.asso.fr</t>
  </si>
  <si>
    <t>https://drive.google.com/file/d/1_wM3J25gfPmJPUNTwwxT6F5mhTO2lKim/view?usp=drivesdk</t>
  </si>
  <si>
    <t>skerfyser@ucpasl.com_SES-0006</t>
  </si>
  <si>
    <t>convocation SES-0017 Vincent Buffy</t>
  </si>
  <si>
    <t>https://drive.google.com/file/d/1lY5hy9QIuYpEZ65qpwbl_zXSMkwYsQv0/view?usp=drivesdk</t>
  </si>
  <si>
    <t>etissot@ucpasl.com_SES-0008</t>
  </si>
  <si>
    <t>convocation SES-0015 Madison Nodin</t>
  </si>
  <si>
    <t>https://drive.google.com/file/d/1wTO_3OhiOt6T-NPBvKuw0YDU8m6gcZ0I/view?usp=drivesdk</t>
  </si>
  <si>
    <t>imaitrejean@ucpa.asso.fr_SES-0019</t>
  </si>
  <si>
    <t>convocation SES-0017 Madison Nodin</t>
  </si>
  <si>
    <t>imaitrejean@ucpa.asso.fr_SES-0020</t>
  </si>
  <si>
    <t>https://drive.google.com/file/d/1u2cuYJw1wxtIaeKSTjMMB6x1UxAAzvyC/view?usp=drivesdk</t>
  </si>
  <si>
    <t>convocation SES-0009 Madison Nodin</t>
  </si>
  <si>
    <t>pgombert@ucpa.asso.fr</t>
  </si>
  <si>
    <t>https://drive.google.com/file/d/1WoUUW2Y2fLq0rw5az4lEeA9eISevpPyu/view?usp=drivesdk</t>
  </si>
  <si>
    <t>etissot@ucpasl.com_SES-0005</t>
  </si>
  <si>
    <t>convocation SES-0017 Pierre GOMBERT</t>
  </si>
  <si>
    <t>etissot@ucpasl.com_SES-0016</t>
  </si>
  <si>
    <t>https://drive.google.com/file/d/1yHTJQNH7xwaVDgh-NUPRaaSZikGonzC7/view?usp=drivesdk</t>
  </si>
  <si>
    <t>aurore.geudin@tootazimut.fr_SES-0015</t>
  </si>
  <si>
    <t>convocation SES-0010 Emmanuelle Tissot</t>
  </si>
  <si>
    <t>https://drive.google.com/file/d/1YiC503E7aApebHmFpctP_6jMYYMQOfec/view?usp=drivesdk</t>
  </si>
  <si>
    <t>alison.tomine@gmail.com_SES-0018</t>
  </si>
  <si>
    <t>convocation SES-0014 Emmanuelle  Tissot</t>
  </si>
  <si>
    <t>https://drive.google.com/file/d/1930XeGZwb2k89hOo-ugNZVwUhmh2t1vj/view?usp=drivesdk</t>
  </si>
  <si>
    <t>etissot@ucpasl.com_SES-0020</t>
  </si>
  <si>
    <t>convocation SES-0017 LAURENCE MOSNIER</t>
  </si>
  <si>
    <t>https://drive.google.com/file/d/1sZbc4SxXQNhtCjIfpVEjHix7Gf1GtDWZ/view?usp=drivesdk</t>
  </si>
  <si>
    <t>imaitrejean@ucpa.asso.fr_SES-0021</t>
  </si>
  <si>
    <t>convocation SES-0015 LAURENCE MOSNIER</t>
  </si>
  <si>
    <t>https://drive.google.com/file/d/1IrQS8jroID0qzE6rOnxoVOV0Ro6QG5aM/view?usp=drivesdk</t>
  </si>
  <si>
    <t>laure.boubehira@labalaguere.com_SES-0014</t>
  </si>
  <si>
    <t xml:space="preserve">convocation SES-0014 Sophie LEBRETON </t>
  </si>
  <si>
    <t>aurelien.fouquet@tootazimut.fr_SES-0019</t>
  </si>
  <si>
    <t>https://drive.google.com/file/d/1Wiv_faDUpPUMJipIQ5K0AOAltklA_Xzd/view?usp=drivesdk</t>
  </si>
  <si>
    <t>aurelien.fouquet@tootazimut.fr_SES-0008</t>
  </si>
  <si>
    <t>convocation SES-0020 Catherine GEORGES</t>
  </si>
  <si>
    <t>lauriane.33@hotmail.fr</t>
  </si>
  <si>
    <t>https://drive.google.com/file/d/1OBLU7yF85hGH9-x7Z8mYCK3_X08YchgD/view?usp=drivesdk</t>
  </si>
  <si>
    <t>crios@ucpa.asso.fr_SES-0004</t>
  </si>
  <si>
    <t>convocation SES-0005 Lauriane CARDOSO</t>
  </si>
  <si>
    <t>https://drive.google.com/file/d/1AJdP6Q9l1K95eq2Vwmb6Jd2MecVaTivD/view?usp=drivesdk</t>
  </si>
  <si>
    <t>crios@ucpa.asso.fr_SES-0007</t>
  </si>
  <si>
    <t>convocation SES-0015 Lauriane CARDOSO</t>
  </si>
  <si>
    <t>guillaumereyrolle@yahoo.fr</t>
  </si>
  <si>
    <t>https://drive.google.com/file/d/1Sd6DAo60YoZpfeP9qgmSFagzC5t3LOtk/view?usp=drivesdk</t>
  </si>
  <si>
    <t>crios@ucpa.asso.fr_SES-0008</t>
  </si>
  <si>
    <t>convocation SES-0009 Guillaume Reyrolle</t>
  </si>
  <si>
    <t>https://drive.google.com/file/d/1tIF9cCf1Y4FUdQVoqpGWlaveqPFvi_WA/view?usp=drivesdk</t>
  </si>
  <si>
    <t>zoubida.sofi@tootazimut.fr_SES-0007</t>
  </si>
  <si>
    <t>convocation SES-0010 Guillaume Reyrolle</t>
  </si>
  <si>
    <t>https://drive.google.com/file/d/1LL2ld2Fu6WC8z3qZHcPp4DZwtb0MQ-xk/view?usp=drivesdk</t>
  </si>
  <si>
    <t>vmissonnier@ucpa.asso.fr_SES-0009</t>
  </si>
  <si>
    <t>convocation SES-0014 Guillaume Reyrolle</t>
  </si>
  <si>
    <t>zoubida.sofi@tootazimut.fr_SES-0008</t>
  </si>
  <si>
    <t>https://drive.google.com/file/d/1Vj09lH_vQ3BPYSSMPukL3AL7NaGS5-yE/view?usp=drivesdk</t>
  </si>
  <si>
    <t>vmissonnier@ucpa.asso.fr_SES-0010</t>
  </si>
  <si>
    <t>convocation SES-0015 Guillaume Reyrolle</t>
  </si>
  <si>
    <t>https://drive.google.com/file/d/1Z_Hlv2z4ZmN5JJhP5rblZfdI0HLJSKpr/view?usp=drivesdk</t>
  </si>
  <si>
    <t>vmissonnier@ucpa.asso.fr_SES-0011</t>
  </si>
  <si>
    <t>convocation SES-0017 Guillaume Reyrolle</t>
  </si>
  <si>
    <t>https://drive.google.com/file/d/1rFz6JPXCZsWAbdrNKO3KSyUuSTkIaV_5/view?usp=drivesdk</t>
  </si>
  <si>
    <t>zoubida.sofi@tootazimut.fr_SES-0017</t>
  </si>
  <si>
    <t>convocation SES-0021 Guillaume Reyrolle</t>
  </si>
  <si>
    <t>sarduain@ucpa.asso.fr</t>
  </si>
  <si>
    <t>https://drive.google.com/file/d/1OZ9v7Go2VYrJmIEquiDGxk9xU3-0TRxp/view?usp=drivesdk</t>
  </si>
  <si>
    <t>vmissonnier@ucpa.asso.fr_SES-0012</t>
  </si>
  <si>
    <t>convocation SES-0010 SYLVIE ARDUAIN</t>
  </si>
  <si>
    <t>https://drive.google.com/file/d/1l055kXXwbWO_-htdM91leLa1yTNFvcJC/view?usp=drivesdk</t>
  </si>
  <si>
    <t>vmissonnier@ucpa.asso.fr_SES-0016</t>
  </si>
  <si>
    <t>convocation SES-0015 SYLVIE ARDUAIN</t>
  </si>
  <si>
    <t>https://drive.google.com/file/d/1p1Nl_ngsgWCETxoAsxHoXV1XaHAusybf/view?usp=drivesdk</t>
  </si>
  <si>
    <t>vmissonnier@ucpa.asso.fr_SES-0019</t>
  </si>
  <si>
    <t>convocation SES-0017 SYLVIE ARDUAIN</t>
  </si>
  <si>
    <t>goncalvesjulie@yahoo.fr</t>
  </si>
  <si>
    <t>https://drive.google.com/file/d/1qsw2r1GDTl4kK8WkobS-m9NqlwJrPj6s/view?usp=drivesdk</t>
  </si>
  <si>
    <t>zoubida.sofi@tootazimut.fr_SES-0019</t>
  </si>
  <si>
    <t>convocation SES-0021 Julie GONCALVES</t>
  </si>
  <si>
    <t>vpaparella@ucpa.asso.fr</t>
  </si>
  <si>
    <t>https://drive.google.com/file/d/1pB0O3tgekyjca8nzWz0sLI0WCXwFaNx_/view?usp=drivesdk</t>
  </si>
  <si>
    <t>zoubida.sofi@tootazimut.fr_SES-0011</t>
  </si>
  <si>
    <t>convocation SES-0015 Vanessa Paparella</t>
  </si>
  <si>
    <t>https://drive.google.com/file/d/13ABP3UlNPIzNK742S5bFq7QrZztJGV8C/view?usp=drivesdk</t>
  </si>
  <si>
    <t>yfunke@ucpasl.com_SES-0008</t>
  </si>
  <si>
    <t>convocation SES-0017 Vanessa Paparella</t>
  </si>
  <si>
    <t>https://drive.google.com/file/d/11h3625pjGf10cuPUTtPvr1SqfXecXpGe/view?usp=drivesdk</t>
  </si>
  <si>
    <t>pspaeter@ucpa.asso.fr_SES-0006</t>
  </si>
  <si>
    <t>convocation SES-0020 Vanessa Paparella</t>
  </si>
  <si>
    <t>https://drive.google.com/file/d/1TpOShmxCtRXiYF4Xx9XoSUpaLs1VCu-4/view?usp=drivesdk</t>
  </si>
  <si>
    <t>pspaeter@ucpa.asso.fr_SES-0005</t>
  </si>
  <si>
    <t>convocation SES-0009 Vanessa Paparella</t>
  </si>
  <si>
    <t>https://drive.google.com/file/d/1BB2juqafOWPzQJrI77GAHXzfqql1-J5p/view?usp=drivesdk</t>
  </si>
  <si>
    <t>yfunke@ucpasl.com_SES-0018</t>
  </si>
  <si>
    <t>convocation SES-0014 Vanessa Paparella</t>
  </si>
  <si>
    <t>https://drive.google.com/file/d/1UrTfzMqC4JRYGi60zmrqzuPTjaEOIixX/view?usp=drivesdk</t>
  </si>
  <si>
    <t>nleturcq@yahoo.fr_SES-0007</t>
  </si>
  <si>
    <t>convocation SES-0021 Vanessa Paparella</t>
  </si>
  <si>
    <t>smolina@ucpa.asso.fr</t>
  </si>
  <si>
    <t>https://drive.google.com/file/d/1PIwNy79EtGjJ7LOxmjyT8iXBYSPrpbYY/view?usp=drivesdk</t>
  </si>
  <si>
    <t>nleturcq@yahoo.fr_SES-0008</t>
  </si>
  <si>
    <t>convocation SES-0009 Sonia Molina</t>
  </si>
  <si>
    <t>https://drive.google.com/file/d/1ILCFCRpdW5uDmisL1HCZQL6OBgkHkvUB/view?usp=drivesdk</t>
  </si>
  <si>
    <t>nleturcq@ucpasl.com_SES-0010</t>
  </si>
  <si>
    <t>convocation SES-0014 Sonia Molina</t>
  </si>
  <si>
    <t>https://drive.google.com/file/d/105BWwOX7CYUei7OXv65WCv4wcUZrLRbV/view?usp=drivesdk</t>
  </si>
  <si>
    <t>nleturcq@ucpasl.com_SES-0012</t>
  </si>
  <si>
    <t>convocation SES-0015 Sonia Molina</t>
  </si>
  <si>
    <t>https://drive.google.com/file/d/18gcvj_gC2MVsRWus1RMr_UavHW7Fh-5i/view?usp=drivesdk</t>
  </si>
  <si>
    <t>mval@ucpasl.com_SES-0004</t>
  </si>
  <si>
    <t>convocation SES-0009 Luc VERRIER</t>
  </si>
  <si>
    <t>https://drive.google.com/file/d/1M-hrgYW-81kvLpl0Z2ow_33dQVK3B3bK/view?usp=drivesdk</t>
  </si>
  <si>
    <t>mval@ucpasl.com_SES-0005</t>
  </si>
  <si>
    <t>convocation SES-0014 Luc VERRIER</t>
  </si>
  <si>
    <t>https://drive.google.com/file/d/1P8gA3Moy4qAAfDcQ34-yhpe2daKVuaUS/view?usp=drivesdk</t>
  </si>
  <si>
    <t>nleturcq@ucpasl.com_SES-0016</t>
  </si>
  <si>
    <t>convocation SES-0017 Luc VERRIER</t>
  </si>
  <si>
    <t>https://drive.google.com/file/d/1hFh2WLOqvmvlGa3cnrcdRYk65ANPbRGc/view?usp=drivesdk</t>
  </si>
  <si>
    <t>nleturcq@ucpasl.com_SES-0007</t>
  </si>
  <si>
    <t>convocation SES-0020 Luc VERRIER</t>
  </si>
  <si>
    <t>https://drive.google.com/file/d/1m-tuZPO7IPlJ9QQmpYyCVtm1xI5UGfFc/view?usp=drivesdk</t>
  </si>
  <si>
    <t>nleturcq@ucpasl.com_SES-0008</t>
  </si>
  <si>
    <t>convocation SES-0021 Luc VERRIER</t>
  </si>
  <si>
    <t>https://drive.google.com/file/d/1aK9gkYtfB58KWzFuvmITaH_brtk_LGlj/view?usp=drivesdk</t>
  </si>
  <si>
    <t>stephanie.abaziou@labalaguere.com_SES-0007</t>
  </si>
  <si>
    <t>convocation SES-0009 Christophe Kolodka</t>
  </si>
  <si>
    <t>stephanie.abaziou@labalaguere.com_SES-0008</t>
  </si>
  <si>
    <t>paulolivier.hanneton@ucpa.asso.fr</t>
  </si>
  <si>
    <t>https://drive.google.com/file/d/1uJd9m_BfuAajOE6fiGGWWw-Hc5c9Ers4/view?usp=drivesdk</t>
  </si>
  <si>
    <t>convocation SES-0009 Paul-Olivier Hanneton</t>
  </si>
  <si>
    <t>pohanneton@ucpa.asso.fr</t>
  </si>
  <si>
    <t>https://drive.google.com/file/d/1ltR2AKe2wG9V0BIg2BvXmLewZZB8CSPR/view?usp=drivesdk</t>
  </si>
  <si>
    <t>convocation SES-0020 Paul-Olivier Hanneton</t>
  </si>
  <si>
    <t>https://drive.google.com/file/d/1eigqZMwQ4SHZIEBOMlavLnyeOMDrAwF3/view?usp=drivesdk</t>
  </si>
  <si>
    <t>smorvan@ucpasl.com_SES-0009</t>
  </si>
  <si>
    <t>https://drive.google.com/file/d/1rT4X34C__ymk09W9vrpxmppEY0nETtXE/view?usp=drivesdk</t>
  </si>
  <si>
    <t>s.morvan@ucpasl.com_SES-0008</t>
  </si>
  <si>
    <t>convocation SES-0015 Zoubida SOFI</t>
  </si>
  <si>
    <t>fxmeuge@ucpa.asso.fr_SES-0008</t>
  </si>
  <si>
    <t>https://drive.google.com/file/d/1ePOHK1xRSXhp6zypklux0KNg86NRhnQ6/view?usp=drivesdk</t>
  </si>
  <si>
    <t>fxmeuge@ucpa.asso.fr_SES-0019</t>
  </si>
  <si>
    <t>convocation SES-0014 Nathalie LETURCQ</t>
  </si>
  <si>
    <t>https://drive.google.com/file/d/15nRyhftnElIrKT3bQthT-JttSrPc7sek/view?usp=drivesdk</t>
  </si>
  <si>
    <t>npalisse@ucpa.asso.fr_SES-0018</t>
  </si>
  <si>
    <t>convocation SES-0017 François Prost</t>
  </si>
  <si>
    <t>https://drive.google.com/file/d/1oPMPRBVjVex4-rAyW4J570F0ofCBVqxQ/view?usp=drivesdk</t>
  </si>
  <si>
    <t>pbreton@ucpa.asso.fr_SES-0006</t>
  </si>
  <si>
    <t>https://drive.google.com/file/d/1Nvku4GwDQxUqDqHyj3KHGox5Pt4ARFcJ/view?usp=drivesdk</t>
  </si>
  <si>
    <t>pbreton@ucpa.asso.fr_SES-0007</t>
  </si>
  <si>
    <t>convocation SES-0021 François Prost</t>
  </si>
  <si>
    <t>https://drive.google.com/file/d/1jl8s2abSu-fzrTwcUvyX4DXcfj-AyApQ/view?usp=drivesdk</t>
  </si>
  <si>
    <t>gebonnard@ucpa.asso.fr_SES-0018</t>
  </si>
  <si>
    <t>convocation SES-0010 Emmanuelle  Mert</t>
  </si>
  <si>
    <t>https://drive.google.com/file/d/1blW9dYWe_-5bzWMFHPS1qtg1ZOVpfk8m/view?usp=drivesdk</t>
  </si>
  <si>
    <t>jfoy@ucpa.asso.fr_SES-0009</t>
  </si>
  <si>
    <t>convocation SES-0005 Emmanuelle Mert</t>
  </si>
  <si>
    <t>lmartin@bois-le-roi.iledeloisirs.fr</t>
  </si>
  <si>
    <t>https://drive.google.com/file/d/1diWxs75mg2fCy2V0RrMH2fSK2oLcDthw/view?usp=drivesdk</t>
  </si>
  <si>
    <t>convocation SES-0016 Loïc MARTIN</t>
  </si>
  <si>
    <t>jfoy@ucpa.asso.fr_SES-0011</t>
  </si>
  <si>
    <t>https://drive.google.com/file/d/1R7vQo6mAvCHsv9cnGmaOMMwzv7vmdRnY/view?usp=drivesdk</t>
  </si>
  <si>
    <t>convocation SES-0017 Loïc MARTIN</t>
  </si>
  <si>
    <t>https://drive.google.com/file/d/18ffZKxgcw_qZ2AdI87ZvIgYag9gyYR-1/view?usp=drivesdk</t>
  </si>
  <si>
    <t>jfoy@ucpa.asso.fr_SES-0012</t>
  </si>
  <si>
    <t>https://drive.google.com/file/d/1wVg_bzjZz-s_288aNtYrfdM6s_BKRdRE/view?usp=drivesdk</t>
  </si>
  <si>
    <t>azamorahautier@ucpa.asso.fr_SES-0018</t>
  </si>
  <si>
    <t>convocation SES-0005 THIERRY VANOFFE</t>
  </si>
  <si>
    <t>cgonzalez@ucpa.asso.fr</t>
  </si>
  <si>
    <t>https://drive.google.com/file/d/1ktv-iwTFShtDmpAMi2GPXXbgGjNq_Fat/view?usp=drivesdk</t>
  </si>
  <si>
    <t>ecusey@uscpasl.com_SES-0004</t>
  </si>
  <si>
    <t>convocation SES-0014 Cristian GONZALEZ</t>
  </si>
  <si>
    <t>https://drive.google.com/file/d/1QIM7cyf5e48Ie29UzeDNwCf0YL4Ot6s5/view?usp=drivesdk</t>
  </si>
  <si>
    <t>convocation SES-0017 Cristian GONZALEZ</t>
  </si>
  <si>
    <t>https://drive.google.com/file/d/1cIxxQTDFBxWSpfoAHWIhyRRnNUMLxIk3/view?usp=drivesdk</t>
  </si>
  <si>
    <t>jfoy@ucpa.asso.fr_SES-0007</t>
  </si>
  <si>
    <t>convocation SES-0021 Véronique MISSONNIER</t>
  </si>
  <si>
    <t>https://drive.google.com/file/d/1ExwF9GzCk9tWoMNL2x-v1QPvAJDPZxjQ/view?usp=drivesdk</t>
  </si>
  <si>
    <t>jfoy@ucpa.asso.fr_SES-0008</t>
  </si>
  <si>
    <t>convocation SES-0005 Véronique MISSONNIER</t>
  </si>
  <si>
    <t>dperol@ucpa.asso.fr</t>
  </si>
  <si>
    <t>https://drive.google.com/file/d/1pC-TSXmAo4L31TAl6A1k0i7UzEoC4KSb/view?usp=drivesdk</t>
  </si>
  <si>
    <t>jfoy@ucpa.asso.fr_SES-0010</t>
  </si>
  <si>
    <t>convocation SES-0016 dorothy maxo</t>
  </si>
  <si>
    <t>https://drive.google.com/file/d/1QYCkjxmHHLNt03G5E-tfTLDOGLPrsvP-/view?usp=drivesdk</t>
  </si>
  <si>
    <t>jfoy@ucpa.asso.fr_SES-0016</t>
  </si>
  <si>
    <t>convocation SES-0014 HELENE MAZIERE</t>
  </si>
  <si>
    <t>SES-0024</t>
  </si>
  <si>
    <t>https://drive.google.com/file/d/1oja8-Rz5PywX7Rxp56EqIh4FhphZ0YaH/view?usp=drivesdk</t>
  </si>
  <si>
    <t>convocation SES-0024 jose FOY</t>
  </si>
  <si>
    <t>SES-0029</t>
  </si>
  <si>
    <t>jfoy@ucpa.asso.fr_SES-0019</t>
  </si>
  <si>
    <t>https://drive.google.com/file/d/17wF9nJ0D6-mQyJuwvSuDlR2ssB7s4_gU/view?usp=drivesdk</t>
  </si>
  <si>
    <t>convocation SES-0029 jose FOY</t>
  </si>
  <si>
    <t>SES-0030</t>
  </si>
  <si>
    <t>https://drive.google.com/file/d/1JFyfSl9yJojaGLs_nsYK3S_ROjX1eXTO/view?usp=drivesdk</t>
  </si>
  <si>
    <t>jfoy@ucpa.asso.fr_SES-0020</t>
  </si>
  <si>
    <t>convocation SES-0030 jose FOY</t>
  </si>
  <si>
    <t>https://drive.google.com/file/d/1o9bCHbVF9W6wl_JdWFzURkxzgf7srM7N/view?usp=drivesdk</t>
  </si>
  <si>
    <t>vdelamaire@pailleron19.com_SES-0006</t>
  </si>
  <si>
    <t>convocation SES-0030 Mattias Nilsson</t>
  </si>
  <si>
    <t>SES-0028</t>
  </si>
  <si>
    <t>https://drive.google.com/file/d/1dMtGLovmPHvH7ayf9o_zinUU-u41yXAH/view?usp=drivesdk</t>
  </si>
  <si>
    <t>convocation SES-0028 Carole  KLIPFEL</t>
  </si>
  <si>
    <t>imaitrejean@ucpa.asso.fr_SES-0010</t>
  </si>
  <si>
    <t>https://drive.google.com/file/d/1TybzBjfsYNjNyn0_DvYNTVVzbGFdNWO-/view?usp=drivesdk</t>
  </si>
  <si>
    <t>convocation SES-0024 Stéphanie MOYOU</t>
  </si>
  <si>
    <t>SES-0025</t>
  </si>
  <si>
    <t>https://drive.google.com/file/d/1n5EDfHoj7CsjUEXYo6QsLsAsN7e1INku/view?usp=drivesdk</t>
  </si>
  <si>
    <t>imaitrejean@ucpa.asso.fr_SES-0012</t>
  </si>
  <si>
    <t>convocation SES-0025 MOYOU Stéphanie</t>
  </si>
  <si>
    <t>https://drive.google.com/file/d/1mLBgB03ocB5iATO0Y_nkkTJDm4kF_sKJ/view?usp=drivesdk</t>
  </si>
  <si>
    <t>mmahe@ucpa.asso.fr_SES-0006</t>
  </si>
  <si>
    <t>convocation SES-0021 jose FOY</t>
  </si>
  <si>
    <t>https://drive.google.com/file/d/1pBi6VM_HLNJ3GaQvcIxbikItAolq0TVj/view?usp=drivesdk</t>
  </si>
  <si>
    <t>mmahe@ucpa.asso.fr_SES-0004</t>
  </si>
  <si>
    <t>convocation SES-0029 Carole  KLIPFEL</t>
  </si>
  <si>
    <t>https://drive.google.com/file/d/1d4vQy17NlW-8nUms46bitq0K2DyZk6YU/view?usp=drivesdk</t>
  </si>
  <si>
    <t>mmahe@ucpa.asso.fr_SES-0007</t>
  </si>
  <si>
    <t>convocation SES-0030 Carole  KLIPFEL</t>
  </si>
  <si>
    <t>https://drive.google.com/file/d/1GZw1D96ceSBXJDGRXSjAyBH2KfCV9LNq/view?usp=drivesdk</t>
  </si>
  <si>
    <t>convocation SES-0030 Isabelle Maitrejean</t>
  </si>
  <si>
    <t>mmahe@ucpa.asso.fr_SES-0008</t>
  </si>
  <si>
    <t>oduval@ucpa.asso.fr</t>
  </si>
  <si>
    <t>https://drive.google.com/file/d/1qO6j0QB9Z5F9kbyXQ9UOeSgKGXc4qm_9/view?usp=drivesdk</t>
  </si>
  <si>
    <t>convocation SES-0017 Olivier  DUVAL</t>
  </si>
  <si>
    <t>https://drive.google.com/file/d/1dkgQSduJY9wUnZxEEZ8Tu9CfPD8N9XVu/view?usp=drivesdk</t>
  </si>
  <si>
    <t>mmahe@ucpa.asso.fr_SES-0009</t>
  </si>
  <si>
    <t>convocation SES-0015 Véronique MISSONNIER</t>
  </si>
  <si>
    <t>https://drive.google.com/file/d/1cxzSNh8ILK763EaXzPp3BiRh2SLrXRn8/view?usp=drivesdk</t>
  </si>
  <si>
    <t>mmahe@ucpa.asso.fr_SES-0010</t>
  </si>
  <si>
    <t>convocation SES-0024 Mariannick Boudon</t>
  </si>
  <si>
    <t>https://drive.google.com/file/d/1zSc2CTkh4VLdMhMe-SIi1efqP-8j0iot/view?usp=drivesdk</t>
  </si>
  <si>
    <t>mmahe@ucpa.asso.fr_SES-0011</t>
  </si>
  <si>
    <t>convocation SES-0025 Mariannick Boudon</t>
  </si>
  <si>
    <t>SES-0027</t>
  </si>
  <si>
    <t>https://drive.google.com/file/d/16Amk4Hs3d9KQg0yzIbJf96vwoOYvrwZt/view?usp=drivesdk</t>
  </si>
  <si>
    <t>mmahe@ucpa.asso.fr_SES-0012</t>
  </si>
  <si>
    <t>convocation SES-0027 Mariannick Boudon</t>
  </si>
  <si>
    <t>https://drive.google.com/file/d/1r-dq4bJR4i-4LI8Kl3ouNfINjtL2pMIO/view?usp=drivesdk</t>
  </si>
  <si>
    <t>convocation SES-0029 VAUJANYMariannick BOUDON</t>
  </si>
  <si>
    <t>mmahe@ucpa.asso.fr_SES-0005</t>
  </si>
  <si>
    <t>https://drive.google.com/file/d/1xvcKuCfYbDkfEif3bRJBMwveZJFSSxhX/view?usp=drivesdk</t>
  </si>
  <si>
    <t>convocation SES-0028 NATHALIE FERAT</t>
  </si>
  <si>
    <t>ecaron@ucpaplanete.com</t>
  </si>
  <si>
    <t>https://drive.google.com/file/d/1gMtGuAIyLj-44nMcdrY2oQ0YC4KGVplb/view?usp=drivesdk</t>
  </si>
  <si>
    <t>nkhoulalene@ucpa.asso.fr_SES-0012</t>
  </si>
  <si>
    <t>convocation SES-0024 Eléonore Caron</t>
  </si>
  <si>
    <t>falamome@ucpa.asso.fr</t>
  </si>
  <si>
    <t>https://drive.google.com/file/d/1leQ0v_EAt7R5FuFUAv-h2_HMI96lt58X/view?usp=drivesdk</t>
  </si>
  <si>
    <t>tdelcourt@ucpasl.com_SES-0015</t>
  </si>
  <si>
    <t>convocation SES-0025 Florentin Alamome</t>
  </si>
  <si>
    <t>fgentilini@ucpa.ass.fr</t>
  </si>
  <si>
    <t>https://drive.google.com/file/d/19i8WQ6zEig3iqQ_j6YHjVf9CmX1wFPzj/view?usp=drivesdk</t>
  </si>
  <si>
    <t>tdelcourt@ucpasl.com_SES-0018</t>
  </si>
  <si>
    <t>convocation SES-0024 Franck GENTILINI</t>
  </si>
  <si>
    <t>fgentilini@ucpa.asso.fr</t>
  </si>
  <si>
    <t>https://drive.google.com/file/d/1bqxAGkXyInA2nPzfCxbMvLZI0IiJW780/view?usp=drivesdk</t>
  </si>
  <si>
    <t>sradiguet@ucpa.asso.fr_SES-0019</t>
  </si>
  <si>
    <t>convocation SES-0025 franck GENTILINI</t>
  </si>
  <si>
    <t>ffernandez@ucpa.asso.fr</t>
  </si>
  <si>
    <t>https://drive.google.com/file/d/1GsLff8yaajtfOAMu7siqop7FjZfL9nGj/view?usp=drivesdk</t>
  </si>
  <si>
    <t>convocation SES-0025 François FERNANDEZ</t>
  </si>
  <si>
    <t>sradiguet@ucpa.asso.fr_SES-0005</t>
  </si>
  <si>
    <t>https://drive.google.com/file/d/1yB_Yb7YuJgV0hXgI80nebdCiB44Z373A/view?usp=drivesdk</t>
  </si>
  <si>
    <t>convocation SES-0030 franck GENTILINI</t>
  </si>
  <si>
    <t>SES-0023</t>
  </si>
  <si>
    <t>https://drive.google.com/file/d/1weY6-9VphilRruR79mk3VcBOAT9wRW2M/view?usp=drivesdk</t>
  </si>
  <si>
    <t>gmeissonnier@ucpa.asso.fr_SES-0006</t>
  </si>
  <si>
    <t>convocation SES-0023 Christine COUMET</t>
  </si>
  <si>
    <t>https://drive.google.com/file/d/1bUIjRwKVcJAevu3Z-ZaGY6tN6WeTFmQm/view?usp=drivesdk</t>
  </si>
  <si>
    <t>cassin.sophie.18@gmail.com_SES-0012</t>
  </si>
  <si>
    <t>convocation SES-0029 françois FERNANDEZ</t>
  </si>
  <si>
    <t>alison.tomine@telligo.fr</t>
  </si>
  <si>
    <t>https://drive.google.com/file/d/1rtRWu6xMHuluJ2aTZShU6s32As6lQWYR/view?usp=drivesdk</t>
  </si>
  <si>
    <t>cassin.sophie.18@gmail.com_SES-0005</t>
  </si>
  <si>
    <t>convocation SES-0025 Alison Tomine</t>
  </si>
  <si>
    <t>lpitance@ucpa.asso.fr</t>
  </si>
  <si>
    <t>https://drive.google.com/file/d/1pGFHa8zHmSNSBtx9zXrbrRPAaYr3ub-D/view?usp=drivesdk</t>
  </si>
  <si>
    <t>cassin.sophie.18@gmail.com_SES-0015</t>
  </si>
  <si>
    <t>convocation SES-0025 Lucile Pitance</t>
  </si>
  <si>
    <t>https://drive.google.com/file/d/1b5xZ81VncHEwvVtnwPFW37uaRUZmc1wa/view?usp=drivesdk</t>
  </si>
  <si>
    <t>convocation SES-0021 Chouaib SEBANY</t>
  </si>
  <si>
    <t>cassin.sophie.18@gmail.com_SES-0016</t>
  </si>
  <si>
    <t>cjoly@ucpa.asso.fr</t>
  </si>
  <si>
    <t>https://drive.google.com/file/d/19AowcxJg8clRNs93-_H1vGnXLDIypekI/view?usp=drivesdk</t>
  </si>
  <si>
    <t>convocation SES-0025 Joly Caroline</t>
  </si>
  <si>
    <t>mamartin@ucpa.asso.fr</t>
  </si>
  <si>
    <t>cassin.sophie.18@gmail.com_SES-0018</t>
  </si>
  <si>
    <t>https://drive.google.com/file/d/1C2zXwNWbIotowQ8LvbgwFh39LhcBgQWc/view?usp=drivesdk</t>
  </si>
  <si>
    <t xml:space="preserve">convocation SES-0025 Maël  MARTIN </t>
  </si>
  <si>
    <t>lucile.deneboude@ucpa.asso.fr</t>
  </si>
  <si>
    <t>https://drive.google.com/file/d/1riaMzIercJtpgvXQpF1tlp5JdwgL89vK/view?usp=drivesdk</t>
  </si>
  <si>
    <t>cassin.sophie.18@gmail.com_SES-0021</t>
  </si>
  <si>
    <t>convocation SES-0023 Lucile Deneboude</t>
  </si>
  <si>
    <t>https://drive.google.com/file/d/1uGnSvQ0OOWPzBVZmR0y9jr9Q-x-VLHNr/view?usp=drivesdk</t>
  </si>
  <si>
    <t>cassin.sophie.18@gmail.com_SES-0020</t>
  </si>
  <si>
    <t>convocation SES-0025 Lucile Deneboude</t>
  </si>
  <si>
    <t>https://drive.google.com/file/d/1aPV-Z3fy6Pn0g1iMBsC5a3Jm3htqtOfq/view?usp=drivesdk</t>
  </si>
  <si>
    <t>cassin.sophie.18@gmail.com_SES-0004</t>
  </si>
  <si>
    <t>convocation SES-0025 YANN TORTEL</t>
  </si>
  <si>
    <t>abegon@ucpa.asso.fr</t>
  </si>
  <si>
    <t>https://drive.google.com/file/d/1BW82gWOuFlASB9NIB2UFfB4fUqUDuMy2/view?usp=drivesdk</t>
  </si>
  <si>
    <t>convocation SES-0023 Alex BEGON</t>
  </si>
  <si>
    <t>cassin.sophie.18@gmail.com_SES-0006</t>
  </si>
  <si>
    <t>https://drive.google.com/file/d/1dJ0P4VECMUQa2jlqxNIxr0OMreCiwvMF/view?usp=drivesdk</t>
  </si>
  <si>
    <t>convocation SES-0028 Alex BEGON</t>
  </si>
  <si>
    <t>mjouan@ucpa.asso.fr_SES-0014</t>
  </si>
  <si>
    <t>https://drive.google.com/file/d/1ylIEwgCDlKA0d5zu_aDEVAu6QS9YaiJu/view?usp=drivesdk</t>
  </si>
  <si>
    <t>convocation SES-0025 Alex BEGON</t>
  </si>
  <si>
    <t>https://drive.google.com/file/d/16EuQ2xwJcPRunjsmilK16A0lHXpLfLky/view?usp=drivesdk</t>
  </si>
  <si>
    <t>vdelamaire@pailleron19.com_SES-0004</t>
  </si>
  <si>
    <t>convocation SES-0029 Alex BEGON</t>
  </si>
  <si>
    <t>https://drive.google.com/file/d/1-bi28LR9Evq2oRMIzk3-WyvxHzxGjy7Z/view?usp=drivesdk</t>
  </si>
  <si>
    <t>vdelamaire@pailleron19.com_SES-0007</t>
  </si>
  <si>
    <t>convocation SES-0025 Stéphane Tavernier</t>
  </si>
  <si>
    <t>https://drive.google.com/file/d/1Urj4dUUeKkz_7rk2zcWGzg3hy_9ExTjj/view?usp=drivesdk</t>
  </si>
  <si>
    <t>vdelamaire@pailleron19.com_SES-0009</t>
  </si>
  <si>
    <t>convocation SES-0027 Stéphane Tavernier</t>
  </si>
  <si>
    <t>https://drive.google.com/file/d/1AbUwM3pRMaLlKFbNV_yhK-9nbVuHcxg4/view?usp=drivesdk</t>
  </si>
  <si>
    <t>vdelamaire@pailleron19.com_SES-0011</t>
  </si>
  <si>
    <t>convocation SES-0030 Stéphane Tavernier</t>
  </si>
  <si>
    <t>hourtincentre@ucpa.asso.fr</t>
  </si>
  <si>
    <t>https://drive.google.com/file/d/11Se1n_djnPQENm4bYP_av56yEtA9XJsV/view?usp=drivesdk</t>
  </si>
  <si>
    <t>convocation SES-0028 Angélique Marçais</t>
  </si>
  <si>
    <t>vdelamaire@pailleron19.com_SES-0012</t>
  </si>
  <si>
    <t>abricout@ucpa.asso.fr</t>
  </si>
  <si>
    <t>https://drive.google.com/file/d/1PS63OIcdVio_f0eMIi7eZM5BHvLRiqkv/view?usp=drivesdk</t>
  </si>
  <si>
    <t>convocation SES-0028 Agathe Bricout</t>
  </si>
  <si>
    <t>vincent.cazalaa@labalaguere.com</t>
  </si>
  <si>
    <t>https://drive.google.com/file/d/1l4fzAqa1Bunz9VsqQE8SoxExhAs6KFdj/view?usp=drivesdk</t>
  </si>
  <si>
    <t>vdelamaire@pailleron19.com_SES-0005</t>
  </si>
  <si>
    <t>convocation SES-0024 Vincent CAZALAA</t>
  </si>
  <si>
    <t>mgallonde@ucpa.asso.fr</t>
  </si>
  <si>
    <t>https://drive.google.com/file/d/1ruHr-WKUoo0D7c-bRB-NOHua6SpJiY-O/view?usp=drivesdk</t>
  </si>
  <si>
    <t>vdelamaire@pailleron19.com_SES-0014</t>
  </si>
  <si>
    <t>convocation SES-0021 MICHELINE GALLONDE</t>
  </si>
  <si>
    <t>rniepseron@ucpa.asso.fr</t>
  </si>
  <si>
    <t>https://drive.google.com/file/d/1x9g4L96OZZ6Gsa_Vff57Q-OGoOvIuoMj/view?usp=drivesdk</t>
  </si>
  <si>
    <t>vdelamaire@pailleron19.com_SES-0015</t>
  </si>
  <si>
    <t>convocation SES-0023 Romain Niepseron</t>
  </si>
  <si>
    <t>https://drive.google.com/file/d/1umj-_lKRr7FxAj4pTMPrFfRYUQNb8-tk/view?usp=drivesdk</t>
  </si>
  <si>
    <t>vdelamaire@pailleron19.com_SES-0016</t>
  </si>
  <si>
    <t>convocation SES-0028 Romain Niepseron</t>
  </si>
  <si>
    <t>https://drive.google.com/file/d/1DjF6wmmSsL1Jpm3qEyLtQAajeG7PSlnY/view?usp=drivesdk</t>
  </si>
  <si>
    <t>convocation SES-0024 Micheline GALLONDE</t>
  </si>
  <si>
    <t>vdelamaire@pailleron19.com_SES-0017</t>
  </si>
  <si>
    <t>ypalmis@ucpa.asso.fr</t>
  </si>
  <si>
    <t>https://drive.google.com/file/d/1yQhcxeQJbBM6aOJg5QTU9zN9CL1CG5PL/view?usp=drivesdk</t>
  </si>
  <si>
    <t>convocation SES-0024 Yannis PALMIS</t>
  </si>
  <si>
    <t>lphilippy@ucpa.asso.fr</t>
  </si>
  <si>
    <t>https://drive.google.com/file/d/1Qm7cbgxk97C7uciWzQzD8iHtgIHhyF7x/view?usp=drivesdk</t>
  </si>
  <si>
    <t>dsamson@ucpa.asso.fr_SES-0006</t>
  </si>
  <si>
    <t>convocation SES-0021 ludovic PHILIPPY</t>
  </si>
  <si>
    <t>https://drive.google.com/file/d/1X7jK0HB-aBO_CFPUXZgT5t8eVrrCHN43/view?usp=drivesdk</t>
  </si>
  <si>
    <t>dsamson@ucpa.asso.fr_SES-0005</t>
  </si>
  <si>
    <t>convocation SES-0023 ludovic PHILIPPY</t>
  </si>
  <si>
    <t>https://drive.google.com/file/d/1NVxBZe9svpSJYVO4JxcuN0soKiDLHJje/view?usp=drivesdk</t>
  </si>
  <si>
    <t>ehavet@ucpa.asso.fr_SES-0004</t>
  </si>
  <si>
    <t>convocation SES-0029 Micheline GALLONDE</t>
  </si>
  <si>
    <t>https://drive.google.com/file/d/1kvJmOk-9uvEWzwy-M8iwSWOOZdHjUEu4/view?usp=drivesdk</t>
  </si>
  <si>
    <t>ehavet@ucpa.asso.fr_SES-0011</t>
  </si>
  <si>
    <t>convocation SES-0029 Yannis PALMIS</t>
  </si>
  <si>
    <t>SES-0026</t>
  </si>
  <si>
    <t>https://drive.google.com/file/d/1GqH9qt_JWwGeqLpeCorlKk1pq4hyPhYq/view?usp=drivesdk</t>
  </si>
  <si>
    <t>ehavet@ucpa.asso.fr_SES-0012</t>
  </si>
  <si>
    <t>convocation SES-0026 Stéphane Tavernier</t>
  </si>
  <si>
    <t>tambert@ucpa.asso.fr</t>
  </si>
  <si>
    <t>https://drive.google.com/file/d/1DO782QAY18aiSCFsFfQVSIuYiB0F00VG/view?usp=drivesdk</t>
  </si>
  <si>
    <t>convocation SES-0024 tracy Ambert</t>
  </si>
  <si>
    <t>jortole@ucpa.asso.fr</t>
  </si>
  <si>
    <t>https://drive.google.com/file/d/1zzp3ylk0vyPMNgfaHTmG88soJsqdnbxy/view?usp=drivesdk</t>
  </si>
  <si>
    <t>ehavet@ucpa.asso.fr_SES-0016</t>
  </si>
  <si>
    <t>convocation SES-0021 Jessy ORTOLE</t>
  </si>
  <si>
    <t>https://drive.google.com/file/d/1TJSFDpUwHJcmEEi4UFS99r5ssiC4AwRN/view?usp=drivesdk</t>
  </si>
  <si>
    <t>etissot@ucpasl.com_SES-0011</t>
  </si>
  <si>
    <t>convocation SES-0024 Jessy ORTOLE</t>
  </si>
  <si>
    <t>https://drive.google.com/file/d/1BInCxWboqI4enonxraV7A-CST5D7s6sr/view?usp=drivesdk</t>
  </si>
  <si>
    <t>etissot@ucpasl.com_SES-0019</t>
  </si>
  <si>
    <t>convocation SES-0028 Jessy ORTOLE</t>
  </si>
  <si>
    <t>https://drive.google.com/file/d/1jkY4EQ8Kp5ncTbw1qQ8amDDljrq2nH1J/view?usp=drivesdk</t>
  </si>
  <si>
    <t>etissot@ucpasl.com_SES-0021</t>
  </si>
  <si>
    <t>convocation SES-0027 Jessy ORTOLE</t>
  </si>
  <si>
    <t>https://drive.google.com/file/d/1vzvSfJmdWfR_vKnpZS5irVzTz8qAejxw/view?usp=drivesdk</t>
  </si>
  <si>
    <t>mattias.nilsson@labalaguere.com_SES-0018</t>
  </si>
  <si>
    <t>convocation SES-0030 Jessy ORTOLE</t>
  </si>
  <si>
    <t>https://drive.google.com/file/d/1iGDjmMPjYo6upgFQY7DAGyhRHmI_bcx7/view?usp=drivesdk</t>
  </si>
  <si>
    <t>mattiasnilsson@labalaguere.com_SES-0020</t>
  </si>
  <si>
    <t>convocation SES-0027 Luc VERRIER</t>
  </si>
  <si>
    <t>https://drive.google.com/file/d/1s_tBUYMYJ8F_qkslL7W0IBtyorxFJNE-/view?usp=drivesdk</t>
  </si>
  <si>
    <t>mattias.nilsson@labalaguere.com_SES-0019</t>
  </si>
  <si>
    <t>convocation SES-0030 Luc VERRIER</t>
  </si>
  <si>
    <t>https://drive.google.com/file/d/10iDLKGW9qpHujkL-T6gdhi9vTxYM1LOE/view?usp=drivesdk</t>
  </si>
  <si>
    <t>mattias.nilsson@labalaguere.com_SES-0016</t>
  </si>
  <si>
    <t>convocation SES-0029 Luc VERRIER</t>
  </si>
  <si>
    <t>https://drive.google.com/file/d/1Ld4oUd1nCXHGLC5sGlDM2kcJvzWdc_lb/view?usp=drivesdk</t>
  </si>
  <si>
    <t>rledieu@ucpa.asso.fr_SES-0004</t>
  </si>
  <si>
    <t>convocation SES-0027 jean-charles GRANGER</t>
  </si>
  <si>
    <t>jlacaze@ucpa.asso.fr</t>
  </si>
  <si>
    <t>https://drive.google.com/file/d/1Gqcwqz7748x_VyMy7CCk6J0Xi5NyFeKA/view?usp=drivesdk</t>
  </si>
  <si>
    <t>rledieu@ucpa.asso.fr_SES-0007</t>
  </si>
  <si>
    <t>convocation SES-0021 joanna lacaze</t>
  </si>
  <si>
    <t>https://drive.google.com/file/d/14QaRTylTPojJWn8Yui-kuSWncc_HRJ3E/view?usp=drivesdk</t>
  </si>
  <si>
    <t>amsoili@ucpa.asso.fr_SES-0017</t>
  </si>
  <si>
    <t>convocation SES-0028 Vincent Buffy</t>
  </si>
  <si>
    <t>https://drive.google.com/file/d/1Xkp-r4kgVgy10MTXFy_c3PzDBfQbsSEb/view?usp=drivesdk</t>
  </si>
  <si>
    <t>nlamy@ucpa.asso.fr_SES-0004</t>
  </si>
  <si>
    <t>convocation SES-0029 Vincent Buffy</t>
  </si>
  <si>
    <t>https://drive.google.com/file/d/1Gx-lKOh53qmXtcaJwAA6CzgPDr6BZMI3/view?usp=drivesdk</t>
  </si>
  <si>
    <t>convocation SES-0030 Hélène Mingot</t>
  </si>
  <si>
    <t>pascal@colay.fr</t>
  </si>
  <si>
    <t>https://drive.google.com/file/d/1RTozSrfPLrhhOjXvYBZZGufYItxyMl99/view?usp=drivesdk</t>
  </si>
  <si>
    <t>convocation SES-0023 COLAY Pascal</t>
  </si>
  <si>
    <t>https://drive.google.com/file/d/1ch1jFHrGahuRHYnj143buVjNOG8sXycv/view?usp=drivesdk</t>
  </si>
  <si>
    <t>nleturcq@ucpasl.com_SES-0021</t>
  </si>
  <si>
    <t>convocation SES-0026 COLAY Pascal</t>
  </si>
  <si>
    <t>https://drive.google.com/file/d/1lvcN_eF2XF9J9OT7GX3rA0bPWQxb6xSV/view?usp=drivesdk</t>
  </si>
  <si>
    <t>slebris@ucpa.asso.fr_SES-0010</t>
  </si>
  <si>
    <t>convocation SES-0027 COLAY Pascal</t>
  </si>
  <si>
    <t>https://drive.google.com/file/d/1ZzNz3dljrh5C2pwWUVQNEZsAU4BfI4R0/view?usp=drivesdk</t>
  </si>
  <si>
    <t>slebris@ucpa.asso.fr_SES-0011</t>
  </si>
  <si>
    <t>convocation SES-0029 COLAY Pascal</t>
  </si>
  <si>
    <t>https://drive.google.com/file/d/1-4SszCkDsw12VMpHVts8fEUXHQb56iqg/view?usp=drivesdk</t>
  </si>
  <si>
    <t>slebris@ucpa.asso.fr_SES-0012</t>
  </si>
  <si>
    <t>convocation SES-0030 COLAY Pascal</t>
  </si>
  <si>
    <t>nclement@ucpasl.com</t>
  </si>
  <si>
    <t>https://drive.google.com/file/d/1zsvDxxOTEVCLJvk6zYZ6qjiwJ_ID4obk/view?usp=drivesdk</t>
  </si>
  <si>
    <t>slebris@ucpa.asso.fr_SES-0019</t>
  </si>
  <si>
    <t>convocation SES-0029 NATHALIE CLEMENT</t>
  </si>
  <si>
    <t>https://drive.google.com/file/d/1ZGmc-OvSTlTCOBe5BxP3a-sbcW7m854d/view?usp=drivesdk</t>
  </si>
  <si>
    <t>slebris@ucpa.asso.fr_SES-0016</t>
  </si>
  <si>
    <t>convocation SES-0023 Angélique Marçais</t>
  </si>
  <si>
    <t>slebris@ucpa.asso.fr_SES-0017</t>
  </si>
  <si>
    <t>mbristol@ucpasl.com</t>
  </si>
  <si>
    <t>https://drive.google.com/file/d/1VqtHxBeYCT4MDn6aiQdSm5Xtx8WcGzAt/view?usp=drivesdk</t>
  </si>
  <si>
    <t>convocation SES-0030 Maryse BRISTOL</t>
  </si>
  <si>
    <t>benoit_massin@hotmail.com_SES-0011</t>
  </si>
  <si>
    <t>https://drive.google.com/file/d/1qRzc8BhSp0mK-NRFz7ynjILAinWGHlKP/view?usp=drivesdk</t>
  </si>
  <si>
    <t>convocation SES-0024 Madison Nodin</t>
  </si>
  <si>
    <t>benoit_massin@hotmail.com_SES-0018</t>
  </si>
  <si>
    <t>https://drive.google.com/file/d/1T17X2s5PUoHzRjhFW5ClOLuzAGG4IAF-/view?usp=drivesdk</t>
  </si>
  <si>
    <t>convocation SES-0026 Madison Nodin</t>
  </si>
  <si>
    <t>https://drive.google.com/file/d/1CAIYZkf8gFxXCBRTxVjUpsWmzqjsgV8c/view?usp=drivesdk</t>
  </si>
  <si>
    <t>snobis@ucpa.asso.fr_SES-0018</t>
  </si>
  <si>
    <t>convocation SES-0030 Madison Nodin</t>
  </si>
  <si>
    <t>revano@ucpa.asso.fr_SES-0021</t>
  </si>
  <si>
    <t>https://drive.google.com/file/d/1FMARl4nNnUI88I9IYkPpRNhpCG844iXj/view?usp=drivesdk</t>
  </si>
  <si>
    <t>convocation SES-0024 Anna Supiot</t>
  </si>
  <si>
    <t>jlanson@ucpa.asso.fr_SES-0009</t>
  </si>
  <si>
    <t>https://drive.google.com/file/d/1PZYqtgzKZxmnZSOX3-ypwqKFmlTSBR0-/view?usp=drivesdk</t>
  </si>
  <si>
    <t>convocation SES-0029 Anna Supiot</t>
  </si>
  <si>
    <t>ebenet@ucpa.asso.fr_SES-0011</t>
  </si>
  <si>
    <t>https://drive.google.com/file/d/1fT63OsN2cyTVKmLkxLwSFvsexrdn-jst/view?usp=drivesdk</t>
  </si>
  <si>
    <t>convocation SES-0023 NATHALIE CLEMENT</t>
  </si>
  <si>
    <t>revano@ucpa.asso.fr_SES-0014</t>
  </si>
  <si>
    <t>rterreno@ucpa.asso.fr</t>
  </si>
  <si>
    <t>https://drive.google.com/file/d/1y-QCO8S1jsGG5jZLi87IUuDrzknZ2ZXs/view?usp=drivesdk</t>
  </si>
  <si>
    <t>jlanson@ucpa.asso.fr_SES-0011</t>
  </si>
  <si>
    <t>convocation SES-0024 Raphael Terreno</t>
  </si>
  <si>
    <t>https://drive.google.com/file/d/1r-k17ht6Ydj1WrfszMqA1ckyxxQqedzN/view?usp=drivesdk</t>
  </si>
  <si>
    <t>ebenet@ucpa.asso.fr_SES-0012</t>
  </si>
  <si>
    <t>convocation SES-0030 Catherine COEUR</t>
  </si>
  <si>
    <t>jsoime@ucpa.asso.fr</t>
  </si>
  <si>
    <t>https://drive.google.com/file/d/1Dys71USp4spufphg3WXOYHsMSjfhU4Nm/view?usp=drivesdk</t>
  </si>
  <si>
    <t>jlanson@ucpa.asso.fr_SES-0010</t>
  </si>
  <si>
    <t>convocation SES-0029 Jeanne SOIME</t>
  </si>
  <si>
    <t>https://drive.google.com/file/d/14dB046Lagea5q6I4CTlCc8FgLiroRJMz/view?usp=drivesdk</t>
  </si>
  <si>
    <t>jlanson@ucpa.asso.fr_SES-0012</t>
  </si>
  <si>
    <t>convocation SES-0023 franck GENTILINI</t>
  </si>
  <si>
    <t>https://drive.google.com/file/d/1MDogIQZIEtm5smHbrKWhS6BfRzAIjkMa/view?usp=drivesdk</t>
  </si>
  <si>
    <t>jlanson@ucpa.asso.fr_SES-0016</t>
  </si>
  <si>
    <t>convocation SES-0028 Elena Didier</t>
  </si>
  <si>
    <t>https://drive.google.com/file/d/1hVJrS7_Y3Ab2_Sv1ZswK57uYDc0-L4nW/view?usp=drivesdk</t>
  </si>
  <si>
    <t>jlanson@ucpa.asso.fr_SES-0018</t>
  </si>
  <si>
    <t>convocation SES-0023 Agathe Paulet Catrin</t>
  </si>
  <si>
    <t>https://drive.google.com/file/d/1iq8qngGOBOH4mT69ojhVHxjM0TUfiDUH/view?usp=drivesdk</t>
  </si>
  <si>
    <t>jlanson@ucpa.asso.fr_SES-0019</t>
  </si>
  <si>
    <t>convocation SES-0026 Agathe Paulet Catrin</t>
  </si>
  <si>
    <t>yann.damoulakis@telligo.fr</t>
  </si>
  <si>
    <t>https://drive.google.com/file/d/1zMz5Z1-6yIqWTV3-yCl3Ctub1-7xVw7d/view?usp=drivesdk</t>
  </si>
  <si>
    <t>jlanson@ucpa.asso.fr_SES-0020</t>
  </si>
  <si>
    <t>convocation SES-0027 Yann Damoulakis</t>
  </si>
  <si>
    <t>lfeuillet@ucpa.asso.fr_SES-0015</t>
  </si>
  <si>
    <t>https://drive.google.com/file/d/1_YT0ZAbvwcsSLG34EZ4OenJrM0k89jC2/view?usp=drivesdk</t>
  </si>
  <si>
    <t>fprost@ucpa.asso.fr_SES-0009</t>
  </si>
  <si>
    <t>convocation SES-0025 DAVID SERANO-GROCQ</t>
  </si>
  <si>
    <t>SES-0031</t>
  </si>
  <si>
    <t>https://drive.google.com/file/d/1rYTfFtwON0O8AmyN1mLEukqCJSr-bGJe/view?usp=drivesdk</t>
  </si>
  <si>
    <t>fprost@ucpa.aso.fr_SES-0010</t>
  </si>
  <si>
    <t>convocation SES-0031 Mathieu DESPONTS</t>
  </si>
  <si>
    <t>https://drive.google.com/file/d/1wMopQ8LqIDNVrcPkkeZ0AtWxiNGcgVaD/view?usp=drivesdk</t>
  </si>
  <si>
    <t>lfeuillet@ucpa.asso.fr_SES-0016</t>
  </si>
  <si>
    <t>convocation SES-0030 Mathieu DESPONTS</t>
  </si>
  <si>
    <t>https://drive.google.com/file/d/1uYXAkibF08eNcZHHxgy8X6s2iknc-wD4/view?usp=drivesdk</t>
  </si>
  <si>
    <t>fprost@ucpa.asso.fr_SES-0016</t>
  </si>
  <si>
    <t>convocation SES-0027 SOPHIE VERRIER</t>
  </si>
  <si>
    <t>https://drive.google.com/file/d/1Ujnq2vfajTnHrIMN7nsuBh2wEhqlto8u/view?usp=drivesdk</t>
  </si>
  <si>
    <t>fprost@ucpa.asso.fr_SES-0012</t>
  </si>
  <si>
    <t>convocation SES-0028 didier rubiola</t>
  </si>
  <si>
    <t>https://drive.google.com/file/d/1nNN9G5M5NS5__zYGyqUxKr12cTcKUORj/view?usp=drivesdk</t>
  </si>
  <si>
    <t>lfeuillet@ucpa.asso.fr_SES-0014</t>
  </si>
  <si>
    <t>convocation SES-0027 Agathe Paulet Catrin</t>
  </si>
  <si>
    <t>https://drive.google.com/file/d/1kBhSce1erh3YA3QFYVtNsxfGErmvMObc/view?usp=drivesdk</t>
  </si>
  <si>
    <t>convocation SES-0031 NATHALIE CLEMENT</t>
  </si>
  <si>
    <t>ebenet@ucpa.asso.fr_SES-0010</t>
  </si>
  <si>
    <t>https://drive.google.com/file/d/1CF1wZY3gNTsSpEASbdxI30ZL3-rdn071/view?usp=drivesdk</t>
  </si>
  <si>
    <t>convocation SES-0028 Frédéric GARCIN</t>
  </si>
  <si>
    <t>https://drive.google.com/file/d/1V2Encew7RYWRr2YRiFsasEasDvcU9JLv/view?usp=drivesdk</t>
  </si>
  <si>
    <t>nkhoulalene@gmail.com_SES-0009</t>
  </si>
  <si>
    <t>convocation SES-0025 Anna Supiot</t>
  </si>
  <si>
    <t>https://drive.google.com/file/d/1o0lL1mk9FPfChC9iNcloNKtjJHCanLiQ/view?usp=drivesdk</t>
  </si>
  <si>
    <t>christinecoumet@labalaguere.com_SES-0015</t>
  </si>
  <si>
    <t>convocation SES-0027 Stéphanie BOUTEILLE</t>
  </si>
  <si>
    <t>https://drive.google.com/file/d/1CZwhzkf5yCGvXvYxN2oEE4K1K7_mibz-/view?usp=drivesdk</t>
  </si>
  <si>
    <t>ccoeur@ucpa.asso.fr_SES-0010</t>
  </si>
  <si>
    <t>convocation SES-0027 SONIA MOLINA</t>
  </si>
  <si>
    <t>https://drive.google.com/file/d/1BuOZ8Hj_misf0v04uaaa2_Uqx36h5VDF/view?usp=drivesdk</t>
  </si>
  <si>
    <t>ccoeur@ucpa.asso.fr_SES-0020</t>
  </si>
  <si>
    <t>convocation SES-0030 SONIA MOLINA</t>
  </si>
  <si>
    <t>https://drive.google.com/file/d/1H-uc5Zvi4jLZ_IMgjqeyXK6cBN8jBPXC/view?usp=drivesdk</t>
  </si>
  <si>
    <t>sophie.feysel@telligo.fr_SES-0018</t>
  </si>
  <si>
    <t>convocation SES-0029 sophie VERRIER</t>
  </si>
  <si>
    <t>https://drive.google.com/file/d/1gFyOuuap6qDv9lagn0-GY7x6o13Y0OeB/view?usp=drivesdk</t>
  </si>
  <si>
    <t xml:space="preserve">convocation SES-0031 Carole  KLIPFEL </t>
  </si>
  <si>
    <t>pgaudin@ucpa.asso.fr_SES-0009</t>
  </si>
  <si>
    <t>slefroy@ucpa.asso.fr</t>
  </si>
  <si>
    <t>https://drive.google.com/file/d/10VTg4tgG9BQeg8xCpkW6bV-MCfud2iGL/view?usp=drivesdk</t>
  </si>
  <si>
    <t>convocation SES-0024 Sonia LEFROY</t>
  </si>
  <si>
    <t>https://drive.google.com/file/d/1zO3I1bKOsFfCtA0KK84NJA5lklHM9p8t/view?usp=drivesdk</t>
  </si>
  <si>
    <t>apouffier@ucpasl.com_SES-0014</t>
  </si>
  <si>
    <t>convocation SES-0031 BOUDON Mariannick</t>
  </si>
  <si>
    <t>https://drive.google.com/file/d/1-M0-Vih-MCi1T87eM7XdSsLgjpMRai0a/view?usp=drivesdk</t>
  </si>
  <si>
    <t>smathieu@ucpa.asso.fr_SES-0015</t>
  </si>
  <si>
    <t>convocation SES-0030 Chouaib SEBANY</t>
  </si>
  <si>
    <t>https://drive.google.com/file/d/1g2zZFhFcV6ZBhmiKLyzTDv9TOIvK_966/view?usp=drivesdk</t>
  </si>
  <si>
    <t>lweissenburger@ucpa.asso.fr_SES-0014</t>
  </si>
  <si>
    <t>convocation SES-0031 Géraldine BONNARD</t>
  </si>
  <si>
    <t>https://drive.google.com/file/d/1X7kcAGD2NhevylqH7SUKamqDbZGSFCX4/view?usp=drivesdk</t>
  </si>
  <si>
    <t>plecointe@ucpa.asso.fr_SES-0020</t>
  </si>
  <si>
    <t>convocation SES-0031 Lucile Pitance</t>
  </si>
  <si>
    <t>tsy@ucpa-asso.fr</t>
  </si>
  <si>
    <t>https://drive.google.com/file/d/1O6DjNcpV7lwPWjCKEhfeUNtFvSEZkCJU/view?usp=drivesdk</t>
  </si>
  <si>
    <t>plecointe@ucpa.asso.fr_SES-0018</t>
  </si>
  <si>
    <t>convocation SES-0031 Tanou SY</t>
  </si>
  <si>
    <t>tfort@ucpa.asso.fr</t>
  </si>
  <si>
    <t>https://drive.google.com/file/d/11t0AaslG1R53Ti4zwWoFtch85v7SEArK/view?usp=drivesdk</t>
  </si>
  <si>
    <t>convocation SES-0031 Thomas FORT</t>
  </si>
  <si>
    <t>nferat@ucpa.asso.fr_SES-0005</t>
  </si>
  <si>
    <t>https://drive.google.com/file/d/1T20BnvK55y-r-bSjGySHA5QwlMGfW9rZ/view?usp=drivesdk</t>
  </si>
  <si>
    <t>lweissenburger@ucpa.asso.fr_SES-0018</t>
  </si>
  <si>
    <t>convocation SES-0031 Romain Evano</t>
  </si>
  <si>
    <t>stephanie.girodet@numericoach.fr</t>
  </si>
  <si>
    <t>https://drive.google.com/file/d/1pKsQBX0qMNBE0CStufHw8QudvNPKrV71/view?usp=drivesdk</t>
  </si>
  <si>
    <t>hmingot@ucpa.asso.fr_SES-0011</t>
  </si>
  <si>
    <t>convocation SES-0031 Stéphanie Girodet</t>
  </si>
  <si>
    <t>SES-0038</t>
  </si>
  <si>
    <t>https://drive.google.com/file/d/1Cx1iPNgE5_X3GuYTuy6oQzSF6Vzhz7Uy/view?usp=drivesdk</t>
  </si>
  <si>
    <t>plecointe@ucpa.asso.fr_SES-0021</t>
  </si>
  <si>
    <t>convocation SES-0038 Agathe PAULET CATRIN</t>
  </si>
  <si>
    <t>SES-0047</t>
  </si>
  <si>
    <t>https://drive.google.com/file/d/1jmiqFU271skqNv1Jv8DuVPNQEOB-Fw61/view?usp=drivesdk</t>
  </si>
  <si>
    <t>nferat@ucpa.asso.fr_SES-0015</t>
  </si>
  <si>
    <t>convocation SES-0047 Agathe Paulet Catrin</t>
  </si>
  <si>
    <t>SES-0044</t>
  </si>
  <si>
    <t>https://drive.google.com/file/d/1gJlqvzGIIINMOuwGq9_l_USgxoys8jIH/view?usp=drivesdk</t>
  </si>
  <si>
    <t>lgeulin@ucpa.asso.fr_SES-0017</t>
  </si>
  <si>
    <t>convocation SES-0044 Agathe Paulet Catrin</t>
  </si>
  <si>
    <t>SES-0033</t>
  </si>
  <si>
    <t>https://drive.google.com/file/d/1HqJOHMYJvgBCcoc9JjGoJyTes52DbljC/view?usp=drivesdk</t>
  </si>
  <si>
    <t>nferat@ucpa.asso.fr_SES-0011</t>
  </si>
  <si>
    <t>convocation SES-0033 Stéphanie BOUTEILLE</t>
  </si>
  <si>
    <t>SES-0041</t>
  </si>
  <si>
    <t>https://drive.google.com/file/d/16QBVv4M69c2mj59yrECqRazWOrlccnf6/view?usp=drivesdk</t>
  </si>
  <si>
    <t>vbuffy@ucpa.asso.fr_SES-0017</t>
  </si>
  <si>
    <t>convocation SES-0041 Agathe Paulet Catrin</t>
  </si>
  <si>
    <t>https://drive.google.com/file/d/1MGh_NjS38tpYzX4vuJJ23N2WmUnvlKyO/view?usp=drivesdk</t>
  </si>
  <si>
    <t>mnodin@ucpa.asso.fr_SES-0015</t>
  </si>
  <si>
    <t>convocation SES-0038 Stéphanie BOUTEILLE</t>
  </si>
  <si>
    <t>SES-0039</t>
  </si>
  <si>
    <t>smoyou@ucpa.asso.fr</t>
  </si>
  <si>
    <t>https://drive.google.com/file/d/1HAf777S33XAChkvE37Ap9P1ACixeezPE/view?usp=drivesdk</t>
  </si>
  <si>
    <t>convocation SES-0039 Stéphanie MOYOU</t>
  </si>
  <si>
    <t>https://drive.google.com/file/d/1v3gumb5LFKiLh_M-1a_SVhekG7Jxhaw_/view?usp=drivesdk</t>
  </si>
  <si>
    <t>mnodin@ucpa.asso.fr_SES-0017</t>
  </si>
  <si>
    <t>convocation SES-0041 stéphanie MOYOU</t>
  </si>
  <si>
    <t>SES-0042</t>
  </si>
  <si>
    <t>mnodin@ucpa.asso.fr_SES-0009</t>
  </si>
  <si>
    <t>https://drive.google.com/file/d/17LTtOciU7OQaX7GZjPfNbfjOSxhTDxvW/view?usp=drivesdk</t>
  </si>
  <si>
    <t>Google Slides niveau 2 | le vendredi 6 novembre 2020 de 11:15 à 12:15 | DISTANCIEL [SES-0018]</t>
  </si>
  <si>
    <t>convocation SES-0042 stéphanie MOYOU</t>
  </si>
  <si>
    <t>SES-0043</t>
  </si>
  <si>
    <t>https://drive.google.com/file/d/18H6y3VEEqmaLu1Wafhhtj244anYSDIG_/view?usp=drivesdk</t>
  </si>
  <si>
    <t>pgombert@ucpa.asso.fr_SES-0017</t>
  </si>
  <si>
    <t>convocation SES-0043 stéphanie MOYOU</t>
  </si>
  <si>
    <t>tloha@ucpa.asso.fr</t>
  </si>
  <si>
    <t>https://drive.google.com/file/d/1yeOdKFX4iOSr_8sDraFjC2dMZQrgj1v1/view?usp=drivesdk</t>
  </si>
  <si>
    <t>convocation SES-0039 Thomas Loha</t>
  </si>
  <si>
    <t>etissot@ucpasl.com_SES-0010</t>
  </si>
  <si>
    <t>SES-0052</t>
  </si>
  <si>
    <t>https://drive.google.com/file/d/1fAvXJXvLIL63WbKPIYiBjADYBLzqyvFJ/view?usp=drivesdk</t>
  </si>
  <si>
    <t>convocation SES-0052 Lucile Pitance</t>
  </si>
  <si>
    <t>etissot@ucpasl.com_SES-0014</t>
  </si>
  <si>
    <t>SES-0046</t>
  </si>
  <si>
    <t>mbristol@ucpa.asso.fr</t>
  </si>
  <si>
    <t>https://drive.google.com/file/d/1CdPWcwc52YkjESA-DwtyDJkneM4j7Wva/view?usp=drivesdk</t>
  </si>
  <si>
    <t>convocation SES-0046 Maryse BRISTOL</t>
  </si>
  <si>
    <t>lmosnier@ucpa.asso.fr_SES-0017</t>
  </si>
  <si>
    <t>SES-0032</t>
  </si>
  <si>
    <t>jrdavid@ucpa.asso.fr</t>
  </si>
  <si>
    <t>https://drive.google.com/file/d/1rQ_I187aKLxiZTwUDCOB2isRnCfSTQ34/view?usp=drivesdk</t>
  </si>
  <si>
    <t>convocation SES-0032 Jean-Rémi David</t>
  </si>
  <si>
    <t>lmosnier@ucpa.asso.fr_SES-0015</t>
  </si>
  <si>
    <t>mmoreel@ucpa.asso.fr</t>
  </si>
  <si>
    <t>https://drive.google.com/file/d/1nGeSm4hLneb6Fc1e0ez-XWeT5GYn-YOc/view?usp=drivesdk</t>
  </si>
  <si>
    <t>NOM</t>
  </si>
  <si>
    <t>convocation SES-0038 Magdalena MOREEL</t>
  </si>
  <si>
    <t>spornin@ucpa.asso.fr_SES-0014</t>
  </si>
  <si>
    <t>SES-0036</t>
  </si>
  <si>
    <t>cthouillez@pailleron19.com</t>
  </si>
  <si>
    <t>https://drive.google.com/file/d/1GiLrJ4FOa2flg7qZh7BPk1knMvmZRK5Q/view?usp=drivesdk</t>
  </si>
  <si>
    <t>convocation SES-0036 Corinne Thouillez</t>
  </si>
  <si>
    <t>SES-0040</t>
  </si>
  <si>
    <t>catherine.georges@telligo.fr_SES-0020</t>
  </si>
  <si>
    <t>nchansard@ucpa.asso.fr</t>
  </si>
  <si>
    <t>https://drive.google.com/file/d/1QbrWnnc2UFibp9fjRFzOzBHFWNkp3ooF/view?usp=drivesdk</t>
  </si>
  <si>
    <t>convocation SES-0040 Nathalie CHANSARD</t>
  </si>
  <si>
    <t>lauriane.33@hotmail.fr_SES-0005</t>
  </si>
  <si>
    <t>SES-0049</t>
  </si>
  <si>
    <t>mpougheon@ucpa.asso.fr</t>
  </si>
  <si>
    <t>https://drive.google.com/file/d/15vzd-KaksDGWQovYoZU2koaEpjnB1X76/view?usp=drivesdk</t>
  </si>
  <si>
    <t>convocation SES-0049 Marc Pougheon</t>
  </si>
  <si>
    <t>lauriane.33@hotmail.fr_SES-0015</t>
  </si>
  <si>
    <t>SES-0051</t>
  </si>
  <si>
    <t>falamome@gmail.com</t>
  </si>
  <si>
    <t>https://drive.google.com/file/d/1x1qz1awvX6fjVUB-9odgvPiqcIflZe7U/view?usp=drivesdk</t>
  </si>
  <si>
    <t>convocation SES-0051 Florentin Alamôme</t>
  </si>
  <si>
    <t>SES-0050</t>
  </si>
  <si>
    <t>guillaumereyrolle@yahoo.fr_SES-0009</t>
  </si>
  <si>
    <t>https://drive.google.com/file/d/1oDHEBnATUQ4wNVnNggyt3rciiFBBiXNK/view?usp=drivesdk</t>
  </si>
  <si>
    <t>convocation SES-0050 Florentin Alamôme</t>
  </si>
  <si>
    <t>SES-0035</t>
  </si>
  <si>
    <t>emilie.bouysset@labalaguere.com</t>
  </si>
  <si>
    <t>https://drive.google.com/file/d/1ZA8i4Wdf8kI4PJJ1--Z_yBh3jimHUBym/view?usp=drivesdk</t>
  </si>
  <si>
    <t>guillaumereyrolle@yahoo.fr_SES-0010</t>
  </si>
  <si>
    <t>convocation SES-0035 Emilie BOUYSSET</t>
  </si>
  <si>
    <t>guillaumereyrolle@yahoo.fr_SES-0014</t>
  </si>
  <si>
    <t>https://drive.google.com/file/d/1oVaWBCtgpaqezY7ypVD5XXeQ9kz3gzAr/view?usp=drivesdk</t>
  </si>
  <si>
    <t>convocation SES-0049 Florentin Alamôme</t>
  </si>
  <si>
    <t>https://drive.google.com/file/d/1fkMpBK0BLmh3_YDstP4BE-PRne9T0AW2/view?usp=drivesdk</t>
  </si>
  <si>
    <t>guillaumereyrolle@yahoo.fr_SES-0015</t>
  </si>
  <si>
    <t>convocation SES-0046 Emilie BOUYSSET</t>
  </si>
  <si>
    <t>SES-0045</t>
  </si>
  <si>
    <t>guillaumereyrolle@yahoo.fr_SES-0017</t>
  </si>
  <si>
    <t>https://drive.google.com/file/d/16Cyk-q6B0kCCsaS34rZfXOIE3LZ4hL5E/view?usp=drivesdk</t>
  </si>
  <si>
    <t>convocation SES-0045 Emilie BOUYSSET</t>
  </si>
  <si>
    <t>ecusey@ucpa.asso.fr</t>
  </si>
  <si>
    <t>https://drive.google.com/file/d/1UiXACf9v3xbD0kGtnAuJZQL0_z7Eug-6/view?usp=drivesdk</t>
  </si>
  <si>
    <t>guillaumereyrolle@yahoo.fr_SES-0021</t>
  </si>
  <si>
    <t>convocation SES-0045 EMILIE CUSEY</t>
  </si>
  <si>
    <t>https://drive.google.com/file/d/1ZKwV5SQaVyC6kVXtVpWehfczkX8d0DoK/view?usp=drivesdk</t>
  </si>
  <si>
    <t>sarduain@ucpa.asso.fr_SES-0010</t>
  </si>
  <si>
    <t>convocation SES-0045 Charlotte THOBY</t>
  </si>
  <si>
    <t>pacalbo@ucpa.asso.fr</t>
  </si>
  <si>
    <t>https://drive.google.com/file/d/137chNIXTgJCcgO9cUdxo3H6ON9gv-wla/view?usp=drivesdk</t>
  </si>
  <si>
    <t>sarduain@ucpa.asso.fr_SES-0015</t>
  </si>
  <si>
    <t>convocation SES-0035 Pierre-Alexis CALBO</t>
  </si>
  <si>
    <t>https://drive.google.com/file/d/1JWNhqfm49RzpuoUIlXDiMqBPZrm8dza2/view?usp=drivesdk</t>
  </si>
  <si>
    <t>sarduain@ucpa.asso.fr_SES-0017</t>
  </si>
  <si>
    <t>convocation SES-0049 Magali VAUJANY</t>
  </si>
  <si>
    <t>https://drive.google.com/file/d/1t99oNfYgMj18uM8EIMObYpVLOaPj-jt9/view?usp=drivesdk</t>
  </si>
  <si>
    <t>goncalvesjulie@yahoo.fr_SES-0021</t>
  </si>
  <si>
    <t>convocation SES-0050 Magali VAUJANY</t>
  </si>
  <si>
    <t>tsy@ucpa.asso.fr</t>
  </si>
  <si>
    <t>https://drive.google.com/file/d/1fEB4k6eVka38Se_9_LtkfYxEtGTS_ry0/view?usp=drivesdk</t>
  </si>
  <si>
    <t>vpaparella@ucpa.asso.fr_SES-0015</t>
  </si>
  <si>
    <t>convocation SES-0032 Tanou SY</t>
  </si>
  <si>
    <t>SES-0037</t>
  </si>
  <si>
    <t>https://drive.google.com/file/d/1LT6dEFHWqnr7I4ezyVTusAheXfj_bTRU/view?usp=drivesdk</t>
  </si>
  <si>
    <t>vpaparella@ucpa.asso.fr_SES-0017</t>
  </si>
  <si>
    <t>convocation SES-0037 Tanou SY</t>
  </si>
  <si>
    <t>https://drive.google.com/file/d/1BXquPeTZbBmYc0rko1VraxnWOcFx0VFq/view?usp=drivesdk</t>
  </si>
  <si>
    <t>vpaparella@ucpa.asso.fr_SES-0020</t>
  </si>
  <si>
    <t>convocation SES-0043 Tanou Sy</t>
  </si>
  <si>
    <t>nclement@ucpa.asso.fr</t>
  </si>
  <si>
    <t>https://drive.google.com/file/d/17TTn_HbcXI1sOIEYZRcgr3SSflz0iHoC/view?usp=drivesdk</t>
  </si>
  <si>
    <t>vpaparella@ucpa.asso.fr_SES-0009</t>
  </si>
  <si>
    <t>convocation SES-0049 NATHALIE CLEMENT</t>
  </si>
  <si>
    <t>https://drive.google.com/file/d/1WG13MFHT_nxkWq-Rg60w28fCNsXc1C80/view?usp=drivesdk</t>
  </si>
  <si>
    <t>convocation SES-0050 NATHALIE CLEMENT</t>
  </si>
  <si>
    <t>vpaparella@ucpa.asso.fr_SES-0014</t>
  </si>
  <si>
    <t>https://drive.google.com/file/d/1u-ECS1kyeXpBGbSyURiX4kDZy8w1Woy_/view?usp=drivesdk</t>
  </si>
  <si>
    <t>convocation SES-0047 NATHALIE CLEMENT</t>
  </si>
  <si>
    <t>https://drive.google.com/file/d/1NG1iETPbDQbl4VsEGjAKyJvz07QSqty6/view?usp=drivesdk</t>
  </si>
  <si>
    <t>vpaparella@ucpa.asso.fr_SES-0021</t>
  </si>
  <si>
    <t>convocation SES-0051 NATHALIE CLEMENT</t>
  </si>
  <si>
    <t>https://drive.google.com/file/d/1Q6UnwNLWJJEDZ6J51anlLEHIMR34zmng/view?usp=drivesdk</t>
  </si>
  <si>
    <t>convocation SES-0041 Tanou sy</t>
  </si>
  <si>
    <t>https://drive.google.com/file/d/1Ne5sJoZ4j1BrBysSW8qGYTuvBEWbB_1a/view?usp=drivesdk</t>
  </si>
  <si>
    <t>smolina@ucpa.asso.fr_SES-0009</t>
  </si>
  <si>
    <t>convocation SES-0041 François FERNANDEZ</t>
  </si>
  <si>
    <t>https://drive.google.com/file/d/1QK6XZT1kgTcB0KkEQyJqXmKooiOq4KgT/view?usp=drivesdk</t>
  </si>
  <si>
    <t>smolina@ucpa.asso.fr_SES-0014</t>
  </si>
  <si>
    <t>convocation SES-0039 yohan Brun</t>
  </si>
  <si>
    <t>https://drive.google.com/file/d/1q8_1CwHS10XwkBdEcpa8eiBoCSuV5DQl/view?usp=drivesdk</t>
  </si>
  <si>
    <t>smolina@ucpa.asso.fr_SES-0015</t>
  </si>
  <si>
    <t>convocation SES-0032 sophie VERRIER</t>
  </si>
  <si>
    <t>https://drive.google.com/file/d/1sGfu70Wcc4LjjcapmkfgTytFWPWvqynz/view?usp=drivesdk</t>
  </si>
  <si>
    <t>convocation SES-0047 yohan Brun</t>
  </si>
  <si>
    <t>lverrier@ucpa.asso.fr_SES-0009</t>
  </si>
  <si>
    <t>SES-0034</t>
  </si>
  <si>
    <t>elisablanc@ymail.com</t>
  </si>
  <si>
    <t>https://drive.google.com/file/d/1ES2G_UTcdND_3B2_rwpRvPRbeBLVdLXP/view?usp=drivesdk</t>
  </si>
  <si>
    <t>convocation SES-0034 Elisa Blanc</t>
  </si>
  <si>
    <t>lverrier@ucpa.asso.fr_SES-0014</t>
  </si>
  <si>
    <t>https://drive.google.com/file/d/1mEyYDd0EL-60dLXEmj4Ad5jTSoIeKcTq/view?usp=drivesdk</t>
  </si>
  <si>
    <t>lverrier@ucpa.asso.fr_SES-0017</t>
  </si>
  <si>
    <t xml:space="preserve">convocation SES-0034 CAROLE KLIPFEL </t>
  </si>
  <si>
    <t>https://drive.google.com/file/d/1GiE5cJJzXCImKc_dvl9GXuWLU27NXOve/view?usp=drivesdk</t>
  </si>
  <si>
    <t>lverrier@ucpa.asso.fr_SES-0020</t>
  </si>
  <si>
    <t xml:space="preserve">convocation SES-0049 Carole Klipfel </t>
  </si>
  <si>
    <t>https://drive.google.com/file/d/1XHZofesrlgeWgt5oZm4TpGakLDwd_0Zg/view?usp=drivesdk</t>
  </si>
  <si>
    <t>lverrier@ucpa.asso.fr_SES-0021</t>
  </si>
  <si>
    <t xml:space="preserve">convocation SES-0044 Carole Klipfel </t>
  </si>
  <si>
    <t>https://drive.google.com/file/d/1-3oi5opiAM8gZubNhKvOKMJjDkFpY2Sd/view?usp=drivesdk</t>
  </si>
  <si>
    <t xml:space="preserve">convocation SES-0050 Carole  Klipfel </t>
  </si>
  <si>
    <t>https://drive.google.com/file/d/1ECDgsVUFKihoOztdsgefcjsSg5XcKfXG/view?usp=drivesdk</t>
  </si>
  <si>
    <t xml:space="preserve">convocation SES-0051 Carole  Klipfel </t>
  </si>
  <si>
    <t>https://drive.google.com/file/d/19FDryLeOTAHgK5y5CEAtfTJH5QlJhoKF/view?usp=drivesdk</t>
  </si>
  <si>
    <t>ckolodka@ucpa.asso.fr_SES-0009</t>
  </si>
  <si>
    <t>convocation SES-0034 Patrice GAULTIER</t>
  </si>
  <si>
    <t>https://drive.google.com/file/d/1nucjwqmwrUNZMcwDR9Ekq0T4q-NVqJbP/view?usp=drivesdk</t>
  </si>
  <si>
    <t>paulolivier.hanneton@ucpa.asso.fr_SES-0009</t>
  </si>
  <si>
    <t>convocation SES-0044 Patrice GAULTIER</t>
  </si>
  <si>
    <t>https://drive.google.com/file/d/1sQO6PtbOfSRoTZ0DmaPdVJ0bdB6Z-cdR/view?usp=drivesdk</t>
  </si>
  <si>
    <t>convocation SES-0049 Aurélie Vermeersch</t>
  </si>
  <si>
    <t>https://drive.google.com/file/d/1tPnUhkKAp3X7JR3jAGWvxA_RtkRoyIql/view?usp=drivesdk</t>
  </si>
  <si>
    <t>convocation SES-0034 SYLVIE ARDUAIN</t>
  </si>
  <si>
    <t>pohanneton@ucpa.asso.fr_SES-0020</t>
  </si>
  <si>
    <t>lmollard@ucpa.asso.fr</t>
  </si>
  <si>
    <t>https://drive.google.com/file/d/1X3jLVFlYFZReVvBej0wueUg9XVVQnlaA/view?usp=drivesdk</t>
  </si>
  <si>
    <t>convocation SES-0044 Laure Mollard</t>
  </si>
  <si>
    <t>gcoste@ucpa.asso.fr</t>
  </si>
  <si>
    <t>https://drive.google.com/file/d/1AikkOU53qHS_sMmUNlL5jSlfPAIqGcOW/view?usp=drivesdk</t>
  </si>
  <si>
    <t>convocation SES-0034 guillaume coste</t>
  </si>
  <si>
    <t>SES-0048</t>
  </si>
  <si>
    <t>https://drive.google.com/file/d/1BSCSDRTR5xPw1O7Or-qjUwZ_rr9NeQnI/view?usp=drivesdk</t>
  </si>
  <si>
    <t>convocation SES-0048 guillaume coste</t>
  </si>
  <si>
    <t>zoubida.sofi@tootazimut.fr_SES-0015</t>
  </si>
  <si>
    <t>https://drive.google.com/file/d/1qABkAa90ZWe46BcoV0zohbaay_k4dKUm/view?usp=drivesdk</t>
  </si>
  <si>
    <t>convocation SES-0041 guillaume coste</t>
  </si>
  <si>
    <t>nleturcq@ucpasl.com_SES-0014</t>
  </si>
  <si>
    <t>https://drive.google.com/file/d/13Xwa9mcga9ZW0fnutuXj28qJYp3bLg4W/view?usp=drivesdk</t>
  </si>
  <si>
    <t>convocation SES-0043 Agathe Paulet Catrin</t>
  </si>
  <si>
    <t>fprost@ucpa.asso.fr_SES-0017</t>
  </si>
  <si>
    <t>https://drive.google.com/file/d/1-BWae57eKn40HbHn16gC6rgPv8oO7uXk/view?usp=drivesdk</t>
  </si>
  <si>
    <t>convocation SES-0037 Stéphanie BOUTEILLE</t>
  </si>
  <si>
    <t>https://drive.google.com/file/d/1ffYRot5Y_8na7PU-8lZ5AWkDgngbOKlu/view?usp=drivesdk</t>
  </si>
  <si>
    <t>convocation SES-0039 Stéphanie BOUTEILLE</t>
  </si>
  <si>
    <t>https://drive.google.com/file/d/1ncwbiVIbEPFk5YoMIKN5sRdQls9-RUXk/view?usp=drivesdk</t>
  </si>
  <si>
    <t>fprost@ucpa.asso.fr_SES-0021</t>
  </si>
  <si>
    <t>convocation SES-0046 Stéphanie BOUTEILLE</t>
  </si>
  <si>
    <t>https://drive.google.com/file/d/1IoJlpkxl_8DG6L9vTT8GWXuF8G1nC8Vx/view?usp=drivesdk</t>
  </si>
  <si>
    <t>emert@ucpa.asso.fr_SES-0010</t>
  </si>
  <si>
    <t>convocation SES-0040 DELCOURT Tom</t>
  </si>
  <si>
    <t>mmcauliffe@ucpa.asso.fr</t>
  </si>
  <si>
    <t>https://drive.google.com/file/d/13UA05pelGMtC3aX4M6BSz3ycb9Jy08Fy/view?usp=drivesdk</t>
  </si>
  <si>
    <t>convocation SES-0035 Maeva Mc auliffe</t>
  </si>
  <si>
    <t>emert@ucpa.asso.fr_SES-0005</t>
  </si>
  <si>
    <t>https://drive.google.com/file/d/1swAy8MCJFB6aVa-6jwEH0otPFb0YCdzU/view?usp=drivesdk</t>
  </si>
  <si>
    <t>convocation SES-0037 Maeva MC AULIFFE</t>
  </si>
  <si>
    <t>https://drive.google.com/file/d/1sAYhV0lq6dJLxYaahBL3zJuJRItLKsh1/view?usp=drivesdk</t>
  </si>
  <si>
    <t>lmartin@bois-le-roi.iledeloisirs.fr_SES-0016</t>
  </si>
  <si>
    <t>convocation SES-0038 Maeva MC AULIFFE</t>
  </si>
  <si>
    <t>https://drive.google.com/file/d/1qA1NMaoJKI1o5HVONYLoffNAtTNwyEfk/view?usp=drivesdk</t>
  </si>
  <si>
    <t>lmartin@bois-le-roi.iledeloisirs.fr_SES-0017</t>
  </si>
  <si>
    <t>convocation SES-0044 Maeva Mc Auliffe</t>
  </si>
  <si>
    <t>https://drive.google.com/file/d/1AICXM3btcbZ6jGloTRhPMu3z6LeSIVI2/view?usp=drivesdk</t>
  </si>
  <si>
    <t>convocation SES-0037 Catherine COEUR</t>
  </si>
  <si>
    <t>https://drive.google.com/file/d/1Xu1fc4VJw6PoLrIkU-LbdFYmsQeUxT_r/view?usp=drivesdk</t>
  </si>
  <si>
    <t>thierry@numericoach.fr_SES-0005</t>
  </si>
  <si>
    <t>convocation SES-0047 Catherine COEUR</t>
  </si>
  <si>
    <t>soniamolina65@gmail.com</t>
  </si>
  <si>
    <t>https://drive.google.com/file/d/1QAAIgVDYsPLIG8z_UxUsp4OKl_lZZ-qZ/view?usp=drivesdk</t>
  </si>
  <si>
    <t>cgonzalez@ucpa.asso.fr_SES-0014</t>
  </si>
  <si>
    <t>convocation SES-0036 SONIA MOLINA</t>
  </si>
  <si>
    <t>https://drive.google.com/file/d/1WUkRzHtMPej4rkzdE7SDaMV0KpFyiiS9/view?usp=drivesdk</t>
  </si>
  <si>
    <t>cgonzalez@ucpa.asso.fr_SES-0017</t>
  </si>
  <si>
    <t>convocation SES-0040 Thomas Loha</t>
  </si>
  <si>
    <t>https://drive.google.com/file/d/1ZREl2KcIWNMvVgrqDHU0N-BYQZ6Owlgh/view?usp=drivesdk</t>
  </si>
  <si>
    <t>convocation SES-0051 Thomas Loha</t>
  </si>
  <si>
    <t>vmissonnier@ucpa.asso.fr_SES-0021</t>
  </si>
  <si>
    <t>https://drive.google.com/file/d/1GbMP2e-WwtpYT1bpjBT92iAWB_O8KbB5/view?usp=drivesdk</t>
  </si>
  <si>
    <t>convocation SES-0052 Thomas LOHA</t>
  </si>
  <si>
    <t>vmissonnier@ucpa.asso.fr_SES-0005</t>
  </si>
  <si>
    <t>lcoelho@ucpa.asso.fr</t>
  </si>
  <si>
    <t>https://drive.google.com/file/d/1CoiCkGNvlbMdPR7PwSC56p52bEhkj1_D/view?usp=drivesdk</t>
  </si>
  <si>
    <t>convocation SES-0035 LUCILE COELHO RODRIGUES</t>
  </si>
  <si>
    <t>dperol@ucpa.asso.fr_SES-0016</t>
  </si>
  <si>
    <t>https://drive.google.com/file/d/1gcb5FLx7VyAjD22zmUoBNYkoCh2HMCmJ/view?usp=drivesdk</t>
  </si>
  <si>
    <t>convocation SES-0038 Nathalie Clément</t>
  </si>
  <si>
    <t>hmaziere@ucpa.asso.fr_SES-0014</t>
  </si>
  <si>
    <t>rrasztar@ucpa.asso.fr</t>
  </si>
  <si>
    <t>https://drive.google.com/file/d/1SCyyD_WspP4H8TMLDPqEYhWWgBiqrXmd/view?usp=drivesdk</t>
  </si>
  <si>
    <t>convocation SES-0040 Rob RASZTAR</t>
  </si>
  <si>
    <t>foyj@live.fr_SES-0024</t>
  </si>
  <si>
    <t>https://drive.google.com/file/d/1C-ZIygFCyhHHl6OH9hELza-qIJqn9oFb/view?usp=drivesdk</t>
  </si>
  <si>
    <t>convocation SES-0040 LUCILE COELHO RODRIGUES</t>
  </si>
  <si>
    <t>jfoy@ucpa.asso.fr_SES-0029</t>
  </si>
  <si>
    <t>https://drive.google.com/file/d/1VLCp-Zge5BDkwyRzYWEMBYhQtXV1qgcJ/view?usp=drivesdk</t>
  </si>
  <si>
    <t>convocation SES-0038 Eléonore CARON</t>
  </si>
  <si>
    <t>jfoy@ucpa.asso.fr_SES-0030</t>
  </si>
  <si>
    <t>https://drive.google.com/file/d/1QTUtD_qk4rNdoWQaD1muPhaZehVGEzn3/view?usp=drivesdk</t>
  </si>
  <si>
    <t>mattias.nilsson@labalaguere.com_SES-0030</t>
  </si>
  <si>
    <t>convocation SES-0046 Eléonore CARON</t>
  </si>
  <si>
    <t>https://drive.google.com/file/d/1uYhsNZHWqVOYmWL0_VDesxsOJR7xBcEs/view?usp=drivesdk</t>
  </si>
  <si>
    <t>convocation SES-0038 RENAUD SEGUIN</t>
  </si>
  <si>
    <t>cklipfel@ucpa.asso.fr_SES-0028</t>
  </si>
  <si>
    <t>https://drive.google.com/file/d/1pAD_gWC4BBp2UmyHOiUmRwkH9Kyem8ic/view?usp=drivesdk</t>
  </si>
  <si>
    <t>convocation SES-0044 Lucile Pitance</t>
  </si>
  <si>
    <t>https://drive.google.com/file/d/1Z-5F5RsEDVDtz1Gr_WssNuVIsQCWY8qF/view?usp=drivesdk</t>
  </si>
  <si>
    <t>smoyou@ucpasl.com_SES-0024</t>
  </si>
  <si>
    <t>convocation SES-0032 Carole Klipfel</t>
  </si>
  <si>
    <t>https://drive.google.com/file/d/1EyJWeaaKZFOHhFf3leoVV0rVwUuiHjfJ/view?usp=drivesdk</t>
  </si>
  <si>
    <t>smoyou@ucpasl.com_SES-0025</t>
  </si>
  <si>
    <t>convocation SES-0039 RENAUD SEGUIN</t>
  </si>
  <si>
    <t>https://drive.google.com/file/d/1jytBYglOnDxeBj5T3kYx1o1aCWoe-X1u/view?usp=drivesdk</t>
  </si>
  <si>
    <t>jfoy@ucpa.asso.fr_SES-0021</t>
  </si>
  <si>
    <t>convocation SES-0043 Lucile Pitance</t>
  </si>
  <si>
    <t>https://drive.google.com/file/d/1Ee5t9AU5atAymE3UxtRM4TxNd7K9CpbV/view?usp=drivesdk</t>
  </si>
  <si>
    <t>cklipfel@ucpa.asso.fr_SES-0029</t>
  </si>
  <si>
    <t>convocation SES-0049 RENAUD SEGUIN</t>
  </si>
  <si>
    <t>https://drive.google.com/file/d/1ocVhlQkqCCWcat8eKNy7ZiIxZ4GVSoUA/view?usp=drivesdk</t>
  </si>
  <si>
    <t>cklipfel@ucpa.asso.fr_SES-0030</t>
  </si>
  <si>
    <t>convocation SES-0048 Carole Klipfel</t>
  </si>
  <si>
    <t>https://drive.google.com/file/d/1PC4Le-dZn4tn510RYj4mtqlV-iNhMdxN/view?usp=drivesdk</t>
  </si>
  <si>
    <t>imaitrejean@ucpa.asso.fr_SES-0030</t>
  </si>
  <si>
    <t>convocation SES-0046 Lucile Pitance</t>
  </si>
  <si>
    <t>oduval@ucpa.asso.fr_SES-0017</t>
  </si>
  <si>
    <t>https://drive.google.com/file/d/15bdvXCo_drO5-OlV0RW_qdzPtzidYx0x/view?usp=drivesdk</t>
  </si>
  <si>
    <t>convocation SES-0046 yohan Brun</t>
  </si>
  <si>
    <t>vmissonnier@ucpa.asso.fr_SES-0015</t>
  </si>
  <si>
    <t>veronique.meigneux@gmail.com</t>
  </si>
  <si>
    <t>https://drive.google.com/file/d/1MV32HwQCxZyhBfO1jw7tWNgTZ50WnnWi/view?usp=drivesdk</t>
  </si>
  <si>
    <t>mboudon@ucpa.asso.fr_SES-0024</t>
  </si>
  <si>
    <t>convocation SES-0032 VERONIQUE MEIGNEUX</t>
  </si>
  <si>
    <t>https://drive.google.com/file/d/1TU_VFnfOXGr-nkzO3xix_n1laqr97Y7P/view?usp=drivesdk</t>
  </si>
  <si>
    <t>convocation SES-0045 yohan Brun</t>
  </si>
  <si>
    <t>mboudon@ucpa.asso.fr_SES-0025</t>
  </si>
  <si>
    <t>https://drive.google.com/file/d/1vtoxYVqPLf1DHDqhC1uAXMfw6DXFAPVh/view?usp=drivesdk</t>
  </si>
  <si>
    <t>convocation SES-0050 LUCILE COELHO RODRIGUES</t>
  </si>
  <si>
    <t>https://drive.google.com/file/d/1bq62HxBe5_dSixW899_LtffPXQkxo_Sr/view?usp=drivesdk</t>
  </si>
  <si>
    <t>mboudon@ucpa.asso.fr_SES-0027</t>
  </si>
  <si>
    <t>convocation SES-0052 Carole Klipfel</t>
  </si>
  <si>
    <t>https://drive.google.com/file/d/1Y0i3DBvQbyGZ-pzx29N-CvSTJU3229Nb/view?usp=drivesdk</t>
  </si>
  <si>
    <t>mboudon@ucpa.asso.fr_SES-0029</t>
  </si>
  <si>
    <t>convocation SES-0050 Alison Tomine</t>
  </si>
  <si>
    <t>https://drive.google.com/file/d/1mlVae5g6Dp-LDDuwH7PTDsS_5MM34hyu/view?usp=drivesdk</t>
  </si>
  <si>
    <t>convocation SES-0052 Alison Tomine</t>
  </si>
  <si>
    <t>nferat@ucpa.asso.fr_SES-0028</t>
  </si>
  <si>
    <t>https://drive.google.com/file/d/19qBzoZSWzf1SGv3zfapfcDunFATuGsmL/view?usp=drivesdk</t>
  </si>
  <si>
    <t>ecaron@ucpaplanete.com_SES-0024</t>
  </si>
  <si>
    <t>https://drive.google.com/file/d/1e902dMdhWc40E4agSuCSB_vGRtEVJgYW/view?usp=drivesdk</t>
  </si>
  <si>
    <t>convocation SES-0049 Alison Tomine</t>
  </si>
  <si>
    <t>https://drive.google.com/file/d/1FmNtsxXl5cjkyKWnwEy7CyXzYaiOyptr/view?usp=drivesdk</t>
  </si>
  <si>
    <t>falamome@ucpa.asso.fr_SES-0025</t>
  </si>
  <si>
    <t>convocation SES-0045 Alison Tomine</t>
  </si>
  <si>
    <t>https://drive.google.com/file/d/1We6rj1EE0-hcSXHqPDgneQE1z7na0JdA/view?usp=drivesdk</t>
  </si>
  <si>
    <t>fgentilini@ucpa.ass.fr_SES-0024</t>
  </si>
  <si>
    <t>convocation SES-0033 Maryse BRISTOL</t>
  </si>
  <si>
    <t>https://drive.google.com/file/d/1iKBghHE8rRI4TGBJmGuSdFVd6mqsb0e0/view?usp=drivesdk</t>
  </si>
  <si>
    <t>fgentilini@ucpa.asso.fr_SES-0025</t>
  </si>
  <si>
    <t>convocation SES-0038 Maryse BRISTOL</t>
  </si>
  <si>
    <t>https://drive.google.com/file/d/1SWmx_y8P3Vk9Ib1CcO8uJpOJCa3R1lBu/view?usp=drivesdk</t>
  </si>
  <si>
    <t>ffernandez@ucpa.asso.fr_SES-0025</t>
  </si>
  <si>
    <t>convocation SES-0043 Mathieu DESPONTS</t>
  </si>
  <si>
    <t>https://drive.google.com/file/d/1PZJPGN4W_T71Fzi_NQFyYrblwzPhpwKX/view?usp=drivesdk</t>
  </si>
  <si>
    <t>fgentilini@ucpa.asso.fr_SES-0030</t>
  </si>
  <si>
    <t>convocation SES-0038 Mathieu DESPONTS</t>
  </si>
  <si>
    <t>gebonnatd@ucpa.asso.fr</t>
  </si>
  <si>
    <t>https://drive.google.com/file/d/1ugMSDQnr6uZitdo5xT3R3u5CQpWN8JYn/view?usp=drivesdk</t>
  </si>
  <si>
    <t>christinecoumet@labalaguere.com_SES-0023</t>
  </si>
  <si>
    <t>convocation SES-0040 Geraldine  BONNARD</t>
  </si>
  <si>
    <t>cgana@ucpa.asso.fr</t>
  </si>
  <si>
    <t>https://drive.google.com/file/d/1BWlRs-Q01o8s_nuJ8J5eVTgUGF2W7ItV/view?usp=drivesdk</t>
  </si>
  <si>
    <t>ffernandez@ucpa.asso.fr_SES-0029</t>
  </si>
  <si>
    <t>convocation SES-0039 Céline GANA</t>
  </si>
  <si>
    <t>https://drive.google.com/file/d/172mR11ssMb_HaBLZaZ_QmSEJvxOP7Wf3/view?usp=drivesdk</t>
  </si>
  <si>
    <t>convocation SES-0033 JEAN REMI DAVID</t>
  </si>
  <si>
    <t>https://drive.google.com/file/d/1f7ofcg1mXKUpndLBz4gqftmK6wKjuFjE/view?usp=drivesdk</t>
  </si>
  <si>
    <t>convocation SES-0048 jean-rémi David</t>
  </si>
  <si>
    <t>https://drive.google.com/file/d/1eU9dLXhs5A24PLdd4_CEpmX5te7n-wm_/view?usp=drivesdk</t>
  </si>
  <si>
    <t>alison.tomine@telligo.fr_SES-0025</t>
  </si>
  <si>
    <t>convocation SES-0036 Jean-Rémi David</t>
  </si>
  <si>
    <t>https://drive.google.com/file/d/1vvQPzWUUzbFBZnYgiRjoxPxKzTWhQCRQ/view?usp=drivesdk</t>
  </si>
  <si>
    <t>lpitance@ucpa.asso.fr_SES-0025</t>
  </si>
  <si>
    <t>convocation SES-0032 Magdaléna MOREEL</t>
  </si>
  <si>
    <t>https://drive.google.com/file/d/1MhcTBeRPV0VHCMQNW4rxL-l0X1AuspJO/view?usp=drivesdk</t>
  </si>
  <si>
    <t>csebany@ucpa.asso.fr_SES-0021</t>
  </si>
  <si>
    <t>convocation SES-0037 jean-rémi david</t>
  </si>
  <si>
    <t>https://drive.google.com/file/d/1DytwtG6TuA4xveEWfNOKzrbTn0bFDUG_/view?usp=drivesdk</t>
  </si>
  <si>
    <t>cjoly@ucpa.asso.fr_SES-0025</t>
  </si>
  <si>
    <t>convocation SES-0035 Magdalena MOREEL</t>
  </si>
  <si>
    <t>https://drive.google.com/file/d/1H1hhRGYq_8W_jfVXO21o_PkAg7iyl7-p/view?usp=drivesdk</t>
  </si>
  <si>
    <t>mamartin@ucpa.asso.fr_SES-0025</t>
  </si>
  <si>
    <t>convocation SES-0040 Magdalena MOREEL</t>
  </si>
  <si>
    <t>https://drive.google.com/file/d/1S9LXtcF1ALkwC-YdgbAcFySFjA2qKbdu/view?usp=drivesdk</t>
  </si>
  <si>
    <t>lucile.deneboude@ucpa.asso.fr_SES-0023</t>
  </si>
  <si>
    <t>convocation SES-0033 Magdalena MOREEL</t>
  </si>
  <si>
    <t>https://drive.google.com/file/d/1riPHHNSOmevTXI7q8SZE8GoyWxwf5vX8/view?usp=drivesdk</t>
  </si>
  <si>
    <t>lucile.deneboude@ucpa.asso.fr_SES-0025</t>
  </si>
  <si>
    <t>convocation SES-0044 MAGDALENA MOREEL</t>
  </si>
  <si>
    <t>ytortel@ucpa.asso.fr_SES-0025</t>
  </si>
  <si>
    <t>https://drive.google.com/file/d/1XbaOZCRGs3OhKcC--Ca76Klidf_xlTr0/view?usp=drivesdk</t>
  </si>
  <si>
    <t>convocation SES-0048 Corinne THOUILLEZ</t>
  </si>
  <si>
    <t>abegon@ucpa.asso.fr_SES-0023</t>
  </si>
  <si>
    <t>https://drive.google.com/file/d/1umABGAZpPn06feaHOeZ7DKaUin9Ij6YR/view?usp=drivesdk</t>
  </si>
  <si>
    <t>abegon@ucpa.asso.fr_SES-0028</t>
  </si>
  <si>
    <t>convocation SES-0035 Corinne Thouillez</t>
  </si>
  <si>
    <t>https://drive.google.com/file/d/1v0yfj5yytbjHE10aE3X_yMpbE7DxTpgo/view?usp=drivesdk</t>
  </si>
  <si>
    <t>abegon@ucpa.asso.fr_SES-0025</t>
  </si>
  <si>
    <t>convocation SES-0038 Corinne THOUILLEZ</t>
  </si>
  <si>
    <t>https://drive.google.com/file/d/1m9FZdwGKBLDV4-zXg2jrrk2BUvKY-ca6/view?usp=drivesdk</t>
  </si>
  <si>
    <t>abegon@ucpa.asso.fr_SES-0029</t>
  </si>
  <si>
    <t>convocation SES-0039 Corinne THOUILLEZ</t>
  </si>
  <si>
    <t>svacher@ucpa.asso.fr</t>
  </si>
  <si>
    <t>https://drive.google.com/file/d/1xuWF9i3X0JCgGpsXYEhwf_sliPCIYTnn/view?usp=drivesdk</t>
  </si>
  <si>
    <t>stephane.tavernier@telligo.fr_SES-0025</t>
  </si>
  <si>
    <t>convocation SES-0036 STEPHANIE VACHER</t>
  </si>
  <si>
    <t>https://drive.google.com/file/d/1x0ZhgL2SEiFrhOTcx2AS22awUWDV5tRK/view?usp=drivesdk</t>
  </si>
  <si>
    <t>stephane.tavernier@telligo.fr_SES-0027</t>
  </si>
  <si>
    <t>convocation SES-0038 STEPHANIE VACHER</t>
  </si>
  <si>
    <t>https://drive.google.com/file/d/1VIOvwaU6MUSXHhuIm6gfnpfsLhvVEBbj/view?usp=drivesdk</t>
  </si>
  <si>
    <t>stephane.tavernier@telligo.fr_SES-0030</t>
  </si>
  <si>
    <t>convocation SES-0041 STEPHANIE VACHER</t>
  </si>
  <si>
    <t>https://drive.google.com/file/d/1GphMi3apYu8gE5q7JrN46o3ppqZ6o7gV/view?usp=drivesdk</t>
  </si>
  <si>
    <t>hourtincentre@ucpa.asso.fr_SES-0028</t>
  </si>
  <si>
    <t>convocation SES-0034 ludovic PHILIPPY</t>
  </si>
  <si>
    <t>https://drive.google.com/file/d/11Hj45kexgMsNjvUAUd4cu4xJu1WhZ2ZB/view?usp=drivesdk</t>
  </si>
  <si>
    <t>abricout@ucpa.asso.fr_SES-0028</t>
  </si>
  <si>
    <t>convocation SES-0033 ludovic philippy</t>
  </si>
  <si>
    <t>https://drive.google.com/file/d/1eTlb1hZlxRDQiLNJxNBakma298ZeN9e5/view?usp=drivesdk</t>
  </si>
  <si>
    <t>vincent.cazalaa@labalaguere.com_SES-0024</t>
  </si>
  <si>
    <t>convocation SES-0049 ludovic PHILIPPY</t>
  </si>
  <si>
    <t>bibnechcharef@gmail.com</t>
  </si>
  <si>
    <t>https://drive.google.com/file/d/1t_GXktogUPx-Rbys1IGLrRNd6O98n8Iv/view?usp=drivesdk</t>
  </si>
  <si>
    <t>mgallonde@ucpa.asso.fr_SES-0021</t>
  </si>
  <si>
    <t>convocation SES-0035 Belkacem IBNECHCHAREF</t>
  </si>
  <si>
    <t>https://drive.google.com/file/d/1zy9zKr3GkQ_xjxVG77bcqoTGYHkA-Mz5/view?usp=drivesdk</t>
  </si>
  <si>
    <t>rniepseron@ucpa.asso.fr_SES-0023</t>
  </si>
  <si>
    <t>convocation SES-0034 Belkacem IBNECHCHAREF</t>
  </si>
  <si>
    <t>https://drive.google.com/file/d/1wlZ6xxNDnwJ0QVq1ws_OOWpUTkgPg5TD/view?usp=drivesdk</t>
  </si>
  <si>
    <t>rniepseron@ucpa.asso.fr_SES-0028</t>
  </si>
  <si>
    <t>convocation SES-0045 Belkacem IBNECHCHAREF</t>
  </si>
  <si>
    <t>https://drive.google.com/file/d/1EaWOdmSZRHJ-rFZZfrZvAnqZUXei3NrV/view?usp=drivesdk</t>
  </si>
  <si>
    <t>mgallonde@ucpa.asso.fr_SES-0024</t>
  </si>
  <si>
    <t>convocation SES-0046 Belkacem IBNECHCHAREF</t>
  </si>
  <si>
    <t>https://drive.google.com/file/d/1lN66n2niMiMUYS59uOTFXzNxeBiXQQxi/view?usp=drivesdk</t>
  </si>
  <si>
    <t>ypalmis@ucpa.asso.fr_SES-0024</t>
  </si>
  <si>
    <t>bdugrivel@ucpa.asso.fr</t>
  </si>
  <si>
    <t>https://drive.google.com/file/d/1O25XGUHYDnvvBO_f7ADqKR1qPqfs8acz/view?usp=drivesdk</t>
  </si>
  <si>
    <t>lphilippy@ucpa.asso.fr_SES-0021</t>
  </si>
  <si>
    <t>convocation SES-0039 Benoit DUGRIVEL</t>
  </si>
  <si>
    <t>bdugrivel@gmail.com</t>
  </si>
  <si>
    <t>https://drive.google.com/file/d/1uSmC6gg27UJ2wuBh1j1DWJ4WpkCi3ANK/view?usp=drivesdk</t>
  </si>
  <si>
    <t>lphilippy@ucpa.asso.fr_SES-0023</t>
  </si>
  <si>
    <t>convocation SES-0043 Benoit DUGRIVEL</t>
  </si>
  <si>
    <t>https://drive.google.com/file/d/104Z2WiqwUXRjDi54lJPMGpN85TY2JgLX/view?usp=drivesdk</t>
  </si>
  <si>
    <t>mgallonde@ucpa.asso.fr_SES-0029</t>
  </si>
  <si>
    <t>convocation SES-0048 Marc Pougheon</t>
  </si>
  <si>
    <t>https://drive.google.com/file/d/1rI3-xl8C7x0sAWCqvuPY7NtE1Hv-cqfm/view?usp=drivesdk</t>
  </si>
  <si>
    <t>ypalmis@ucpa.asso.fr_SES-0029</t>
  </si>
  <si>
    <t>convocation SES-0045 evelyne CHOCHOIS</t>
  </si>
  <si>
    <t>stephane.tavernier@telligo.fr_SES-0026</t>
  </si>
  <si>
    <t>https://drive.google.com/file/d/1y63JhyNiZD6Qx1WxSEbYDZxiqJmpwPkM/view?usp=drivesdk</t>
  </si>
  <si>
    <t>convocation SES-0049 evelyne CHOCHOIS</t>
  </si>
  <si>
    <t>tambert@ucpa.asso.fr_SES-0024</t>
  </si>
  <si>
    <t>christophe.prat@telligo.fr</t>
  </si>
  <si>
    <t>https://drive.google.com/file/d/1n_Rzx4QVizl9jDO4MFBHpbzunAKuqSys/view?usp=drivesdk</t>
  </si>
  <si>
    <t>jortole@ucpa.asso.fr_SES-0021</t>
  </si>
  <si>
    <t>convocation SES-0046 Christophe PRAT</t>
  </si>
  <si>
    <t>https://drive.google.com/file/d/13705YYlhlMJrnAdoeTmZo-dHv9NFXz7d/view?usp=drivesdk</t>
  </si>
  <si>
    <t>jortole@ucpa.asso.fr_SES-0024</t>
  </si>
  <si>
    <t>convocation SES-0051 christophe prat</t>
  </si>
  <si>
    <t>https://drive.google.com/file/d/1gYsjueT5dWSxfZjPD217j54difMa5TVi/view?usp=drivesdk</t>
  </si>
  <si>
    <t>jortole@ucpa.asso.fr_SES-0028</t>
  </si>
  <si>
    <t>convocation SES-0045 christophe prat</t>
  </si>
  <si>
    <t>lchouvet@ucpa.asso.fr</t>
  </si>
  <si>
    <t>https://drive.google.com/file/d/1O0PVx3px5U3EkjJeAyWYeahLFi08XBni/view?usp=drivesdk</t>
  </si>
  <si>
    <t>jortole@ucpa.asso.fr_SES-0027</t>
  </si>
  <si>
    <t>convocation SES-0040 Laurence CHOUVET</t>
  </si>
  <si>
    <t>https://drive.google.com/file/d/1whFtmLt5GafAWnjX8r8c5Rc6RwtheWPu/view?usp=drivesdk</t>
  </si>
  <si>
    <t>jortole@ucpa.asso.fr_SES-0030</t>
  </si>
  <si>
    <t>convocation SES-0045 Nathalie CHANSARD</t>
  </si>
  <si>
    <t>https://drive.google.com/file/d/1kOM8XLip7zbl4tu3kaM3xSCS7kmgd52n/view?usp=drivesdk</t>
  </si>
  <si>
    <t>lverrier@ucpa.asso.fr_SES-0027</t>
  </si>
  <si>
    <t>convocation SES-0043 Nathalie CHANSARD</t>
  </si>
  <si>
    <t>https://drive.google.com/file/d/1kxEp7L3skZ0UrWyYPrqhrRNOkT3Dkb7l/view?usp=drivesdk</t>
  </si>
  <si>
    <t>lverrier@ucpa.asso.fr_SES-0030</t>
  </si>
  <si>
    <t>convocation SES-0033 Agathe Bricout</t>
  </si>
  <si>
    <t>https://drive.google.com/file/d/1kAcXftCVFoOBpOxeq9LP6nNtn3XSqrIX/view?usp=drivesdk</t>
  </si>
  <si>
    <t>lverrier@ucpa.asso.fr_SES-0029</t>
  </si>
  <si>
    <t>convocation SES-0048 Agathe Bricout</t>
  </si>
  <si>
    <t>mmohamed@ucpa.asso.fr</t>
  </si>
  <si>
    <t>https://drive.google.com/file/d/1AQC66clB7tpIRYZJA48I4LYR983-ZLmU/view?usp=drivesdk</t>
  </si>
  <si>
    <t>convocation SES-0045 Mushtaq Mohamed Yassin</t>
  </si>
  <si>
    <t>https://drive.google.com/file/d/1o7m1YO5Fanl5wdNBRvXe6u60SWF8ABPi/view?usp=drivesdk</t>
  </si>
  <si>
    <t>jgranger@ucpa.asso.fr_SES-0027</t>
  </si>
  <si>
    <t>convocation SES-0040 Mushtaq Mohamed Yassin</t>
  </si>
  <si>
    <t>iestrade@ucpa.asso.fr</t>
  </si>
  <si>
    <t>https://drive.google.com/file/d/1_tB4B_-wIis7Vn9hK8N6t142jZEj0mO7/view?usp=drivesdk</t>
  </si>
  <si>
    <t>convocation SES-0040 Isis Estrade</t>
  </si>
  <si>
    <t>tguillory@ucpa.asso.fr</t>
  </si>
  <si>
    <t>https://drive.google.com/file/d/1B310rptRKlYhj4--PA50YRy6W6Bz-p81/view?usp=drivesdk</t>
  </si>
  <si>
    <t>jlacaze@ucpa.asso.fr_SES-0021</t>
  </si>
  <si>
    <t>convocation SES-0040 Thomas Guillory</t>
  </si>
  <si>
    <t>aude-marie.cresson@ipag.fr</t>
  </si>
  <si>
    <t>https://drive.google.com/file/d/1gGjTJ5_tmL3mSyb4HXmSf-5gbipoMxLo/view?usp=drivesdk</t>
  </si>
  <si>
    <t>vbuffy@ucpa.asso.fr_SES-0028</t>
  </si>
  <si>
    <t>convocation SES-0033 Aude-Marie Cresson</t>
  </si>
  <si>
    <t>https://drive.google.com/file/d/1-rkXznDKWCsIJ2YUSMup-Zeuyac_yXDP/view?usp=drivesdk</t>
  </si>
  <si>
    <t>vbuffy@ucpa.asso.fr_SES-0029</t>
  </si>
  <si>
    <t>convocation SES-0046 Mushtaq Mohamed Yassin</t>
  </si>
  <si>
    <t>https://drive.google.com/file/d/12OyzJ9_7tdprAl49fZbj8LhYcf7_WIRq/view?usp=drivesdk</t>
  </si>
  <si>
    <t>hmingot@ucpa.asso.fr_SES-0030</t>
  </si>
  <si>
    <t>convocation SES-0037 Marc Pougheon</t>
  </si>
  <si>
    <t>https://drive.google.com/file/d/12VAfKydrkL0R97gvfIfE47qJi5cRPQzm/view?usp=drivesdk</t>
  </si>
  <si>
    <t>convocation SES-0035 Marc Pougheon</t>
  </si>
  <si>
    <t>pascal@colay.fr_SES-0023</t>
  </si>
  <si>
    <t>https://drive.google.com/file/d/1L8qWSeQMHJjOWMFZdcBMrhIdbavutjBz/view?usp=drivesdk</t>
  </si>
  <si>
    <t>convocation SES-0035 EMILIE CUSEY</t>
  </si>
  <si>
    <t>melanie.costa@labalaguere.com</t>
  </si>
  <si>
    <t>pascal@colay.fr_SES-0026</t>
  </si>
  <si>
    <t>https://drive.google.com/file/d/1AIQrs9lm5fgNpzCpTbsyCniU2ceOqcEC/view?usp=drivesdk</t>
  </si>
  <si>
    <t>convocation SES-0042 Mélanie COSTA</t>
  </si>
  <si>
    <t>https://drive.google.com/file/d/12fu9WGdUdUyiytEWWRT7YcUMZfb7Dr89/view?usp=drivesdk</t>
  </si>
  <si>
    <t>pascal@colay.fr_SES-0027</t>
  </si>
  <si>
    <t>convocation SES-0049 Melanie COSTA</t>
  </si>
  <si>
    <t>https://drive.google.com/file/d/1yryu5TpVeAfLINGpQ1ywx08h8n4i860e/view?usp=drivesdk</t>
  </si>
  <si>
    <t>pascal@colay.fr_SES-0029</t>
  </si>
  <si>
    <t>convocation SES-0047 Mélanie COSTA</t>
  </si>
  <si>
    <t>sbruneau@ucpa.asso.fr</t>
  </si>
  <si>
    <t>https://drive.google.com/file/d/1LSaSD0NEXa3oknl7mm2NRhHfW9Ja9Um9/view?usp=drivesdk</t>
  </si>
  <si>
    <t>pascal@colay.fr_SES-0030</t>
  </si>
  <si>
    <t>nclement@ucpasl.com_SES-0029</t>
  </si>
  <si>
    <t>hourtincentre@ucpa.asso.fr_SES-0023</t>
  </si>
  <si>
    <t>mbristol@ucpasl.com_SES-0030</t>
  </si>
  <si>
    <t>mnodin@ucpa.asso.fr_SES-0024</t>
  </si>
  <si>
    <t>mnodin@ucpa.asso.fr_SES-0026</t>
  </si>
  <si>
    <t>mnodin@ucpa.asso.fr_SES-0030</t>
  </si>
  <si>
    <t>asupiot@ucpa.asso.fr_SES-0024</t>
  </si>
  <si>
    <t>asupiot@ucpa.asso.fr_SES-0029</t>
  </si>
  <si>
    <t>nclement@ucpasl.com_SES-0023</t>
  </si>
  <si>
    <t>rterreno@ucpa.asso.fr_SES-0024</t>
  </si>
  <si>
    <t>ccoeur@ucpa.asso.fr_SES-0030</t>
  </si>
  <si>
    <t>jsoime@ucpa.asso.fr_SES-0029</t>
  </si>
  <si>
    <t>fgentilini@ucpa.asso.fr_SES-0023</t>
  </si>
  <si>
    <t>edidier@ucpa.asso.fr_SES-0028</t>
  </si>
  <si>
    <t>apauletcatrin@ucpa.asso.fr_SES-0023</t>
  </si>
  <si>
    <t>apauletcatrin@ucpa.asso.fr_SES-0026</t>
  </si>
  <si>
    <t>yann.damoulakis@telligo.fr_SES-0027</t>
  </si>
  <si>
    <t>david.serano@labalaguere.com_SES-0025</t>
  </si>
  <si>
    <t>mathieu.desponts@telligo.fr_SES-0031</t>
  </si>
  <si>
    <t>mathieu.desponts@telligo.fr_SES-0030</t>
  </si>
  <si>
    <t>sverrier@ucpa.asso.fr_SES-0027</t>
  </si>
  <si>
    <t>drubiola@ucpa.asso.fr_SES-0028</t>
  </si>
  <si>
    <t>apauletcatrin@ucpa.asso.fr_SES-0027</t>
  </si>
  <si>
    <t>nclement@ucpasl.com_SES-0031</t>
  </si>
  <si>
    <t>convocation SES-0041 Stephane bruneau</t>
  </si>
  <si>
    <t>https://drive.google.com/file/d/11bk2oQUJtohm47nPV5LM_Prz5PzFkmiM/view?usp=drivesdk</t>
  </si>
  <si>
    <t>fgarcin@ucpa.asso.fr_SES-0028</t>
  </si>
  <si>
    <t>convocation SES-0040 JACQUES BUHR</t>
  </si>
  <si>
    <t>mval@ucpa.asso.fr</t>
  </si>
  <si>
    <t>https://drive.google.com/file/d/1UQrQhhpICpoJYUv1LMuZIPBIb2a1o8nK/view?usp=drivesdk</t>
  </si>
  <si>
    <t>convocation SES-0048 Maxime Val</t>
  </si>
  <si>
    <t>cjoureau@ucpa.asso.fr</t>
  </si>
  <si>
    <t>https://drive.google.com/file/d/1qcTRLwBs5Hbv3u3mgbV1qZjOYs2dwkLw/view?usp=drivesdk</t>
  </si>
  <si>
    <t>asupiot@ucpa.asso.fr_SES-0025</t>
  </si>
  <si>
    <t xml:space="preserve">convocation SES-0047 Caroline  Joureau </t>
  </si>
  <si>
    <t>https://drive.google.com/file/d/1A8mDECxDSdhNoKGzkivVx1gJALZEscrW/view?usp=drivesdk</t>
  </si>
  <si>
    <t>sbouteille@ucpa.asso.fr_SES-0027</t>
  </si>
  <si>
    <t xml:space="preserve">convocation SES-0039 Caroline  Joureau </t>
  </si>
  <si>
    <t>https://drive.google.com/file/d/1EPxlYi4PMGMtat0Yv6cLlGxSmLZhC1bs/view?usp=drivesdk</t>
  </si>
  <si>
    <t>smolina@ucpa.asso.fr_SES-0027</t>
  </si>
  <si>
    <t xml:space="preserve">convocation SES-0041 Caroline  Joureau </t>
  </si>
  <si>
    <t>https://drive.google.com/file/d/1jLIimRwHpJN5KbeNW4SwCfdg9onBFY3e/view?usp=drivesdk</t>
  </si>
  <si>
    <t xml:space="preserve">convocation SES-0043 Caroline  Joureau </t>
  </si>
  <si>
    <t>smolina@ucpa.asso.fr_SES-0030</t>
  </si>
  <si>
    <t>emilie.bouysset@gmail.com</t>
  </si>
  <si>
    <t>https://drive.google.com/file/d/1f5a4fDoZSqVQn6_wZNpXMWZh5Th06E59/view?usp=drivesdk</t>
  </si>
  <si>
    <t>convocation SES-0041 Emilie BOUYSSET</t>
  </si>
  <si>
    <t>sverrier@ucpa.asso.fr_SES-0029</t>
  </si>
  <si>
    <t>https://drive.google.com/file/d/1ReVWAdYgLKJ4tK2TRkWEQJrHyY-Uu-Bh/view?usp=drivesdk</t>
  </si>
  <si>
    <t>convocation SES-0043 Emilie BOUYSSET</t>
  </si>
  <si>
    <t>cklipfel@ucpa.asso.fr_SES-0031</t>
  </si>
  <si>
    <t>https://drive.google.com/file/d/1JNb6UaoVSjh1-p5T_DA9UQ4f938z8unv/view?usp=drivesdk</t>
  </si>
  <si>
    <t>convocation SES-0033 DIANA SAMSON</t>
  </si>
  <si>
    <t>https://drive.google.com/file/d/1U6ATqlF0gBqbvUBvBAJ6Krh0Mj3GAyTF/view?usp=drivesdk</t>
  </si>
  <si>
    <t>slefroy@ucpa.asso.fr_SES-0024</t>
  </si>
  <si>
    <t>convocation SES-0035 DIANA SAMSON</t>
  </si>
  <si>
    <t>https://drive.google.com/file/d/1aukm0JC9_N6_c78Ts1B5YYMvY6A-_um8/view?usp=drivesdk</t>
  </si>
  <si>
    <t>mboudon@ucpa.asso.fr_SES-0031</t>
  </si>
  <si>
    <t>convocation SES-0042 DIANA SAMSON</t>
  </si>
  <si>
    <t>https://drive.google.com/file/d/1pQslyafh5w6LXKs-4hvwoDaeOx6oKCqv/view?usp=drivesdk</t>
  </si>
  <si>
    <t>convocation SES-0048 Jessy ORTOLE</t>
  </si>
  <si>
    <t>csebany@ucpa.asso.fr_SES-0030</t>
  </si>
  <si>
    <t>https://drive.google.com/file/d/17VMFzHxY5tq76J7w4BG0NGbr50TCTg0F/view?usp=drivesdk</t>
  </si>
  <si>
    <t>convocation SES-0042 Jessy ORTOLE</t>
  </si>
  <si>
    <t>afoltz@ucpa.asso.fr</t>
  </si>
  <si>
    <t>https://drive.google.com/file/d/1ka0FW4QzFTQTmLb6acx24wkpaOVWoZk4/view?usp=drivesdk</t>
  </si>
  <si>
    <t>gebonnard@ucpa.asso.fr_SES-0031</t>
  </si>
  <si>
    <t>convocation SES-0043 Ariane Foltz</t>
  </si>
  <si>
    <t>lfabricina@ucpa.asso.fr</t>
  </si>
  <si>
    <t>https://drive.google.com/file/d/1LhQY-kwPVHwQjVoIgby6ROOPlcuLZNsU/view?usp=drivesdk</t>
  </si>
  <si>
    <t>lpitance@ucpa.asso.fr_SES-0031</t>
  </si>
  <si>
    <t>convocation SES-0042 Léo FABRICINA</t>
  </si>
  <si>
    <t>meriem.lyaoui@telligo.fr</t>
  </si>
  <si>
    <t>https://drive.google.com/file/d/1t1XAeIm6WneH_o9USomfLYCVTxSRqbqJ/view?usp=drivesdk</t>
  </si>
  <si>
    <t>tsy@ucpa-asso.fr_SES-0031</t>
  </si>
  <si>
    <t>convocation SES-0043 Meriem LYAOUI</t>
  </si>
  <si>
    <t>https://drive.google.com/file/d/1yY0R-I6iYqbfARW7_YXHptE674DCxqru/view?usp=drivesdk</t>
  </si>
  <si>
    <t>tfort@ucpa.asso.fr_SES-0031</t>
  </si>
  <si>
    <t>convocation SES-0032 Meriem LYAOUI</t>
  </si>
  <si>
    <t>ngibert@ucpa.asso.fr</t>
  </si>
  <si>
    <t>https://drive.google.com/file/d/1UCKFjybPKQGoqRovEw1rgLnAeCEixTg4/view?usp=drivesdk</t>
  </si>
  <si>
    <t>revano@ucpa.asso.fr_SES-0031</t>
  </si>
  <si>
    <t>convocation SES-0032 Nicolas GIBERT</t>
  </si>
  <si>
    <t>https://drive.google.com/file/d/1EAnUAtRi2hq17rVtJF6Hjmpp800zf3Mz/view?usp=drivesdk</t>
  </si>
  <si>
    <t>convocation SES-0034 Nicolas GIBERT</t>
  </si>
  <si>
    <t>cmoret@ucpa.asso.fr</t>
  </si>
  <si>
    <t>https://drive.google.com/file/d/1iIBbbjHSgphUQTZp05pHFILE4XckMtSu/view?usp=drivesdk</t>
  </si>
  <si>
    <t>convocation SES-0044 Cécile Moret</t>
  </si>
  <si>
    <t>https://drive.google.com/file/d/1l-FQDh_6BWqFULLKRVsqfXx--Fa2XEM8/view?usp=drivesdk</t>
  </si>
  <si>
    <t>stephanie.girodet@numericoach.fr_SES-0031</t>
  </si>
  <si>
    <t>apauletcatrin@ucpa.asso.fr_SES-0038</t>
  </si>
  <si>
    <t>apauletcatrin@ucpa.asso.fr_SES-0047</t>
  </si>
  <si>
    <t>apauletcatrin@ucpa.asso.fr_SES-0044</t>
  </si>
  <si>
    <t>sbouteille@ucpa.asso.fr_SES-0033</t>
  </si>
  <si>
    <t>apauletcatrin@ucpa.asso.fr_SES-0041</t>
  </si>
  <si>
    <t>sbouteille@ucpa.asso.fr_SES-0038</t>
  </si>
  <si>
    <t>smoyou@ucpa.asso.fr_SES-0039</t>
  </si>
  <si>
    <t>smoyou@ucpa.asso.fr_SES-0041</t>
  </si>
  <si>
    <t>smoyou@ucpa.asso.fr_SES-0042</t>
  </si>
  <si>
    <t>convocation SES-0047 Stéphanie HEURTEL</t>
  </si>
  <si>
    <t>smoyou@ucpa.asso.fr_SES-0043</t>
  </si>
  <si>
    <t>sylvie.martins@destination-decouverte.fr</t>
  </si>
  <si>
    <t>https://drive.google.com/file/d/1rTFJETQAZqawxp7VV2sD_vSpUo9AvrpN/view?usp=drivesdk</t>
  </si>
  <si>
    <t>tloha@ucpa.asso.fr_SES-0039</t>
  </si>
  <si>
    <t>convocation SES-0051 SYLVIE MARTINS</t>
  </si>
  <si>
    <t>https://drive.google.com/file/d/1jv_TdxgHdwacmOLMKSSpEyK-Sr_cI0Jv/view?usp=drivesdk</t>
  </si>
  <si>
    <t>lpitance@ucpa.asso.fr_SES-0052</t>
  </si>
  <si>
    <t>convocation SES-0033 Nicolas GIBERT</t>
  </si>
  <si>
    <t>https://drive.google.com/file/d/1Oe-SduoMDLsZBPIbGBWRxCawPGgUWfPU/view?usp=drivesdk</t>
  </si>
  <si>
    <t>mbristol@ucpa.asso.fr_SES-0046</t>
  </si>
  <si>
    <t>convocation SES-0033 SYLVIE MARTINS</t>
  </si>
  <si>
    <t>cpetit1@ucpa.asso.fr</t>
  </si>
  <si>
    <t>jrdavid@ucpa.asso.fr_SES-0032</t>
  </si>
  <si>
    <t>https://drive.google.com/file/d/1Lr2DRWAWIYyMOcjmGhPE28CnffCA729p/view?usp=drivesdk</t>
  </si>
  <si>
    <t>convocation SES-0048 Cyrielle PETIT</t>
  </si>
  <si>
    <t>mmoreel@ucpa.asso.fr_SES-0038</t>
  </si>
  <si>
    <t>https://drive.google.com/file/d/11RvUfGG0adkkgf-4aqtpJRi5EMYwKF9V/view?usp=drivesdk</t>
  </si>
  <si>
    <t>convocation SES-0052 SYLVIE MARTINS</t>
  </si>
  <si>
    <t>hello-loudenvielle@wellness-sport-camping.com</t>
  </si>
  <si>
    <t>https://drive.google.com/file/d/16uBoPbec8ADsz2rmqltSrEr9ym5qLMVs/view?usp=drivesdk</t>
  </si>
  <si>
    <t>cthouillez@pailleron19.com_SES-0036</t>
  </si>
  <si>
    <t>convocation SES-0042 claire lovelace</t>
  </si>
  <si>
    <t>pascale.favre@laudon.fr</t>
  </si>
  <si>
    <t>https://drive.google.com/file/d/1izHE3Trpt6KGQ9CQlZtFleJWaPieDs2y/view?usp=drivesdk</t>
  </si>
  <si>
    <t>convocation SES-0033 Pascale Favre</t>
  </si>
  <si>
    <t>mdurand@ucpa.asso.fr</t>
  </si>
  <si>
    <t>https://drive.google.com/file/d/17_8L4UgqYDvFU7el7O5OuK4QY_s2PJKC/view?usp=drivesdk</t>
  </si>
  <si>
    <t>nchansard@ucpa.asso.fr_SES-0040</t>
  </si>
  <si>
    <t>convocation SES-0041 MARYLISE DURAND</t>
  </si>
  <si>
    <t>https://drive.google.com/file/d/1_CTOhQx5U-DFj_4Olzdkplnhy4yRy0u-/view?usp=drivesdk</t>
  </si>
  <si>
    <t>mpougheon@ucpa.asso.fr_SES-0049</t>
  </si>
  <si>
    <t>convocation SES-0037 Marylise DURAND</t>
  </si>
  <si>
    <t>https://drive.google.com/file/d/14Wk2HTyZgyboTtm2VtwacrwcfR-PXsJb/view?usp=drivesdk</t>
  </si>
  <si>
    <t>convocation SES-0052 MARYLISE DURAND</t>
  </si>
  <si>
    <t>falamome@gmail.com_SES-0051</t>
  </si>
  <si>
    <t>https://drive.google.com/file/d/1iun3StuOQ-oDVCciy8FUWdFy2QM6bNNG/view?usp=drivesdk</t>
  </si>
  <si>
    <t>convocation SES-0044 Vincent Buffy</t>
  </si>
  <si>
    <t>roger.deher@orange.fr</t>
  </si>
  <si>
    <t>falamome@gmail.com_SES-0050</t>
  </si>
  <si>
    <t>https://drive.google.com/file/d/1kfDfa37UXb6RfvOEKl32KY-MFTjrjZZH/view?usp=drivesdk</t>
  </si>
  <si>
    <t>convocation SES-0033 Roger-Albert  Deher</t>
  </si>
  <si>
    <t>https://drive.google.com/file/d/1WcWNE6w4SoqltMI-U8h7MbgtO_f0OrC1/view?usp=drivesdk</t>
  </si>
  <si>
    <t>emilie.bouysset@labalaguere.com_SES-0035</t>
  </si>
  <si>
    <t>convocation SES-0048 roger Deher</t>
  </si>
  <si>
    <t>https://drive.google.com/file/d/11dZmdaqrNK0tOb4lYLRIXqMRIQwD82Fk/view?usp=drivesdk</t>
  </si>
  <si>
    <t>falamome@ucpa.asso.fr_SES-0049</t>
  </si>
  <si>
    <t>convocation SES-0036 roger Deher</t>
  </si>
  <si>
    <t>https://drive.google.com/file/d/13bi2VECSs7npO9Zx9V6c1WvNzmKEZUGR/view?usp=drivesdk</t>
  </si>
  <si>
    <t>emilie.bouysset@labalaguere.com_SES-0046</t>
  </si>
  <si>
    <t>emilie.bouysset@labalaguere.com_SES-0045</t>
  </si>
  <si>
    <t>ecusey@ucpa.asso.fr_SES-0045</t>
  </si>
  <si>
    <t>cthoby@ucpa.asso.fr_SES-0045</t>
  </si>
  <si>
    <t>convocation SES-0037 roger Deher</t>
  </si>
  <si>
    <t>https://drive.google.com/file/d/1iDYkKTHzpdzgvPR0sYfBXErMlywGZifz/view?usp=drivesdk</t>
  </si>
  <si>
    <t>pacalbo@ucpa.asso.fr_SES-0035</t>
  </si>
  <si>
    <t>convocation SES-0042 roger Deher</t>
  </si>
  <si>
    <t>https://drive.google.com/file/d/1JiQH5lSB3SN2ZK_UW3kIf_nqmKqo7g-i/view?usp=drivesdk</t>
  </si>
  <si>
    <t>mvaujany@ucpa.asso.fr_SES-0049</t>
  </si>
  <si>
    <t>convocation SES-0049 Vincent Buffy</t>
  </si>
  <si>
    <t>https://drive.google.com/file/d/1agGAReMCB9sw-WDaKNvjKadkIYNTxjif/view?usp=drivesdk</t>
  </si>
  <si>
    <t>mvaujany@ucpa.asso.fr_SES-0050</t>
  </si>
  <si>
    <t>convocation SES-0051 Vincent Buffy</t>
  </si>
  <si>
    <t>https://drive.google.com/file/d/11Ahpwp6C0GV5R5JO_EfeDm80Yi2pQX-6/view?usp=drivesdk</t>
  </si>
  <si>
    <t>tsy@ucpa.asso.fr_SES-0032</t>
  </si>
  <si>
    <t>convocation SES-0044 Mattias Nilsson</t>
  </si>
  <si>
    <t>https://drive.google.com/file/d/1MZbQzPYPKRQ0Vb6ZWGyZmXbQUm6L-IQM/view?usp=drivesdk</t>
  </si>
  <si>
    <t>tsy@ucpa.asso.fr_SES-0037</t>
  </si>
  <si>
    <t>convocation SES-0049 Mattias Nilsson</t>
  </si>
  <si>
    <t>https://drive.google.com/file/d/1T1W8DvM0f_N8Om8k7qCK7sIJl2IDJMwY/view?usp=drivesdk</t>
  </si>
  <si>
    <t>tsy@ucpa.asso.fr_SES-0043</t>
  </si>
  <si>
    <t>convocation SES-0050 Mattias Nilsson</t>
  </si>
  <si>
    <t>https://drive.google.com/file/d/1cawqkGZNMs8tluB07TtTMhcddEzUILMT/view?usp=drivesdk</t>
  </si>
  <si>
    <t>convocation SES-0052 Mattias Nilsson</t>
  </si>
  <si>
    <t>https://drive.google.com/file/d/1KSe695ljfgV2jBr8UATkkADwcg_k-Fip/view?usp=drivesdk</t>
  </si>
  <si>
    <t>nclement@ucpa.asso.fr_SES-0049</t>
  </si>
  <si>
    <t>convocation SES-0051 Mattias Nilsson</t>
  </si>
  <si>
    <t>https://drive.google.com/file/d/1mmlDxVMHEYa9IkMfFlJBIa1BPLxjZLZb/view?usp=drivesdk</t>
  </si>
  <si>
    <t>nclement@ucpa.asso.fr_SES-0050</t>
  </si>
  <si>
    <t>convocation SES-0040 Stéphane Tavernier</t>
  </si>
  <si>
    <t>https://drive.google.com/file/d/1RUsGQix9oiVtXZy7U4sWdH47vV3mtrof/view?usp=drivesdk</t>
  </si>
  <si>
    <t>nclement@ucpa.asso.fr_SES-0047</t>
  </si>
  <si>
    <t>convocation SES-0036 Mattias Nilsson</t>
  </si>
  <si>
    <t>https://drive.google.com/file/d/1QjvKXZ-FWcryIL499ua6eQkP47uArvY7/view?usp=drivesdk</t>
  </si>
  <si>
    <t>convocation SES-0052 Stéphane Tavernier</t>
  </si>
  <si>
    <t>nclement@ucpa.asso.fr_SES-0051</t>
  </si>
  <si>
    <t>https://drive.google.com/file/d/1Iz3k5XX7KR5AJF1cjmsJDjS0wXdZm0ZD/view?usp=drivesdk</t>
  </si>
  <si>
    <t>convocation SES-0050 Stéphane Tavernier</t>
  </si>
  <si>
    <t>https://drive.google.com/file/d/1_ZfVoIcMLMk_tK10-RgfYEfetEzFxWrk/view?usp=drivesdk</t>
  </si>
  <si>
    <t>tsy@ucpa.asso.fr_SES-0041</t>
  </si>
  <si>
    <t>convocation SES-0047 Stéphane Tavernier</t>
  </si>
  <si>
    <t>martial@labalaguere.com</t>
  </si>
  <si>
    <t>https://drive.google.com/file/d/1a8Pw5kV6NbScfH2PXHwr1MJrhw-TbxcF/view?usp=drivesdk</t>
  </si>
  <si>
    <t>ffernandez@ucpa.asso.fr_SES-0041</t>
  </si>
  <si>
    <t>convocation SES-0047 Martial CRESTE</t>
  </si>
  <si>
    <t>yohan.brun@telligo.fr_SES-0039</t>
  </si>
  <si>
    <t>https://drive.google.com/file/d/1IrgUWCCZLYZyO7xP3wD-wSyCleM2Fe2M/view?usp=drivesdk</t>
  </si>
  <si>
    <t>convocation SES-0036 Justine Mathlouthi</t>
  </si>
  <si>
    <t>https://drive.google.com/file/d/123U7zFe2sPaKZARGqIpRHgEVPqbhYcCy/view?usp=drivesdk</t>
  </si>
  <si>
    <t>sverrier@ucpa.asso.fr_SES-0032</t>
  </si>
  <si>
    <t>convocation SES-0037 Justine Mathlouthi</t>
  </si>
  <si>
    <t>ldubos@ucpa.asso.fr</t>
  </si>
  <si>
    <t>https://drive.google.com/file/d/1aWDXwvx5Mlzb9zAYPqXQcFAerUp8d50d/view?usp=drivesdk</t>
  </si>
  <si>
    <t>yohan.brun@telligo.fr_SES-0047</t>
  </si>
  <si>
    <t>convocation SES-0037 LAURE DUBOS</t>
  </si>
  <si>
    <t>ADRESSE</t>
  </si>
  <si>
    <t>SES-0053</t>
  </si>
  <si>
    <t xml:space="preserve">CP </t>
  </si>
  <si>
    <t>VILLE</t>
  </si>
  <si>
    <t>https://drive.google.com/file/d/1faTtC1j1lOhDi6dob9Nve9I2TUKYxsLs/view?usp=drivesdk</t>
  </si>
  <si>
    <t>ACCES</t>
  </si>
  <si>
    <t>LIEN MAP</t>
  </si>
  <si>
    <t>elisablanc@ymail.com_SES-0034</t>
  </si>
  <si>
    <t>convocation SES-0053 VERONIQUE MEIGNEUX</t>
  </si>
  <si>
    <t>fcapitaine@ucpa.asso.fr</t>
  </si>
  <si>
    <t>https://drive.google.com/file/d/1qGDz9BY-moVr0dWwMT0R0M2acU7-Ea-8/view?usp=drivesdk</t>
  </si>
  <si>
    <t>convocation SES-0048 Flavie CAPITAINE</t>
  </si>
  <si>
    <t>cklipfel@ucpa.asso.fr_SES-0034</t>
  </si>
  <si>
    <t>https://drive.google.com/file/d/10vZM8bTh4Oq5PlSwmVSx5iC2vaAukXr4/view?usp=drivesdk</t>
  </si>
  <si>
    <t>convocation SES-0036 Flavie CAPITAINE</t>
  </si>
  <si>
    <t>cklipfel@ucpa.asso.fr_SES-0049</t>
  </si>
  <si>
    <t>LIEU-001</t>
  </si>
  <si>
    <t>https://drive.google.com/file/d/13JfjrI-VrzRKPWw-hYgK4RLj2Mj_44Sl/view?usp=drivesdk</t>
  </si>
  <si>
    <t>DISTANCIEL</t>
  </si>
  <si>
    <t>https://meet.google.com/apv-qoem-zpc</t>
  </si>
  <si>
    <t>Pour vous connecter, utilisez le lien suivant : https://meet.google.com/apv-qoem-zpc</t>
  </si>
  <si>
    <t>convocation SES-0049 Justine Mathlouthi</t>
  </si>
  <si>
    <t>cklipfel@ucpa.asso.fr_SES-0044</t>
  </si>
  <si>
    <t>https://drive.google.com/file/d/19ScSMatIEvqS_4B0GjE07Dsm4zvu4Tt7/view?usp=drivesdk</t>
  </si>
  <si>
    <t>convocation SES-0047 Justine Mathlouthi</t>
  </si>
  <si>
    <t>cklipfel@ucpa.asso.fr_SES-0050</t>
  </si>
  <si>
    <t>https://drive.google.com/file/d/17O7C-RfA2PIZleEu2jpZOx-Qm4TO8Gzq/view?usp=drivesdk</t>
  </si>
  <si>
    <t>convocation SES-0050 Justine Mathlouthi</t>
  </si>
  <si>
    <t>cklipfel@ucpa.asso.fr_SES-0051</t>
  </si>
  <si>
    <t>https://drive.google.com/file/d/1AGhDJmXdeqIuSWbyHOZctIPCbihGUpfh/view?usp=drivesdk</t>
  </si>
  <si>
    <t>convocation SES-0051 Justine Mathlouthi</t>
  </si>
  <si>
    <t>pgaultier@ucpa.asso.fr_SES-0034</t>
  </si>
  <si>
    <t>ttimizar@ucpa.asso.fr</t>
  </si>
  <si>
    <t>https://drive.google.com/file/d/13VTTEkgmVTEOcX8UHQ-edFE3a8Dix_jr/view?usp=drivesdk</t>
  </si>
  <si>
    <t>convocation SES-0034 thomas timizar</t>
  </si>
  <si>
    <t>pgaultier@ucpa.asso.fr_SES-0044</t>
  </si>
  <si>
    <t>tsturzer@ucpa.asso.fr</t>
  </si>
  <si>
    <t>https://drive.google.com/file/d/13X04JxP2XEqq2rxrXo4Vyu6rsk34OTHn/view?usp=drivesdk</t>
  </si>
  <si>
    <t>avermeersch@ucpa.asso.fr_SES-0049</t>
  </si>
  <si>
    <t>convocation SES-0049 Thierry Sturzer</t>
  </si>
  <si>
    <t>https://drive.google.com/file/d/1cf845s3XxCWE0D1c-ocJe9BzhciL6h1G/view?usp=drivesdk</t>
  </si>
  <si>
    <t>sarduain@ucpa.asso.fr_SES-0034</t>
  </si>
  <si>
    <t>convocation SES-0048 Justine Mathlouthi</t>
  </si>
  <si>
    <t>https://drive.google.com/file/d/1CFEmhS9tEpcJtZsq-Xp6UFNZf3MybZ1z/view?usp=drivesdk</t>
  </si>
  <si>
    <t>lmollard@ucpa.asso.fr_SES-0044</t>
  </si>
  <si>
    <t>convocation SES-0042 Justine Mathlouthi</t>
  </si>
  <si>
    <t>https://drive.google.com/file/d/1inggga0hMQZkxw0_C1qlqIkdvmFZKh1n/view?usp=drivesdk</t>
  </si>
  <si>
    <t>gcoste@ucpa.asso.fr_SES-0034</t>
  </si>
  <si>
    <t>convocation SES-0053 Justine Mathlouthi</t>
  </si>
  <si>
    <t>https://drive.google.com/file/d/1Z83TMgC8F76c8qoCZ4ewAdecAtwiuVHe/view?usp=drivesdk</t>
  </si>
  <si>
    <t>gcoste@ucpa.asso.fr_SES-0048</t>
  </si>
  <si>
    <t>convocation SES-0052 Justine Mathlouthi</t>
  </si>
  <si>
    <t>https://drive.google.com/file/d/1sYRFWMwHuL-e3GCAU2raj2KoyID07C7N/view?usp=drivesdk</t>
  </si>
  <si>
    <t>gcoste@ucpa.asso.fr_SES-0041</t>
  </si>
  <si>
    <t>convocation SES-0048 Pascal Tassy</t>
  </si>
  <si>
    <t>apauletcatrin@ucpa.asso.fr_SES-0043</t>
  </si>
  <si>
    <t>https://drive.google.com/file/d/12fVLUBZP_XfA8UUKcqsHJkeO8t4aJ7Jv/view?usp=drivesdk</t>
  </si>
  <si>
    <t>convocation SES-0042 Pascal Tassy</t>
  </si>
  <si>
    <t>sbouteille@ucpa.asso.fr_SES-0037</t>
  </si>
  <si>
    <t>https://drive.google.com/file/d/1-EmFVafEUsFXk3Xq7TNe34EXUOOUj_nd/view?usp=drivesdk</t>
  </si>
  <si>
    <t>convocation SES-0047 Géraldine BONNARD</t>
  </si>
  <si>
    <t>sbouteille@ucpa.asso.fr_SES-0039</t>
  </si>
  <si>
    <t>https://drive.google.com/file/d/1MxOreHKGb5jx4Ekkl-t5OAbyXSxe9aK8/view?usp=drivesdk</t>
  </si>
  <si>
    <t>convocation SES-0050 Géraldine BONNARD</t>
  </si>
  <si>
    <t>sbouteille@ucpa.asso.fr_SES-0046</t>
  </si>
  <si>
    <t>claugier@ucpa.asso.fr</t>
  </si>
  <si>
    <t>https://drive.google.com/file/d/1Xq76ClV6kGuTeOK0CeTDfpeCBVbKYwN0/view?usp=drivesdk</t>
  </si>
  <si>
    <t>tdelcourt@ucpasl.com_SES-0040</t>
  </si>
  <si>
    <t>convocation SES-0042 Catherine LAUGIER</t>
  </si>
  <si>
    <t>https://drive.google.com/file/d/1F3AbC8ZihlINDAowcKOa0srVgV5w4PGM/view?usp=drivesdk</t>
  </si>
  <si>
    <t>convocation SES-0049 Catherine LAUGIER</t>
  </si>
  <si>
    <t>mmcauliffe@ucpa.asso.fr_SES-0035</t>
  </si>
  <si>
    <t>https://drive.google.com/file/d/14XaaFIRNscb8KJjqHbM5qX9szQZnwke5/view?usp=drivesdk</t>
  </si>
  <si>
    <t>convocation SES-0050 Catherine LAUGIER</t>
  </si>
  <si>
    <t>mmcauliffe@ucpa.asso.fr_SES-0037</t>
  </si>
  <si>
    <t>https://drive.google.com/file/d/1aSdkp1d8ARf35S24HaVON0WWWDK4WRSK/view?usp=drivesdk</t>
  </si>
  <si>
    <t>mmcauliffe@ucpa.asso.fr_SES-0038</t>
  </si>
  <si>
    <t>convocation SES-0049 Sébastien Nobis</t>
  </si>
  <si>
    <t>https://drive.google.com/file/d/1t1_qUGPYgfwCKihvlosr6if_WLGCuYr_/view?usp=drivesdk</t>
  </si>
  <si>
    <t>mmcauliffe@ucpa.asso.fr_SES-0044</t>
  </si>
  <si>
    <t>convocation SES-0049 Cécile Moret</t>
  </si>
  <si>
    <t>https://drive.google.com/file/d/1dtb8cicfBOaoqhAc4v1bM9zxCzeMulzr/view?usp=drivesdk</t>
  </si>
  <si>
    <t>ccoeur@ucpa.asso.fr_SES-0037</t>
  </si>
  <si>
    <t>convocation SES-0048 MARIE DEFER</t>
  </si>
  <si>
    <t>https://drive.google.com/file/d/1sTLvFGFh7QDhiTQTwyo3RTUCq8ZVnm4L/view?usp=drivesdk</t>
  </si>
  <si>
    <t>ccoeur@ucpa.asso.fr_SES-0047</t>
  </si>
  <si>
    <t>convocation SES-0034 Luc VERRIER</t>
  </si>
  <si>
    <t>brichez@ucpa.asso.fr</t>
  </si>
  <si>
    <t>https://drive.google.com/file/d/1W_FVS-Cpj9I8ytOX_FDDbaYJfsL_iIQG/view?usp=drivesdk</t>
  </si>
  <si>
    <t>soniamolina65@gmail.com_SES-0036</t>
  </si>
  <si>
    <t>convocation SES-0052 bertrand richez</t>
  </si>
  <si>
    <t>https://drive.google.com/file/d/1gUexielzW4CzqdXwbeSt-dcig9m9IfF5/view?usp=drivesdk</t>
  </si>
  <si>
    <t>tloha@ucpa.asso.fr_SES-0040</t>
  </si>
  <si>
    <t>convocation SES-0053 Luc VERRIER</t>
  </si>
  <si>
    <t>https://drive.google.com/file/d/120TX49HmzKM1_YAS2soLgh93hyjS_NYD/view?usp=drivesdk</t>
  </si>
  <si>
    <t>tloha@ucpa.asso.fr_SES-0051</t>
  </si>
  <si>
    <t>convocation SES-0047 Luc VERRIER</t>
  </si>
  <si>
    <t>https://drive.google.com/file/d/1zeXiePsQOYaCzZcybtsJdT5VdRsO62dE/view?usp=drivesdk</t>
  </si>
  <si>
    <t>tloha@ucpa.asso.fr_SES-0052</t>
  </si>
  <si>
    <t>convocation SES-0053 sophie VERRIER</t>
  </si>
  <si>
    <t>https://drive.google.com/file/d/19Gkup9g-XH9Tr-twU1s7fUcvxwPc_hUJ/view?usp=drivesdk</t>
  </si>
  <si>
    <t>lcoelho@ucpa.asso.fr_SES-0035</t>
  </si>
  <si>
    <t>convocation SES-0047 sophie VERRIER</t>
  </si>
  <si>
    <t>https://drive.google.com/file/d/1lX8yn9HmvtyFyRi6ArOti-5JdlHI-qAU/view?usp=drivesdk</t>
  </si>
  <si>
    <t>nclement@ucpa.asso.fr_SES-0038</t>
  </si>
  <si>
    <t>convocation SES-0034 Sophie VERRIER</t>
  </si>
  <si>
    <t>sbessas@ucpa.asso.fr</t>
  </si>
  <si>
    <t>https://drive.google.com/file/d/1IXulvuVAFf201zF5UGDUcQHR98PAFwVr/view?usp=drivesdk</t>
  </si>
  <si>
    <t>rrasztar@ucpa.asso.fr_SES-0040</t>
  </si>
  <si>
    <t>convocation SES-0048 Sandrine BESSAS</t>
  </si>
  <si>
    <t>https://drive.google.com/file/d/1xMvqm5Hg1D4loZ_LVDZMfxHUWZ3MVTCg/view?usp=drivesdk</t>
  </si>
  <si>
    <t>lcoelho@ucpa.asso.fr_SES-0040</t>
  </si>
  <si>
    <t>convocation SES-0048 HELENE MAZIERE</t>
  </si>
  <si>
    <t>https://drive.google.com/file/d/1xi0n7BOS-1-vYqO5ikcHQ41nqItgs21o/view?usp=drivesdk</t>
  </si>
  <si>
    <t>ecaron@ucpaplanete.com_SES-0038</t>
  </si>
  <si>
    <t>convocation SES-0049 HELENE MAZIERE</t>
  </si>
  <si>
    <t>https://drive.google.com/file/d/1-LOW33gdY0Tk58Y57i2MIkGR_STvMjx5/view?usp=drivesdk</t>
  </si>
  <si>
    <t>ecaron@ucpaplanete.com_SES-0046</t>
  </si>
  <si>
    <t>convocation SES-0050 HELENE MAZIERE</t>
  </si>
  <si>
    <t>rseguin@ucpa.asso.fr_SES-0038</t>
  </si>
  <si>
    <t>https://drive.google.com/file/d/1KJxoHCaA9IUzBsaTPYZhXkoPgZHWpz1V/view?usp=drivesdk</t>
  </si>
  <si>
    <t>convocation SES-0051 HELENE MAZIERE</t>
  </si>
  <si>
    <t>lpitance@ucpa.asso.fr_SES-0044</t>
  </si>
  <si>
    <t>bdarmon@ucpa.asso.fr</t>
  </si>
  <si>
    <t>https://drive.google.com/file/d/1hRzrGIsPfPmBwpUD87d3sbp22BWE-XF6/view?usp=drivesdk</t>
  </si>
  <si>
    <t>cklipfel@ucpa.asso.fr_SES-0032</t>
  </si>
  <si>
    <t>convocation SES-0050 Bruno Darmon</t>
  </si>
  <si>
    <t>https://drive.google.com/file/d/1KOzrEm9I8zzB_nlYGp62VTpdmKP2ZHEl/view?usp=drivesdk</t>
  </si>
  <si>
    <t>convocation SES-0048 Bruno Darmon</t>
  </si>
  <si>
    <t>rseguin@ucpa.asso.fr_SES-0039</t>
  </si>
  <si>
    <t>aspicq@ucpa.asso.fr</t>
  </si>
  <si>
    <t>https://drive.google.com/file/d/1Uh3wz1vmxX4BwMmzZyibmp75aZJdSjrs/view?usp=drivesdk</t>
  </si>
  <si>
    <t>convocation SES-0053 Aurele Spicq</t>
  </si>
  <si>
    <t>lpitance@ucpa.asso.fr_SES-0043</t>
  </si>
  <si>
    <t>https://drive.google.com/file/d/1FvhGXvPVSRyXdhZ3OVEEM0oG5yVxtfl6/view?usp=drivesdk</t>
  </si>
  <si>
    <t>rseguin@ucpa.asso.fr_SES-0049</t>
  </si>
  <si>
    <t>convocation SES-0049 Marine MOREAU</t>
  </si>
  <si>
    <t>https://drive.google.com/file/d/1I5ho_O4uYc0Dd1kKTVBOz2r9Ft6CJWD1/view?usp=drivesdk</t>
  </si>
  <si>
    <t>cklipfel@ucpa.asso.fr_SES-0048</t>
  </si>
  <si>
    <t>convocation SES-0048 Jeanne-Marie JUGIE LAFFITTE</t>
  </si>
  <si>
    <t>https://drive.google.com/file/d/11LZnKoiao062PPu4dIJIDiGPJHIVt_Ku/view?usp=drivesdk</t>
  </si>
  <si>
    <t>lpitance@ucpa.asso.fr_SES-0046</t>
  </si>
  <si>
    <t>convocation SES-0049 Jeanne-Marie JUGIE LAFFITTE</t>
  </si>
  <si>
    <t>https://drive.google.com/file/d/155a6GRSj_4WT8LqkzNaZMXZxSgCBKEq8/view?usp=drivesdk</t>
  </si>
  <si>
    <t>yohan.brun@telligo.fr_SES-0046</t>
  </si>
  <si>
    <t>convocation SES-0036 Cyrielle PETIT</t>
  </si>
  <si>
    <t>https://drive.google.com/file/d/1QrQnlkGaI2f3NmlCSFN2geb8YLDwxjP_/view?usp=drivesdk</t>
  </si>
  <si>
    <t>veronique.meigneux@gmail.com_SES-0032</t>
  </si>
  <si>
    <t>convocation SES-0040 Cyrielle PETIT</t>
  </si>
  <si>
    <t>https://drive.google.com/file/d/1xY1_RAO9vaHLXbPhrG-5QBGvDyjglPks/view?usp=drivesdk</t>
  </si>
  <si>
    <t>yohan.brun@telligo.fr_SES-0045</t>
  </si>
  <si>
    <t>convocation SES-0049 Cyrielle PETIT</t>
  </si>
  <si>
    <t>https://drive.google.com/file/d/1DThE8fELLdWkDXuOumFmvqKaOr5CMbLm/view?usp=drivesdk</t>
  </si>
  <si>
    <t>convocation SES-0048 thomas timizar</t>
  </si>
  <si>
    <t>lcoelho@ucpa.asso.fr_SES-0050</t>
  </si>
  <si>
    <t>abouillon@ucpa.asso.fr</t>
  </si>
  <si>
    <t>https://drive.google.com/file/d/1u2AHZjEgRj0WlLyw8YdpjCDYn0IEy57_/view?usp=drivesdk</t>
  </si>
  <si>
    <t>convocation SES-0048 AGNES BOUILLON</t>
  </si>
  <si>
    <t>cklipfel@ucpa.asso.fr_SES-0052</t>
  </si>
  <si>
    <t>https://drive.google.com/file/d/1kbEr3H78koi0th7xR-iabMVbfn34CdHG/view?usp=drivesdk</t>
  </si>
  <si>
    <t>alison.tomine@telligo.fr_SES-0050</t>
  </si>
  <si>
    <t>convocation SES-0047 Stephane bruneau</t>
  </si>
  <si>
    <t>msambe@ucpa.asso.fr</t>
  </si>
  <si>
    <t>https://drive.google.com/file/d/1jenZg44BpwSPdp3csgVWVnMrY_wS74he/view?usp=drivesdk</t>
  </si>
  <si>
    <t>alison.tomine@telligo.fr_SES-0052</t>
  </si>
  <si>
    <t>convocation SES-0036 Marieme Sambe</t>
  </si>
  <si>
    <t>anthony.beghin@telligo.fr</t>
  </si>
  <si>
    <t>https://drive.google.com/file/d/1DAQvxERMKRX3UfpVVgshaGYll-syJNJI/view?usp=drivesdk</t>
  </si>
  <si>
    <t>convocation SES-0049 Anthony BEGHIN</t>
  </si>
  <si>
    <t>ucpa-formation@ucpa.asso.fr</t>
  </si>
  <si>
    <t>https://drive.google.com/file/d/1okR6RO16Es1Ac76hW1snW6qksTqdIRlB/view?usp=drivesdk</t>
  </si>
  <si>
    <t>alison.tomine@telligo.fr_SES-0049</t>
  </si>
  <si>
    <t>https://drive.google.com/file/d/1iIgZW0KzUwhDPWpp0ktINlnprMzHYUc_/view?usp=drivesdk</t>
  </si>
  <si>
    <t>alison.tomine@telligo.fr_SES-0045</t>
  </si>
  <si>
    <t>convocation SES-0053 MAGDALENA MOREEL</t>
  </si>
  <si>
    <t>ldeneboude@ucpa.asso.fr</t>
  </si>
  <si>
    <t>https://drive.google.com/file/d/111euacnQHeNuzTUQDU9bUDT4X6TnBpFy/view?usp=drivesdk</t>
  </si>
  <si>
    <t>mbristol@ucpa.asso.fr_SES-0033</t>
  </si>
  <si>
    <t>convocation SES-0049 Lucile Deneboude</t>
  </si>
  <si>
    <t>https://drive.google.com/file/d/1oqhetvZvtKcMV5E9K_MF_GI2OHbCcfSB/view?usp=drivesdk</t>
  </si>
  <si>
    <t>mbristol@ucpa.asso.fr_SES-0038</t>
  </si>
  <si>
    <t>convocation SES-0053 Lucile Deneboude</t>
  </si>
  <si>
    <t>bbunel@ucpa.asso.fr</t>
  </si>
  <si>
    <t>https://drive.google.com/file/d/18BybA_uNNxanK1m7z263JKwTPCPB_GkB/view?usp=drivesdk</t>
  </si>
  <si>
    <t>mathieu.desponts@telligo.fr_SES-0043</t>
  </si>
  <si>
    <t>convocation SES-0048 BUNEL BENOIT</t>
  </si>
  <si>
    <t>https://drive.google.com/file/d/15qI3aTE3VmRU_cRFWUNyUSr_LfK04O-X/view?usp=drivesdk</t>
  </si>
  <si>
    <t>mathieu.desponts@telligo.fr_SES-0038</t>
  </si>
  <si>
    <t>convocation SES-0048 Véronique Croué</t>
  </si>
  <si>
    <t>https://drive.google.com/file/d/1lu3g-YMK7-WxLuP2xKZEl50yCe8wg-AU/view?usp=drivesdk</t>
  </si>
  <si>
    <t>gebonnatd@ucpa.asso.fr_SES-0040</t>
  </si>
  <si>
    <t>convocation SES-0051 Alain BROSSARD</t>
  </si>
  <si>
    <t>https://drive.google.com/file/d/1fAZacasNtWJYQqfkPKGpP4XNrGa_qrkq/view?usp=drivesdk</t>
  </si>
  <si>
    <t>cgana@ucpa.asso.fr_SES-0039</t>
  </si>
  <si>
    <t>convocation SES-0049 Alain BROSSARD</t>
  </si>
  <si>
    <t>https://drive.google.com/file/d/134tzKd_zmSXq88vld9O_49joDFEuiMi4/view?usp=drivesdk</t>
  </si>
  <si>
    <t>jrdavid@ucpa.asso.fr_SES-0033</t>
  </si>
  <si>
    <t>convocation SES-0050 Alain BROSSARD</t>
  </si>
  <si>
    <t>https://drive.google.com/file/d/1MLmwLSFpTn8UINmJijV7JgOKiJk8rDAO/view?usp=drivesdk</t>
  </si>
  <si>
    <t>jrdavid@ucpa.asso.fr_SES-0048</t>
  </si>
  <si>
    <t>convocation SES-0052 Alain BROSSARD</t>
  </si>
  <si>
    <t>https://drive.google.com/file/d/1xzTCneMl8_e4j-AhpjFi_e3tDFpMTMhn/view?usp=drivesdk</t>
  </si>
  <si>
    <t>jrdavid@ucpa.asso.fr_SES-0036</t>
  </si>
  <si>
    <t>convocation SES-0048 Alain BROSSARD</t>
  </si>
  <si>
    <t>https://drive.google.com/file/d/1V9wQS5MAdhk7tr5JXD8_vQfQ3XIcI6C9/view?usp=drivesdk</t>
  </si>
  <si>
    <t>mmoreel@ucpa.asso.fr_SES-0032</t>
  </si>
  <si>
    <t>convocation SES-0048 RENAUD SEGUIN</t>
  </si>
  <si>
    <t>https://drive.google.com/file/d/1tDbbOiTJ5_-kTXB3n6O_I4xaHeGx2Fsc/view?usp=drivesdk</t>
  </si>
  <si>
    <t>jrdavid@ucpa.asso.fr_SES-0037</t>
  </si>
  <si>
    <t>convocation SES-0048 Béatrice LECOMTE</t>
  </si>
  <si>
    <t>https://drive.google.com/file/d/12cVHVbGsR0KEPTsUcArt9eu8PPJgfWWo/view?usp=drivesdk</t>
  </si>
  <si>
    <t>mmoreel@ucpa.asso.fr_SES-0035</t>
  </si>
  <si>
    <t>convocation SES-0048 Stéphanie HEURTEL</t>
  </si>
  <si>
    <t>https://drive.google.com/file/d/1dVxGobnf7EaD7Cd70xKOy0jiM6WOG5_b/view?usp=drivesdk</t>
  </si>
  <si>
    <t>mmoreel@ucpa.asso.fr_SES-0040</t>
  </si>
  <si>
    <t>convocation SES-0035 RAPHAËL HALIMI</t>
  </si>
  <si>
    <t>https://drive.google.com/file/d/1DYszIHCZtaG16mJfvYtl-81m06G6w5Th/view?usp=drivesdk</t>
  </si>
  <si>
    <t>mmoreel@ucpa.asso.fr_SES-0033</t>
  </si>
  <si>
    <t>convocation SES-0053 RAPHAËL HALIMI</t>
  </si>
  <si>
    <t>https://drive.google.com/file/d/1hR76Bhe1Q6NOvra3BZONyldic2ibrhJh/view?usp=drivesdk</t>
  </si>
  <si>
    <t>mmoreel@ucpa.asso.fr_SES-0044</t>
  </si>
  <si>
    <t>convocation SES-0053 Carole  KLIPFEL</t>
  </si>
  <si>
    <t>mpitiot@ucpa.asso.fr</t>
  </si>
  <si>
    <t>https://drive.google.com/file/d/1wck3JmkGKcMlYBmOyrWVT5M5D7femgaB/view?usp=drivesdk</t>
  </si>
  <si>
    <t>cthouillez@pailleron19.com_SES-0048</t>
  </si>
  <si>
    <t>convocation SES-0048 Montaine Pitiot</t>
  </si>
  <si>
    <t>bibnechcharef@ucpa.asso.fr</t>
  </si>
  <si>
    <t>https://drive.google.com/file/d/1EpfCnqrLhTsnzRwjVP8LzF_BUCam3vAN/view?usp=drivesdk</t>
  </si>
  <si>
    <t>cthouillez@pailleron19.com_SES-0035</t>
  </si>
  <si>
    <t>convocation SES-0048 BELKACEM IBNECHCHAREF</t>
  </si>
  <si>
    <t>cthouillez@pailleron19.com_SES-0038</t>
  </si>
  <si>
    <t>https://drive.google.com/file/d/1bQUiVScrVVO7Q95HpVO9Cz8r01kdjOe4/view?usp=drivesdk</t>
  </si>
  <si>
    <t>convocation SES-0051 Thierry Sturzer</t>
  </si>
  <si>
    <t>cthouillez@pailleron19.com_SES-0039</t>
  </si>
  <si>
    <t>maid@ucpa.asso.fr</t>
  </si>
  <si>
    <t>https://drive.google.com/file/d/1fNBMQP4ZR7XlM3xcxec_pBhHgV7FQFFk/view?usp=drivesdk</t>
  </si>
  <si>
    <t>convocation SES-0053 Marina AID</t>
  </si>
  <si>
    <t>svacher@ucpa.asso.fr_SES-0036</t>
  </si>
  <si>
    <t>https://drive.google.com/file/d/1XvyHTCrOAz4u8ryOWD0KQ8qRc_E6eapz/view?usp=drivesdk</t>
  </si>
  <si>
    <t>convocation SES-0049 Marina AID</t>
  </si>
  <si>
    <t>svacher@ucpa.asso.fr_SES-0038</t>
  </si>
  <si>
    <t>https://drive.google.com/file/d/1DO8eAmcFEzhTgyxFREEcDS9VUL7Rx1QJ/view?usp=drivesdk</t>
  </si>
  <si>
    <t>svacher@ucpa.asso.fr_SES-0041</t>
  </si>
  <si>
    <t>convocation SES-0050 Raphaël HALIMI</t>
  </si>
  <si>
    <t>https://drive.google.com/file/d/1N8j5EKgwdD8qlfJ3-5QMnZrSE_5vNror/view?usp=drivesdk</t>
  </si>
  <si>
    <t>convocation SES-0051 RAPHAËL HALIMI</t>
  </si>
  <si>
    <t>lphilippy@ucpa.asso.fr_SES-0034</t>
  </si>
  <si>
    <t>https://drive.google.com/file/d/1gqnS9tE8DCohx0y9ekaKtg3tElx0oHqQ/view?usp=drivesdk</t>
  </si>
  <si>
    <t>lphilippy@ucpa.asso.fr_SES-0033</t>
  </si>
  <si>
    <t>convocation SES-0052 Raphaël HALIMI</t>
  </si>
  <si>
    <t>https://drive.google.com/file/d/11BWy5YC0z3uzqqJMj-4uAxvS-017KpIE/view?usp=drivesdk</t>
  </si>
  <si>
    <t>lphilippy@ucpa.asso.fr_SES-0049</t>
  </si>
  <si>
    <t>convocation SES-0045 Laurent Feuillet</t>
  </si>
  <si>
    <t>https://drive.google.com/file/d/12XFkywjyCqUQOgDpuBARTecssYHN9_xP/view?usp=drivesdk</t>
  </si>
  <si>
    <t>convocation SES-0047 Laurent Feuillet</t>
  </si>
  <si>
    <t>bibnechcharef@gmail.com_SES-0035</t>
  </si>
  <si>
    <t>https://drive.google.com/file/d/1fENL5y2TtN0wae2kzsq4nXSfQFDCNTsD/view?usp=drivesdk</t>
  </si>
  <si>
    <t>bibnechcharef@gmail.com_SES-0034</t>
  </si>
  <si>
    <t>convocation SES-0044 Laurent Feuillet</t>
  </si>
  <si>
    <t>https://drive.google.com/file/d/178SOwwXVJ1Kfl5HrJUTmDKMQhcToBqEa/view?usp=drivesdk</t>
  </si>
  <si>
    <t>bibnechcharef@gmail.com_SES-0045</t>
  </si>
  <si>
    <t>convocation SES-0044 Nathalie Chansard</t>
  </si>
  <si>
    <t>https://drive.google.com/file/d/1dLDz4OVdQ8ZWvw1-FIvhJUgyo_IRGwgk/view?usp=drivesdk</t>
  </si>
  <si>
    <t>bibnechcharef@gmail.com_SES-0046</t>
  </si>
  <si>
    <t>convocation SES-0034 Magdalena Moreel</t>
  </si>
  <si>
    <t>https://drive.google.com/file/d/187IH5VlHQVG2s9771FxadR3UsXERxA7P/view?usp=drivesdk</t>
  </si>
  <si>
    <t>convocation SES-0051 Montaine Pitiot</t>
  </si>
  <si>
    <t>https://drive.google.com/file/d/1zKIZmQGN1vh-S4AlW-PynrEpsYRjo16n/view?usp=drivesdk</t>
  </si>
  <si>
    <t>bdugrivel@ucpa.asso.fr_SES-0039</t>
  </si>
  <si>
    <t>convocation SES-0049 Montaine Pitiot</t>
  </si>
  <si>
    <t>https://drive.google.com/file/d/1AdEL_jsQ06s7xX5sA2tejFB0i-KYHSls/view?usp=drivesdk</t>
  </si>
  <si>
    <t>bdugrivel@gmail.com_SES-0043</t>
  </si>
  <si>
    <t>convocation SES-0050 Montaine Pitiot</t>
  </si>
  <si>
    <t>https://drive.google.com/file/d/1xc0SwJ_9Bv1HqDSbV6l0HCwH2JheY9nE/view?usp=drivesdk</t>
  </si>
  <si>
    <t>convocation SES-0038 PA CALBO</t>
  </si>
  <si>
    <t>mpougheon@ucpa.asso.fr_SES-0048</t>
  </si>
  <si>
    <t>https://drive.google.com/file/d/1nzdcY8OX1LeMF7hZFJgF50VuBVytyQLA/view?usp=drivesdk</t>
  </si>
  <si>
    <t>convocation SES-0049 Flavie CAPITAINE</t>
  </si>
  <si>
    <t>https://drive.google.com/file/d/1RdUSu8vFwHi_R9idhV9eck3TMZU7-r5v/view?usp=drivesdk</t>
  </si>
  <si>
    <t>convocation SES-0050 Flavie CAPITAINE</t>
  </si>
  <si>
    <t>https://drive.google.com/file/d/12fOl5QgxgqiAtPoMYymyGpNnqeIvdPHm/view?usp=drivesdk</t>
  </si>
  <si>
    <t>convocation SES-0051 Flavie CAPITAINE</t>
  </si>
  <si>
    <t>https://drive.google.com/file/d/1XY-f1VXbDYgxWHGJI-sZ-wajzSEr7nwL/view?usp=drivesdk</t>
  </si>
  <si>
    <t>echochois@ucpa.asso.fr_SES-0045</t>
  </si>
  <si>
    <t>convocation SES-0052 Flavie CAPITAINE</t>
  </si>
  <si>
    <t>https://drive.google.com/file/d/1kBsJHw8yrv1orVKvvjrHTlVN_W1PBB1a/view?usp=drivesdk</t>
  </si>
  <si>
    <t>echochois@ucpa.asso.fr_SES-0049</t>
  </si>
  <si>
    <t>convocation SES-0036 Thomas Timizar</t>
  </si>
  <si>
    <t>https://drive.google.com/file/d/13xgBmeD-4Vu2mAaJEDB_fMxd1aPexXqM/view?usp=drivesdk</t>
  </si>
  <si>
    <t>christophe.prat@telligo.fr_SES-0046</t>
  </si>
  <si>
    <t>convocation SES-0042 Laurent Feuillet</t>
  </si>
  <si>
    <t>nleturcq@ucpa.asso.fr</t>
  </si>
  <si>
    <t>https://drive.google.com/file/d/1rFC0BrB8dXUaZwpQirLKcp-4Emdo9UW-/view?usp=drivesdk</t>
  </si>
  <si>
    <t>christophe.prat@telligo.fr_SES-0051</t>
  </si>
  <si>
    <t>convocation SES-0046 Nathalie LETURC</t>
  </si>
  <si>
    <t>https://drive.google.com/file/d/1xNsZKlVb3dJwk1FOsOJoEyjlXT1tsXjZ/view?usp=drivesdk</t>
  </si>
  <si>
    <t>christophe.prat@telligo.fr_SES-0045</t>
  </si>
  <si>
    <t>convocation SES-0049 NATHALIE LETURCQ</t>
  </si>
  <si>
    <t>ningigliardi@ucpa.asso.fr</t>
  </si>
  <si>
    <t>https://drive.google.com/file/d/1HaEgV7GEK5ebtGZ4b9gS8FM-T6WEQbrf/view?usp=drivesdk</t>
  </si>
  <si>
    <t>lchouvet@ucpa.asso.fr_SES-0040</t>
  </si>
  <si>
    <t>convocation SES-0049 Nathalie INGIGLIARDI</t>
  </si>
  <si>
    <t>nchansard@ucpa.asso.fr_SES-0045</t>
  </si>
  <si>
    <t>https://drive.google.com/file/d/1qVtyqZKwKxHEzP32RHmZdQgnjgYsGVjl/view?usp=drivesdk</t>
  </si>
  <si>
    <t>convocation SES-0051 Nathalie INGIGLIARDI</t>
  </si>
  <si>
    <t>nchansard@ucpa.asso.fr_SES-0043</t>
  </si>
  <si>
    <t>https://drive.google.com/file/d/1xPainOlO8U05r0BCermbbyn-koKLGE42/view?usp=drivesdk</t>
  </si>
  <si>
    <t>convocation SES-0038 Alain BROSSARD</t>
  </si>
  <si>
    <t>https://drive.google.com/file/d/1EpmGQYCQGjq9eZhEC_kCHN17pCeKyKav/view?usp=drivesdk</t>
  </si>
  <si>
    <t>abricout@ucpa.asso.fr_SES-0033</t>
  </si>
  <si>
    <t>convocation SES-0051 Pierre-Alexis CALBO</t>
  </si>
  <si>
    <t>https://drive.google.com/file/d/1A-rMKLNNa2ly19_BBPyV0FS2I2UirLip/view?usp=drivesdk</t>
  </si>
  <si>
    <t>abricout@ucpa.asso.fr_SES-0048</t>
  </si>
  <si>
    <t>convocation SES-0049 Pierre-Alexis CALBO</t>
  </si>
  <si>
    <t xml:space="preserve">selection </t>
  </si>
  <si>
    <t>https://drive.google.com/file/d/1s7f8iHYdIwDOUl_Fvzies_5sOZk666yz/view?usp=drivesdk</t>
  </si>
  <si>
    <t>mmohamed@ucpa.asso.fr_SES-0045</t>
  </si>
  <si>
    <t>convocation SES-0049 Stéphanie Bouteille</t>
  </si>
  <si>
    <t>https://drive.google.com/file/d/1KUncDcng9CCS7FozPVuk0Y-nTB6cQrH7/view?usp=drivesdk</t>
  </si>
  <si>
    <t>mmohamed@ucpa.asso.fr_SES-0040</t>
  </si>
  <si>
    <t>convocation SES-0046 Pierre-Alexis CALBO</t>
  </si>
  <si>
    <t>https://drive.google.com/file/d/1n2LpGEXWGi8CI0JVtYonH3xS02qHi2Iu/view?usp=drivesdk</t>
  </si>
  <si>
    <t>iestrade@ucpa.asso.fr_SES-0040</t>
  </si>
  <si>
    <t>tguillory@ucpa.asso.fr_SES-0040</t>
  </si>
  <si>
    <t>convocation SES-0040 Pierre-Alexis CALBO</t>
  </si>
  <si>
    <t>Christophe SERIO [011]</t>
  </si>
  <si>
    <t>https://drive.google.com/file/d/1jE6-4VMFHR0S106pQlZkYLNroXE1NvV0/view?usp=drivesdk</t>
  </si>
  <si>
    <t>Thierry VANOFFE [001]</t>
  </si>
  <si>
    <t>aude-marie.cresson@ipag.fr_SES-0033</t>
  </si>
  <si>
    <t>convocation SES-0043 Raphaël HALIMI</t>
  </si>
  <si>
    <t>https://drive.google.com/file/d/1z1mkO00wSDsbqCnsmlKYx3RbKN1dvCXu/view?usp=drivesdk</t>
  </si>
  <si>
    <t>convocation SES-0041 Frédérique SAUSSAC</t>
  </si>
  <si>
    <t>mmohamed@ucpa.asso.fr_SES-0046</t>
  </si>
  <si>
    <t>https://drive.google.com/file/d/1G9r2xgkTjUZeCbzaKlX1BabQFQImA9ms/view?usp=drivesdk</t>
  </si>
  <si>
    <t>convocation SES-0043 Frédérique SAUSSAC</t>
  </si>
  <si>
    <t>mpougheon@ucpa.asso.fr_SES-0037</t>
  </si>
  <si>
    <t>https://drive.google.com/file/d/1xi_JdJMvRBSMpKACx30nNU51mrrDS7d7/view?usp=drivesdk</t>
  </si>
  <si>
    <t>convocation SES-0041 isabelle vanneph</t>
  </si>
  <si>
    <t>https://drive.google.com/file/d/1uAoK7XjG58SCXT7imwmxrjW6sFUl8-BZ/view?usp=drivesdk</t>
  </si>
  <si>
    <t>mpougheon@ucpa.asso.fr_SES-0035</t>
  </si>
  <si>
    <t>convocation SES-0043 isabelle vanneph</t>
  </si>
  <si>
    <t>matthieu.blanc@telligo.fr</t>
  </si>
  <si>
    <t>https://drive.google.com/file/d/1zm6x2R3UHlzaqddSAw6bSws8XM6K30_t/view?usp=drivesdk</t>
  </si>
  <si>
    <t>ecusey@ucpa.asso.fr_SES-0035</t>
  </si>
  <si>
    <t>convocation SES-0046 Matthieu Blanc</t>
  </si>
  <si>
    <t>https://drive.google.com/file/d/1buR_XQHrGgmolzGQnWXyMgIOMd5X18e6/view?usp=drivesdk</t>
  </si>
  <si>
    <t>melanie.costa@labalaguere.com_SES-0042</t>
  </si>
  <si>
    <t>convocation SES-0041 Magdalena Moreel</t>
  </si>
  <si>
    <t>https://drive.google.com/file/d/1Ql_0mR6hPDQfhzvN73TB_trPvaDbGHZp/view?usp=drivesdk</t>
  </si>
  <si>
    <t>melanie.costa@labalaguere.com_SES-0049</t>
  </si>
  <si>
    <t>convocation SES-0045 Caroline JOUREAU</t>
  </si>
  <si>
    <t>slabetant@ucpa.asso.fr</t>
  </si>
  <si>
    <t>https://drive.google.com/file/d/1olNJAlyR1zUI0lx0g9ebHm5d7a3JaOAW/view?usp=drivesdk</t>
  </si>
  <si>
    <t>convocation SES-0049 Sarah Labétant</t>
  </si>
  <si>
    <t>https://drive.google.com/file/d/1r9P2huWI6x27fya48evaZiohUaYVmwWN/view?usp=drivesdk</t>
  </si>
  <si>
    <t>melanie.costa@labalaguere.com_SES-0047</t>
  </si>
  <si>
    <t>convocation SES-0044 Sarah Labétant</t>
  </si>
  <si>
    <t>https://drive.google.com/file/d/1H39CLdCHrQBZcJF6xB3S_9j6nKYqsDnn/view?usp=drivesdk</t>
  </si>
  <si>
    <t>sbruneau@ucpa.asso.fr_SES-0041</t>
  </si>
  <si>
    <t>convocation SES-0042 MAGDALENA MOREEL</t>
  </si>
  <si>
    <t>https://drive.google.com/file/d/1ZXUmGRjHhVEUESCYxZ6g9OxxYCYTCOAB/view?usp=drivesdk</t>
  </si>
  <si>
    <t>jbuhr@ucpa.asso.fr_SES-0040</t>
  </si>
  <si>
    <t>convocation SES-0047 Laurent Geulin</t>
  </si>
  <si>
    <t>https://drive.google.com/file/d/1tePI-pzvT1SZYwi_fdzkifwi38RprcVS/view?usp=drivesdk</t>
  </si>
  <si>
    <t>mval@ucpa.asso.fr_SES-0048</t>
  </si>
  <si>
    <t>convocation SES-0049 Caroline JOLY</t>
  </si>
  <si>
    <t>https://drive.google.com/file/d/1G96Rc8ueoAQS2ndygfTY0q4VH6ytGPd5/view?usp=drivesdk</t>
  </si>
  <si>
    <t>cjoureau@ucpa.asso.fr_SES-0047</t>
  </si>
  <si>
    <t>convocation SES-0051 Caroline JOLY</t>
  </si>
  <si>
    <t>https://drive.google.com/file/d/1F4HnLJwmLepe_QZpEZ2Fm1jbWGdcBiAd/view?usp=drivesdk</t>
  </si>
  <si>
    <t>cjoureau@ucpa.asso.fr_SES-0039</t>
  </si>
  <si>
    <t>convocation SES-0045 Agathe Paulet Catrin</t>
  </si>
  <si>
    <t>https://drive.google.com/file/d/1k4mcWHQpVCyn69KAX_u2IDwDbabsepYM/view?usp=drivesdk</t>
  </si>
  <si>
    <t>cjoureau@ucpa.asso.fr_SES-0041</t>
  </si>
  <si>
    <t>convocation SES-0045 Bruno Darmon</t>
  </si>
  <si>
    <t>https://drive.google.com/file/d/1DRpTHFH65q_5yjEuBNkW34boNpYybJly/view?usp=drivesdk</t>
  </si>
  <si>
    <t>cjoureau@ucpa.asso.fr_SES-0043</t>
  </si>
  <si>
    <t>convocation SES-0050 Catherine COEUR</t>
  </si>
  <si>
    <t>https://drive.google.com/file/d/14GCY7aStn_L1N-452p6uBNml29IZVpWo/view?usp=drivesdk</t>
  </si>
  <si>
    <t>emilie.bouysset@gmail.com_SES-0041</t>
  </si>
  <si>
    <t>convocation SES-0051 Catherine COEUR</t>
  </si>
  <si>
    <t>betty.boillon@telligo.fr</t>
  </si>
  <si>
    <t>https://drive.google.com/file/d/18wVyYWMHbegRH2TFlLbmbmR6uLozX-LR/view?usp=drivesdk</t>
  </si>
  <si>
    <t>convocation SES-0050 Betty Pelloille</t>
  </si>
  <si>
    <t>emilie.bouysset@gmail.com_SES-0043</t>
  </si>
  <si>
    <t>https://drive.google.com/file/d/1_KuF9GSyOF3W5eLMI_dH_-bkLLrgTjEB/view?usp=drivesdk</t>
  </si>
  <si>
    <t>convocation SES-0046 Evelyne CHOCHOIS</t>
  </si>
  <si>
    <t>dsamson@ucpa.asso.fr_SES-0033</t>
  </si>
  <si>
    <t>torresclaireanne@hotmail.fr</t>
  </si>
  <si>
    <t>https://drive.google.com/file/d/1wr5a-KbhHvBdwJZ_xJg2K6ZRFHTsOXQ0/view?usp=drivesdk</t>
  </si>
  <si>
    <t>convocation SES-0050 Claire torres</t>
  </si>
  <si>
    <t>https://drive.google.com/file/d/1LXHP0ZQEHYEzDXeAivmHYGNI2VuHAO16/view?usp=drivesdk</t>
  </si>
  <si>
    <t>dsamson@ucpa.asso.fr_SES-0035</t>
  </si>
  <si>
    <t>convocation SES-0051 Claire torres</t>
  </si>
  <si>
    <t>https://drive.google.com/file/d/1AX8YueUIRgFz4olNxEePoMuT2sasgjT-/view?usp=drivesdk</t>
  </si>
  <si>
    <t>dsamson@ucpa.asso.fr_SES-0042</t>
  </si>
  <si>
    <t>convocation SES-0052 Claire torres</t>
  </si>
  <si>
    <t>https://drive.google.com/file/d/1BGw3ll2WvTUeanqjQQu4kJhdVqRUMXKK/view?usp=drivesdk</t>
  </si>
  <si>
    <t>convocation SES-0052 Thomas FORT</t>
  </si>
  <si>
    <t>jortole@ucpa.asso.fr_SES-0048</t>
  </si>
  <si>
    <t>https://drive.google.com/file/d/1-zhUerGGleMbormZ1EEfBizVbQFXI8Nd/view?usp=drivesdk</t>
  </si>
  <si>
    <t>convocation SES-0047 MAGDALENA MOREEL</t>
  </si>
  <si>
    <t>afraile@ucpa.asso.fr</t>
  </si>
  <si>
    <t>jortole@ucpa.asso.fr_SES-0042</t>
  </si>
  <si>
    <t>https://drive.google.com/file/d/11h6oubJqh9p0vIaKW7QlP_4u0W2DCRad/view?usp=drivesdk</t>
  </si>
  <si>
    <t>convocation SES-0050 ANTOINE FRAILE</t>
  </si>
  <si>
    <t>https://drive.google.com/file/d/1LdCBgij_uL7UOL4jWLJro4yI1qzRCrjd/view?usp=drivesdk</t>
  </si>
  <si>
    <t>afoltz@ucpa.asso.fr_SES-0043</t>
  </si>
  <si>
    <t>convocation SES-0050 RENAUD SEGUIN</t>
  </si>
  <si>
    <t>gguervin@ucpa.asso.fr</t>
  </si>
  <si>
    <t>https://drive.google.com/file/d/1dBYsJmlTublK1hDdOSusSMWY1A8uKdBh/view?usp=drivesdk</t>
  </si>
  <si>
    <t>lfabricina@ucpa.asso.fr_SES-0042</t>
  </si>
  <si>
    <t>convocation SES-0050 gilles guervin</t>
  </si>
  <si>
    <t>https://drive.google.com/file/d/10OqGLYyPH9VVoZRSlMBdEtWdfIaM2ESX/view?usp=drivesdk</t>
  </si>
  <si>
    <t>meriem.lyaoui@telligo.fr_SES-0043</t>
  </si>
  <si>
    <t>convocation SES-0050 Virginie Mathelin</t>
  </si>
  <si>
    <t>asavoji@ucpa.asso.fr</t>
  </si>
  <si>
    <t>https://drive.google.com/file/d/1UM-XbH6nJUx-WKhsONPiEcxspvUmq732/view?usp=drivesdk</t>
  </si>
  <si>
    <t>meriem.lyaoui@telligo.fr_SES-0032</t>
  </si>
  <si>
    <t>convocation SES-0050 Anoush Savoji</t>
  </si>
  <si>
    <t>msugg@ucpa.asso.fr</t>
  </si>
  <si>
    <t>https://drive.google.com/file/d/10S8mf0_Aiag4qKSHsd8T8pJDFkfebyQR/view?usp=drivesdk</t>
  </si>
  <si>
    <t>ngibert@ucpa.asso.fr_SES-0032</t>
  </si>
  <si>
    <t>convocation SES-0050 Mathilde Sugg</t>
  </si>
  <si>
    <t>https://drive.google.com/file/d/1IKoegxGDrveWbt7SNC3haCUh2P4Uwjhm/view?usp=drivesdk</t>
  </si>
  <si>
    <t>ngibert@ucpa.asso.fr_SES-0034</t>
  </si>
  <si>
    <t>https://drive.google.com/file/d/1SCSpPMNySb0vylAVIvsV9qZrZTlk9-pq/view?usp=drivesdk</t>
  </si>
  <si>
    <t>cmoret@ucpa.asso.fr_SES-0044</t>
  </si>
  <si>
    <t>Achina@ucpa.asso.fr</t>
  </si>
  <si>
    <t>https://drive.google.com/file/d/1q7omPXclTJ_SN6wlYj8m5hPce38V9L27/view?usp=drivesdk</t>
  </si>
  <si>
    <t>sheurtel@ucpa.asso.fr_SES-0047</t>
  </si>
  <si>
    <t>convocation SES-0050 Anais  China</t>
  </si>
  <si>
    <t>https://drive.google.com/file/d/1W-OatYKQTNVJUdTGX-UtsQSZ1Bbl2HRb/view?usp=drivesdk</t>
  </si>
  <si>
    <t>convocation SES-0052 Anais China</t>
  </si>
  <si>
    <t>sylvie.martins@destination-decouverte.fr_SES-0051</t>
  </si>
  <si>
    <t>https://drive.google.com/file/d/1am_r1Ug7tmcGI8se9y2uzAiJCpAZ2wC7/view?usp=drivesdk</t>
  </si>
  <si>
    <t>convocation SES-0051 Anais China</t>
  </si>
  <si>
    <t>https://drive.google.com/file/d/13LtFcm5xPrC5-ZXF2r5vMtbOQAwbgfZ5/view?usp=drivesdk</t>
  </si>
  <si>
    <t>ngibert@ucpa.asso.fr_SES-0033</t>
  </si>
  <si>
    <t>convocation SES-0050 Luc VERRIER</t>
  </si>
  <si>
    <t>https://drive.google.com/file/d/1YfX44b9ic04btKo6wFV5wcZ5K76_PELb/view?usp=drivesdk</t>
  </si>
  <si>
    <t>sylvie.martins@destination-decouverte.fr_SES-0033</t>
  </si>
  <si>
    <t>convocation SES-0051 Virginie Mathelin</t>
  </si>
  <si>
    <t>https://drive.google.com/file/d/1nZTZME7JUcWE9qwaAn33lN7LiwdSXh_W/view?usp=drivesdk</t>
  </si>
  <si>
    <t>convocation SES-0052 Virginie Mathelin</t>
  </si>
  <si>
    <t>cpetit1@ucpa.asso.fr_SES-0048</t>
  </si>
  <si>
    <t>https://drive.google.com/file/d/12vaFaFC3pYPNq2v5Bb27o2TdBofDuIJv/view?usp=drivesdk</t>
  </si>
  <si>
    <t>convocation SES-0051 Bruno Darmon</t>
  </si>
  <si>
    <t>https://drive.google.com/file/d/1iXncbfkmTY55_-TN4_EoDJIBfj-XvQUA/view?usp=drivesdk</t>
  </si>
  <si>
    <t>sylvie.martins@destination-decouverte.fr_SES-0052</t>
  </si>
  <si>
    <t>convocation SES-0052 Bruno Darmon</t>
  </si>
  <si>
    <t>https://drive.google.com/file/d/1f0zqOvUtbCK4nFhNweOhkw3-24tazfRl/view?usp=drivesdk</t>
  </si>
  <si>
    <t>hello-loudenvielle@wellness-sport-camping.com_SES-0042</t>
  </si>
  <si>
    <t>convocation SES-0052 Béatrice LECOMTE</t>
  </si>
  <si>
    <t>https://drive.google.com/file/d/12s3_0uL1uB23ZAgERYO6BkBaCBLQfdEI/view?usp=drivesdk</t>
  </si>
  <si>
    <t>pascale.favre@laudon.fr_SES-0033</t>
  </si>
  <si>
    <t>convocation SES-0052 Sébastien Nobis</t>
  </si>
  <si>
    <t>mdurand@ucpa.asso.fr_SES-0041</t>
  </si>
  <si>
    <t>mdurand@ucpa.asso.fr_SES-0037</t>
  </si>
  <si>
    <t>OK</t>
  </si>
  <si>
    <t>mdurand@ucpa.asso.fr_SES-0052</t>
  </si>
  <si>
    <t>vbuffy@ucpa.asso.fr_SES-0044</t>
  </si>
  <si>
    <t>EMAIL CG</t>
  </si>
  <si>
    <t>POSTE</t>
  </si>
  <si>
    <t>TEL</t>
  </si>
  <si>
    <t>roger.deher@orange.fr_SES-0033</t>
  </si>
  <si>
    <t>PRENOM</t>
  </si>
  <si>
    <t>roger.deher@orange.fr_SES-0048</t>
  </si>
  <si>
    <t>roger.deher@orange.fr_SES-0036</t>
  </si>
  <si>
    <t>roger.deher@orange.fr_SES-0037</t>
  </si>
  <si>
    <t>roger.deher@orange.fr_SES-0042</t>
  </si>
  <si>
    <t>vbuffy@ucpa.asso.fr_SES-0049</t>
  </si>
  <si>
    <t>vbuffy@ucpa.asso.fr_SES-0051</t>
  </si>
  <si>
    <t>mattias.nilsson@labalaguere.com_SES-0044</t>
  </si>
  <si>
    <t>mattias.nilsson@labalaguere.com_SES-0049</t>
  </si>
  <si>
    <t>mattias.nilsson@labalaguere.com_SES-0050</t>
  </si>
  <si>
    <t>mattias.nilsson@labalaguere.com_SES-0052</t>
  </si>
  <si>
    <t>mattias.nilsson@labalaguere.com_SES-0051</t>
  </si>
  <si>
    <t>ID</t>
  </si>
  <si>
    <t>stephane.tavernier@telligo.fr_SES-0040</t>
  </si>
  <si>
    <t>mattias.nilsson@labalaguere.com_SES-0036</t>
  </si>
  <si>
    <t>stephane.tavernier@telligo.fr_SES-0052</t>
  </si>
  <si>
    <t>MARQUE</t>
  </si>
  <si>
    <t>RF 1</t>
  </si>
  <si>
    <t>RF 2</t>
  </si>
  <si>
    <t>LIEN LOGO</t>
  </si>
  <si>
    <t>ADRESSE SUITE</t>
  </si>
  <si>
    <t>CP</t>
  </si>
  <si>
    <t>stephane.tavernier@telligo.fr_SES-0050</t>
  </si>
  <si>
    <t>Entité 1 / Sous Entité [1]</t>
  </si>
  <si>
    <t>Entité 1</t>
  </si>
  <si>
    <t>Sous Entité</t>
  </si>
  <si>
    <t>stephane.tavernier@telligo.fr_SES-0047</t>
  </si>
  <si>
    <t>martial@labalaguere.com_SES-0047</t>
  </si>
  <si>
    <t>jmathlouthi@ucpa.asso.fr_SES-0036</t>
  </si>
  <si>
    <t>jmathlouthi@ucpa.asso.fr_SES-0037</t>
  </si>
  <si>
    <t>ldubos@ucpa.asso.fr_SES-0037</t>
  </si>
  <si>
    <t>vmeigneux@ucpa.asso.fr_SES-0053</t>
  </si>
  <si>
    <t>fcapitaine@ucpa.asso.fr_SES-0048</t>
  </si>
  <si>
    <t>fcapitaine@ucpa.asso.fr_SES-0036</t>
  </si>
  <si>
    <t>jmathlouthi@ucpa.asso.fr_SES-0049</t>
  </si>
  <si>
    <t>jmathlouthi@ucpa.asso.fr_SES-0047</t>
  </si>
  <si>
    <t>jmathlouthi@ucpa.asso.fr_SES-0050</t>
  </si>
  <si>
    <t>jmathlouthi@ucpa.asso.fr_SES-0051</t>
  </si>
  <si>
    <t>ttimizar@ucpa.asso.fr_SES-0034</t>
  </si>
  <si>
    <t>tsturzer@ucpa.asso.fr_SES-0049</t>
  </si>
  <si>
    <t>jmathlouthi@ucpa.asso.fr_SES-0048</t>
  </si>
  <si>
    <t>jmathlouthi@ucpa.asso.fr_SES-0042</t>
  </si>
  <si>
    <t>CIVILITE</t>
  </si>
  <si>
    <t xml:space="preserve">PRENOM </t>
  </si>
  <si>
    <t>ENTITE</t>
  </si>
  <si>
    <t>jmathlouthi@ucpa.asso.fr_SES-0053</t>
  </si>
  <si>
    <t>jmathlouthi@ucpa.asso.fr_SES-0052</t>
  </si>
  <si>
    <t>ptassy@ucpa.asso.fr_SES-0048</t>
  </si>
  <si>
    <t>ptassy@ucpa.asso.fr_SES-0042</t>
  </si>
  <si>
    <t>gebonnard@ucpa.asso.fr_SES-0047</t>
  </si>
  <si>
    <t>gebonnard@ucpa.asso.fr_SES-0050</t>
  </si>
  <si>
    <t>claugier@ucpa.asso.fr_SES-0042</t>
  </si>
  <si>
    <t>claugier@ucpa.asso.fr_SES-0049</t>
  </si>
  <si>
    <t>claugier@ucpa.asso.fr_SES-0050</t>
  </si>
  <si>
    <t>&lt;style&gt;</t>
  </si>
  <si>
    <t xml:space="preserve">&lt;div class="cardheader"  style="background-color:#{{COULEUR APPLI}}"&gt;
&lt;img class="ImgAppli" src="{{LIEN IMAGE APPLI}}" float="left"&gt;
&lt;h2&gt;
{{TITRE FORMATION}}
&lt;/h2&gt;
&lt;/div&gt;
&lt;div class="cardbody"&gt;
&lt;p class="date" style="color:#{{COULEUR APPLI}}"&gt;
Le {{DATE}}
&lt;/p&gt;
&lt;p class="petit"&gt;
de {{HEURE DEBUT}} à {{HEURE FIN}}
&lt;/p&gt;
&lt;p  class="petit"&gt;
lieu : {{LIEU}}
&lt;/p&gt;
&lt;hr&gt;&lt;p&gt;&lt;b&gt;{{DESCRIPTION}}&lt;/b&gt;&lt;/p&gt;
&lt;p class="petit"&gt;
&lt;i&gt;{{COMPETENCES}}&lt;/i&gt;
&lt;/p&gt;
&lt;/div&gt;
&lt;div class="cardfooter"&gt;
&lt;a class="button" href="{{LIEN INSCRIPTION}}" target="_blank" style="background-color:#{{COULEUR APPLI}} !important;"&gt;Je m'inscris&lt;/a&gt;
&lt;span class="nbplaces"&gt;Plus que &lt;b&gt;{{PLACES RESTANTES}}&lt;/b&gt; places.&lt;/span&gt;
&lt;/div&gt;
&lt;/div&gt;
</t>
  </si>
  <si>
    <t>*{font-family: 'Roboto', sans-serif;}
.card-content{box-shadow:none !important; padding:0px;}
.cardheader{
height:60px; 
border-radius:30px 30px 0 0 ;
contain: content;
    display: table;
    width: 100%;}
.ImgAppli{ 
   height: 40px;
    margin: 0 10px 0 0;
    width: 40px;
    float: left;
    background-color: rgba(0,0,0,0.5);
    border-radius: 30px 0 0 0;
    padding:10px;
     }
h2{
color:#ffffff;
font-weight:normal;font-size:18px;font-weight:bold;display:table-cell;vertical-align:middle;margin:5px;height:100%;
}
.cardbody{ padding-left: 70px;}
.date{ font-weight:bold; font-size:20px;}
.cardfooter{
border-radius:0 0 30px 30px ;
background-color:#dedede;
 height: 40px;
    box-sizing: border-box;}
.nbplaces{    display: inline-block;float: right;
    width: auto;
    padding: 10px; }
.button{
float: right;
    border-radius: 0 0 30px 0;
    padding: 10px 15px;
    text-decoration: none;
    color: #ffffff;
    height: 40px;
    box-sizing: border-box;font-weight:bold;
}
.button:hover{ background-color:#333333;}</t>
  </si>
  <si>
    <t>snobis@ucpa.asso.fr_SES-0049</t>
  </si>
  <si>
    <t>cmoret@ucpa.asso.fr_SES-0049</t>
  </si>
  <si>
    <t>marie.defer@tootazimut.fr_SES-0048</t>
  </si>
  <si>
    <t>lverrier@ucpa.asso.fr_SES-0034</t>
  </si>
  <si>
    <t>brichez@ucpa.asso.fr_SES-0052</t>
  </si>
  <si>
    <t>lverrier@ucpa.asso.fr_SES-0053</t>
  </si>
  <si>
    <t>lverrier@ucpa.asso.fr_SES-0047</t>
  </si>
  <si>
    <t>sverrier@ucpa.asso.fr_SES-0053</t>
  </si>
  <si>
    <t>sverrier@ucpa.asso.fr_SES-0047</t>
  </si>
  <si>
    <t>sverrier@ucpa.asso.fr_SES-0034</t>
  </si>
  <si>
    <t>sbessas@ucpa.asso.fr_SES-0048</t>
  </si>
  <si>
    <t>hmaziere@ucpa.asso.fr_SES-0048</t>
  </si>
  <si>
    <t>hmaziere@ucpa.asso.fr_SES-0049</t>
  </si>
  <si>
    <t>hmaziere@ucpa.asso.fr_SES-0050</t>
  </si>
  <si>
    <t>hmaziere@ucpa.asso.fr_SES-0051</t>
  </si>
  <si>
    <t>bdarmon@ucpa.asso.fr_SES-0050</t>
  </si>
  <si>
    <t>bdarmon@ucpa.asso.fr_SES-0048</t>
  </si>
  <si>
    <t>aspicq@ucpa.asso.fr_SES-0053</t>
  </si>
  <si>
    <t>mmoreau@ucpa.asso.fr_SES-0049</t>
  </si>
  <si>
    <t>jm.jugielaffitte@labalaguere.com_SES-0048</t>
  </si>
  <si>
    <t>jm.jugielaffitte@labalaguere.com_SES-0049</t>
  </si>
  <si>
    <t>cpetit1@ucpa.asso.fr_SES-0036</t>
  </si>
  <si>
    <t>cpetit1@ucpa.asso.fr_SES-0040</t>
  </si>
  <si>
    <t>cpetit1@ucpa.asso.fr_SES-0049</t>
  </si>
  <si>
    <t>ttimizar@ucpa.asso.fr_SES-0048</t>
  </si>
  <si>
    <t>abouillon@ucpa.asso.fr_SES-0048</t>
  </si>
  <si>
    <t>sbruneau@ucpa.asso.fr_SES-0047</t>
  </si>
  <si>
    <t>msambe@ucpa.asso.fr_SES-0036</t>
  </si>
  <si>
    <t>anthony.beghin@telligo.fr_SES-0049</t>
  </si>
  <si>
    <t>ucpa-formation@ucpa.asso.fr_SES-0031</t>
  </si>
  <si>
    <t>mmoreel@ucpa.asso.fr_SES-0053</t>
  </si>
  <si>
    <t>ldeneboude@ucpa.asso.fr_SES-0049</t>
  </si>
  <si>
    <t>ldeneboude@ucpa.asso.fr_SES-0053</t>
  </si>
  <si>
    <t>bbunel@ucpa.asso.fr_SES-0048</t>
  </si>
  <si>
    <t>vcroue@ucpa.asso.fr_SES-0048</t>
  </si>
  <si>
    <t>abrossard@ucpa.asso.fr_SES-0051</t>
  </si>
  <si>
    <t>abrossard@ucpa.asso.fr_SES-0049</t>
  </si>
  <si>
    <t>abrossard@ucpa.asso.fr_SES-0050</t>
  </si>
  <si>
    <t>abrossard@ucpa.asso.fr_SES-0052</t>
  </si>
  <si>
    <t>abrossard@ucpa.asso.fr_SES-0048</t>
  </si>
  <si>
    <t>rseguin@ucpa.asso.fr_SES-0048</t>
  </si>
  <si>
    <t>blecomte@ucpa.asso.fr_SES-0048</t>
  </si>
  <si>
    <t>sheurtel@ucpa.asso.fr_SES-0048</t>
  </si>
  <si>
    <t>rhalimi@ucpa.asso.fr_SES-0035</t>
  </si>
  <si>
    <t>rhalimi@ucpa.asso.fr_SES-0053</t>
  </si>
  <si>
    <t>cklipfel@ucpa.asso.fr_SES-0053</t>
  </si>
  <si>
    <t>mpitiot@ucpa.asso.fr_SES-0048</t>
  </si>
  <si>
    <t>bibnechcharef@ucpa.asso.fr_SES-0048</t>
  </si>
  <si>
    <t>tsturzer@ucpa.asso.fr_SES-0051</t>
  </si>
  <si>
    <t>maid@ucpa.asso.fr_SES-0053</t>
  </si>
  <si>
    <t>maid@ucpa.asso.fr_SES-0049</t>
  </si>
  <si>
    <t>rhalimi@ucpa.asso.fr_SES-0050</t>
  </si>
  <si>
    <t>rhalimi@ucpa.asso.fr_SES-0051</t>
  </si>
  <si>
    <t>rhalimi@ucpa.asso.fr_SES-0052</t>
  </si>
  <si>
    <t>lfeuillet@ucpa.asso.fr_SES-0045</t>
  </si>
  <si>
    <t>lfeuillet@ucpa.asso.fr_SES-0047</t>
  </si>
  <si>
    <t>lfeuillet@ucpa.asso.fr_SES-0044</t>
  </si>
  <si>
    <t>nchansard@ucpa.asso.fr_SES-0044</t>
  </si>
  <si>
    <t>mmoreel@ucpa.asso.fr_SES-0034</t>
  </si>
  <si>
    <t>mpitiot@ucpa.asso.fr_SES-0051</t>
  </si>
  <si>
    <t>mpitiot@ucpa.asso.fr_SES-0049</t>
  </si>
  <si>
    <t>mpitiot@ucpa.asso.fr_SES-0050</t>
  </si>
  <si>
    <t>pacalbo@ucpa.asso.fr_SES-0038</t>
  </si>
  <si>
    <t>fcapitaine@ucpa.asso.fr_SES-0049</t>
  </si>
  <si>
    <t>fcapitaine@ucpa.asso.fr_SES-0050</t>
  </si>
  <si>
    <t>fcapitaine@ucpa.asso.fr_SES-0051</t>
  </si>
  <si>
    <t>fcapitaine@ucpa.asso.fr_SES-0052</t>
  </si>
  <si>
    <t>ttimizar@ucpa.asso.fr_SES-0036</t>
  </si>
  <si>
    <t>lfeuillet@ucpa.asso.fr_SES-0042</t>
  </si>
  <si>
    <t>nleturcq@ucpa.asso.fr_SES-0046</t>
  </si>
  <si>
    <t>nleturcq@ucpa.asso.fr_SES-0049</t>
  </si>
  <si>
    <t>ningigliardi@ucpa.asso.fr_SES-0049</t>
  </si>
  <si>
    <t>ningigliardi@ucpa.asso.fr_SES-0051</t>
  </si>
  <si>
    <t>abrossard@ucpa.asso.fr_SES-0038</t>
  </si>
  <si>
    <t>pacalbo@ucpa.asso.fr_SES-0051</t>
  </si>
  <si>
    <t>pacalbo@ucpa.asso.fr_SES-0049</t>
  </si>
  <si>
    <t>sbouteille@ucpa.asso.fr_SES-0049</t>
  </si>
  <si>
    <t>pacalbo@ucpa.asso.fr_SES-0046</t>
  </si>
  <si>
    <t>pacalbo@ucpa.asso.fr_SES-0040</t>
  </si>
  <si>
    <t>rhalimi@ucpa.asso.fr_SES-0043</t>
  </si>
  <si>
    <t>fsaussac@ucpa.asso.fr_SES-0041</t>
  </si>
  <si>
    <t>fsaussac@ucpa.asso.fr_SES-0043</t>
  </si>
  <si>
    <t>ivanneph@ucpa.asso.fr_SES-0041</t>
  </si>
  <si>
    <t>ivanneph@ucpa.asso.fr_SES-0043</t>
  </si>
  <si>
    <t>matthieu.blanc@telligo.fr_SES-0046</t>
  </si>
  <si>
    <t>mmoreel@ucpa.asso.fr_SES-0041</t>
  </si>
  <si>
    <t>cjoureau@ucpa.asso.fr_SES-0045</t>
  </si>
  <si>
    <t>slabetant@ucpa.asso.fr_SES-0049</t>
  </si>
  <si>
    <t>slabetant@ucpa.asso.fr_SES-0044</t>
  </si>
  <si>
    <t>mmoreel@ucpa.asso.fr_SES-0042</t>
  </si>
  <si>
    <t>lgeulin@ucpa.asso.fr_SES-0047</t>
  </si>
  <si>
    <t>cjoly@ucpa.asso.fr_SES-0049</t>
  </si>
  <si>
    <t>cjoly@ucpa.asso.fr_SES-0051</t>
  </si>
  <si>
    <t>apauletcatrin@ucpa.asso.fr_SES-0045</t>
  </si>
  <si>
    <t>bdarmon@ucpa.asso.fr_SES-0045</t>
  </si>
  <si>
    <t>ccoeur@ucpa.asso.fr_SES-0050</t>
  </si>
  <si>
    <t>ccoeur@ucpa.asso.fr_SES-0051</t>
  </si>
  <si>
    <t>betty.boillon@telligo.fr_SES-0050</t>
  </si>
  <si>
    <t>echochois@ucpa.asso.fr_SES-0046</t>
  </si>
  <si>
    <t>torresclaireanne@hotmail.fr_SES-0050</t>
  </si>
  <si>
    <t>torresclaireanne@hotmail.fr_SES-0051</t>
  </si>
  <si>
    <t>torresclaireanne@hotmail.fr_SES-0052</t>
  </si>
  <si>
    <t>tfort@ucpa.asso.fr_SES-0052</t>
  </si>
  <si>
    <t>mmoreel@ucpa.asso.fr_SES-0047</t>
  </si>
  <si>
    <t>afraile@ucpa.asso.fr_SES-0050</t>
  </si>
  <si>
    <t>rseguin@ucpa.asso.fr_SES-0050</t>
  </si>
  <si>
    <t>gguervin@ucpa.asso.fr_SES-0050</t>
  </si>
  <si>
    <t>vmathelin@ucpa.asso.fr_SES-0050</t>
  </si>
  <si>
    <t>asavoji@ucpa.asso.fr_SES-0050</t>
  </si>
  <si>
    <t>msugg@ucpa.asso.fr_SES-0050</t>
  </si>
  <si>
    <t>falamome@ucpa.asso.fr_SES-0050</t>
  </si>
  <si>
    <t>Achina@ucpa.asso.fr_SES-0050</t>
  </si>
  <si>
    <t>Achina@ucpa.asso.fr_SES-0052</t>
  </si>
  <si>
    <t>Achina@ucpa.asso.fr_SES-0051</t>
  </si>
  <si>
    <t>lverrier@ucpa.asso.fr_SES-0050</t>
  </si>
  <si>
    <t>vmathelin@ucpa.asso.fr_SES-0051</t>
  </si>
  <si>
    <t>vmathelin@ucpa.asso.fr_SES-0052</t>
  </si>
  <si>
    <t>bdarmon@ucpa.asso.fr_SES-0051</t>
  </si>
  <si>
    <t>bdarmon@ucpa.asso.fr_SES-0052</t>
  </si>
  <si>
    <t>blecomte@ucpa.asso.fr_SES-0052</t>
  </si>
  <si>
    <t>snobis@ucpa.asso.fr_SES-0052</t>
  </si>
  <si>
    <t>recueil Accord</t>
  </si>
  <si>
    <t>INFORMATIONS GÉNÉRALES SUR LA FORMATION</t>
  </si>
  <si>
    <t>PDF  CONVOCATION URL</t>
  </si>
  <si>
    <t>COMMENTAIRE</t>
  </si>
  <si>
    <t>sarah.constans@airliquide.com</t>
  </si>
  <si>
    <t>Inscription en doublon</t>
  </si>
  <si>
    <t>quentin.chaya@airliquide.com</t>
  </si>
  <si>
    <t>SES-0013</t>
  </si>
  <si>
    <t>Session de formation concernée par la désinscription</t>
  </si>
  <si>
    <t>Pour quelle raison demandez-vous une désinscription ?</t>
  </si>
  <si>
    <t>Confirmez votre désinscription</t>
  </si>
  <si>
    <t>PDF PROTOCOLE</t>
  </si>
  <si>
    <t>Règlement intérieur Numericoach</t>
  </si>
  <si>
    <t>TECHNIQUE</t>
  </si>
  <si>
    <t>TECH</t>
  </si>
  <si>
    <t>NE PAS SUPPRIMER [SES-1000]</t>
  </si>
  <si>
    <t>https://drive.google.com/file/d/1ZW4C8Np65BILYKnV9nvf4UfpuBSLHz5c/view?usp=drivesdk</t>
  </si>
  <si>
    <t>https://docs.google.com/forms/d/e/1FAIpQLScUsD8xIa_FlYSVu5MCaiAHovywccsOzvwhdKqeTUll50-_nA/viewform?usp=pp_url&amp;entry.193822625=TECHNIQUE&amp;entry.2116080188=NE PAS SUPPRIMER [SES-1000]</t>
  </si>
  <si>
    <t>PDF CONVOCATION SES-1000 TECH TECH</t>
  </si>
  <si>
    <t>DESINSCRIPTION SES-1000 TECH TECH</t>
  </si>
  <si>
    <t>NUMERICOACH</t>
  </si>
  <si>
    <t>Votre Mail</t>
  </si>
  <si>
    <t xml:space="preserve">ID Inscription à la formation suivante : </t>
  </si>
  <si>
    <t>TITRE de la formation</t>
  </si>
  <si>
    <t>Date Session</t>
  </si>
  <si>
    <t>Heure Début</t>
  </si>
  <si>
    <t>Heure Fin</t>
  </si>
  <si>
    <t>DUREE</t>
  </si>
  <si>
    <t>Lieu ID</t>
  </si>
  <si>
    <t>Lieu NOM</t>
  </si>
  <si>
    <t>Lieu ADRESSE</t>
  </si>
  <si>
    <t>Lieu CP</t>
  </si>
  <si>
    <t>Lieu VILLE</t>
  </si>
  <si>
    <t>Lieu ACCES</t>
  </si>
  <si>
    <t>Lieu MAP</t>
  </si>
  <si>
    <t>LIEN AGENDA</t>
  </si>
  <si>
    <t>LIEN DESINSCRIPTION</t>
  </si>
  <si>
    <t>PDF CONVOCATION</t>
  </si>
  <si>
    <t>DESINSCRIPTION</t>
  </si>
  <si>
    <t>DATE DESINSCRIPTION</t>
  </si>
  <si>
    <t>ENTITE ID</t>
  </si>
  <si>
    <t>ENTITE NOM</t>
  </si>
  <si>
    <t>ENTITE ADRESSE</t>
  </si>
  <si>
    <t>ENTITE ADRESSE SUITE</t>
  </si>
  <si>
    <t>ENTITE CP</t>
  </si>
  <si>
    <t>ENTITE VILLE</t>
  </si>
  <si>
    <t>ENTITE LOGO</t>
  </si>
  <si>
    <t>RF1 NOM</t>
  </si>
  <si>
    <t>RF1 POSTE</t>
  </si>
  <si>
    <t>RF1 MAIL</t>
  </si>
  <si>
    <t>RF1 TELEPHONE</t>
  </si>
  <si>
    <t>RF2 NOM</t>
  </si>
  <si>
    <t>RF2 POSTE</t>
  </si>
  <si>
    <t>RF2 TEL</t>
  </si>
  <si>
    <t>ID EVENT AGENDA</t>
  </si>
  <si>
    <t>COMPETENCE</t>
  </si>
  <si>
    <t xml:space="preserve">Total pour </t>
  </si>
  <si>
    <t>AGENDA</t>
  </si>
  <si>
    <t>COLLABORER AVEC LES AGENDAS</t>
  </si>
  <si>
    <t>GÉRER DES ÉVÉNEMENTS</t>
  </si>
  <si>
    <t>GÉRER SES AGENDAS</t>
  </si>
  <si>
    <t>Total pour AGENDA</t>
  </si>
  <si>
    <t>ANALYTICS</t>
  </si>
  <si>
    <t>UTILISER LA CONSOLE GOOGLE ANALYTICS</t>
  </si>
  <si>
    <t>Total pour ANALYTICS</t>
  </si>
  <si>
    <t>APPSHEET</t>
  </si>
  <si>
    <t>CREER UNE APPLICATION</t>
  </si>
  <si>
    <t>DÉCOUVRIR APPSHEET</t>
  </si>
  <si>
    <t>OPTIMISER SON UTILISATION</t>
  </si>
  <si>
    <t>PARAMÉTRER APPSHEET</t>
  </si>
  <si>
    <t>Total pour APPSHEET</t>
  </si>
  <si>
    <t>BIGQUERY</t>
  </si>
  <si>
    <t>ANALYSER DES DONNÉES</t>
  </si>
  <si>
    <t>CONCEVOIR DES REQUÊTES SQL</t>
  </si>
  <si>
    <t>IDENTIFIER DES LANGAGES INFORMATIQUES</t>
  </si>
  <si>
    <t>Total pour BIGQUERY</t>
  </si>
  <si>
    <t>CHAT</t>
  </si>
  <si>
    <t>COMMUNIQUER AVEC GOOGLE CHAT</t>
  </si>
  <si>
    <t>UTILISER GOOGLE CHAT POUR COMMUNIQUER</t>
  </si>
  <si>
    <t>Total pour CHAT</t>
  </si>
  <si>
    <t>CHROME</t>
  </si>
  <si>
    <t xml:space="preserve">OPTIMISER L'UTILISATION DU NAVIGATEUR GOOGLE CHROME </t>
  </si>
  <si>
    <t>UTILISER GOOGLE CHROME EN TOUTE SÉCURITÉ</t>
  </si>
  <si>
    <t>Total pour CHROME</t>
  </si>
  <si>
    <t>CHROME BOOK</t>
  </si>
  <si>
    <t>DÉCOUVRIR LE CHROMEBOOK</t>
  </si>
  <si>
    <t>DÉCOUVRIR LES APPLICATIONS GOOGLE WORKSPACE SUR CHROMEBOOK</t>
  </si>
  <si>
    <t>EXPLOITER PLEINEMENT LE NAVIGATEUR CHROME SUR CHROMEBOOK</t>
  </si>
  <si>
    <t>UTILISER LE CLAVIER ET LES FONCTIONNALITÉS CHROMEBOOK</t>
  </si>
  <si>
    <t>UTILISER UN CHROME BOOK</t>
  </si>
  <si>
    <t>Total pour CHROME BOOK</t>
  </si>
  <si>
    <t>CLASSROOM</t>
  </si>
  <si>
    <t>UTILISER CLASSROOM</t>
  </si>
  <si>
    <t>Total pour CLASSROOM</t>
  </si>
  <si>
    <t>CLOUD PLATFORM</t>
  </si>
  <si>
    <t>ANALYSER LA FACTURATION</t>
  </si>
  <si>
    <t>CRÉER UN PROJET</t>
  </si>
  <si>
    <t>DÉFINIR GOOGLE CLOUD PLATFORM</t>
  </si>
  <si>
    <t>IDENTIFIER LES PRINCIPAUX SERVICES</t>
  </si>
  <si>
    <t>UTILISER BIGQUERY</t>
  </si>
  <si>
    <t>Total pour CLOUD PLATFORM</t>
  </si>
  <si>
    <t>CONSOLE ADMIN</t>
  </si>
  <si>
    <t>DÉCOUVRIR LA CONSOLE D'ADMINISTRATION</t>
  </si>
  <si>
    <t>GÉRER DES CHROMEBOOKS</t>
  </si>
  <si>
    <t>GÉRER UNE FLOTTE MOBILE</t>
  </si>
  <si>
    <t>IDENTIFIER LES CONNECTEURS ET LEURS FONCTIONS</t>
  </si>
  <si>
    <t>PARAMÉTRER LES SERVICES GOOGLE WORKSPACE</t>
  </si>
  <si>
    <t>SÉCURISER LA CONSOLE D'ADMINISTRATION</t>
  </si>
  <si>
    <t>UTILISER LA CONSOLE DE FAÇON AVANCÉE</t>
  </si>
  <si>
    <t>Total pour CONSOLE ADMIN</t>
  </si>
  <si>
    <t>CONTACTS</t>
  </si>
  <si>
    <t>UTILISER GOOGLE CONTACTS</t>
  </si>
  <si>
    <t>Total pour CONTACTS</t>
  </si>
  <si>
    <t>CURRENTS</t>
  </si>
  <si>
    <t>CRÉER UNE COMMUNAUTÉ</t>
  </si>
  <si>
    <t>GÉRER UNE COMMUNAUTÉ</t>
  </si>
  <si>
    <t>UTILISER GOOGLE CURRENTS</t>
  </si>
  <si>
    <t>Total pour CURRENTS</t>
  </si>
  <si>
    <t>DOCS</t>
  </si>
  <si>
    <t>COLLABORER AU SEIN D'UN DOCUMENT</t>
  </si>
  <si>
    <t>MANIPULER DES OBJETS (IMAGES, TABLEAUX...) DANS UN DOCUMENT</t>
  </si>
  <si>
    <t>METTRE EN FORME UN DOCUMENT</t>
  </si>
  <si>
    <t>Total pour DOCS</t>
  </si>
  <si>
    <t>DRAWINGS</t>
  </si>
  <si>
    <t>UTILISER DRAWINGS</t>
  </si>
  <si>
    <t>Total pour DRAWINGS</t>
  </si>
  <si>
    <t>DRIVE</t>
  </si>
  <si>
    <t>ADMINISTRER UN DRIVE PARTAGÉS</t>
  </si>
  <si>
    <t>COLLABORER AU SEIN DU DRIVE</t>
  </si>
  <si>
    <t>CRÉER AU SEIN DU DRIVE</t>
  </si>
  <si>
    <t>ORGANISER SON ESPACE DANS DRIVE PARTAGÉS</t>
  </si>
  <si>
    <t>PARTAGER AU SEIN DU DRIVE</t>
  </si>
  <si>
    <t>S'ORGANISER AU SEIN DU DRIVE</t>
  </si>
  <si>
    <t>STOCKER AU SEIN DU DRIVE</t>
  </si>
  <si>
    <t>Total pour DRIVE</t>
  </si>
  <si>
    <t>DUO</t>
  </si>
  <si>
    <t>UTILISER DUO</t>
  </si>
  <si>
    <t>Total pour DUO</t>
  </si>
  <si>
    <t>FORMS</t>
  </si>
  <si>
    <t>COLLABORER AU SEIN D'UN FORMULAIRE</t>
  </si>
  <si>
    <t>CRÉER ET ORGANISER LE FORMULAIRE</t>
  </si>
  <si>
    <t>CRÉER ET ORGANISER UN QUESTIONNAIRE</t>
  </si>
  <si>
    <t>ENVOYER LE FORMULAIRE ET GÉRER LES REPONSES</t>
  </si>
  <si>
    <t>EXPLOITER LES RESULTATS D'UN FORMULAIRE</t>
  </si>
  <si>
    <t>METTRE EN FORME UN FORMULAIRE</t>
  </si>
  <si>
    <t>Total pour FORMS</t>
  </si>
  <si>
    <t>GMAIL</t>
  </si>
  <si>
    <t>CONFIGURER SON INTERFACE DE MESSAGERIE</t>
  </si>
  <si>
    <t>GÉRER LE CONTENU DES E-MAILS</t>
  </si>
  <si>
    <t>GÉRER LE FLUX DES E-MAILS</t>
  </si>
  <si>
    <t>PARAMÉTRER SA MESSAGERIE</t>
  </si>
  <si>
    <t>Total pour GMAIL</t>
  </si>
  <si>
    <t>GOOGLE +</t>
  </si>
  <si>
    <t>UTILISER GOOGLE +</t>
  </si>
  <si>
    <t>Total pour GOOGLE +</t>
  </si>
  <si>
    <t>GOOGLE APPS SCRIPT</t>
  </si>
  <si>
    <t>APPROFONDIR SES CONNAISSANCES EN PROGRAMMATION</t>
  </si>
  <si>
    <t>CONNAITRE ET UTILISER  L'ENVIRONNEMENT GOOGLE APPS SCRIPT</t>
  </si>
  <si>
    <t>CONNAITRE ET UTILISER JAVA SCRIPT</t>
  </si>
  <si>
    <t>CREER ET DIFFUSER UNE APPLICATION WEB</t>
  </si>
  <si>
    <t>CRÉER UN MODULE WEB</t>
  </si>
  <si>
    <t>DIALOGUER AVEC L'UTILISATEUR ET GÉRER LES DÉCLENCHEURS</t>
  </si>
  <si>
    <t>ENVOYER DES MAILS DEPUIS SHEETS</t>
  </si>
  <si>
    <t>INTERAGIR AVEC D'AUTRES APPLICATIONS GOOGLE</t>
  </si>
  <si>
    <t>INTERAGIR AVEC GOOGLE SHEETS</t>
  </si>
  <si>
    <t>INTERAGIR AVEC LES APPLICATION DOCS, SLIDES, AGENDA, FORMS, GMAIL</t>
  </si>
  <si>
    <t>LIRE ET ÉCRIRE DANS UN SHEETS</t>
  </si>
  <si>
    <t>MANIPULER LES DONNÉES DANS UN SHEETS</t>
  </si>
  <si>
    <t>PERSONNALISER L'INTERFACE DE SHEETS</t>
  </si>
  <si>
    <t>Total pour GOOGLE APPS SCRIPT</t>
  </si>
  <si>
    <t>GOOGLE WORKSPACE</t>
  </si>
  <si>
    <t>AUTOMATISER AVEC EXPLORER</t>
  </si>
  <si>
    <t>CONFIGURER GOOGLE WORKSPACE</t>
  </si>
  <si>
    <t>UTILISER GOOGLE WORKSPACE POUR UNE ORGANISATION PROFESSIONNELLE</t>
  </si>
  <si>
    <t>Total pour GOOGLE WORKSPACE</t>
  </si>
  <si>
    <t>GROUPS</t>
  </si>
  <si>
    <t>CRÉER ET GÉRER LES GROUPES</t>
  </si>
  <si>
    <t>DÉCOUVRIR L'APPLICATION GOOGLE GROUPS</t>
  </si>
  <si>
    <t>GÉRER ET MODÉRER LES CONVERSATIONS</t>
  </si>
  <si>
    <t>GÉRER LES UTILISATEURS ET LEURS RÔLES</t>
  </si>
  <si>
    <t>Total pour GROUPS</t>
  </si>
  <si>
    <t>JAMBOARD</t>
  </si>
  <si>
    <t>UTILISER JAMBOARD</t>
  </si>
  <si>
    <t>Total pour JAMBOARD</t>
  </si>
  <si>
    <t>KEEP</t>
  </si>
  <si>
    <t>COLLABORER AVEC KEEP</t>
  </si>
  <si>
    <t>GÉRER DES NOTES AVEC KEEP</t>
  </si>
  <si>
    <t>Total pour KEEP</t>
  </si>
  <si>
    <t>LOOKER STUDIO</t>
  </si>
  <si>
    <t>COMMUNIQUER SON RAPPORT</t>
  </si>
  <si>
    <t>CREER SES GRAPHIQUES</t>
  </si>
  <si>
    <t>CREER, METTRE EN FORME SON RAPPORT ET SES OBJETS</t>
  </si>
  <si>
    <t>DECOUVRIR LOOKER STUDIO</t>
  </si>
  <si>
    <t>GÉRER LES SOURCES DE DONNÉES</t>
  </si>
  <si>
    <t>Total pour LOOKER STUDIO</t>
  </si>
  <si>
    <t>MAPS</t>
  </si>
  <si>
    <t>UTILISER GOOGLE MAPS</t>
  </si>
  <si>
    <t>Total pour MAPS</t>
  </si>
  <si>
    <t>MEET</t>
  </si>
  <si>
    <t>COLLABORER AU SEIN D'UNE VISIOCONFÉRENCE</t>
  </si>
  <si>
    <t>CREER ET ANIMER UNE VISIO CONFERENCE</t>
  </si>
  <si>
    <t>GÉRER LES PARTICIPANTS D'UNE VISIOCONFÉRENCE</t>
  </si>
  <si>
    <t>Total pour MEET</t>
  </si>
  <si>
    <t>PHOTOS</t>
  </si>
  <si>
    <t>UTILISER GOOGLE PHOTOS</t>
  </si>
  <si>
    <t>Total pour PHOTOS</t>
  </si>
  <si>
    <t>SHEETS</t>
  </si>
  <si>
    <t>ALIMENTER UNE BASE DE DONNÉES</t>
  </si>
  <si>
    <t>AUTOMATISATION DES PROCESS</t>
  </si>
  <si>
    <t>BONNES PRATIQUES ET FONDAMENTAUX</t>
  </si>
  <si>
    <t>COLLABORER AVEC DES BASES DE DONNÉES</t>
  </si>
  <si>
    <t>CONSOLIDATIONS DE DONNÉES</t>
  </si>
  <si>
    <t>CONSOLIDER DES DONNÉES ENTRE PLUSIEURS FEUILLES DE CALCUL</t>
  </si>
  <si>
    <t>CONSTRUIRE UNE BASE DE DONNÉES CONSÉQUENTE</t>
  </si>
  <si>
    <t>DATA CLEANING ET BUSINESS INTELLIGENCE</t>
  </si>
  <si>
    <t>DEFINIR LES BONNES PRATIQUES ET LES FONDAMENTAUX</t>
  </si>
  <si>
    <t>METTRE EN FORME SA BASE DE DONNÉES</t>
  </si>
  <si>
    <t>NAVIGUER DANS SA BASE DE DONNÉES</t>
  </si>
  <si>
    <t>NETTOYER UNE BASE DE DONNÉES ET LA RENDRE DYNAMIQUE</t>
  </si>
  <si>
    <t>RÉALISER DES CALCULS ÉLABORÉES</t>
  </si>
  <si>
    <t>RENFORCER SES CONNAISSANCES SUR SHEETS</t>
  </si>
  <si>
    <t>REPORTING ET BUSINESS INTELLIGENCE</t>
  </si>
  <si>
    <t>REPORTING ET PROMOTION</t>
  </si>
  <si>
    <t>SYNTHETISER DES DONNÉES POUR LES PRÉSENTER</t>
  </si>
  <si>
    <t>UTILISER DES FONCTIONS</t>
  </si>
  <si>
    <t>Total pour SHEETS</t>
  </si>
  <si>
    <t>SITES</t>
  </si>
  <si>
    <t>CREER UN SITE INTERNET AVEC GOOGLE SITES</t>
  </si>
  <si>
    <t>DIFFUSER SON SITE</t>
  </si>
  <si>
    <t>INSERER ET METTRE EN FORME DES ÉLÉMENTS SUR UNE PAGE</t>
  </si>
  <si>
    <t>Total pour SITES</t>
  </si>
  <si>
    <t>SLIDES</t>
  </si>
  <si>
    <t>ANIMER ET PRÉSENTER SA PRÉSENTATION</t>
  </si>
  <si>
    <t>CREER ET METTRE EN FORME UNE PRÉSENTATION</t>
  </si>
  <si>
    <t>Total pour SLIDES</t>
  </si>
  <si>
    <t>TASKS</t>
  </si>
  <si>
    <t>UTILISER TASKS</t>
  </si>
  <si>
    <t>Total pour TASKS</t>
  </si>
  <si>
    <t>YOUTUBE</t>
  </si>
  <si>
    <t>UTILISER YOUTUBE</t>
  </si>
  <si>
    <t>Total pour YOUTUBE</t>
  </si>
  <si>
    <t>Total général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</si>
</sst>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dd&quot; &quot;d&quot; &quot;mmmm&quot; &quot;yyyy"/>
    <numFmt numFmtId="165" formatCode="hh:mm"/>
    <numFmt numFmtId="166" formatCode="m/d/yyyy h:mm:ss"/>
    <numFmt numFmtId="167" formatCode="hh&quot;:&quot;mm"/>
    <numFmt numFmtId="168" formatCode="dddd&quot; &quot;d&quot; &quot;mmmm&quot; &quot;yyyy&quot; &quot;"/>
    <numFmt numFmtId="169" formatCode="[h]&quot; h &quot;mm"/>
    <numFmt numFmtId="170" formatCode="dd/MM/yyyy HH:mm:ss"/>
    <numFmt numFmtId="171" formatCode="dd/MM/yyyy"/>
    <numFmt numFmtId="172" formatCode="hh&quot;h&quot;mm"/>
    <numFmt numFmtId="173" formatCode="000"/>
    <numFmt numFmtId="174" formatCode="00 00 00 00 00"/>
    <numFmt numFmtId="175" formatCode="00 000"/>
  </numFmts>
  <fonts count="57">
    <font>
      <sz val="10.0"/>
      <color rgb="FF000000"/>
      <name val="Arial"/>
      <scheme val="minor"/>
    </font>
    <font>
      <sz val="8.0"/>
      <color theme="1"/>
      <name val="Roboto Condensed"/>
    </font>
    <font>
      <sz val="8.0"/>
      <color rgb="FFFFFFFF"/>
      <name val="Roboto Condensed"/>
    </font>
    <font>
      <b/>
      <sz val="10.0"/>
      <color theme="1"/>
      <name val="Roboto Condensed"/>
    </font>
    <font>
      <sz val="10.0"/>
      <color theme="1"/>
      <name val="Roboto Condensed"/>
    </font>
    <font>
      <color theme="1"/>
      <name val="&quot;Roboto Slab&quot;"/>
    </font>
    <font>
      <sz val="18.0"/>
      <color rgb="FF4285F4"/>
      <name val="&quot;Roboto Slab&quot;"/>
    </font>
    <font>
      <color theme="1"/>
      <name val="Cabin Condensed"/>
    </font>
    <font>
      <sz val="12.0"/>
      <color rgb="FFFFFFFF"/>
      <name val="Roboto Slab"/>
    </font>
    <font/>
    <font>
      <sz val="11.0"/>
      <color theme="1"/>
      <name val="Roboto Condensed"/>
    </font>
    <font>
      <sz val="10.0"/>
      <color rgb="FF3C78D8"/>
      <name val="Roboto Condensed"/>
    </font>
    <font>
      <sz val="9.0"/>
      <color theme="1"/>
      <name val="Cabin Condensed"/>
    </font>
    <font>
      <sz val="10.0"/>
      <color rgb="FFFFFFFF"/>
      <name val="Roboto Condensed"/>
    </font>
    <font>
      <u/>
      <sz val="10.0"/>
      <color rgb="FF0000FF"/>
      <name val="Roboto Condensed"/>
    </font>
    <font>
      <u/>
      <color rgb="FF0000FF"/>
      <name val="Cabin Condensed"/>
    </font>
    <font>
      <sz val="6.0"/>
      <color theme="1"/>
      <name val="Cabin Condensed"/>
    </font>
    <font>
      <u/>
      <color rgb="FF1155CC"/>
      <name val="Cabin Condensed"/>
    </font>
    <font>
      <u/>
      <sz val="10.0"/>
      <color rgb="FF0000FF"/>
      <name val="Roboto Condensed"/>
    </font>
    <font>
      <sz val="10.0"/>
      <color theme="1"/>
      <name val="Cabin Condensed"/>
    </font>
    <font>
      <sz val="9.0"/>
      <color rgb="FF000000"/>
      <name val="Cabin Condensed"/>
    </font>
    <font>
      <color rgb="FF1F1F1F"/>
      <name val="Cabin Condensed"/>
    </font>
    <font>
      <color theme="1"/>
      <name val="Arial"/>
      <scheme val="minor"/>
    </font>
    <font>
      <color theme="1"/>
      <name val="Roboto Condensed"/>
    </font>
    <font>
      <sz val="11.0"/>
      <color rgb="FF000000"/>
      <name val="Roboto Condensed"/>
    </font>
    <font>
      <b/>
      <sz val="7.0"/>
      <color rgb="FF336AC1"/>
      <name val="Lato"/>
    </font>
    <font>
      <sz val="11.0"/>
      <color rgb="FF000000"/>
      <name val="Cabin Condensed"/>
    </font>
    <font>
      <u/>
      <color rgb="FF0000FF"/>
      <name val="Cabin Condensed"/>
    </font>
    <font>
      <color rgb="FF999999"/>
      <name val="Cabin Condensed"/>
    </font>
    <font>
      <b/>
      <sz val="10.0"/>
      <color rgb="FF000000"/>
      <name val="Roboto Condensed"/>
    </font>
    <font>
      <sz val="6.0"/>
      <color theme="1"/>
      <name val="Roboto Condensed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4.0"/>
      <color rgb="FF4285F4"/>
      <name val="&quot;Roboto Slab&quot;"/>
    </font>
    <font>
      <u/>
      <sz val="10.0"/>
      <color rgb="FF0000FF"/>
    </font>
    <font>
      <sz val="18.0"/>
      <color rgb="FFFFFFFF"/>
      <name val="Roboto Slab"/>
    </font>
    <font>
      <color theme="1"/>
      <name val="Arial"/>
    </font>
    <font>
      <sz val="10.0"/>
      <color rgb="FFFFFFFF"/>
      <name val="Cabin Condensed"/>
    </font>
    <font>
      <sz val="6.0"/>
      <color rgb="FFFFFFFF"/>
      <name val="Cabin Condensed"/>
    </font>
    <font>
      <b/>
      <color rgb="FFFFFFFF"/>
      <name val="Arial"/>
      <scheme val="minor"/>
    </font>
    <font>
      <u/>
      <color rgb="FF0000FF"/>
    </font>
    <font>
      <u/>
      <color rgb="FF0000FF"/>
      <name val="Roboto Condensed"/>
    </font>
    <font>
      <b/>
      <sz val="10.0"/>
      <color rgb="FFFFFFFF"/>
      <name val="Cabin Condensed"/>
    </font>
    <font>
      <color theme="1"/>
      <name val="Roboto"/>
    </font>
    <font>
      <sz val="24.0"/>
      <color theme="1"/>
      <name val="Roboto Slab"/>
    </font>
    <font>
      <color rgb="FF999999"/>
      <name val="Roboto Condensed"/>
    </font>
    <font>
      <color rgb="FF000000"/>
      <name val="Roboto Condensed"/>
    </font>
    <font>
      <sz val="18.0"/>
      <color theme="1"/>
      <name val="Roboto Condensed"/>
    </font>
    <font>
      <sz val="18.0"/>
      <color rgb="FF000000"/>
      <name val="Roboto Condensed"/>
    </font>
    <font>
      <b/>
      <color theme="1"/>
      <name val="Roboto Condensed"/>
    </font>
    <font>
      <color rgb="FFFFFFFF"/>
      <name val="Roboto Condensed"/>
    </font>
    <font>
      <color rgb="FF222222"/>
      <name val="Roboto Condensed"/>
    </font>
    <font>
      <sz val="6.0"/>
      <color theme="1"/>
      <name val="Arial"/>
      <scheme val="minor"/>
    </font>
    <font>
      <u/>
      <color rgb="FF0000FF"/>
    </font>
    <font>
      <b/>
      <sz val="10.0"/>
      <color rgb="FFFFFFFF"/>
      <name val="Arial"/>
      <scheme val="minor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30">
    <border/>
    <border>
      <left style="thin">
        <color rgb="FF000000"/>
      </left>
    </border>
    <border>
      <left style="thick">
        <color rgb="FF3C78D8"/>
      </left>
      <top style="thick">
        <color rgb="FF3C78D8"/>
      </top>
      <bottom style="thick">
        <color rgb="FF3C78D8"/>
      </bottom>
    </border>
    <border>
      <right style="thick">
        <color rgb="FF3C78D8"/>
      </right>
      <top style="thick">
        <color rgb="FF3C78D8"/>
      </top>
      <bottom style="thick">
        <color rgb="FF3C78D8"/>
      </bottom>
    </border>
    <border>
      <left style="medium">
        <color rgb="FF3C78D8"/>
      </left>
      <right style="medium">
        <color rgb="FF3C78D8"/>
      </right>
      <top style="medium">
        <color rgb="FF3C78D8"/>
      </top>
      <bottom style="medium">
        <color rgb="FF3C78D8"/>
      </bottom>
    </border>
    <border>
      <right style="thin">
        <color rgb="FF000000"/>
      </right>
    </border>
    <border>
      <left style="medium">
        <color rgb="FF3C78D8"/>
      </left>
      <right style="medium">
        <color rgb="FF3C78D8"/>
      </right>
      <bottom style="medium">
        <color rgb="FF3C7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medium">
        <color rgb="FF4285F4"/>
      </left>
      <right style="hair">
        <color rgb="FF4285F4"/>
      </right>
      <top style="thin">
        <color rgb="FF4285F4"/>
      </top>
      <bottom style="thin">
        <color rgb="FF4285F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999999"/>
      </right>
      <top style="thin">
        <color rgb="FF000000"/>
      </top>
      <bottom style="thin">
        <color rgb="FF000000"/>
      </bottom>
    </border>
    <border>
      <left style="hair">
        <color rgb="FF999999"/>
      </left>
      <right style="hair">
        <color rgb="FF999999"/>
      </right>
      <top style="thin">
        <color rgb="FF000000"/>
      </top>
      <bottom style="thin">
        <color rgb="FF000000"/>
      </bottom>
    </border>
    <border>
      <left style="hair">
        <color rgb="FF99999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999999"/>
      </right>
      <bottom style="hair">
        <color rgb="FF000000"/>
      </bottom>
    </border>
    <border>
      <left style="hair">
        <color rgb="FF999999"/>
      </left>
      <right style="hair">
        <color rgb="FF999999"/>
      </right>
      <bottom style="hair">
        <color rgb="FF000000"/>
      </bottom>
    </border>
    <border>
      <left style="hair">
        <color rgb="FF999999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999999"/>
      </right>
      <top style="hair">
        <color rgb="FF000000"/>
      </top>
      <bottom style="hair">
        <color rgb="FF000000"/>
      </bottom>
    </border>
    <border>
      <left style="hair">
        <color rgb="FF999999"/>
      </left>
      <right style="hair">
        <color rgb="FF999999"/>
      </right>
      <top style="hair">
        <color rgb="FF000000"/>
      </top>
      <bottom style="hair">
        <color rgb="FF000000"/>
      </bottom>
    </border>
    <border>
      <left style="hair">
        <color rgb="FF999999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999999"/>
      </right>
      <top style="hair">
        <color rgb="FF000000"/>
      </top>
      <bottom style="thin">
        <color rgb="FF000000"/>
      </bottom>
    </border>
    <border>
      <left style="hair">
        <color rgb="FF999999"/>
      </left>
      <right style="hair">
        <color rgb="FF999999"/>
      </right>
      <top style="hair">
        <color rgb="FF000000"/>
      </top>
      <bottom style="thin">
        <color rgb="FF000000"/>
      </bottom>
    </border>
    <border>
      <left style="hair">
        <color rgb="FF999999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right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3" numFmtId="0" xfId="0" applyAlignment="1" applyFill="1" applyFont="1">
      <alignment horizontal="right" readingOrder="0"/>
    </xf>
    <xf borderId="0" fillId="0" fontId="7" numFmtId="0" xfId="0" applyAlignment="1" applyFont="1">
      <alignment readingOrder="0" vertical="center"/>
    </xf>
    <xf borderId="0" fillId="3" fontId="4" numFmtId="0" xfId="0" applyAlignment="1" applyFont="1">
      <alignment readingOrder="0"/>
    </xf>
    <xf borderId="2" fillId="4" fontId="8" numFmtId="0" xfId="0" applyAlignment="1" applyBorder="1" applyFill="1" applyFont="1">
      <alignment horizontal="left" readingOrder="0" shrinkToFit="0" vertical="center" wrapText="1"/>
    </xf>
    <xf borderId="3" fillId="0" fontId="9" numFmtId="0" xfId="0" applyBorder="1" applyFont="1"/>
    <xf borderId="0" fillId="0" fontId="3" numFmtId="0" xfId="0" applyAlignment="1" applyFont="1">
      <alignment horizontal="right" readingOrder="0" shrinkToFit="0" vertical="center" wrapText="1"/>
    </xf>
    <xf borderId="0" fillId="0" fontId="10" numFmtId="0" xfId="0" applyAlignment="1" applyFont="1">
      <alignment horizontal="right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5" fillId="0" fontId="7" numFmtId="0" xfId="0" applyAlignment="1" applyBorder="1" applyFont="1">
      <alignment readingOrder="0" shrinkToFit="0" vertical="center" wrapText="1"/>
    </xf>
    <xf borderId="4" fillId="3" fontId="13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10" numFmtId="0" xfId="0" applyAlignment="1" applyFont="1">
      <alignment horizontal="right" shrinkToFit="0" vertical="center" wrapText="1"/>
    </xf>
    <xf borderId="4" fillId="5" fontId="11" numFmtId="0" xfId="0" applyAlignment="1" applyBorder="1" applyFill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4" fillId="4" fontId="13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readingOrder="0" vertical="center"/>
    </xf>
    <xf borderId="0" fillId="0" fontId="17" numFmtId="0" xfId="0" applyAlignment="1" applyFont="1">
      <alignment readingOrder="0" shrinkToFit="0" vertical="center" wrapText="1"/>
    </xf>
    <xf borderId="6" fillId="5" fontId="18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vertical="center"/>
    </xf>
    <xf borderId="0" fillId="0" fontId="19" numFmtId="0" xfId="0" applyAlignment="1" applyFont="1">
      <alignment readingOrder="0" shrinkToFit="0" vertical="center" wrapText="1"/>
    </xf>
    <xf borderId="0" fillId="5" fontId="20" numFmtId="0" xfId="0" applyAlignment="1" applyFont="1">
      <alignment readingOrder="0" vertical="center"/>
    </xf>
    <xf borderId="0" fillId="0" fontId="21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vertical="center"/>
    </xf>
    <xf borderId="0" fillId="0" fontId="22" numFmtId="0" xfId="0" applyAlignment="1" applyFont="1">
      <alignment horizontal="left" readingOrder="0" shrinkToFit="0" vertical="center" wrapText="1"/>
    </xf>
    <xf borderId="0" fillId="0" fontId="23" numFmtId="0" xfId="0" applyFont="1"/>
    <xf borderId="0" fillId="0" fontId="23" numFmtId="0" xfId="0" applyAlignment="1" applyFont="1">
      <alignment readingOrder="0"/>
    </xf>
    <xf borderId="0" fillId="5" fontId="24" numFmtId="0" xfId="0" applyFont="1"/>
    <xf borderId="0" fillId="0" fontId="22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25" numFmtId="0" xfId="0" applyAlignment="1" applyFont="1">
      <alignment shrinkToFit="0" vertical="center" wrapText="1"/>
    </xf>
    <xf borderId="0" fillId="5" fontId="26" numFmtId="0" xfId="0" applyAlignment="1" applyFont="1">
      <alignment horizontal="left" readingOrder="0" vertical="center"/>
    </xf>
    <xf borderId="0" fillId="0" fontId="16" numFmtId="0" xfId="0" applyAlignment="1" applyFont="1">
      <alignment vertical="center"/>
    </xf>
    <xf borderId="0" fillId="0" fontId="12" numFmtId="0" xfId="0" applyAlignment="1" applyFont="1">
      <alignment shrinkToFit="0" vertical="center" wrapText="1"/>
    </xf>
    <xf borderId="5" fillId="0" fontId="7" numFmtId="0" xfId="0" applyAlignment="1" applyBorder="1" applyFont="1">
      <alignment vertical="center"/>
    </xf>
    <xf borderId="0" fillId="0" fontId="7" numFmtId="164" xfId="0" applyAlignment="1" applyFont="1" applyNumberFormat="1">
      <alignment readingOrder="0" vertical="center"/>
    </xf>
    <xf borderId="0" fillId="0" fontId="7" numFmtId="165" xfId="0" applyAlignment="1" applyFont="1" applyNumberFormat="1">
      <alignment readingOrder="0" vertical="center"/>
    </xf>
    <xf borderId="0" fillId="0" fontId="7" numFmtId="4" xfId="0" applyAlignment="1" applyFont="1" applyNumberFormat="1">
      <alignment horizontal="center" readingOrder="0" vertical="center"/>
    </xf>
    <xf borderId="0" fillId="0" fontId="19" numFmtId="0" xfId="0" applyAlignment="1" applyFont="1">
      <alignment readingOrder="0" vertical="center"/>
    </xf>
    <xf borderId="0" fillId="0" fontId="27" numFmtId="0" xfId="0" applyAlignment="1" applyFont="1">
      <alignment readingOrder="0" vertical="center"/>
    </xf>
    <xf borderId="0" fillId="0" fontId="16" numFmtId="0" xfId="0" applyAlignment="1" applyFont="1">
      <alignment readingOrder="0" shrinkToFit="0" vertical="center" wrapText="0"/>
    </xf>
    <xf borderId="0" fillId="0" fontId="22" numFmtId="0" xfId="0" applyAlignment="1" applyFont="1">
      <alignment horizontal="left" readingOrder="0" shrinkToFit="0" vertical="center" wrapText="0"/>
    </xf>
    <xf borderId="0" fillId="0" fontId="22" numFmtId="0" xfId="0" applyAlignment="1" applyFont="1">
      <alignment horizontal="left" readingOrder="0" shrinkToFit="0" vertical="center" wrapText="0"/>
    </xf>
    <xf borderId="0" fillId="0" fontId="22" numFmtId="166" xfId="0" applyAlignment="1" applyFont="1" applyNumberForma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0" fontId="22" numFmtId="0" xfId="0" applyAlignment="1" applyFont="1">
      <alignment shrinkToFit="0" vertical="center" wrapText="0"/>
    </xf>
    <xf borderId="0" fillId="0" fontId="22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7" numFmtId="4" xfId="0" applyAlignment="1" applyFont="1" applyNumberFormat="1">
      <alignment horizontal="center" vertical="center"/>
    </xf>
    <xf borderId="0" fillId="0" fontId="28" numFmtId="165" xfId="0" applyAlignment="1" applyFont="1" applyNumberFormat="1">
      <alignment readingOrder="0" vertical="center"/>
    </xf>
    <xf borderId="0" fillId="0" fontId="7" numFmtId="167" xfId="0" applyAlignment="1" applyFont="1" applyNumberFormat="1">
      <alignment readingOrder="0" vertical="center"/>
    </xf>
    <xf borderId="0" fillId="0" fontId="3" numFmtId="168" xfId="0" applyAlignment="1" applyFont="1" applyNumberFormat="1">
      <alignment readingOrder="0" shrinkToFit="0" vertical="center" wrapText="1"/>
    </xf>
    <xf borderId="0" fillId="0" fontId="3" numFmtId="167" xfId="0" applyAlignment="1" applyFont="1" applyNumberFormat="1">
      <alignment readingOrder="0" shrinkToFit="0" vertical="center" wrapText="1"/>
    </xf>
    <xf borderId="0" fillId="0" fontId="3" numFmtId="169" xfId="0" applyAlignment="1" applyFont="1" applyNumberFormat="1">
      <alignment readingOrder="0" shrinkToFit="0" vertical="center" wrapText="1"/>
    </xf>
    <xf borderId="0" fillId="5" fontId="29" numFmtId="169" xfId="0" applyAlignment="1" applyFont="1" applyNumberFormat="1">
      <alignment vertical="center"/>
    </xf>
    <xf borderId="0" fillId="5" fontId="29" numFmtId="170" xfId="0" applyAlignment="1" applyFont="1" applyNumberFormat="1">
      <alignment vertical="center"/>
    </xf>
    <xf borderId="0" fillId="0" fontId="23" numFmtId="166" xfId="0" applyAlignment="1" applyFont="1" applyNumberFormat="1">
      <alignment readingOrder="0"/>
    </xf>
    <xf borderId="0" fillId="0" fontId="23" numFmtId="168" xfId="0" applyFont="1" applyNumberFormat="1"/>
    <xf borderId="0" fillId="0" fontId="23" numFmtId="167" xfId="0" applyFont="1" applyNumberFormat="1"/>
    <xf borderId="0" fillId="0" fontId="23" numFmtId="169" xfId="0" applyFont="1" applyNumberFormat="1"/>
    <xf borderId="0" fillId="0" fontId="30" numFmtId="169" xfId="0" applyFont="1" applyNumberFormat="1"/>
    <xf borderId="0" fillId="0" fontId="23" numFmtId="170" xfId="0" applyFont="1" applyNumberFormat="1"/>
    <xf borderId="0" fillId="0" fontId="7" numFmtId="165" xfId="0" applyAlignment="1" applyFont="1" applyNumberFormat="1">
      <alignment horizontal="center" readingOrder="0" vertical="center"/>
    </xf>
    <xf borderId="0" fillId="0" fontId="31" numFmtId="0" xfId="0" applyAlignment="1" applyFont="1">
      <alignment readingOrder="0" shrinkToFit="0" vertical="center" wrapText="1"/>
    </xf>
    <xf borderId="0" fillId="0" fontId="32" numFmtId="0" xfId="0" applyAlignment="1" applyFont="1">
      <alignment shrinkToFit="0" vertical="center" wrapText="1"/>
    </xf>
    <xf borderId="0" fillId="0" fontId="22" numFmtId="0" xfId="0" applyAlignment="1" applyFont="1">
      <alignment shrinkToFit="0" wrapText="1"/>
    </xf>
    <xf borderId="0" fillId="0" fontId="22" numFmtId="0" xfId="0" applyAlignment="1" applyFont="1">
      <alignment horizontal="center" readingOrder="0" shrinkToFit="0" vertical="center" wrapText="1"/>
    </xf>
    <xf borderId="1" fillId="0" fontId="33" numFmtId="0" xfId="0" applyAlignment="1" applyBorder="1" applyFont="1">
      <alignment readingOrder="0"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0" fillId="2" fontId="22" numFmtId="0" xfId="0" applyFont="1"/>
    <xf borderId="0" fillId="2" fontId="22" numFmtId="0" xfId="0" applyAlignment="1" applyFont="1">
      <alignment horizontal="center" readingOrder="0" shrinkToFit="0" vertical="center" wrapText="1"/>
    </xf>
    <xf borderId="0" fillId="2" fontId="35" numFmtId="0" xfId="0" applyAlignment="1" applyFont="1">
      <alignment readingOrder="0" shrinkToFit="0" wrapText="1"/>
    </xf>
    <xf borderId="0" fillId="0" fontId="22" numFmtId="164" xfId="0" applyAlignment="1" applyFont="1" applyNumberFormat="1">
      <alignment shrinkToFit="0" wrapText="1"/>
    </xf>
    <xf borderId="0" fillId="0" fontId="22" numFmtId="165" xfId="0" applyAlignment="1" applyFont="1" applyNumberFormat="1">
      <alignment shrinkToFit="0" wrapText="1"/>
    </xf>
    <xf borderId="0" fillId="0" fontId="7" numFmtId="164" xfId="0" applyAlignment="1" applyFont="1" applyNumberFormat="1">
      <alignment vertical="center"/>
    </xf>
    <xf borderId="0" fillId="0" fontId="7" numFmtId="167" xfId="0" applyAlignment="1" applyFont="1" applyNumberFormat="1">
      <alignment vertical="center"/>
    </xf>
    <xf borderId="0" fillId="0" fontId="22" numFmtId="0" xfId="0" applyFont="1"/>
    <xf borderId="7" fillId="0" fontId="36" numFmtId="0" xfId="0" applyAlignment="1" applyBorder="1" applyFont="1">
      <alignment vertical="bottom"/>
    </xf>
    <xf borderId="7" fillId="0" fontId="36" numFmtId="0" xfId="0" applyAlignment="1" applyBorder="1" applyFont="1">
      <alignment shrinkToFit="0" vertical="bottom" wrapText="0"/>
    </xf>
    <xf borderId="0" fillId="0" fontId="22" numFmtId="0" xfId="0" applyAlignment="1" applyFont="1">
      <alignment readingOrder="0" shrinkToFit="0" wrapText="1"/>
    </xf>
    <xf borderId="0" fillId="0" fontId="37" numFmtId="0" xfId="0" applyAlignment="1" applyFont="1">
      <alignment shrinkToFit="0" vertical="center" wrapText="1"/>
    </xf>
    <xf borderId="1" fillId="0" fontId="37" numFmtId="0" xfId="0" applyAlignment="1" applyBorder="1" applyFont="1">
      <alignment shrinkToFit="0" vertical="center" wrapText="1"/>
    </xf>
    <xf borderId="0" fillId="0" fontId="38" numFmtId="171" xfId="0" applyAlignment="1" applyFont="1" applyNumberForma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borderId="7" fillId="0" fontId="22" numFmtId="0" xfId="0" applyBorder="1" applyFont="1"/>
    <xf borderId="0" fillId="0" fontId="37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vertical="center"/>
    </xf>
    <xf borderId="1" fillId="0" fontId="19" numFmtId="0" xfId="0" applyAlignment="1" applyBorder="1" applyFont="1">
      <alignment vertical="center"/>
    </xf>
    <xf borderId="0" fillId="0" fontId="19" numFmtId="0" xfId="0" applyAlignment="1" applyFont="1">
      <alignment shrinkToFit="0" vertical="center" wrapText="1"/>
    </xf>
    <xf borderId="5" fillId="0" fontId="16" numFmtId="0" xfId="0" applyAlignment="1" applyBorder="1" applyFont="1">
      <alignment shrinkToFit="0" vertical="center" wrapText="1"/>
    </xf>
    <xf borderId="0" fillId="0" fontId="16" numFmtId="171" xfId="0" applyAlignment="1" applyFont="1" applyNumberForma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8" fillId="0" fontId="39" numFmtId="0" xfId="0" applyAlignment="1" applyBorder="1" applyFont="1">
      <alignment horizontal="center" readingOrder="0"/>
    </xf>
    <xf borderId="9" fillId="0" fontId="39" numFmtId="0" xfId="0" applyAlignment="1" applyBorder="1" applyFont="1">
      <alignment horizontal="center" readingOrder="0"/>
    </xf>
    <xf borderId="10" fillId="0" fontId="39" numFmtId="0" xfId="0" applyAlignment="1" applyBorder="1" applyFont="1">
      <alignment horizontal="center" readingOrder="0"/>
    </xf>
    <xf borderId="11" fillId="0" fontId="22" numFmtId="0" xfId="0" applyAlignment="1" applyBorder="1" applyFont="1">
      <alignment readingOrder="0"/>
    </xf>
    <xf borderId="12" fillId="0" fontId="22" numFmtId="0" xfId="0" applyAlignment="1" applyBorder="1" applyFont="1">
      <alignment readingOrder="0"/>
    </xf>
    <xf borderId="12" fillId="0" fontId="22" numFmtId="0" xfId="0" applyBorder="1" applyFont="1"/>
    <xf borderId="13" fillId="0" fontId="22" numFmtId="0" xfId="0" applyAlignment="1" applyBorder="1" applyFont="1">
      <alignment readingOrder="0"/>
    </xf>
    <xf borderId="0" fillId="0" fontId="22" numFmtId="0" xfId="0" applyAlignment="1" applyFont="1">
      <alignment readingOrder="0"/>
    </xf>
    <xf borderId="0" fillId="0" fontId="22" numFmtId="166" xfId="0" applyAlignment="1" applyFont="1" applyNumberFormat="1">
      <alignment readingOrder="0"/>
    </xf>
    <xf borderId="0" fillId="0" fontId="40" numFmtId="0" xfId="0" applyAlignment="1" applyFont="1">
      <alignment readingOrder="0"/>
    </xf>
    <xf borderId="0" fillId="0" fontId="41" numFmtId="0" xfId="0" applyFont="1"/>
    <xf borderId="14" fillId="0" fontId="23" numFmtId="0" xfId="0" applyAlignment="1" applyBorder="1" applyFont="1">
      <alignment readingOrder="0"/>
    </xf>
    <xf borderId="0" fillId="0" fontId="42" numFmtId="0" xfId="0" applyAlignment="1" applyFont="1">
      <alignment readingOrder="0" shrinkToFit="0" vertical="center" wrapText="1"/>
    </xf>
    <xf borderId="0" fillId="0" fontId="7" numFmtId="167" xfId="0" applyAlignment="1" applyFont="1" applyNumberFormat="1">
      <alignment shrinkToFit="0" vertical="center" wrapText="1"/>
    </xf>
    <xf borderId="0" fillId="6" fontId="7" numFmtId="0" xfId="0" applyAlignment="1" applyFill="1" applyFon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0" fillId="0" fontId="7" numFmtId="167" xfId="0" applyAlignment="1" applyFont="1" applyNumberForma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43" numFmtId="0" xfId="0" applyFont="1"/>
    <xf borderId="15" fillId="0" fontId="44" numFmtId="0" xfId="0" applyAlignment="1" applyBorder="1" applyFont="1">
      <alignment horizontal="center" readingOrder="0" shrinkToFit="0" vertical="center" wrapText="1"/>
    </xf>
    <xf borderId="16" fillId="0" fontId="9" numFmtId="0" xfId="0" applyBorder="1" applyFont="1"/>
    <xf borderId="17" fillId="0" fontId="9" numFmtId="0" xfId="0" applyBorder="1" applyFont="1"/>
    <xf borderId="0" fillId="0" fontId="45" numFmtId="0" xfId="0" applyAlignment="1" applyFont="1">
      <alignment horizontal="center"/>
    </xf>
    <xf borderId="0" fillId="0" fontId="23" numFmtId="164" xfId="0" applyAlignment="1" applyFont="1" applyNumberFormat="1">
      <alignment horizontal="center"/>
    </xf>
    <xf borderId="0" fillId="0" fontId="46" numFmtId="172" xfId="0" applyAlignment="1" applyFont="1" applyNumberFormat="1">
      <alignment horizontal="center"/>
    </xf>
    <xf borderId="0" fillId="0" fontId="47" numFmtId="164" xfId="0" applyAlignment="1" applyFont="1" applyNumberFormat="1">
      <alignment horizontal="center"/>
    </xf>
    <xf borderId="0" fillId="0" fontId="48" numFmtId="172" xfId="0" applyAlignment="1" applyFont="1" applyNumberFormat="1">
      <alignment horizontal="center"/>
    </xf>
    <xf borderId="0" fillId="0" fontId="49" numFmtId="0" xfId="0" applyFont="1"/>
    <xf borderId="18" fillId="7" fontId="23" numFmtId="0" xfId="0" applyAlignment="1" applyBorder="1" applyFill="1" applyFont="1">
      <alignment readingOrder="0" vertical="center"/>
    </xf>
    <xf borderId="19" fillId="7" fontId="23" numFmtId="0" xfId="0" applyAlignment="1" applyBorder="1" applyFont="1">
      <alignment readingOrder="0" vertical="center"/>
    </xf>
    <xf borderId="19" fillId="7" fontId="23" numFmtId="0" xfId="0" applyAlignment="1" applyBorder="1" applyFont="1">
      <alignment vertical="center"/>
    </xf>
    <xf borderId="20" fillId="7" fontId="23" numFmtId="0" xfId="0" applyAlignment="1" applyBorder="1" applyFont="1">
      <alignment vertical="center"/>
    </xf>
    <xf borderId="21" fillId="0" fontId="23" numFmtId="0" xfId="0" applyBorder="1" applyFont="1"/>
    <xf borderId="22" fillId="0" fontId="23" numFmtId="0" xfId="0" applyBorder="1" applyFont="1"/>
    <xf borderId="23" fillId="0" fontId="23" numFmtId="0" xfId="0" applyBorder="1" applyFont="1"/>
    <xf borderId="24" fillId="0" fontId="23" numFmtId="0" xfId="0" applyBorder="1" applyFont="1"/>
    <xf borderId="25" fillId="0" fontId="23" numFmtId="0" xfId="0" applyBorder="1" applyFont="1"/>
    <xf borderId="26" fillId="0" fontId="23" numFmtId="0" xfId="0" applyBorder="1" applyFont="1"/>
    <xf borderId="27" fillId="0" fontId="23" numFmtId="0" xfId="0" applyBorder="1" applyFont="1"/>
    <xf borderId="28" fillId="0" fontId="23" numFmtId="0" xfId="0" applyBorder="1" applyFont="1"/>
    <xf borderId="29" fillId="0" fontId="23" numFmtId="0" xfId="0" applyBorder="1" applyFont="1"/>
    <xf borderId="0" fillId="0" fontId="7" numFmtId="0" xfId="0" applyAlignment="1" applyFont="1">
      <alignment readingOrder="0"/>
    </xf>
    <xf borderId="0" fillId="0" fontId="7" numFmtId="0" xfId="0" applyFont="1"/>
    <xf borderId="0" fillId="0" fontId="50" numFmtId="173" xfId="0" applyAlignment="1" applyFont="1" applyNumberFormat="1">
      <alignment readingOrder="0"/>
    </xf>
    <xf borderId="0" fillId="0" fontId="50" numFmtId="0" xfId="0" applyAlignment="1" applyFont="1">
      <alignment readingOrder="0"/>
    </xf>
    <xf borderId="0" fillId="8" fontId="23" numFmtId="0" xfId="0" applyAlignment="1" applyFill="1" applyFont="1">
      <alignment readingOrder="0"/>
    </xf>
    <xf borderId="0" fillId="0" fontId="23" numFmtId="173" xfId="0" applyAlignment="1" applyFont="1" applyNumberFormat="1">
      <alignment readingOrder="0"/>
    </xf>
    <xf borderId="0" fillId="0" fontId="50" numFmtId="0" xfId="0" applyFont="1"/>
    <xf borderId="0" fillId="8" fontId="23" numFmtId="0" xfId="0" applyFont="1"/>
    <xf borderId="0" fillId="0" fontId="23" numFmtId="173" xfId="0" applyFont="1" applyNumberFormat="1"/>
    <xf borderId="0" fillId="0" fontId="50" numFmtId="173" xfId="0" applyFont="1" applyNumberFormat="1"/>
    <xf borderId="0" fillId="0" fontId="23" numFmtId="0" xfId="0" applyAlignment="1" applyFont="1">
      <alignment readingOrder="0"/>
    </xf>
    <xf borderId="0" fillId="0" fontId="23" numFmtId="174" xfId="0" applyAlignment="1" applyFont="1" applyNumberFormat="1">
      <alignment readingOrder="0"/>
    </xf>
    <xf borderId="0" fillId="0" fontId="23" numFmtId="0" xfId="0" applyFont="1"/>
    <xf borderId="0" fillId="0" fontId="23" numFmtId="174" xfId="0" applyFont="1" applyNumberFormat="1"/>
    <xf borderId="0" fillId="0" fontId="23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3" numFmtId="0" xfId="0" applyAlignment="1" applyFont="1">
      <alignment horizontal="center" readingOrder="0" vertical="center"/>
    </xf>
    <xf borderId="0" fillId="0" fontId="23" numFmtId="0" xfId="0" applyAlignment="1" applyFont="1">
      <alignment readingOrder="0" vertical="center"/>
    </xf>
    <xf borderId="0" fillId="5" fontId="51" numFmtId="0" xfId="0" applyAlignment="1" applyFont="1">
      <alignment readingOrder="0" vertical="center"/>
    </xf>
    <xf borderId="0" fillId="0" fontId="23" numFmtId="0" xfId="0" applyAlignment="1" applyFont="1">
      <alignment shrinkToFit="0" vertical="center" wrapText="1"/>
    </xf>
    <xf borderId="0" fillId="0" fontId="23" numFmtId="0" xfId="0" applyAlignment="1" applyFont="1">
      <alignment vertical="center"/>
    </xf>
    <xf borderId="0" fillId="0" fontId="23" numFmtId="0" xfId="0" applyAlignment="1" applyFont="1">
      <alignment shrinkToFit="0" vertical="center" wrapText="1"/>
    </xf>
    <xf borderId="0" fillId="0" fontId="46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vertical="top"/>
    </xf>
    <xf borderId="0" fillId="0" fontId="22" numFmtId="0" xfId="0" applyAlignment="1" applyFont="1">
      <alignment vertical="center"/>
    </xf>
    <xf borderId="0" fillId="0" fontId="22" numFmtId="0" xfId="0" applyAlignment="1" applyFont="1">
      <alignment shrinkToFit="0" vertical="center" wrapText="1"/>
    </xf>
    <xf borderId="0" fillId="0" fontId="22" numFmtId="0" xfId="0" applyAlignment="1" applyFont="1">
      <alignment readingOrder="0" vertical="center"/>
    </xf>
    <xf borderId="0" fillId="0" fontId="52" numFmtId="0" xfId="0" applyAlignment="1" applyFont="1">
      <alignment readingOrder="0" shrinkToFit="0" vertical="center" wrapText="0"/>
    </xf>
    <xf borderId="0" fillId="0" fontId="53" numFmtId="0" xfId="0" applyAlignment="1" applyFont="1">
      <alignment shrinkToFit="0" vertical="center" wrapText="1"/>
    </xf>
    <xf borderId="0" fillId="0" fontId="52" numFmtId="0" xfId="0" applyAlignment="1" applyFont="1">
      <alignment shrinkToFit="0" vertical="center" wrapText="0"/>
    </xf>
    <xf borderId="0" fillId="0" fontId="42" numFmtId="171" xfId="0" applyAlignment="1" applyFont="1" applyNumberFormat="1">
      <alignment readingOrder="0" shrinkToFit="0" vertical="center" wrapText="1"/>
    </xf>
    <xf borderId="0" fillId="0" fontId="42" numFmtId="167" xfId="0" applyAlignment="1" applyFont="1" applyNumberFormat="1">
      <alignment readingOrder="0" shrinkToFit="0" vertical="center" wrapText="1"/>
    </xf>
    <xf borderId="0" fillId="0" fontId="42" numFmtId="175" xfId="0" applyAlignment="1" applyFont="1" applyNumberFormat="1">
      <alignment readingOrder="0" shrinkToFit="0" vertical="center" wrapText="1"/>
    </xf>
    <xf borderId="0" fillId="0" fontId="54" numFmtId="0" xfId="0" applyAlignment="1" applyFont="1">
      <alignment readingOrder="0" shrinkToFit="0" vertical="center" wrapText="1"/>
    </xf>
    <xf borderId="0" fillId="0" fontId="42" numFmtId="164" xfId="0" applyAlignment="1" applyFont="1" applyNumberFormat="1">
      <alignment readingOrder="0" shrinkToFit="0" vertical="center" wrapText="1"/>
    </xf>
    <xf borderId="0" fillId="0" fontId="23" numFmtId="166" xfId="0" applyAlignment="1" applyFont="1" applyNumberFormat="1">
      <alignment readingOrder="0"/>
    </xf>
    <xf borderId="1" fillId="0" fontId="42" numFmtId="0" xfId="0" applyAlignment="1" applyBorder="1" applyFont="1">
      <alignment readingOrder="0" shrinkToFit="0" vertical="center" wrapText="1"/>
    </xf>
    <xf borderId="0" fillId="9" fontId="22" numFmtId="166" xfId="0" applyAlignment="1" applyFill="1" applyFont="1" applyNumberFormat="1">
      <alignment readingOrder="0" vertical="center"/>
    </xf>
    <xf borderId="0" fillId="9" fontId="22" numFmtId="0" xfId="0" applyAlignment="1" applyFont="1">
      <alignment readingOrder="0" vertical="center"/>
    </xf>
    <xf borderId="0" fillId="9" fontId="22" numFmtId="0" xfId="0" applyAlignment="1" applyFont="1">
      <alignment vertical="center"/>
    </xf>
    <xf borderId="0" fillId="9" fontId="55" numFmtId="0" xfId="0" applyAlignment="1" applyFont="1">
      <alignment readingOrder="0" vertical="center"/>
    </xf>
    <xf borderId="0" fillId="9" fontId="56" numFmtId="0" xfId="0" applyAlignment="1" applyFont="1">
      <alignment vertical="center"/>
    </xf>
    <xf borderId="0" fillId="9" fontId="22" numFmtId="0" xfId="0" applyAlignment="1" applyFont="1">
      <alignment readingOrder="0" vertical="center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22" numFmtId="171" xfId="0" applyFont="1" applyNumberFormat="1"/>
    <xf borderId="0" fillId="0" fontId="22" numFmtId="167" xfId="0" applyFont="1" applyNumberFormat="1"/>
    <xf borderId="0" fillId="0" fontId="22" numFmtId="175" xfId="0" applyFont="1" applyNumberFormat="1"/>
    <xf borderId="0" fillId="0" fontId="22" numFmtId="164" xfId="0" applyFont="1" applyNumberFormat="1"/>
    <xf borderId="0" fillId="0" fontId="7" numFmtId="0" xfId="0" applyFon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999999"/>
      </font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</dxfs>
  <tableStyles count="27">
    <tableStyle count="3" pivot="0" name="SESSIONS-style">
      <tableStyleElement dxfId="1" type="headerRow"/>
      <tableStyleElement dxfId="2" type="firstRowStripe"/>
      <tableStyleElement dxfId="3" type="secondRowStripe"/>
    </tableStyle>
    <tableStyle count="3" pivot="0" name="FORMATIONS-style">
      <tableStyleElement dxfId="1" type="headerRow"/>
      <tableStyleElement dxfId="2" type="firstRowStripe"/>
      <tableStyleElement dxfId="3" type="secondRowStripe"/>
    </tableStyle>
    <tableStyle count="3" pivot="0" name="FORMATIONS-style 2">
      <tableStyleElement dxfId="1" type="headerRow"/>
      <tableStyleElement dxfId="2" type="firstRowStripe"/>
      <tableStyleElement dxfId="3" type="secondRowStripe"/>
    </tableStyle>
    <tableStyle count="3" pivot="0" name="SESSIONS-style 2">
      <tableStyleElement dxfId="4" type="headerRow"/>
      <tableStyleElement dxfId="2" type="firstRowStripe"/>
      <tableStyleElement dxfId="5" type="secondRowStripe"/>
    </tableStyle>
    <tableStyle count="3" pivot="0" name="FORMATIONS-style 3">
      <tableStyleElement dxfId="4" type="headerRow"/>
      <tableStyleElement dxfId="2" type="firstRowStripe"/>
      <tableStyleElement dxfId="5" type="secondRowStripe"/>
    </tableStyle>
    <tableStyle count="3" pivot="0" name="SESSIONS-style 3">
      <tableStyleElement dxfId="1" type="headerRow"/>
      <tableStyleElement dxfId="2" type="firstRowStripe"/>
      <tableStyleElement dxfId="3" type="secondRowStripe"/>
    </tableStyle>
    <tableStyle count="3" pivot="0" name="FORMATIONS-style 4">
      <tableStyleElement dxfId="1" type="headerRow"/>
      <tableStyleElement dxfId="2" type="firstRowStripe"/>
      <tableStyleElement dxfId="3" type="secondRowStripe"/>
    </tableStyle>
    <tableStyle count="3" pivot="0" name="SESSIONS-style 4">
      <tableStyleElement dxfId="4" type="headerRow"/>
      <tableStyleElement dxfId="2" type="firstRowStripe"/>
      <tableStyleElement dxfId="5" type="secondRowStripe"/>
    </tableStyle>
    <tableStyle count="3" pivot="0" name="SESSIONS-style 5">
      <tableStyleElement dxfId="1" type="headerRow"/>
      <tableStyleElement dxfId="2" type="firstRowStripe"/>
      <tableStyleElement dxfId="3" type="secondRowStripe"/>
    </tableStyle>
    <tableStyle count="3" pivot="0" name="FORMATIONS-style 5">
      <tableStyleElement dxfId="1" type="headerRow"/>
      <tableStyleElement dxfId="2" type="firstRowStripe"/>
      <tableStyleElement dxfId="3" type="secondRowStripe"/>
    </tableStyle>
    <tableStyle count="3" pivot="0" name="FORMATIONS-style 6">
      <tableStyleElement dxfId="4" type="headerRow"/>
      <tableStyleElement dxfId="2" type="firstRowStripe"/>
      <tableStyleElement dxfId="5" type="secondRowStripe"/>
    </tableStyle>
    <tableStyle count="4" pivot="0" name="INSCRIPTIONSS-style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3" pivot="0" name="INSCRIPTIONS OLD-style">
      <tableStyleElement dxfId="1" type="headerRow"/>
      <tableStyleElement dxfId="2" type="firstRowStripe"/>
      <tableStyleElement dxfId="3" type="secondRowStripe"/>
    </tableStyle>
    <tableStyle count="3" pivot="0" name="Détail2-Google Slides, Docs, Sh-style">
      <tableStyleElement dxfId="13" type="headerRow"/>
      <tableStyleElement dxfId="3" type="firstRowStripe"/>
      <tableStyleElement dxfId="2" type="secondRowStripe"/>
    </tableStyle>
    <tableStyle count="3" pivot="0" name="SESSIONS AT-style">
      <tableStyleElement dxfId="1" type="headerRow"/>
      <tableStyleElement dxfId="2" type="firstRowStripe"/>
      <tableStyleElement dxfId="3" type="secondRowStripe"/>
    </tableStyle>
    <tableStyle count="3" pivot="0" name="LIEUX-style">
      <tableStyleElement dxfId="1" type="headerRow"/>
      <tableStyleElement dxfId="2" type="firstRowStripe"/>
      <tableStyleElement dxfId="3" type="secondRowStripe"/>
    </tableStyle>
    <tableStyle count="3" pivot="0" name="LIEUX-style 2">
      <tableStyleElement dxfId="4" type="headerRow"/>
      <tableStyleElement dxfId="2" type="firstRowStripe"/>
      <tableStyleElement dxfId="5" type="secondRowStripe"/>
    </tableStyle>
    <tableStyle count="3" pivot="0" name="LIEUX-style 3">
      <tableStyleElement dxfId="1" type="headerRow"/>
      <tableStyleElement dxfId="2" type="firstRowStripe"/>
      <tableStyleElement dxfId="3" type="secondRowStripe"/>
    </tableStyle>
    <tableStyle count="3" pivot="0" name="CHARGES DE FORMATION-style">
      <tableStyleElement dxfId="4" type="headerRow"/>
      <tableStyleElement dxfId="2" type="firstRowStripe"/>
      <tableStyleElement dxfId="5" type="secondRowStripe"/>
    </tableStyle>
    <tableStyle count="3" pivot="0" name="ENTITES-style">
      <tableStyleElement dxfId="1" type="headerRow"/>
      <tableStyleElement dxfId="2" type="firstRowStripe"/>
      <tableStyleElement dxfId="3" type="secondRowStripe"/>
    </tableStyle>
    <tableStyle count="3" pivot="0" name="ENTITES-style 2">
      <tableStyleElement dxfId="4" type="headerRow"/>
      <tableStyleElement dxfId="2" type="firstRowStripe"/>
      <tableStyleElement dxfId="5" type="secondRowStripe"/>
    </tableStyle>
    <tableStyle count="3" pivot="0" name="ENTITES-style 3">
      <tableStyleElement dxfId="1" type="headerRow"/>
      <tableStyleElement dxfId="2" type="firstRowStripe"/>
      <tableStyleElement dxfId="3" type="secondRowStripe"/>
    </tableStyle>
    <tableStyle count="3" pivot="0" name="INSCRIPTIONS FORM-style">
      <tableStyleElement dxfId="1" type="headerRow"/>
      <tableStyleElement dxfId="2" type="firstRowStripe"/>
      <tableStyleElement dxfId="3" type="secondRowStripe"/>
    </tableStyle>
    <tableStyle count="3" pivot="0" name="INSCRIPTIONS ERREURS-style">
      <tableStyleElement dxfId="1" type="headerRow"/>
      <tableStyleElement dxfId="2" type="firstRowStripe"/>
      <tableStyleElement dxfId="3" type="secondRowStripe"/>
    </tableStyle>
    <tableStyle count="4" pivot="0" name="DESINSCRIPTIONS-style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3" pivot="0" name="DESINSCRIPTION FORM-style">
      <tableStyleElement dxfId="1" type="headerRow"/>
      <tableStyleElement dxfId="2" type="firstRowStripe"/>
      <tableStyleElement dxfId="3" type="secondRowStripe"/>
    </tableStyle>
    <tableStyle count="3" pivot="0" name="IMPORT COMPETENC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pivotCacheDefinition" Target="pivotCache/pivotCacheDefinition1.xml"/><Relationship Id="rId36" Type="http://schemas.openxmlformats.org/officeDocument/2006/relationships/worksheet" Target="worksheets/sheet32.xml"/><Relationship Id="rId38" Type="http://schemas.openxmlformats.org/officeDocument/2006/relationships/pivotCacheDefinition" Target="pivotCache/pivotCacheDefinition2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3C78D8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'TABLEAU DE BORD'!$C$9:$C$528</c:f>
            </c:strRef>
          </c:cat>
          <c:val>
            <c:numRef>
              <c:f>'TABLEAU DE BORD'!$G$9:$G$528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</xdr:row>
      <xdr:rowOff>200025</xdr:rowOff>
    </xdr:from>
    <xdr:ext cx="1495425" cy="904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752475" cy="161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6</xdr:row>
      <xdr:rowOff>314325</xdr:rowOff>
    </xdr:from>
    <xdr:ext cx="6334125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457200</xdr:colOff>
      <xdr:row>1</xdr:row>
      <xdr:rowOff>133350</xdr:rowOff>
    </xdr:from>
    <xdr:ext cx="1676400" cy="10096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923925" cy="2095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334" sheet="INSCRIPTIONS"/>
  </cacheSource>
  <cacheFields>
    <cacheField name="Horodateur" numFmtId="0">
      <sharedItems containsString="0" containsBlank="1">
        <m/>
      </sharedItems>
    </cacheField>
    <cacheField name="ID SESSION " numFmtId="0">
      <sharedItems containsString="0" containsBlank="1">
        <m/>
      </sharedItems>
    </cacheField>
    <cacheField name="EMAIL" numFmtId="0">
      <sharedItems containsString="0" containsBlank="1">
        <m/>
      </sharedItems>
    </cacheField>
    <cacheField name="CIVILITE" numFmtId="0">
      <sharedItems containsString="0" containsBlank="1">
        <m/>
      </sharedItems>
    </cacheField>
    <cacheField name="PRENOM" numFmtId="0">
      <sharedItems containsString="0" containsBlank="1">
        <m/>
      </sharedItems>
    </cacheField>
    <cacheField name="NOM" numFmtId="0">
      <sharedItems containsString="0" containsBlank="1">
        <m/>
      </sharedItems>
    </cacheField>
    <cacheField name="FORMATION ID" numFmtId="0">
      <sharedItems containsString="0" containsBlank="1">
        <m/>
      </sharedItems>
    </cacheField>
    <cacheField name="TITRE FORMATION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HEURE DEBUT" numFmtId="0">
      <sharedItems containsString="0" containsBlank="1">
        <m/>
      </sharedItems>
    </cacheField>
    <cacheField name="HEURE FIN" numFmtId="0">
      <sharedItems containsString="0" containsBlank="1">
        <m/>
      </sharedItems>
    </cacheField>
    <cacheField name="DURÉE" numFmtId="0">
      <sharedItems containsString="0" containsBlank="1">
        <m/>
      </sharedItems>
    </cacheField>
    <cacheField name="DESCRIPTION FORMATION" numFmtId="0">
      <sharedItems containsString="0" containsBlank="1">
        <m/>
      </sharedItems>
    </cacheField>
    <cacheField name="APLI FORMATION" numFmtId="0">
      <sharedItems containsString="0" containsBlank="1">
        <m/>
      </sharedItems>
    </cacheField>
    <cacheField name="COMPETENCES FORMATION" numFmtId="0">
      <sharedItems containsString="0" containsBlank="1">
        <m/>
      </sharedItems>
    </cacheField>
    <cacheField name="LIEU ID" numFmtId="0">
      <sharedItems containsString="0" containsBlank="1">
        <m/>
      </sharedItems>
    </cacheField>
    <cacheField name="LIEU" numFmtId="0">
      <sharedItems containsString="0" containsBlank="1">
        <m/>
      </sharedItems>
    </cacheField>
    <cacheField name="LIEU INFO COMP" numFmtId="0">
      <sharedItems containsString="0" containsBlank="1">
        <m/>
      </sharedItems>
    </cacheField>
    <cacheField name="LIEU ADRESSE" numFmtId="0">
      <sharedItems containsString="0" containsBlank="1">
        <m/>
      </sharedItems>
    </cacheField>
    <cacheField name="LIEU CP" numFmtId="0">
      <sharedItems containsString="0" containsBlank="1">
        <m/>
      </sharedItems>
    </cacheField>
    <cacheField name="LIEU VILLE" numFmtId="0">
      <sharedItems containsString="0" containsBlank="1">
        <m/>
      </sharedItems>
    </cacheField>
    <cacheField name="UM" numFmtId="0">
      <sharedItems containsString="0" containsBlank="1">
        <m/>
      </sharedItems>
    </cacheField>
    <cacheField name="SITE" numFmtId="0">
      <sharedItems containsString="0" containsBlank="1">
        <m/>
      </sharedItems>
    </cacheField>
    <cacheField name="DATE DESINSCRIPTION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000" sheet="IMPORT COMPETENCES"/>
  </cacheSource>
  <cacheFields>
    <cacheField name="APPLI" numFmtId="0">
      <sharedItems containsBlank="1">
        <s v="AGENDA"/>
        <s v="ANALYTICS"/>
        <s v="CHROME"/>
        <s v="CHROME BOOK"/>
        <s v="CONTACTS"/>
        <s v="LOOKER STUDIO"/>
        <s v="DOCS"/>
        <s v="DRIVE"/>
        <s v="FORMS"/>
        <s v="GMAIL"/>
        <s v="GOOGLE APPS SCRIPT"/>
        <s v="GOOGLE WORKSPACE"/>
        <s v="CHAT"/>
        <s v="JAMBOARD"/>
        <s v="KEEP"/>
        <s v="MAPS"/>
        <s v="MEET"/>
        <s v="PHOTOS"/>
        <s v="SHEETS"/>
        <s v="SITES"/>
        <s v="SLIDES"/>
        <s v="CLASSROOM"/>
        <s v="TASKS"/>
        <s v="DUO"/>
        <s v="GOOGLE +"/>
        <s v="DRAWINGS"/>
        <s v="YOUTUBE"/>
        <s v="GROUPS"/>
        <s v="APPSHEET"/>
        <s v="CLOUD PLATFORM"/>
        <s v="CONSOLE ADMIN"/>
        <s v="CURRENTS"/>
        <s v="BIGQUERY"/>
        <m/>
      </sharedItems>
    </cacheField>
    <cacheField name="CMP-CODE" numFmtId="0">
      <sharedItems containsBlank="1">
        <s v="CMP-008"/>
        <s v="CMP-009"/>
        <s v="CMP-014"/>
        <s v="CMP-054"/>
        <s v="CMP-032"/>
        <s v="CMP-033"/>
        <s v="CMP-055"/>
        <s v="CMP-052"/>
        <s v="CMP-056"/>
        <s v="CMP-028"/>
        <s v="CMP-029"/>
        <s v="CMP-030"/>
        <s v="CMP-005"/>
        <s v="CMP-006"/>
        <s v="CMP-007"/>
        <s v="CMP-017"/>
        <s v="CMP-016"/>
        <s v="CMP-025"/>
        <s v="CMP-026"/>
        <s v="CMP-027"/>
        <s v="CMP-020"/>
        <s v="CMP-021"/>
        <s v="CMP-022"/>
        <s v="CMP-023"/>
        <s v="CMP-010"/>
        <s v="CMP-011"/>
        <s v="CMP-012"/>
        <s v="CMP-024"/>
        <s v="CMP-042"/>
        <s v="CMP-043"/>
        <s v="CMP-044"/>
        <s v="CMP-048"/>
        <s v="CMP-049"/>
        <s v="CMP-040"/>
        <s v="CMP-041"/>
        <s v="CMP-036"/>
        <s v="CMP-053"/>
        <s v="CMP-034"/>
        <s v="CMP-035"/>
        <s v="CMP-051"/>
        <s v="CMP-031"/>
        <s v="CMP-050"/>
        <s v="CMP-001"/>
        <s v="CMP-002"/>
        <s v="CMP-003"/>
        <s v="CMP-004"/>
        <s v="CMP-018"/>
        <s v="CMP-019"/>
        <s v="CMP-037"/>
        <s v="CMP-038"/>
        <s v="CMP-039"/>
        <s v="CMP-013"/>
        <s v="CMP-015"/>
        <s v="CMP-057"/>
        <s v="CMP-058"/>
        <s v="CMP-059"/>
        <s v="CMP-060"/>
        <s v="CMP-061"/>
        <s v="CMP-062"/>
        <s v="CMP-063"/>
        <s v="CMP-064"/>
        <s v="CMP-065"/>
        <s v="CMP-066"/>
        <s v="CMP-067"/>
        <s v="CMP-068"/>
        <s v="CMP-069"/>
        <s v="CMP-070"/>
        <s v="CMP-071"/>
        <s v="CMP-072"/>
        <s v="CMP-073"/>
        <s v="CMP-074"/>
        <s v="CMP-075"/>
        <s v="CMP-076"/>
        <s v="CMP-077"/>
        <s v="CMP-078"/>
        <s v="CMP-079"/>
        <s v="CMP-080"/>
        <s v="CMP-081"/>
        <s v="CMP-082"/>
        <s v="CMP-083"/>
        <s v="CMP-084"/>
        <s v="CMP-085"/>
        <s v="CMP-086"/>
        <s v="CMP-087"/>
        <s v="CMP-088"/>
        <s v="CMP-089"/>
        <s v="CMP-090"/>
        <s v="CMP-091"/>
        <s v="CMP-092"/>
        <s v="CMP-093"/>
        <s v="CMP-094"/>
        <s v="CMP-095"/>
        <s v="CMP-096"/>
        <s v="CMP-097"/>
        <s v="CMP-098"/>
        <s v="CMP-099"/>
        <s v="CMP-100"/>
        <s v="CMP-101"/>
        <s v="CMP-102"/>
        <s v="CMP-103"/>
        <s v="CMP-104"/>
        <s v="CMP-105"/>
        <s v="CMP-106"/>
        <s v="CMP-107"/>
        <s v="CMP-108"/>
        <s v="CMP-109"/>
        <s v="CMP-110"/>
        <s v="CMP-111"/>
        <s v="CMP-112"/>
        <s v="CMP-113"/>
        <s v="CMP-114"/>
        <s v="CMP-115"/>
        <s v="CMP-116"/>
        <s v="CMP-117"/>
        <s v="CMP-118"/>
        <s v="CMP-119"/>
        <s v="CMP-120"/>
        <s v="CMP-121"/>
        <s v=""/>
        <m/>
      </sharedItems>
    </cacheField>
    <cacheField name="COMPETENCE" numFmtId="0">
      <sharedItems containsBlank="1">
        <s v="GÉRER SES AGENDAS"/>
        <s v="COLLABORER AVEC LES AGENDAS"/>
        <s v="GÉRER DES ÉVÉNEMENTS"/>
        <s v="UTILISER LA CONSOLE GOOGLE ANALYTICS"/>
        <s v="OPTIMISER L'UTILISATION DU NAVIGATEUR GOOGLE CHROME "/>
        <s v="UTILISER GOOGLE CHROME EN TOUTE SÉCURITÉ"/>
        <s v="UTILISER UN CHROME BOOK"/>
        <s v="UTILISER GOOGLE CONTACTS"/>
        <s v="GÉRER LES SOURCES DE DONNÉES"/>
        <s v="CREER SES GRAPHIQUES"/>
        <s v="CREER, METTRE EN FORME SON RAPPORT ET SES OBJETS"/>
        <s v="COMMUNIQUER SON RAPPORT"/>
        <s v="METTRE EN FORME UN DOCUMENT"/>
        <s v="MANIPULER DES OBJETS (IMAGES, TABLEAUX...) DANS UN DOCUMENT"/>
        <s v="COLLABORER AU SEIN D'UN DOCUMENT"/>
        <s v="PARTAGER AU SEIN DU DRIVE"/>
        <s v="STOCKER AU SEIN DU DRIVE"/>
        <s v="CRÉER AU SEIN DU DRIVE"/>
        <s v="S'ORGANISER AU SEIN DU DRIVE"/>
        <s v="COLLABORER AU SEIN DU DRIVE"/>
        <s v="CRÉER ET ORGANISER LE FORMULAIRE"/>
        <s v="METTRE EN FORME UN FORMULAIRE"/>
        <s v="ENVOYER LE FORMULAIRE ET GÉRER LES REPONSES"/>
        <s v="COLLABORER AU SEIN D'UN FORMULAIRE"/>
        <s v="CONFIGURER SON INTERFACE DE MESSAGERIE"/>
        <s v="PARAMÉTRER SA MESSAGERIE"/>
        <s v="GÉRER LE CONTENU DES E-MAILS"/>
        <s v="GÉRER LE FLUX DES E-MAILS"/>
        <s v="CONNAITRE ET UTILISER JAVA SCRIPT"/>
        <s v="CONNAITRE ET UTILISER  L'ENVIRONNEMENT GOOGLE APPS SCRIPT"/>
        <s v="INTERAGIR AVEC GOOGLE SHEETS"/>
        <s v="INTERAGIR AVEC LES APPLICATION DOCS, SLIDES, AGENDA, FORMS, GMAIL"/>
        <s v="CREER ET DIFFUSER UNE APPLICATION WEB"/>
        <s v="UTILISER GOOGLE WORKSPACE POUR UNE ORGANISATION PROFESSIONNELLE"/>
        <s v="CONFIGURER GOOGLE WORKSPACE"/>
        <s v="COMMUNIQUER AVEC GOOGLE CHAT"/>
        <s v="UTILISER JAMBOARD"/>
        <s v="GÉRER DES NOTES AVEC KEEP"/>
        <s v="COLLABORER AVEC KEEP"/>
        <s v="UTILISER GOOGLE MAPS"/>
        <s v="CREER ET ANIMER UNE VISIO CONFERENCE"/>
        <s v="UTILISER GOOGLE PHOTOS"/>
        <s v="NAVIGUER DANS SA BASE DE DONNÉES"/>
        <s v="METTRE EN FORME SA BASE DE DONNÉES"/>
        <s v="COLLABORER AVEC DES BASES DE DONNÉES"/>
        <s v="SYNTHETISER DES DONNÉES POUR LES PRÉSENTER"/>
        <s v="ALIMENTER UNE BASE DE DONNÉES"/>
        <s v="UTILISER DES FONCTIONS"/>
        <s v="CREER UN SITE INTERNET AVEC GOOGLE SITES"/>
        <s v="INSERER ET METTRE EN FORME DES ÉLÉMENTS SUR UNE PAGE"/>
        <s v="DIFFUSER SON SITE"/>
        <s v="CREER ET METTRE EN FORME UNE PRÉSENTATION"/>
        <s v="ANIMER ET PRÉSENTER SA PRÉSENTATION"/>
        <s v="UTILISER CLASSROOM"/>
        <s v="UTILISER TASKS"/>
        <s v="UTILISER DUO"/>
        <s v="UTILISER GOOGLE +"/>
        <s v="UTILISER DRAWINGS"/>
        <s v="UTILISER YOUTUBE"/>
        <s v="UTILISER GOOGLE CHAT POUR COMMUNIQUER"/>
        <s v="CRÉER ET GÉRER LES GROUPES"/>
        <s v="CREER UNE APPLICATION"/>
        <s v="DÉCOUVRIR LE CHROMEBOOK"/>
        <s v="UTILISER LE CLAVIER ET LES FONCTIONNALITÉS CHROMEBOOK"/>
        <s v="DÉCOUVRIR LES APPLICATIONS GOOGLE WORKSPACE SUR CHROMEBOOK"/>
        <s v="EXPLOITER PLEINEMENT LE NAVIGATEUR CHROME SUR CHROMEBOOK"/>
        <s v="ORGANISER SON ESPACE DANS DRIVE PARTAGÉS"/>
        <s v="ADMINISTRER UN DRIVE PARTAGÉS"/>
        <s v="CONSTRUIRE UNE BASE DE DONNÉES CONSÉQUENTE"/>
        <s v="RÉALISER DES CALCULS ÉLABORÉES"/>
        <s v="NETTOYER UNE BASE DE DONNÉES ET LA RENDRE DYNAMIQUE"/>
        <s v="CONSOLIDER DES DONNÉES ENTRE PLUSIEURS FEUILLES DE CALCUL"/>
        <s v="DÉFINIR GOOGLE CLOUD PLATFORM"/>
        <s v="CRÉER UN PROJET"/>
        <s v="IDENTIFIER LES PRINCIPAUX SERVICES"/>
        <s v="UTILISER BIGQUERY"/>
        <s v="PARAMÉTRER LES SERVICES GOOGLE WORKSPACE"/>
        <s v="SÉCURISER LA CONSOLE D'ADMINISTRATION"/>
        <s v="IDENTIFIER LES CONNECTEURS ET LEURS FONCTIONS"/>
        <s v="BONNES PRATIQUES ET FONDAMENTAUX"/>
        <s v="DATA CLEANING ET BUSINESS INTELLIGENCE"/>
        <s v="CONSOLIDATIONS DE DONNÉES"/>
        <s v="AUTOMATISATION DES PROCESS"/>
        <s v="REPORTING ET PROMOTION"/>
        <s v="REPORTING ET BUSINESS INTELLIGENCE"/>
        <s v="RENFORCER SES CONNAISSANCES SUR SHEETS"/>
        <s v="APPROFONDIR SES CONNAISSANCES EN PROGRAMMATION"/>
        <s v="LIRE ET ÉCRIRE DANS UN SHEETS"/>
        <s v="MANIPULER LES DONNÉES DANS UN SHEETS"/>
        <s v="PERSONNALISER L'INTERFACE DE SHEETS"/>
        <s v="DIALOGUER AVEC L'UTILISATEUR ET GÉRER LES DÉCLENCHEURS"/>
        <s v="ENVOYER DES MAILS DEPUIS SHEETS"/>
        <s v="INTERAGIR AVEC D'AUTRES APPLICATIONS GOOGLE"/>
        <s v="CRÉER UN MODULE WEB"/>
        <s v="DÉCOUVRIR L'APPLICATION GOOGLE GROUPS"/>
        <s v="GÉRER LES UTILISATEURS ET LEURS RÔLES"/>
        <s v="GÉRER ET MODÉRER LES CONVERSATIONS"/>
        <s v="DÉCOUVRIR LA CONSOLE D'ADMINISTRATION"/>
        <s v="UTILISER LA CONSOLE DE FAÇON AVANCÉE"/>
        <s v="GÉRER UNE FLOTTE MOBILE"/>
        <s v="GÉRER DES CHROMEBOOKS"/>
        <s v="DÉCOUVRIR APPSHEET"/>
        <s v="OPTIMISER SON UTILISATION"/>
        <s v="PARAMÉTRER APPSHEET"/>
        <s v="UTILISER GOOGLE CURRENTS"/>
        <s v="CRÉER UNE COMMUNAUTÉ"/>
        <s v="GÉRER UNE COMMUNAUTÉ"/>
        <s v="IDENTIFIER DES LANGAGES INFORMATIQUES"/>
        <s v="CONCEVOIR DES REQUÊTES SQL"/>
        <s v="ANALYSER DES DONNÉES"/>
        <s v="GÉRER LES PARTICIPANTS D'UNE VISIOCONFÉRENCE"/>
        <s v="COLLABORER AU SEIN D'UNE VISIOCONFÉRENCE"/>
        <s v="ANALYSER LA FACTURATION"/>
        <s v="AUTOMATISER AVEC EXPLORER"/>
        <s v="CRÉER ET ORGANISER UN QUESTIONNAIRE"/>
        <s v="DEFINIR LES BONNES PRATIQUES ET LES FONDAMENTAUX"/>
        <s v="EXPLOITER LES RESULTATS D'UN FORMULAIRE"/>
        <s v="DECOUVRIR LOOKER STUDIO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IMPORT COMPETENCES" cacheId="1" dataCaption="" compact="0" compactData="0">
  <location ref="D2:F156" firstHeaderRow="0" firstDataRow="2" firstDataCol="0"/>
  <pivotFields>
    <pivotField name="APPLI" axis="axisRow" compact="0" outline="0" multipleItemSelectionAllowed="1" showAll="0" sortType="ascending">
      <items>
        <item x="33"/>
        <item x="0"/>
        <item x="1"/>
        <item x="28"/>
        <item x="32"/>
        <item x="12"/>
        <item x="2"/>
        <item x="3"/>
        <item x="21"/>
        <item x="29"/>
        <item x="30"/>
        <item x="4"/>
        <item x="31"/>
        <item x="6"/>
        <item x="25"/>
        <item x="7"/>
        <item x="23"/>
        <item x="8"/>
        <item x="9"/>
        <item x="24"/>
        <item x="10"/>
        <item x="11"/>
        <item x="27"/>
        <item x="13"/>
        <item x="14"/>
        <item x="5"/>
        <item x="15"/>
        <item x="16"/>
        <item x="17"/>
        <item x="18"/>
        <item x="19"/>
        <item x="20"/>
        <item x="22"/>
        <item x="26"/>
        <item t="default"/>
      </items>
    </pivotField>
    <pivotField name="CMP-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COMPETENCE" axis="axisRow" compact="0" outline="0" multipleItemSelectionAllowed="1" showAll="0" sortType="ascending">
      <items>
        <item x="118"/>
        <item x="67"/>
        <item x="46"/>
        <item x="109"/>
        <item x="112"/>
        <item x="52"/>
        <item x="86"/>
        <item x="82"/>
        <item x="113"/>
        <item x="79"/>
        <item x="14"/>
        <item x="23"/>
        <item x="111"/>
        <item x="19"/>
        <item x="44"/>
        <item x="38"/>
        <item x="1"/>
        <item x="35"/>
        <item x="11"/>
        <item x="108"/>
        <item x="34"/>
        <item x="24"/>
        <item x="29"/>
        <item x="28"/>
        <item x="81"/>
        <item x="71"/>
        <item x="68"/>
        <item x="17"/>
        <item x="40"/>
        <item x="32"/>
        <item x="60"/>
        <item x="51"/>
        <item x="20"/>
        <item x="114"/>
        <item x="9"/>
        <item x="93"/>
        <item x="73"/>
        <item x="48"/>
        <item x="61"/>
        <item x="105"/>
        <item x="10"/>
        <item x="80"/>
        <item x="101"/>
        <item x="94"/>
        <item x="97"/>
        <item x="62"/>
        <item x="64"/>
        <item x="117"/>
        <item x="72"/>
        <item x="115"/>
        <item x="90"/>
        <item x="50"/>
        <item x="91"/>
        <item x="22"/>
        <item x="116"/>
        <item x="65"/>
        <item x="100"/>
        <item x="2"/>
        <item x="37"/>
        <item x="96"/>
        <item x="26"/>
        <item x="27"/>
        <item x="110"/>
        <item x="8"/>
        <item x="95"/>
        <item x="0"/>
        <item x="106"/>
        <item x="99"/>
        <item x="107"/>
        <item x="78"/>
        <item x="74"/>
        <item x="49"/>
        <item x="92"/>
        <item x="30"/>
        <item x="31"/>
        <item x="87"/>
        <item x="13"/>
        <item x="88"/>
        <item x="43"/>
        <item x="12"/>
        <item x="21"/>
        <item x="42"/>
        <item x="70"/>
        <item x="4"/>
        <item x="102"/>
        <item x="66"/>
        <item x="103"/>
        <item x="76"/>
        <item x="25"/>
        <item x="15"/>
        <item x="89"/>
        <item x="69"/>
        <item x="85"/>
        <item x="84"/>
        <item x="83"/>
        <item x="18"/>
        <item x="77"/>
        <item x="16"/>
        <item x="45"/>
        <item x="75"/>
        <item x="53"/>
        <item x="47"/>
        <item x="57"/>
        <item x="55"/>
        <item x="56"/>
        <item x="59"/>
        <item x="5"/>
        <item x="7"/>
        <item x="104"/>
        <item x="39"/>
        <item x="41"/>
        <item x="33"/>
        <item x="36"/>
        <item x="98"/>
        <item x="3"/>
        <item x="63"/>
        <item x="54"/>
        <item x="6"/>
        <item x="58"/>
        <item t="default"/>
      </items>
    </pivotField>
  </pivotFields>
  <rowFields>
    <field x="0"/>
    <field x="2"/>
  </rowFields>
</pivotTableDefinition>
</file>

<file path=xl/tables/table1.xml><?xml version="1.0" encoding="utf-8"?>
<table xmlns="http://schemas.openxmlformats.org/spreadsheetml/2006/main" ref="A1:B100" displayName="Table_1" name="Table_1" id="1">
  <tableColumns count="2">
    <tableColumn name="N" id="1"/>
    <tableColumn name="ID SESSION" id="2"/>
  </tableColumns>
  <tableStyleInfo name="SESSIONS-style" showColumnStripes="0" showFirstColumn="1" showLastColumn="1" showRowStripes="1"/>
</table>
</file>

<file path=xl/tables/table2.xml><?xml version="1.0" encoding="utf-8"?>
<table xmlns="http://schemas.openxmlformats.org/spreadsheetml/2006/main" ref="C1:F100" displayName="Table_4" name="Table_4" id="4">
  <tableColumns count="4">
    <tableColumn name="FORMATION" id="1"/>
    <tableColumn name="DATE" id="2"/>
    <tableColumn name="HEURE DEBUT" id="3"/>
    <tableColumn name="HEURE FIN" id="4"/>
  </tableColumns>
  <tableStyleInfo name="SESSIONS-style 2" showColumnStripes="0" showFirstColumn="1" showLastColumn="1" showRowStripes="1"/>
</table>
</file>

<file path=xl/tables/table3.xml><?xml version="1.0" encoding="utf-8"?>
<table xmlns="http://schemas.openxmlformats.org/spreadsheetml/2006/main" ref="G1:G100" displayName="Table_6" name="Table_6" id="6">
  <tableColumns count="1">
    <tableColumn name="DUREE" id="1"/>
  </tableColumns>
  <tableStyleInfo name="SESSIONS-style 3" showColumnStripes="0" showFirstColumn="1" showLastColumn="1" showRowStripes="1"/>
</table>
</file>

<file path=xl/tables/table4.xml><?xml version="1.0" encoding="utf-8"?>
<table xmlns="http://schemas.openxmlformats.org/spreadsheetml/2006/main" ref="H1:K100" displayName="Table_8" name="Table_8" id="8">
  <tableColumns count="4">
    <tableColumn name="NB DE PLACES" id="1"/>
    <tableColumn name="LIEU" id="2"/>
    <tableColumn name="INFORMATION COMPLEMENTAIRE" id="3"/>
    <tableColumn name="Publier " id="4"/>
  </tableColumns>
  <tableStyleInfo name="SESSIONS-style 4" showColumnStripes="0" showFirstColumn="1" showLastColumn="1" showRowStripes="1"/>
</table>
</file>

<file path=xl/tables/table5.xml><?xml version="1.0" encoding="utf-8"?>
<table xmlns="http://schemas.openxmlformats.org/spreadsheetml/2006/main" headerRowCount="0" ref="L1:Z100" displayName="Table_10" name="Table_10" id="1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ESSION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A35" displayName="Table_2" name="Table_2" id="2">
  <tableColumns count="1">
    <tableColumn name="N" id="1"/>
  </tableColumns>
  <tableStyleInfo name="FORMATIONS-style" showColumnStripes="0" showFirstColumn="1" showLastColumn="1" showRowStripes="1"/>
</table>
</file>

<file path=xl/tables/table7.xml><?xml version="1.0" encoding="utf-8"?>
<table xmlns="http://schemas.openxmlformats.org/spreadsheetml/2006/main" ref="B1:B35" displayName="Table_3" name="Table_3" id="3">
  <tableColumns count="1">
    <tableColumn name="ID FORMATION" id="1"/>
  </tableColumns>
  <tableStyleInfo name="FORMATIONS-style 2" showColumnStripes="0" showFirstColumn="1" showLastColumn="1" showRowStripes="1"/>
</table>
</file>

<file path=xl/tables/table8.xml><?xml version="1.0" encoding="utf-8"?>
<table xmlns="http://schemas.openxmlformats.org/spreadsheetml/2006/main" ref="C1:E35" displayName="Table_5" name="Table_5" id="5">
  <tableColumns count="3">
    <tableColumn name="TITRE DE LA FORMATION" id="1"/>
    <tableColumn name="APPLI" id="2"/>
    <tableColumn name="DESCRIPTION" id="3"/>
  </tableColumns>
  <tableStyleInfo name="FORMATIONS-style 3" showColumnStripes="0" showFirstColumn="1" showLastColumn="1" showRowStripes="1"/>
</table>
</file>

<file path=xl/tables/table9.xml><?xml version="1.0" encoding="utf-8"?>
<table xmlns="http://schemas.openxmlformats.org/spreadsheetml/2006/main" ref="F1:F35" displayName="Table_7" name="Table_7" id="7">
  <tableColumns count="1">
    <tableColumn name="URL IMG APPLI" id="1"/>
  </tableColumns>
  <tableStyleInfo name="FORMATIONS-style 4" showColumnStripes="0" showFirstColumn="1" showLastColumn="1" showRowStripes="1"/>
</table>
</file>

<file path=xl/tables/table10.xml><?xml version="1.0" encoding="utf-8"?>
<table xmlns="http://schemas.openxmlformats.org/spreadsheetml/2006/main" headerRowCount="0" ref="G1:G35" displayName="Table_9" name="Table_9" id="9">
  <tableColumns count="1">
    <tableColumn name="Column1" id="1"/>
  </tableColumns>
  <tableStyleInfo name="FORMATION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H1:K35" displayName="Table_11" name="Table_11" id="11">
  <tableColumns count="4">
    <tableColumn name="TITRE DE LA FORMATION [ID FORMATION]" id="1"/>
    <tableColumn name="IMAGE" id="2"/>
    <tableColumn name="Support" id="3"/>
    <tableColumn name="formulaire de positionnement" id="4"/>
  </tableColumns>
  <tableStyleInfo name="FORMATIONS-style 6" showColumnStripes="0" showFirstColumn="1" showLastColumn="1" showRowStripes="1"/>
</table>
</file>

<file path=xl/tables/table12.xml><?xml version="1.0" encoding="utf-8"?>
<table xmlns="http://schemas.openxmlformats.org/spreadsheetml/2006/main" ref="A1:J14" displayName="Form_Responses" name="Form_Responses" id="12">
  <tableColumns count="10">
    <tableColumn name="Horodateur" id="1"/>
    <tableColumn name="Civilite" id="2"/>
    <tableColumn name="Prenom" id="3"/>
    <tableColumn name="Nom" id="4"/>
    <tableColumn name="Votre Entite" id="5"/>
    <tableColumn name="Inscription a la formation suivante" id="6"/>
    <tableColumn name="Reglement interieur Numericoach" id="7"/>
    <tableColumn name="Unite metier (facultatif)" id="8"/>
    <tableColumn name="Centre / Site (facultatif)" id="9"/>
    <tableColumn name="Adresse e-mail" id="10"/>
  </tableColumns>
  <tableStyleInfo name="INSCRIPTIONSS-style" showColumnStripes="0" showFirstColumn="1" showLastColumn="1" showRowStripes="1"/>
</table>
</file>

<file path=xl/tables/table13.xml><?xml version="1.0" encoding="utf-8"?>
<table xmlns="http://schemas.openxmlformats.org/spreadsheetml/2006/main" ref="A1:Q999" displayName="Table_12" name="Table_12" id="13">
  <tableColumns count="17">
    <tableColumn name="ID Inscription à la formation suivante : " id="1"/>
    <tableColumn name="TITRE de la formation" id="2"/>
    <tableColumn name="Date Session" id="3"/>
    <tableColumn name="Heure Début" id="4"/>
    <tableColumn name="Heure Fin" id="5"/>
    <tableColumn name="Adresse e-mail" id="6"/>
    <tableColumn name="Civilité" id="7"/>
    <tableColumn name="Prénom" id="8"/>
    <tableColumn name="Nom" id="9"/>
    <tableColumn name="Votre Entité" id="10"/>
    <tableColumn name="PDF  CONVOCATION URL" id="11"/>
    <tableColumn name="LIEN DESINSCRIPTION" id="12"/>
    <tableColumn name="PDF CONVOCATION" id="13"/>
    <tableColumn name="DESINSCRIPTION" id="14"/>
    <tableColumn name="DUREE" id="15"/>
    <tableColumn name="PARTICIPATION" id="16"/>
    <tableColumn name="DATE BRUTE" id="17"/>
  </tableColumns>
  <tableStyleInfo name="INSCRIPTIONS OLD-style" showColumnStripes="0" showFirstColumn="1" showLastColumn="1" showRowStripes="1"/>
</table>
</file>

<file path=xl/tables/table14.xml><?xml version="1.0" encoding="utf-8"?>
<table xmlns="http://schemas.openxmlformats.org/spreadsheetml/2006/main" ref="A1:F5" displayName="Table_13" name="Table_13" id="14">
  <tableColumns count="6">
    <tableColumn name="Adresse e-mail" id="1"/>
    <tableColumn name="Civilité" id="2"/>
    <tableColumn name="Prénom" id="3"/>
    <tableColumn name="Nom" id="4"/>
    <tableColumn name="Votre Entité" id="5"/>
    <tableColumn name="Inscription à la formation suivante : " id="6"/>
  </tableColumns>
  <tableStyleInfo name="Détail2-Google Slides, Docs, Sh-style" showColumnStripes="0" showFirstColumn="1" showLastColumn="1" showRowStripes="1"/>
</table>
</file>

<file path=xl/tables/table15.xml><?xml version="1.0" encoding="utf-8"?>
<table xmlns="http://schemas.openxmlformats.org/spreadsheetml/2006/main" ref="A1:N6" displayName="Table_14" name="Table_14" id="15">
  <tableColumns count="14">
    <tableColumn name="Layout" id="1"/>
    <tableColumn name="SESSION" id="2"/>
    <tableColumn name="TITRE FORMATION" id="3"/>
    <tableColumn name="DATE" id="4"/>
    <tableColumn name="HEURE DEBUT" id="5"/>
    <tableColumn name="HEURE FIN" id="6"/>
    <tableColumn name="LIEU" id="7"/>
    <tableColumn name="PLACES RESTANTES" id="8"/>
    <tableColumn name="COMPETENCES" id="9"/>
    <tableColumn name="LIEN INSCRIPTION" id="10"/>
    <tableColumn name="APPLI" id="11"/>
    <tableColumn name="LIEN IMAGE APPLI" id="12"/>
    <tableColumn name="COULEUR APPLI" id="13"/>
    <tableColumn name="DESCRIPTION" id="14"/>
  </tableColumns>
  <tableStyleInfo name="SESSIONS AT-style" showColumnStripes="0" showFirstColumn="1" showLastColumn="1" showRowStripes="1"/>
</table>
</file>

<file path=xl/tables/table16.xml><?xml version="1.0" encoding="utf-8"?>
<table xmlns="http://schemas.openxmlformats.org/spreadsheetml/2006/main" ref="A1:B1000" displayName="Table_15" name="Table_15" id="16">
  <tableColumns count="2">
    <tableColumn name="N" id="1"/>
    <tableColumn name="Lieu id" id="2"/>
  </tableColumns>
  <tableStyleInfo name="LIEUX-style" showColumnStripes="0" showFirstColumn="1" showLastColumn="1" showRowStripes="1"/>
</table>
</file>

<file path=xl/tables/table17.xml><?xml version="1.0" encoding="utf-8"?>
<table xmlns="http://schemas.openxmlformats.org/spreadsheetml/2006/main" ref="C1:H1000" displayName="Table_16" name="Table_16" id="17">
  <tableColumns count="6">
    <tableColumn name="NOM" id="1"/>
    <tableColumn name="ADRESSE" id="2"/>
    <tableColumn name="CP " id="3"/>
    <tableColumn name="VILLE" id="4"/>
    <tableColumn name="ACCES" id="5"/>
    <tableColumn name="LIEN MAP" id="6"/>
  </tableColumns>
  <tableStyleInfo name="LIEUX-style 2" showColumnStripes="0" showFirstColumn="1" showLastColumn="1" showRowStripes="1"/>
</table>
</file>

<file path=xl/tables/table18.xml><?xml version="1.0" encoding="utf-8"?>
<table xmlns="http://schemas.openxmlformats.org/spreadsheetml/2006/main" ref="I1:J1000" displayName="Table_17" name="Table_17" id="18">
  <tableColumns count="2">
    <tableColumn name="NOM [Lieu id]" id="1"/>
    <tableColumn name="NOM (VILLE)" id="2"/>
  </tableColumns>
  <tableStyleInfo name="LIEUX-style 3" showColumnStripes="0" showFirstColumn="1" showLastColumn="1" showRowStripes="1"/>
</table>
</file>

<file path=xl/tables/table19.xml><?xml version="1.0" encoding="utf-8"?>
<table xmlns="http://schemas.openxmlformats.org/spreadsheetml/2006/main" ref="A1:F17" displayName="Table_18" name="Table_18" id="19">
  <tableColumns count="6">
    <tableColumn name="EMAIL CG" id="1"/>
    <tableColumn name="POSTE" id="2"/>
    <tableColumn name="TEL" id="3"/>
    <tableColumn name="PRENOM" id="4"/>
    <tableColumn name="NOM" id="5"/>
    <tableColumn name="PRENOM NOM" id="6"/>
  </tableColumns>
  <tableStyleInfo name="CHARGES DE FORMATION-style" showColumnStripes="0" showFirstColumn="1" showLastColumn="1" showRowStripes="1"/>
</table>
</file>

<file path=xl/tables/table20.xml><?xml version="1.0" encoding="utf-8"?>
<table xmlns="http://schemas.openxmlformats.org/spreadsheetml/2006/main" ref="A1:A19" displayName="Table_19" name="Table_19" id="20">
  <tableColumns count="1">
    <tableColumn name="ID" id="1"/>
  </tableColumns>
  <tableStyleInfo name="ENTITES-style" showColumnStripes="0" showFirstColumn="1" showLastColumn="1" showRowStripes="1"/>
</table>
</file>

<file path=xl/tables/table21.xml><?xml version="1.0" encoding="utf-8"?>
<table xmlns="http://schemas.openxmlformats.org/spreadsheetml/2006/main" ref="B1:K19" displayName="Table_20" name="Table_20" id="21">
  <tableColumns count="10">
    <tableColumn name="DENOMINATION" id="1"/>
    <tableColumn name="NOM" id="2"/>
    <tableColumn name="MARQUE" id="3"/>
    <tableColumn name="RF 1" id="4"/>
    <tableColumn name="RF 2" id="5"/>
    <tableColumn name="LIEN LOGO" id="6"/>
    <tableColumn name="ADRESSE" id="7"/>
    <tableColumn name="ADRESSE SUITE" id="8"/>
    <tableColumn name="CP" id="9"/>
    <tableColumn name="VILLE" id="10"/>
  </tableColumns>
  <tableStyleInfo name="ENTITES-style 2" showColumnStripes="0" showFirstColumn="1" showLastColumn="1" showRowStripes="1"/>
</table>
</file>

<file path=xl/tables/table22.xml><?xml version="1.0" encoding="utf-8"?>
<table xmlns="http://schemas.openxmlformats.org/spreadsheetml/2006/main" headerRowCount="0" ref="L1:L19" displayName="Table_21" name="Table_21" id="22">
  <tableColumns count="1">
    <tableColumn name="Column1" id="1"/>
  </tableColumns>
  <tableStyleInfo name="ENTITE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1:BA1" displayName="Table_22" name="Table_22" id="23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INSCRIPTIONS FOR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ref="A1:D4" displayName="Table_23" name="Table_23" id="24">
  <tableColumns count="4">
    <tableColumn name="TIME" id="1"/>
    <tableColumn name="EMAIL" id="2"/>
    <tableColumn name="SESSION" id="3"/>
    <tableColumn name="COMMENTAIRE" id="4"/>
  </tableColumns>
  <tableStyleInfo name="INSCRIPTIONS ERREURS-style" showColumnStripes="0" showFirstColumn="1" showLastColumn="1" showRowStripes="1"/>
</table>
</file>

<file path=xl/tables/table25.xml><?xml version="1.0" encoding="utf-8"?>
<table xmlns="http://schemas.openxmlformats.org/spreadsheetml/2006/main" ref="A1:E2" displayName="Form_Responses2" name="Form_Responses2" id="25">
  <tableColumns count="5">
    <tableColumn name="Horodateur" id="1"/>
    <tableColumn name="Adresse e-mail" id="2"/>
    <tableColumn name="Session de formation concernée par la désinscription" id="3"/>
    <tableColumn name="Pour quelle raison demandez-vous une désinscription ?" id="4"/>
    <tableColumn name="Confirmez votre désinscription" id="5"/>
  </tableColumns>
  <tableStyleInfo name="DESINSCRIPTIONS-style" showColumnStripes="0" showFirstColumn="1" showLastColumn="1" showRowStripes="1"/>
</table>
</file>

<file path=xl/tables/table26.xml><?xml version="1.0" encoding="utf-8"?>
<table xmlns="http://schemas.openxmlformats.org/spreadsheetml/2006/main" ref="A1:G138" displayName="Table_24" name="Table_24" id="26">
  <tableColumns count="7">
    <tableColumn name="Votre MailID Session de formation concernée par la désinscription" id="1"/>
    <tableColumn name="Horodateur" id="2"/>
    <tableColumn name="Votre Mail" id="3"/>
    <tableColumn name="Session de formation concernée par la désinscription" id="4"/>
    <tableColumn name="Confirmez votre désinscription" id="5"/>
    <tableColumn name="Pour quelle raison demandez-vous une désinscription ?" id="6"/>
    <tableColumn name="ID Session de formation concernée par la désinscription" id="7"/>
  </tableColumns>
  <tableStyleInfo name="DESINSCRIPTION FORM-style" showColumnStripes="0" showFirstColumn="1" showLastColumn="1" showRowStripes="1"/>
</table>
</file>

<file path=xl/tables/table27.xml><?xml version="1.0" encoding="utf-8"?>
<table xmlns="http://schemas.openxmlformats.org/spreadsheetml/2006/main" ref="A1:C1000" displayName="Table_25" name="Table_25" id="27">
  <tableColumns count="3">
    <tableColumn name="APPLI" id="1"/>
    <tableColumn name="CMP-CODE" id="2"/>
    <tableColumn name="COMPETENCE" id="3"/>
  </tableColumns>
  <tableStyleInfo name="IMPORT COMPETEN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tes.google.com/numericoach.fr/testleroymerlin/accueil" TargetMode="External"/><Relationship Id="rId2" Type="http://schemas.openxmlformats.org/officeDocument/2006/relationships/hyperlink" Target="https://meet.google.com/apv-qoem-zpc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hierryvanoffe.com/numiel/CalendarGmailMeet.png" TargetMode="External"/><Relationship Id="rId2" Type="http://schemas.openxmlformats.org/officeDocument/2006/relationships/hyperlink" Target="https://docs.google.com/forms/d/e/1FAIpQLSdmeQMPzCl85UWSmWM6LueOMRFYiRJX2kBSe_mxX7hCk60fPA/viewform?usp=pp_url&amp;entry.2116080188=Gmail%20Agenda%20Meet%20mardi%2021%20juillet%202026%20%5BSES-0001%5D" TargetMode="External"/><Relationship Id="rId3" Type="http://schemas.openxmlformats.org/officeDocument/2006/relationships/hyperlink" Target="https://docs.google.com/forms/d/e/1FAIpQLSdmeQMPzCl85UWSmWM6LueOMRFYiRJX2kBSe_mxX7hCk60fPA/viewform?usp=pp_url&amp;entry.2116080188=Gemini%20jeudi%2023%20juillet%202026%20%5BSES-0002%5D" TargetMode="External"/><Relationship Id="rId4" Type="http://schemas.openxmlformats.org/officeDocument/2006/relationships/hyperlink" Target="https://docs.google.com/forms/d/e/1FAIpQLSdmeQMPzCl85UWSmWM6LueOMRFYiRJX2kBSe_mxX7hCk60fPA/viewform?usp=pp_url&amp;entry.2116080188=Gemini%20jeudi%2023%20juillet%202026%20%5BSES-0003%5D" TargetMode="Externa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hierryvanoffe.com/numiel/CalendarGmailMeet.png" TargetMode="External"/><Relationship Id="rId2" Type="http://schemas.openxmlformats.org/officeDocument/2006/relationships/drawing" Target="../drawings/drawing4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4.xml"/></Relationships>
</file>

<file path=xl/worksheets/_rels/sheet1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t8niSY4XE_MI9KuN84vlT_-APdTBUBCO/view?usp=drivesdk" TargetMode="External"/><Relationship Id="rId194" Type="http://schemas.openxmlformats.org/officeDocument/2006/relationships/hyperlink" Target="https://drive.google.com/file/d/1kKK_D_WJB57LhYEMSnTTWwMGUqiFBUad/view?usp=drivesdk" TargetMode="External"/><Relationship Id="rId193" Type="http://schemas.openxmlformats.org/officeDocument/2006/relationships/hyperlink" Target="https://drive.google.com/file/d/1eGd2BdZaQ6ltzpvtvjceCPxDU6vtDIvC/view?usp=drivesdk" TargetMode="External"/><Relationship Id="rId192" Type="http://schemas.openxmlformats.org/officeDocument/2006/relationships/hyperlink" Target="https://drive.google.com/file/d/1cLtyBrVO_NZMIIdN-DjFqk2MPH2eDjJQ/view?usp=drivesdk" TargetMode="External"/><Relationship Id="rId191" Type="http://schemas.openxmlformats.org/officeDocument/2006/relationships/hyperlink" Target="https://drive.google.com/file/d/1c-z9NkxULLElSdrFqLMaGGqvyzQmDf41/view?usp=drivesdk" TargetMode="External"/><Relationship Id="rId187" Type="http://schemas.openxmlformats.org/officeDocument/2006/relationships/hyperlink" Target="https://drive.google.com/file/d/1q8tdEoXv5rhhLCmTDmVCGnWX3EmRo9EH/view?usp=drivesdk" TargetMode="External"/><Relationship Id="rId186" Type="http://schemas.openxmlformats.org/officeDocument/2006/relationships/hyperlink" Target="https://drive.google.com/file/d/1ZYXB8ov0asz0QUNQQp9CaSQE0xfDXUVi/view?usp=drivesdk" TargetMode="External"/><Relationship Id="rId185" Type="http://schemas.openxmlformats.org/officeDocument/2006/relationships/hyperlink" Target="https://drive.google.com/file/d/11duMR8Y-8Wep_klG1alGaYQSHTwEXRDz/view?usp=drivesdk" TargetMode="External"/><Relationship Id="rId184" Type="http://schemas.openxmlformats.org/officeDocument/2006/relationships/hyperlink" Target="https://drive.google.com/file/d/12VWpt2T9D8QbirT8_Ko4KeKbRLGFHlSm/view?usp=drivesdk" TargetMode="External"/><Relationship Id="rId189" Type="http://schemas.openxmlformats.org/officeDocument/2006/relationships/hyperlink" Target="https://drive.google.com/file/d/1Of5chJ8axEkvVBP4gPgwZkCImRDiFGrh/view?usp=drivesdk" TargetMode="External"/><Relationship Id="rId188" Type="http://schemas.openxmlformats.org/officeDocument/2006/relationships/hyperlink" Target="https://drive.google.com/file/d/1g2mRiEsHCEjjaBbFVga82ucRNGgPWpzV/view?usp=drivesdk" TargetMode="External"/><Relationship Id="rId183" Type="http://schemas.openxmlformats.org/officeDocument/2006/relationships/hyperlink" Target="https://drive.google.com/file/d/1gmI-zZLmGTQWr0UjI80Z84P9mKvWas5h/view?usp=drivesdk" TargetMode="External"/><Relationship Id="rId182" Type="http://schemas.openxmlformats.org/officeDocument/2006/relationships/hyperlink" Target="https://drive.google.com/file/d/1cRjGBO9xAXNONFHRHSs264UhApdqf9ND/view?usp=drivesdk" TargetMode="External"/><Relationship Id="rId181" Type="http://schemas.openxmlformats.org/officeDocument/2006/relationships/hyperlink" Target="https://drive.google.com/file/d/1Un7Pa3AOnFdWOulbj9iEoSf1ZvVwIaHS/view?usp=drivesdk" TargetMode="External"/><Relationship Id="rId180" Type="http://schemas.openxmlformats.org/officeDocument/2006/relationships/hyperlink" Target="https://drive.google.com/file/d/1ndoK-Q6McLyRzDpU0QMn98-rLHOztXJd/view?usp=drivesdk" TargetMode="External"/><Relationship Id="rId176" Type="http://schemas.openxmlformats.org/officeDocument/2006/relationships/hyperlink" Target="https://drive.google.com/file/d/1brmd3rzMxmex_YuEwGBXeUvEEN8OTW3z/view?usp=drivesdk" TargetMode="External"/><Relationship Id="rId175" Type="http://schemas.openxmlformats.org/officeDocument/2006/relationships/hyperlink" Target="https://drive.google.com/file/d/179Jh5AGU-7FFmTMTJ2QtSd3O-3DueQL6/view?usp=drivesdk" TargetMode="External"/><Relationship Id="rId174" Type="http://schemas.openxmlformats.org/officeDocument/2006/relationships/hyperlink" Target="https://drive.google.com/file/d/1hU0gPaRvyUhJOGYdpL7Amq8lt1DAfPJP/view?usp=drivesdk" TargetMode="External"/><Relationship Id="rId173" Type="http://schemas.openxmlformats.org/officeDocument/2006/relationships/hyperlink" Target="https://drive.google.com/file/d/1I_cIPHxzSV2KFgquGErqv6aLrsl8c8hY/view?usp=drivesdk" TargetMode="External"/><Relationship Id="rId179" Type="http://schemas.openxmlformats.org/officeDocument/2006/relationships/hyperlink" Target="https://drive.google.com/file/d/16sxrumbY6mXmvPz2DOwcX1mFvC4Yns7u/view?usp=drivesdk" TargetMode="External"/><Relationship Id="rId178" Type="http://schemas.openxmlformats.org/officeDocument/2006/relationships/hyperlink" Target="https://drive.google.com/file/d/1FQcOrx0L2jG_9wOJfypgbZezmt_BleEy/view?usp=drivesdk" TargetMode="External"/><Relationship Id="rId177" Type="http://schemas.openxmlformats.org/officeDocument/2006/relationships/hyperlink" Target="https://drive.google.com/file/d/1jSU3WTNOtkEMunRrRgSuuPojl74D103j/view?usp=drivesdk" TargetMode="External"/><Relationship Id="rId198" Type="http://schemas.openxmlformats.org/officeDocument/2006/relationships/hyperlink" Target="https://drive.google.com/file/d/1odeVu2MGo5_z8U7SDi4csYPl1wVihRKS/view?usp=drivesdk" TargetMode="External"/><Relationship Id="rId197" Type="http://schemas.openxmlformats.org/officeDocument/2006/relationships/hyperlink" Target="https://drive.google.com/file/d/1SY5BojdRov2HRVH9vLxnZmFfhwSNhkoj/view?usp=drivesdk" TargetMode="External"/><Relationship Id="rId196" Type="http://schemas.openxmlformats.org/officeDocument/2006/relationships/hyperlink" Target="https://drive.google.com/file/d/1y40v7mAubwpNOrTTB_wXfOCrTREzwbQ5/view?usp=drivesdk" TargetMode="External"/><Relationship Id="rId195" Type="http://schemas.openxmlformats.org/officeDocument/2006/relationships/hyperlink" Target="https://drive.google.com/file/d/1gy5gEKrTn3Ch9U2-YneVwBqNcGGOCQDV/view?usp=drivesdk" TargetMode="External"/><Relationship Id="rId199" Type="http://schemas.openxmlformats.org/officeDocument/2006/relationships/hyperlink" Target="https://drive.google.com/file/d/1q7hE2uvLNPj5usppxeSdzAfODTMjTfal/view?usp=drivesdk" TargetMode="External"/><Relationship Id="rId150" Type="http://schemas.openxmlformats.org/officeDocument/2006/relationships/hyperlink" Target="https://drive.google.com/file/d/1V1pwKKt-MsxZNEqZOHni1jdK_L1ZwrE3/view?usp=drivesdk" TargetMode="External"/><Relationship Id="rId392" Type="http://schemas.openxmlformats.org/officeDocument/2006/relationships/hyperlink" Target="https://drive.google.com/file/d/1A19-bVyRzk34Ls5GfZ5YMq8hltMHPqVZ/view?usp=drivesdk" TargetMode="External"/><Relationship Id="rId391" Type="http://schemas.openxmlformats.org/officeDocument/2006/relationships/hyperlink" Target="https://drive.google.com/file/d/108AO5a8RfvV858onNNyJWTmv6c_eosDJ/view?usp=drivesdk" TargetMode="External"/><Relationship Id="rId390" Type="http://schemas.openxmlformats.org/officeDocument/2006/relationships/hyperlink" Target="https://drive.google.com/file/d/1vZ1FpmPs5GCBq7XHftDPZg1cm4A9O-Ux/view?usp=drivesdk" TargetMode="External"/><Relationship Id="rId1" Type="http://schemas.openxmlformats.org/officeDocument/2006/relationships/hyperlink" Target="https://drive.google.com/file/d/1zMZ07vrHqxepk0rVVoD8IQV46RSsfYNt/view?usp=drivesdk" TargetMode="External"/><Relationship Id="rId2" Type="http://schemas.openxmlformats.org/officeDocument/2006/relationships/hyperlink" Target="https://drive.google.com/file/d/1dvN9USr_A-jLeDk6BrPj1JqN5TE1_GJY/view?usp=drivesdk" TargetMode="External"/><Relationship Id="rId3" Type="http://schemas.openxmlformats.org/officeDocument/2006/relationships/hyperlink" Target="https://drive.google.com/file/d/1278sYVxEa5a7mKCQP3gtUOqK2xkycD85/view?usp=drivesdk" TargetMode="External"/><Relationship Id="rId149" Type="http://schemas.openxmlformats.org/officeDocument/2006/relationships/hyperlink" Target="https://drive.google.com/file/d/1koVMtoOz-l7iZIKYz5e8_FWKuqu6HTmK/view?usp=drivesdk" TargetMode="External"/><Relationship Id="rId4" Type="http://schemas.openxmlformats.org/officeDocument/2006/relationships/hyperlink" Target="https://drive.google.com/file/d/1Takmp2jWDsv1zWk1MIcrhqpdE62YNSjb/view?usp=drivesdk" TargetMode="External"/><Relationship Id="rId148" Type="http://schemas.openxmlformats.org/officeDocument/2006/relationships/hyperlink" Target="https://drive.google.com/file/d/1794WowGF1BNF06kn1gC-lFU51ri5_Kmm/view?usp=drivesdk" TargetMode="External"/><Relationship Id="rId1090" Type="http://schemas.openxmlformats.org/officeDocument/2006/relationships/hyperlink" Target="https://drive.google.com/file/d/1f7ofcg1mXKUpndLBz4gqftmK6wKjuFjE/view?usp=drivesdk" TargetMode="External"/><Relationship Id="rId1091" Type="http://schemas.openxmlformats.org/officeDocument/2006/relationships/hyperlink" Target="https://drive.google.com/file/d/1eU9dLXhs5A24PLdd4_CEpmX5te7n-wm_/view?usp=drivesdk" TargetMode="External"/><Relationship Id="rId1092" Type="http://schemas.openxmlformats.org/officeDocument/2006/relationships/hyperlink" Target="https://drive.google.com/file/d/1vvQPzWUUzbFBZnYgiRjoxPxKzTWhQCRQ/view?usp=drivesdk" TargetMode="External"/><Relationship Id="rId1093" Type="http://schemas.openxmlformats.org/officeDocument/2006/relationships/hyperlink" Target="https://drive.google.com/file/d/1MhcTBeRPV0VHCMQNW4rxL-l0X1AuspJO/view?usp=drivesdk" TargetMode="External"/><Relationship Id="rId1094" Type="http://schemas.openxmlformats.org/officeDocument/2006/relationships/hyperlink" Target="https://drive.google.com/file/d/1DytwtG6TuA4xveEWfNOKzrbTn0bFDUG_/view?usp=drivesdk" TargetMode="External"/><Relationship Id="rId9" Type="http://schemas.openxmlformats.org/officeDocument/2006/relationships/hyperlink" Target="https://drive.google.com/file/d/1nWVKb7t100NgycGki0J9UFu46wNxwtOf/view?usp=drivesdk" TargetMode="External"/><Relationship Id="rId143" Type="http://schemas.openxmlformats.org/officeDocument/2006/relationships/hyperlink" Target="https://drive.google.com/file/d/116t9NncHlCCzBe49EN2TZpBLPLM6J0ID/view?usp=drivesdk" TargetMode="External"/><Relationship Id="rId385" Type="http://schemas.openxmlformats.org/officeDocument/2006/relationships/hyperlink" Target="https://drive.google.com/file/d/1aIDlRtu18MbUcMTzMuhceHgc5HmhobX2/view?usp=drivesdk" TargetMode="External"/><Relationship Id="rId1095" Type="http://schemas.openxmlformats.org/officeDocument/2006/relationships/hyperlink" Target="https://drive.google.com/file/d/1H1hhRGYq_8W_jfVXO21o_PkAg7iyl7-p/view?usp=drivesdk" TargetMode="External"/><Relationship Id="rId142" Type="http://schemas.openxmlformats.org/officeDocument/2006/relationships/hyperlink" Target="https://drive.google.com/file/d/1uNYUBcUh4wBV0YieFWDbyDAhsdVlrAsq/view?usp=drivesdk" TargetMode="External"/><Relationship Id="rId384" Type="http://schemas.openxmlformats.org/officeDocument/2006/relationships/hyperlink" Target="https://drive.google.com/file/d/1ldGi1Yilwg545T7r9AfbGNEdPw--Nl-Y/view?usp=drivesdk" TargetMode="External"/><Relationship Id="rId1096" Type="http://schemas.openxmlformats.org/officeDocument/2006/relationships/hyperlink" Target="https://drive.google.com/file/d/1S9LXtcF1ALkwC-YdgbAcFySFjA2qKbdu/view?usp=drivesdk" TargetMode="External"/><Relationship Id="rId141" Type="http://schemas.openxmlformats.org/officeDocument/2006/relationships/hyperlink" Target="https://drive.google.com/file/d/1lkWIU5mHiG_rgyP7yp5AN-X_6b9okX67/view?usp=drivesdk" TargetMode="External"/><Relationship Id="rId383" Type="http://schemas.openxmlformats.org/officeDocument/2006/relationships/hyperlink" Target="https://drive.google.com/file/d/12zEbo2L-KRNjb-mZybDsD_umg4xHCyNg/view?usp=drivesdk" TargetMode="External"/><Relationship Id="rId1097" Type="http://schemas.openxmlformats.org/officeDocument/2006/relationships/hyperlink" Target="https://drive.google.com/file/d/1riPHHNSOmevTXI7q8SZE8GoyWxwf5vX8/view?usp=drivesdk" TargetMode="External"/><Relationship Id="rId140" Type="http://schemas.openxmlformats.org/officeDocument/2006/relationships/hyperlink" Target="https://drive.google.com/file/d/1Bl-vpijN0ZhRcCcrVUSxI7Y-gz6GzIZG/view?usp=drivesdk" TargetMode="External"/><Relationship Id="rId382" Type="http://schemas.openxmlformats.org/officeDocument/2006/relationships/hyperlink" Target="https://drive.google.com/file/d/1Tp40kIzezeUy2j5SstrNy4LVcn9r5sF3/view?usp=drivesdk" TargetMode="External"/><Relationship Id="rId1098" Type="http://schemas.openxmlformats.org/officeDocument/2006/relationships/hyperlink" Target="https://drive.google.com/file/d/1XbaOZCRGs3OhKcC--Ca76Klidf_xlTr0/view?usp=drivesdk" TargetMode="External"/><Relationship Id="rId5" Type="http://schemas.openxmlformats.org/officeDocument/2006/relationships/hyperlink" Target="https://drive.google.com/file/d/1gAqHpK0EvehjjlHF57Ph3M8CDtuJxmQe/view?usp=drivesdk" TargetMode="External"/><Relationship Id="rId147" Type="http://schemas.openxmlformats.org/officeDocument/2006/relationships/hyperlink" Target="https://drive.google.com/file/d/1Uhimiz-QqpyLKmqKFVl5_jNoLY0XNW6n/view?usp=drivesdk" TargetMode="External"/><Relationship Id="rId389" Type="http://schemas.openxmlformats.org/officeDocument/2006/relationships/hyperlink" Target="https://drive.google.com/file/d/19DljcYkBIkWcjbe0pi2l7VZckodsdhmf/view?usp=drivesdk" TargetMode="External"/><Relationship Id="rId1099" Type="http://schemas.openxmlformats.org/officeDocument/2006/relationships/hyperlink" Target="https://drive.google.com/file/d/1umABGAZpPn06feaHOeZ7DKaUin9Ij6YR/view?usp=drivesdk" TargetMode="External"/><Relationship Id="rId6" Type="http://schemas.openxmlformats.org/officeDocument/2006/relationships/hyperlink" Target="https://drive.google.com/file/d/1CxzFE1Wbn_sgLzBSBnkdMsHrjg7rOjGn/view?usp=drivesdk" TargetMode="External"/><Relationship Id="rId146" Type="http://schemas.openxmlformats.org/officeDocument/2006/relationships/hyperlink" Target="https://drive.google.com/file/d/11cU6Ap6H3QR6QHiZ_eAw9MIsKRK5sMjw/view?usp=drivesdk" TargetMode="External"/><Relationship Id="rId388" Type="http://schemas.openxmlformats.org/officeDocument/2006/relationships/hyperlink" Target="https://drive.google.com/file/d/15m2deQ8VpQUE6SWdLUY3RF10GPqFvKMi/view?usp=drivesdk" TargetMode="External"/><Relationship Id="rId7" Type="http://schemas.openxmlformats.org/officeDocument/2006/relationships/hyperlink" Target="https://drive.google.com/file/d/1YIOW3D3W8ZL1QSHFeIZD6vJYdy5aSglb/view?usp=drivesdk" TargetMode="External"/><Relationship Id="rId145" Type="http://schemas.openxmlformats.org/officeDocument/2006/relationships/hyperlink" Target="https://drive.google.com/file/d/1a7v_HmH4qCuE3DiiDZIvg3ISEdGIxc6C/view?usp=drivesdk" TargetMode="External"/><Relationship Id="rId387" Type="http://schemas.openxmlformats.org/officeDocument/2006/relationships/hyperlink" Target="https://drive.google.com/file/d/1Nt9hec4-3s-qa-uzeaCksQAD8c6iGSR4/view?usp=drivesdk" TargetMode="External"/><Relationship Id="rId8" Type="http://schemas.openxmlformats.org/officeDocument/2006/relationships/hyperlink" Target="https://drive.google.com/file/d/1vt8MKLhgHt0V4Ivh5fwdORT0lm-DaQsT/view?usp=drivesdk" TargetMode="External"/><Relationship Id="rId144" Type="http://schemas.openxmlformats.org/officeDocument/2006/relationships/hyperlink" Target="https://drive.google.com/file/d/11BIE2K6g0lhZ-mVlynLR3KQ00P2ArWSE/view?usp=drivesdk" TargetMode="External"/><Relationship Id="rId386" Type="http://schemas.openxmlformats.org/officeDocument/2006/relationships/hyperlink" Target="https://drive.google.com/file/d/1aWJ5ws3YbcFSwEb-c7mTPLEnJLEqfSxX/view?usp=drivesdk" TargetMode="External"/><Relationship Id="rId381" Type="http://schemas.openxmlformats.org/officeDocument/2006/relationships/hyperlink" Target="https://drive.google.com/file/d/1L4YlogT7dmwtzKmn0ANJ7L-B8Q8Kei63/view?usp=drivesdk" TargetMode="External"/><Relationship Id="rId380" Type="http://schemas.openxmlformats.org/officeDocument/2006/relationships/hyperlink" Target="https://drive.google.com/file/d/1wRDYQDmtRwmgeYXzIys2jZN25aytzoR9/view?usp=drivesdk" TargetMode="External"/><Relationship Id="rId139" Type="http://schemas.openxmlformats.org/officeDocument/2006/relationships/hyperlink" Target="https://drive.google.com/file/d/11zC2ACDFXAjBZrigXfPpaR0nkq8hr-E9/view?usp=drivesdk" TargetMode="External"/><Relationship Id="rId138" Type="http://schemas.openxmlformats.org/officeDocument/2006/relationships/hyperlink" Target="https://drive.google.com/file/d/1qU6Q6DudzdB90-Z610HylfrD2H-mJh8B/view?usp=drivesdk" TargetMode="External"/><Relationship Id="rId137" Type="http://schemas.openxmlformats.org/officeDocument/2006/relationships/hyperlink" Target="https://drive.google.com/file/d/1Y7MeIcJxVqXDIM5eDqVjdQPGzQW14yHz/view?usp=drivesdk" TargetMode="External"/><Relationship Id="rId379" Type="http://schemas.openxmlformats.org/officeDocument/2006/relationships/hyperlink" Target="https://drive.google.com/file/d/1sx08gDWAzFKCwNChQ7IsUOVl1lWlzRie/view?usp=drivesdk" TargetMode="External"/><Relationship Id="rId1080" Type="http://schemas.openxmlformats.org/officeDocument/2006/relationships/hyperlink" Target="https://drive.google.com/file/d/19qBzoZSWzf1SGv3zfapfcDunFATuGsmL/view?usp=drivesdk" TargetMode="External"/><Relationship Id="rId1081" Type="http://schemas.openxmlformats.org/officeDocument/2006/relationships/hyperlink" Target="https://drive.google.com/file/d/1e902dMdhWc40E4agSuCSB_vGRtEVJgYW/view?usp=drivesdk" TargetMode="External"/><Relationship Id="rId1082" Type="http://schemas.openxmlformats.org/officeDocument/2006/relationships/hyperlink" Target="https://drive.google.com/file/d/1FmNtsxXl5cjkyKWnwEy7CyXzYaiOyptr/view?usp=drivesdk" TargetMode="External"/><Relationship Id="rId1083" Type="http://schemas.openxmlformats.org/officeDocument/2006/relationships/hyperlink" Target="https://drive.google.com/file/d/1We6rj1EE0-hcSXHqPDgneQE1z7na0JdA/view?usp=drivesdk" TargetMode="External"/><Relationship Id="rId132" Type="http://schemas.openxmlformats.org/officeDocument/2006/relationships/hyperlink" Target="https://drive.google.com/file/d/1UTN4k6fCUXjCd0LZ2oIBHuzQAoUDZ7ra/view?usp=drivesdk" TargetMode="External"/><Relationship Id="rId374" Type="http://schemas.openxmlformats.org/officeDocument/2006/relationships/hyperlink" Target="https://drive.google.com/file/d/1FbTtN_iyPwPefP8YlNXUd0Yh9Ye1rV9R/view?usp=drivesdk" TargetMode="External"/><Relationship Id="rId1084" Type="http://schemas.openxmlformats.org/officeDocument/2006/relationships/hyperlink" Target="https://drive.google.com/file/d/1iKBghHE8rRI4TGBJmGuSdFVd6mqsb0e0/view?usp=drivesdk" TargetMode="External"/><Relationship Id="rId131" Type="http://schemas.openxmlformats.org/officeDocument/2006/relationships/hyperlink" Target="https://drive.google.com/file/d/1i0Pnw6Wo8I46YJxE_sx-56-mbLQQ78DY/view?usp=drivesdk" TargetMode="External"/><Relationship Id="rId373" Type="http://schemas.openxmlformats.org/officeDocument/2006/relationships/hyperlink" Target="https://drive.google.com/file/d/14kJHqcZqVgPGVuP63ePXhZJ77KKpk0hJ/view?usp=drivesdk" TargetMode="External"/><Relationship Id="rId1085" Type="http://schemas.openxmlformats.org/officeDocument/2006/relationships/hyperlink" Target="https://drive.google.com/file/d/1SWmx_y8P3Vk9Ib1CcO8uJpOJCa3R1lBu/view?usp=drivesdk" TargetMode="External"/><Relationship Id="rId130" Type="http://schemas.openxmlformats.org/officeDocument/2006/relationships/hyperlink" Target="https://drive.google.com/file/d/1OJ-qud5lbg1Bdro-GQ5ri7Q_xQ2S-Gf2/view?usp=drivesdk" TargetMode="External"/><Relationship Id="rId372" Type="http://schemas.openxmlformats.org/officeDocument/2006/relationships/hyperlink" Target="https://drive.google.com/file/d/1BlubGnbwk3jRf39NAdtDsKcXiQGIAlJy/view?usp=drivesdk" TargetMode="External"/><Relationship Id="rId1086" Type="http://schemas.openxmlformats.org/officeDocument/2006/relationships/hyperlink" Target="https://drive.google.com/file/d/1PZJPGN4W_T71Fzi_NQFyYrblwzPhpwKX/view?usp=drivesdk" TargetMode="External"/><Relationship Id="rId371" Type="http://schemas.openxmlformats.org/officeDocument/2006/relationships/hyperlink" Target="https://drive.google.com/file/d/10GC1D3vNZxS_itq06gvOQSUPlPFOWLoQ/view?usp=drivesdk" TargetMode="External"/><Relationship Id="rId1087" Type="http://schemas.openxmlformats.org/officeDocument/2006/relationships/hyperlink" Target="https://drive.google.com/file/d/1ugMSDQnr6uZitdo5xT3R3u5CQpWN8JYn/view?usp=drivesdk" TargetMode="External"/><Relationship Id="rId136" Type="http://schemas.openxmlformats.org/officeDocument/2006/relationships/hyperlink" Target="https://drive.google.com/file/d/1nii93Fi7g6oOGpomNjYTMV5xXb_4oPU3/view?usp=drivesdk" TargetMode="External"/><Relationship Id="rId378" Type="http://schemas.openxmlformats.org/officeDocument/2006/relationships/hyperlink" Target="https://drive.google.com/file/d/1bo6X1jO9040rWMPm0zB6hUTrYOr_Vf3T/view?usp=drivesdk" TargetMode="External"/><Relationship Id="rId1088" Type="http://schemas.openxmlformats.org/officeDocument/2006/relationships/hyperlink" Target="https://drive.google.com/file/d/1BWlRs-Q01o8s_nuJ8J5eVTgUGF2W7ItV/view?usp=drivesdk" TargetMode="External"/><Relationship Id="rId135" Type="http://schemas.openxmlformats.org/officeDocument/2006/relationships/hyperlink" Target="https://drive.google.com/file/d/1ghVyAE0llulwTOdsLSW5xAq3iYY5cBvd/view?usp=drivesdk" TargetMode="External"/><Relationship Id="rId377" Type="http://schemas.openxmlformats.org/officeDocument/2006/relationships/hyperlink" Target="https://drive.google.com/file/d/1y790UBl_WOyGoZBwkKja8W08qYknVl5E/view?usp=drivesdk" TargetMode="External"/><Relationship Id="rId1089" Type="http://schemas.openxmlformats.org/officeDocument/2006/relationships/hyperlink" Target="https://drive.google.com/file/d/172mR11ssMb_HaBLZaZ_QmSEJvxOP7Wf3/view?usp=drivesdk" TargetMode="External"/><Relationship Id="rId134" Type="http://schemas.openxmlformats.org/officeDocument/2006/relationships/hyperlink" Target="https://drive.google.com/file/d/1H0nyppk3kD6ruKAdFJCEerkU4yiAQERZ/view?usp=drivesdk" TargetMode="External"/><Relationship Id="rId376" Type="http://schemas.openxmlformats.org/officeDocument/2006/relationships/hyperlink" Target="https://drive.google.com/file/d/1m6R8NS7VIceFSvrMoprvXlnwzHDZuVKP/view?usp=drivesdk" TargetMode="External"/><Relationship Id="rId133" Type="http://schemas.openxmlformats.org/officeDocument/2006/relationships/hyperlink" Target="https://drive.google.com/file/d/1pwawE6hlLlyhDKznYGEftRuGL_Cb94pt/view?usp=drivesdk" TargetMode="External"/><Relationship Id="rId375" Type="http://schemas.openxmlformats.org/officeDocument/2006/relationships/hyperlink" Target="https://drive.google.com/file/d/1xnfgUh7utvQcRrstZsWuoHaKozmTv9bo/view?usp=drivesdk" TargetMode="External"/><Relationship Id="rId172" Type="http://schemas.openxmlformats.org/officeDocument/2006/relationships/hyperlink" Target="https://drive.google.com/file/d/1viZhDu_YWgaj97NqRgWk2__R9BCpSDvR/view?usp=drivesdk" TargetMode="External"/><Relationship Id="rId171" Type="http://schemas.openxmlformats.org/officeDocument/2006/relationships/hyperlink" Target="https://drive.google.com/file/d/1ObYQsydH_YKf-XJNNTrMBNuYvMss_3MC/view?usp=drivesdk" TargetMode="External"/><Relationship Id="rId170" Type="http://schemas.openxmlformats.org/officeDocument/2006/relationships/hyperlink" Target="https://drive.google.com/file/d/1EmfCKpJrMPm0qxAKJ3ev8p2yUvYvKxBA/view?usp=drivesdk" TargetMode="External"/><Relationship Id="rId165" Type="http://schemas.openxmlformats.org/officeDocument/2006/relationships/hyperlink" Target="https://drive.google.com/file/d/1J1sL0fbwmY9-Uz7zN4VthagnmsKLvIa6/view?usp=drivesdk" TargetMode="External"/><Relationship Id="rId164" Type="http://schemas.openxmlformats.org/officeDocument/2006/relationships/hyperlink" Target="https://drive.google.com/file/d/1Rk_HoP779xH26JMjWHGIg0lT4uPTFLCS/view?usp=drivesdk" TargetMode="External"/><Relationship Id="rId163" Type="http://schemas.openxmlformats.org/officeDocument/2006/relationships/hyperlink" Target="https://drive.google.com/file/d/1PcHyPZ6WYVmCzbfFXmUkl6nkGNy_qarS/view?usp=drivesdk" TargetMode="External"/><Relationship Id="rId162" Type="http://schemas.openxmlformats.org/officeDocument/2006/relationships/hyperlink" Target="https://drive.google.com/file/d/1l2cJMylOUw8atXrvqrMebUt-YE7MAp3G/view?usp=drivesdk" TargetMode="External"/><Relationship Id="rId169" Type="http://schemas.openxmlformats.org/officeDocument/2006/relationships/hyperlink" Target="https://drive.google.com/file/d/1zTcRLAoiCi32Cy7Cy70nIrDkZGAqBSf7/view?usp=drivesdk" TargetMode="External"/><Relationship Id="rId168" Type="http://schemas.openxmlformats.org/officeDocument/2006/relationships/hyperlink" Target="https://drive.google.com/file/d/19g86C-a_tX3SPboLnyYpQ4AKZ3CYOSBd/view?usp=drivesdk" TargetMode="External"/><Relationship Id="rId167" Type="http://schemas.openxmlformats.org/officeDocument/2006/relationships/hyperlink" Target="https://drive.google.com/file/d/1fn5wBLIUzur1n9Ga60uNNHzUQd-00FwJ/view?usp=drivesdk" TargetMode="External"/><Relationship Id="rId166" Type="http://schemas.openxmlformats.org/officeDocument/2006/relationships/hyperlink" Target="https://drive.google.com/file/d/1kbYjHAmgLUbkQ9pxr6aRlOpdX3gVRvVq/view?usp=drivesdk" TargetMode="External"/><Relationship Id="rId161" Type="http://schemas.openxmlformats.org/officeDocument/2006/relationships/hyperlink" Target="https://drive.google.com/file/d/1sfCD9XoXJ2ZnnvrmuNpYBS2r4f89lNgE/view?usp=drivesdk" TargetMode="External"/><Relationship Id="rId160" Type="http://schemas.openxmlformats.org/officeDocument/2006/relationships/hyperlink" Target="https://drive.google.com/file/d/1P6Ugj_P7u6XM5GNKwnZCxC1CqMKFoTdW/view?usp=drivesdk" TargetMode="External"/><Relationship Id="rId159" Type="http://schemas.openxmlformats.org/officeDocument/2006/relationships/hyperlink" Target="https://drive.google.com/file/d/1fj7RBaRfzBtvIZgmvFdnRktWcKI6WkEt/view?usp=drivesdk" TargetMode="External"/><Relationship Id="rId154" Type="http://schemas.openxmlformats.org/officeDocument/2006/relationships/hyperlink" Target="https://drive.google.com/file/d/1COlYWVj-BUsAUiBx46CLBybtXaAcJ_mn/view?usp=drivesdk" TargetMode="External"/><Relationship Id="rId396" Type="http://schemas.openxmlformats.org/officeDocument/2006/relationships/hyperlink" Target="https://drive.google.com/file/d/1MfyzFqnJ--UfG3LjPJTKcYqQNO5xZ5yc/view?usp=drivesdk" TargetMode="External"/><Relationship Id="rId153" Type="http://schemas.openxmlformats.org/officeDocument/2006/relationships/hyperlink" Target="https://drive.google.com/file/d/11BO9dNjJi9B2S9sSegxdDa0RF8tIJuMG/view?usp=drivesdk" TargetMode="External"/><Relationship Id="rId395" Type="http://schemas.openxmlformats.org/officeDocument/2006/relationships/hyperlink" Target="https://drive.google.com/file/d/1FL1h7hOa2Z3lCTP14stIbMNpeEEsBSib/view?usp=drivesdk" TargetMode="External"/><Relationship Id="rId152" Type="http://schemas.openxmlformats.org/officeDocument/2006/relationships/hyperlink" Target="https://drive.google.com/file/d/1q74UcaW5vSabQmtWkn5eza_jHUoWctcZ/view?usp=drivesdk" TargetMode="External"/><Relationship Id="rId394" Type="http://schemas.openxmlformats.org/officeDocument/2006/relationships/hyperlink" Target="https://drive.google.com/file/d/1BpXJTp2BB4-ILmi5QT1sVCY5OYxm3Cb3/view?usp=drivesdk" TargetMode="External"/><Relationship Id="rId151" Type="http://schemas.openxmlformats.org/officeDocument/2006/relationships/hyperlink" Target="https://drive.google.com/file/d/1FGRHh43YG1MC8nBUt39LvNekXH7eHv7Z/view?usp=drivesdk" TargetMode="External"/><Relationship Id="rId393" Type="http://schemas.openxmlformats.org/officeDocument/2006/relationships/hyperlink" Target="https://drive.google.com/file/d/1pqYKKka5ZgwKmO7pEV6UvHQy3P3Xcs97/view?usp=drivesdk" TargetMode="External"/><Relationship Id="rId158" Type="http://schemas.openxmlformats.org/officeDocument/2006/relationships/hyperlink" Target="https://drive.google.com/file/d/12sifCymyZgFIXJDKDqnbd5Q7vcxz4PSl/view?usp=drivesdk" TargetMode="External"/><Relationship Id="rId157" Type="http://schemas.openxmlformats.org/officeDocument/2006/relationships/hyperlink" Target="https://drive.google.com/file/d/1JJ5vv_wGBt6ZyWXnCbd9HqusMYBUdWCl/view?usp=drivesdk" TargetMode="External"/><Relationship Id="rId399" Type="http://schemas.openxmlformats.org/officeDocument/2006/relationships/hyperlink" Target="https://drive.google.com/file/d/1wD8H0N7psslogXV2Y338b-tu5kJSzjAz/view?usp=drivesdk" TargetMode="External"/><Relationship Id="rId156" Type="http://schemas.openxmlformats.org/officeDocument/2006/relationships/hyperlink" Target="https://drive.google.com/file/d/1ozwVRdg4IwdCjCZ8UQoX9u5eXmq4MjOw/view?usp=drivesdk" TargetMode="External"/><Relationship Id="rId398" Type="http://schemas.openxmlformats.org/officeDocument/2006/relationships/hyperlink" Target="https://drive.google.com/file/d/1XNeff26pe2EWxDuoT9TtrPzB2vQfuSFw/view?usp=drivesdk" TargetMode="External"/><Relationship Id="rId155" Type="http://schemas.openxmlformats.org/officeDocument/2006/relationships/hyperlink" Target="https://drive.google.com/file/d/1zGJyTU7sbcmd_WcJrbJV_1CL1dYhqZ7z/view?usp=drivesdk" TargetMode="External"/><Relationship Id="rId397" Type="http://schemas.openxmlformats.org/officeDocument/2006/relationships/hyperlink" Target="https://drive.google.com/file/d/1JuScUh8o5eH84EO3wonhDdV_hweT7Zh-/view?usp=drivesdk" TargetMode="External"/><Relationship Id="rId808" Type="http://schemas.openxmlformats.org/officeDocument/2006/relationships/hyperlink" Target="https://drive.google.com/file/d/15uvFl6njArvzhWvF3NzVtgS-JUlJGR9f/view?usp=drivesdk" TargetMode="External"/><Relationship Id="rId807" Type="http://schemas.openxmlformats.org/officeDocument/2006/relationships/hyperlink" Target="https://drive.google.com/file/d/1voItg-g_UwJ8AuKnpU0NnfwzYJphJs5c/view?usp=drivesdk" TargetMode="External"/><Relationship Id="rId806" Type="http://schemas.openxmlformats.org/officeDocument/2006/relationships/hyperlink" Target="https://drive.google.com/file/d/1k1_Li6f-L_9wezzvtaF-N-xAHxwzuQoT/view?usp=drivesdk" TargetMode="External"/><Relationship Id="rId805" Type="http://schemas.openxmlformats.org/officeDocument/2006/relationships/hyperlink" Target="https://drive.google.com/file/d/1TEJlPq5969yK0X7DERjQf9yh0BUtMrv8/view?usp=drivesdk" TargetMode="External"/><Relationship Id="rId809" Type="http://schemas.openxmlformats.org/officeDocument/2006/relationships/hyperlink" Target="https://drive.google.com/file/d/1yjnpokQ4EAAvz8kj_tidTA7Q-7RO1rPB/view?usp=drivesdk" TargetMode="External"/><Relationship Id="rId800" Type="http://schemas.openxmlformats.org/officeDocument/2006/relationships/hyperlink" Target="https://drive.google.com/file/d/1B-iCe9qtx1eV8kNJ11BCjbSm8TXE72ez/view?usp=drivesdk" TargetMode="External"/><Relationship Id="rId804" Type="http://schemas.openxmlformats.org/officeDocument/2006/relationships/hyperlink" Target="https://drive.google.com/file/d/1Z-SM3QF83J_Svm42Kiq3mjXFWnosoFn5/view?usp=drivesdk" TargetMode="External"/><Relationship Id="rId803" Type="http://schemas.openxmlformats.org/officeDocument/2006/relationships/hyperlink" Target="https://drive.google.com/file/d/1VZW8jWWQVwNQ8KAAl8nTEQac-Vkpdkvp/view?usp=drivesdk" TargetMode="External"/><Relationship Id="rId802" Type="http://schemas.openxmlformats.org/officeDocument/2006/relationships/hyperlink" Target="https://drive.google.com/file/d/1lGf496vsrYfPV-0ZE1Xf9ClYDE8m8d9Q/view?usp=drivesdk" TargetMode="External"/><Relationship Id="rId801" Type="http://schemas.openxmlformats.org/officeDocument/2006/relationships/hyperlink" Target="https://drive.google.com/file/d/1h6e5h_3XDStIxjeiQ1CbpzOn-E1OR74K/view?usp=drivesdk" TargetMode="External"/><Relationship Id="rId40" Type="http://schemas.openxmlformats.org/officeDocument/2006/relationships/hyperlink" Target="https://drive.google.com/file/d/1jH0Erglc1DkMOmE4CufMtjRspoOqQix5/view?usp=drivesdk" TargetMode="External"/><Relationship Id="rId1334" Type="http://schemas.openxmlformats.org/officeDocument/2006/relationships/drawing" Target="../drawings/drawing13.xml"/><Relationship Id="rId42" Type="http://schemas.openxmlformats.org/officeDocument/2006/relationships/hyperlink" Target="https://drive.google.com/file/d/1hiazb2CGNAMpfSLfnBAAkiiYUrBuTWvv/view?usp=drivesdk" TargetMode="External"/><Relationship Id="rId41" Type="http://schemas.openxmlformats.org/officeDocument/2006/relationships/hyperlink" Target="https://drive.google.com/file/d/1N5M7s1ofNFgcmx_ytzcV2cRHyuH3MqZO/view?usp=drivesdk" TargetMode="External"/><Relationship Id="rId44" Type="http://schemas.openxmlformats.org/officeDocument/2006/relationships/hyperlink" Target="https://drive.google.com/file/d/1kXtYKIT8wmUz34hbVv9ln_pCKE0XzJFB/view?usp=drivesdk" TargetMode="External"/><Relationship Id="rId43" Type="http://schemas.openxmlformats.org/officeDocument/2006/relationships/hyperlink" Target="https://drive.google.com/file/d/11G5y8vWkJeOPOY-b9E1l1U9l8gI2JIh0/view?usp=drivesdk" TargetMode="External"/><Relationship Id="rId46" Type="http://schemas.openxmlformats.org/officeDocument/2006/relationships/hyperlink" Target="https://drive.google.com/file/d/1T8Zq8SVvzlsIvLlyQINNDYuqUWegrpMr/view?usp=drivesdk" TargetMode="External"/><Relationship Id="rId45" Type="http://schemas.openxmlformats.org/officeDocument/2006/relationships/hyperlink" Target="https://drive.google.com/file/d/1pZtqj_fifC2SUVp90mmE4STmtKwu7EsO/view?usp=drivesdk" TargetMode="External"/><Relationship Id="rId509" Type="http://schemas.openxmlformats.org/officeDocument/2006/relationships/hyperlink" Target="https://drive.google.com/file/d/1FAaHZOFWLOwCpRNAkx74X2chbTxJe-CV/view?usp=drivesdk" TargetMode="External"/><Relationship Id="rId508" Type="http://schemas.openxmlformats.org/officeDocument/2006/relationships/hyperlink" Target="https://drive.google.com/file/d/1Yk5ctTSyTiOOmygYo0W1ukHH2-eqZIcm/view?usp=drivesdk" TargetMode="External"/><Relationship Id="rId503" Type="http://schemas.openxmlformats.org/officeDocument/2006/relationships/hyperlink" Target="https://drive.google.com/file/d/1HO8wuqvsRhgbw7X_a8UMiv8oPFLORghi/view?usp=drivesdk" TargetMode="External"/><Relationship Id="rId745" Type="http://schemas.openxmlformats.org/officeDocument/2006/relationships/hyperlink" Target="https://drive.google.com/file/d/1n07XQRgJW33XH3dEIfTEluQmYDFMLZ7z/view?usp=drivesdk" TargetMode="External"/><Relationship Id="rId987" Type="http://schemas.openxmlformats.org/officeDocument/2006/relationships/hyperlink" Target="https://drive.google.com/file/d/1T20BnvK55y-r-bSjGySHA5QwlMGfW9rZ/view?usp=drivesdk" TargetMode="External"/><Relationship Id="rId502" Type="http://schemas.openxmlformats.org/officeDocument/2006/relationships/hyperlink" Target="https://drive.google.com/file/d/1m6NhJji_K1W5lSLRUsdLvKIPQvxhpXSG/view?usp=drivesdk" TargetMode="External"/><Relationship Id="rId744" Type="http://schemas.openxmlformats.org/officeDocument/2006/relationships/hyperlink" Target="https://drive.google.com/file/d/1k-ri_t4VWpuDuQMwO0y1MSvu0V4VdpXY/view?usp=drivesdk" TargetMode="External"/><Relationship Id="rId986" Type="http://schemas.openxmlformats.org/officeDocument/2006/relationships/hyperlink" Target="https://drive.google.com/file/d/11t0AaslG1R53Ti4zwWoFtch85v7SEArK/view?usp=drivesdk" TargetMode="External"/><Relationship Id="rId501" Type="http://schemas.openxmlformats.org/officeDocument/2006/relationships/hyperlink" Target="https://drive.google.com/file/d/1tGYHra4ty3Sk8B7hEQWGT1Uf9AzmWGVp/view?usp=drivesdk" TargetMode="External"/><Relationship Id="rId743" Type="http://schemas.openxmlformats.org/officeDocument/2006/relationships/hyperlink" Target="https://drive.google.com/file/d/1VtMG1rq5DXE-83wGWw2-sKGsbCIRXN48/view?usp=drivesdk" TargetMode="External"/><Relationship Id="rId985" Type="http://schemas.openxmlformats.org/officeDocument/2006/relationships/hyperlink" Target="https://drive.google.com/file/d/1O6DjNcpV7lwPWjCKEhfeUNtFvSEZkCJU/view?usp=drivesdk" TargetMode="External"/><Relationship Id="rId500" Type="http://schemas.openxmlformats.org/officeDocument/2006/relationships/hyperlink" Target="https://drive.google.com/file/d/1n0YwYsfhzXIhx_O1rswPSBG-3ULAwTDa/view?usp=drivesdk" TargetMode="External"/><Relationship Id="rId742" Type="http://schemas.openxmlformats.org/officeDocument/2006/relationships/hyperlink" Target="https://drive.google.com/file/d/11SmhYzYXjAuIKuKnyC0z1XRapvAZD96m/view?usp=drivesdk" TargetMode="External"/><Relationship Id="rId984" Type="http://schemas.openxmlformats.org/officeDocument/2006/relationships/hyperlink" Target="https://drive.google.com/file/d/1X7kcAGD2NhevylqH7SUKamqDbZGSFCX4/view?usp=drivesdk" TargetMode="External"/><Relationship Id="rId507" Type="http://schemas.openxmlformats.org/officeDocument/2006/relationships/hyperlink" Target="https://drive.google.com/file/d/1hwGcB-p_K6R7kAYBqyAiXZW33AxQryJ3/view?usp=drivesdk" TargetMode="External"/><Relationship Id="rId749" Type="http://schemas.openxmlformats.org/officeDocument/2006/relationships/hyperlink" Target="https://drive.google.com/file/d/1H4e3rbz2OiM6Tr_QSVVyK5p8mtS52Vha/view?usp=drivesdk" TargetMode="External"/><Relationship Id="rId506" Type="http://schemas.openxmlformats.org/officeDocument/2006/relationships/hyperlink" Target="https://drive.google.com/file/d/1KSZMZxw5aYIgBv_oC1bw-YDnRy_i3CEv/view?usp=drivesdk" TargetMode="External"/><Relationship Id="rId748" Type="http://schemas.openxmlformats.org/officeDocument/2006/relationships/hyperlink" Target="https://drive.google.com/file/d/1cLtthlNZKiIVK6fKx5_JkJ-8ts2_CGyb/view?usp=drivesdk" TargetMode="External"/><Relationship Id="rId505" Type="http://schemas.openxmlformats.org/officeDocument/2006/relationships/hyperlink" Target="https://drive.google.com/file/d/1hrLE9tmC6woOgAnczozM7tjmLaJHfA3X/view?usp=drivesdk" TargetMode="External"/><Relationship Id="rId747" Type="http://schemas.openxmlformats.org/officeDocument/2006/relationships/hyperlink" Target="https://drive.google.com/file/d/1JU9mQ6z29BsH_VMPPSg2gVX6tBWDWqyy/view?usp=drivesdk" TargetMode="External"/><Relationship Id="rId989" Type="http://schemas.openxmlformats.org/officeDocument/2006/relationships/hyperlink" Target="https://drive.google.com/file/d/1Cx1iPNgE5_X3GuYTuy6oQzSF6Vzhz7Uy/view?usp=drivesdk" TargetMode="External"/><Relationship Id="rId504" Type="http://schemas.openxmlformats.org/officeDocument/2006/relationships/hyperlink" Target="https://drive.google.com/file/d/1QTBQ-X3k6G_8lA2LSrMf1jVq24jBpQR7/view?usp=drivesdk" TargetMode="External"/><Relationship Id="rId746" Type="http://schemas.openxmlformats.org/officeDocument/2006/relationships/hyperlink" Target="https://drive.google.com/file/d/1m2Nthrtq57lScVf5IQR5DRKn-ZPKIDmG/view?usp=drivesdk" TargetMode="External"/><Relationship Id="rId988" Type="http://schemas.openxmlformats.org/officeDocument/2006/relationships/hyperlink" Target="https://drive.google.com/file/d/1pKsQBX0qMNBE0CStufHw8QudvNPKrV71/view?usp=drivesdk" TargetMode="External"/><Relationship Id="rId48" Type="http://schemas.openxmlformats.org/officeDocument/2006/relationships/hyperlink" Target="https://drive.google.com/file/d/1U6ASMemDR50MeZLzQ90P02i4TUXcsJQ-/view?usp=drivesdk" TargetMode="External"/><Relationship Id="rId47" Type="http://schemas.openxmlformats.org/officeDocument/2006/relationships/hyperlink" Target="https://drive.google.com/file/d/1U0fqf2s5R-OEjjDMSahtfLbuusl_PEh9/view?usp=drivesdk" TargetMode="External"/><Relationship Id="rId49" Type="http://schemas.openxmlformats.org/officeDocument/2006/relationships/hyperlink" Target="https://drive.google.com/file/d/1g0gRjIXLRjuqGEvhgh7TFjzUttEY-oC8/view?usp=drivesdk" TargetMode="External"/><Relationship Id="rId741" Type="http://schemas.openxmlformats.org/officeDocument/2006/relationships/hyperlink" Target="https://drive.google.com/file/d/1i3S-7aM0OXDAilSRqXq36Dl2ovtF_Eai/view?usp=drivesdk" TargetMode="External"/><Relationship Id="rId983" Type="http://schemas.openxmlformats.org/officeDocument/2006/relationships/hyperlink" Target="https://drive.google.com/file/d/1g2zZFhFcV6ZBhmiKLyzTDv9TOIvK_966/view?usp=drivesdk" TargetMode="External"/><Relationship Id="rId1330" Type="http://schemas.openxmlformats.org/officeDocument/2006/relationships/hyperlink" Target="https://drive.google.com/file/d/12vaFaFC3pYPNq2v5Bb27o2TdBofDuIJv/view?usp=drivesdk" TargetMode="External"/><Relationship Id="rId740" Type="http://schemas.openxmlformats.org/officeDocument/2006/relationships/hyperlink" Target="https://drive.google.com/file/d/1OdAyrrUs0oyBHeWWYBP2O2DSo41XRl0g/view?usp=drivesdk" TargetMode="External"/><Relationship Id="rId982" Type="http://schemas.openxmlformats.org/officeDocument/2006/relationships/hyperlink" Target="https://drive.google.com/file/d/1-M0-Vih-MCi1T87eM7XdSsLgjpMRai0a/view?usp=drivesdk" TargetMode="External"/><Relationship Id="rId1331" Type="http://schemas.openxmlformats.org/officeDocument/2006/relationships/hyperlink" Target="https://drive.google.com/file/d/1iXncbfkmTY55_-TN4_EoDJIBfj-XvQUA/view?usp=drivesdk" TargetMode="External"/><Relationship Id="rId981" Type="http://schemas.openxmlformats.org/officeDocument/2006/relationships/hyperlink" Target="https://drive.google.com/file/d/1zO3I1bKOsFfCtA0KK84NJA5lklHM9p8t/view?usp=drivesdk" TargetMode="External"/><Relationship Id="rId1332" Type="http://schemas.openxmlformats.org/officeDocument/2006/relationships/hyperlink" Target="https://drive.google.com/file/d/1f0zqOvUtbCK4nFhNweOhkw3-24tazfRl/view?usp=drivesdk" TargetMode="External"/><Relationship Id="rId980" Type="http://schemas.openxmlformats.org/officeDocument/2006/relationships/hyperlink" Target="https://drive.google.com/file/d/10VTg4tgG9BQeg8xCpkW6bV-MCfud2iGL/view?usp=drivesdk" TargetMode="External"/><Relationship Id="rId1333" Type="http://schemas.openxmlformats.org/officeDocument/2006/relationships/hyperlink" Target="https://drive.google.com/file/d/12s3_0uL1uB23ZAgERYO6BkBaCBLQfdEI/view?usp=drivesdk" TargetMode="External"/><Relationship Id="rId1323" Type="http://schemas.openxmlformats.org/officeDocument/2006/relationships/hyperlink" Target="https://drive.google.com/file/d/1SCSpPMNySb0vylAVIvsV9qZrZTlk9-pq/view?usp=drivesdk" TargetMode="External"/><Relationship Id="rId1324" Type="http://schemas.openxmlformats.org/officeDocument/2006/relationships/hyperlink" Target="https://drive.google.com/file/d/1q7omPXclTJ_SN6wlYj8m5hPce38V9L27/view?usp=drivesdk" TargetMode="External"/><Relationship Id="rId31" Type="http://schemas.openxmlformats.org/officeDocument/2006/relationships/hyperlink" Target="https://drive.google.com/file/d/1dw-Ptd50H-9Hc6Mh2DWENxM2x-UmrpGF/view?usp=drivesdk" TargetMode="External"/><Relationship Id="rId1325" Type="http://schemas.openxmlformats.org/officeDocument/2006/relationships/hyperlink" Target="https://drive.google.com/file/d/1W-OatYKQTNVJUdTGX-UtsQSZ1Bbl2HRb/view?usp=drivesdk" TargetMode="External"/><Relationship Id="rId30" Type="http://schemas.openxmlformats.org/officeDocument/2006/relationships/hyperlink" Target="https://drive.google.com/file/d/1O2X9odFj64VbNxugD3-wUy8cjK3yPDYo/view?usp=drivesdk" TargetMode="External"/><Relationship Id="rId1326" Type="http://schemas.openxmlformats.org/officeDocument/2006/relationships/hyperlink" Target="https://drive.google.com/file/d/1am_r1Ug7tmcGI8se9y2uzAiJCpAZ2wC7/view?usp=drivesdk" TargetMode="External"/><Relationship Id="rId33" Type="http://schemas.openxmlformats.org/officeDocument/2006/relationships/hyperlink" Target="https://drive.google.com/file/d/1uHD5o3n-FD3FnZMLbEXV9Zta0ONXaIQf/view?usp=drivesdk" TargetMode="External"/><Relationship Id="rId1327" Type="http://schemas.openxmlformats.org/officeDocument/2006/relationships/hyperlink" Target="https://drive.google.com/file/d/13LtFcm5xPrC5-ZXF2r5vMtbOQAwbgfZ5/view?usp=drivesdk" TargetMode="External"/><Relationship Id="rId32" Type="http://schemas.openxmlformats.org/officeDocument/2006/relationships/hyperlink" Target="https://drive.google.com/file/d/14anGtu9WnFLeXByCFeIk1wPOGn6JT_W9/view?usp=drivesdk" TargetMode="External"/><Relationship Id="rId1328" Type="http://schemas.openxmlformats.org/officeDocument/2006/relationships/hyperlink" Target="https://drive.google.com/file/d/1YfX44b9ic04btKo6wFV5wcZ5K76_PELb/view?usp=drivesdk" TargetMode="External"/><Relationship Id="rId35" Type="http://schemas.openxmlformats.org/officeDocument/2006/relationships/hyperlink" Target="https://drive.google.com/file/d/14oCDy1OWC-mXC63ZFwTDPEiZxUfT6PC2/view?usp=drivesdk" TargetMode="External"/><Relationship Id="rId1329" Type="http://schemas.openxmlformats.org/officeDocument/2006/relationships/hyperlink" Target="https://drive.google.com/file/d/1nZTZME7JUcWE9qwaAn33lN7LiwdSXh_W/view?usp=drivesdk" TargetMode="External"/><Relationship Id="rId34" Type="http://schemas.openxmlformats.org/officeDocument/2006/relationships/hyperlink" Target="https://drive.google.com/file/d/1ny4ryAx69_NJtaj_kuP_7ewDOxUOT-xI/view?usp=drivesdk" TargetMode="External"/><Relationship Id="rId739" Type="http://schemas.openxmlformats.org/officeDocument/2006/relationships/hyperlink" Target="https://drive.google.com/file/d/1Qvh6mdLwaSkvYJrm4e5uSnDavJj5Hmaw/view?usp=drivesdk" TargetMode="External"/><Relationship Id="rId734" Type="http://schemas.openxmlformats.org/officeDocument/2006/relationships/hyperlink" Target="https://drive.google.com/file/d/1dA1NW6KRznD4HqnLoVoM09LJ1NApDpL1/view?usp=drivesdk" TargetMode="External"/><Relationship Id="rId976" Type="http://schemas.openxmlformats.org/officeDocument/2006/relationships/hyperlink" Target="https://drive.google.com/file/d/1CZwhzkf5yCGvXvYxN2oEE4K1K7_mibz-/view?usp=drivesdk" TargetMode="External"/><Relationship Id="rId733" Type="http://schemas.openxmlformats.org/officeDocument/2006/relationships/hyperlink" Target="https://drive.google.com/file/d/1MxeMctbq0r5HOwwT4tcSeCrb6PMbyMMh/view?usp=drivesdk" TargetMode="External"/><Relationship Id="rId975" Type="http://schemas.openxmlformats.org/officeDocument/2006/relationships/hyperlink" Target="https://drive.google.com/file/d/1o0lL1mk9FPfChC9iNcloNKtjJHCanLiQ/view?usp=drivesdk" TargetMode="External"/><Relationship Id="rId732" Type="http://schemas.openxmlformats.org/officeDocument/2006/relationships/hyperlink" Target="https://drive.google.com/file/d/1E4rorM1zwCrID19CS3q85vFnRipZHCj_/view?usp=drivesdk" TargetMode="External"/><Relationship Id="rId974" Type="http://schemas.openxmlformats.org/officeDocument/2006/relationships/hyperlink" Target="https://drive.google.com/file/d/1V2Encew7RYWRr2YRiFsasEasDvcU9JLv/view?usp=drivesdk" TargetMode="External"/><Relationship Id="rId731" Type="http://schemas.openxmlformats.org/officeDocument/2006/relationships/hyperlink" Target="https://drive.google.com/file/d/1VF2gsJ0XY5g_VM2T0yA2NYo4_l69XTmi/view?usp=drivesdk" TargetMode="External"/><Relationship Id="rId973" Type="http://schemas.openxmlformats.org/officeDocument/2006/relationships/hyperlink" Target="https://drive.google.com/file/d/1CF1wZY3gNTsSpEASbdxI30ZL3-rdn071/view?usp=drivesdk" TargetMode="External"/><Relationship Id="rId738" Type="http://schemas.openxmlformats.org/officeDocument/2006/relationships/hyperlink" Target="https://drive.google.com/file/d/1LbGnUe-hH-tJxosOpQsKw8EgPj7stPLN/view?usp=drivesdk" TargetMode="External"/><Relationship Id="rId737" Type="http://schemas.openxmlformats.org/officeDocument/2006/relationships/hyperlink" Target="https://drive.google.com/file/d/1V631CHOaeNaqLVO_y7WNGDvai9VjNMJL/view?usp=drivesdk" TargetMode="External"/><Relationship Id="rId979" Type="http://schemas.openxmlformats.org/officeDocument/2006/relationships/hyperlink" Target="https://drive.google.com/file/d/1gFyOuuap6qDv9lagn0-GY7x6o13Y0OeB/view?usp=drivesdk" TargetMode="External"/><Relationship Id="rId736" Type="http://schemas.openxmlformats.org/officeDocument/2006/relationships/hyperlink" Target="https://drive.google.com/file/d/1suOB0YyIZquzNPSemyhLTH1wrI9o_Sf0/view?usp=drivesdk" TargetMode="External"/><Relationship Id="rId978" Type="http://schemas.openxmlformats.org/officeDocument/2006/relationships/hyperlink" Target="https://drive.google.com/file/d/1H-uc5Zvi4jLZ_IMgjqeyXK6cBN8jBPXC/view?usp=drivesdk" TargetMode="External"/><Relationship Id="rId735" Type="http://schemas.openxmlformats.org/officeDocument/2006/relationships/hyperlink" Target="https://drive.google.com/file/d/1Fi78ds-z9wUFBSDgSIdWHqv7lH7CzS9z/view?usp=drivesdk" TargetMode="External"/><Relationship Id="rId977" Type="http://schemas.openxmlformats.org/officeDocument/2006/relationships/hyperlink" Target="https://drive.google.com/file/d/1BuOZ8Hj_misf0v04uaaa2_Uqx36h5VDF/view?usp=drivesdk" TargetMode="External"/><Relationship Id="rId37" Type="http://schemas.openxmlformats.org/officeDocument/2006/relationships/hyperlink" Target="https://drive.google.com/file/d/1EEgWPTqTPTf5BypxPWiW1RqAX4ZCJsUC/view?usp=drivesdk" TargetMode="External"/><Relationship Id="rId36" Type="http://schemas.openxmlformats.org/officeDocument/2006/relationships/hyperlink" Target="https://drive.google.com/file/d/1ozSgNde2Ym21NhsDwG5z2rWHzDgLfnPV/view?usp=drivesdk" TargetMode="External"/><Relationship Id="rId39" Type="http://schemas.openxmlformats.org/officeDocument/2006/relationships/hyperlink" Target="https://drive.google.com/file/d/1xfX7PF0E29OnQ_ExK6bcNhAUg_vGEOoI/view?usp=drivesdk" TargetMode="External"/><Relationship Id="rId38" Type="http://schemas.openxmlformats.org/officeDocument/2006/relationships/hyperlink" Target="https://drive.google.com/file/d/1Px2yc2lA7fQjhlYzEnz8dTRSPijFKlt2/view?usp=drivesdk" TargetMode="External"/><Relationship Id="rId730" Type="http://schemas.openxmlformats.org/officeDocument/2006/relationships/hyperlink" Target="https://drive.google.com/file/d/1MXa8ciWYvenZLusMX_9C0faZ71PtXJdc/view?usp=drivesdk" TargetMode="External"/><Relationship Id="rId972" Type="http://schemas.openxmlformats.org/officeDocument/2006/relationships/hyperlink" Target="https://drive.google.com/file/d/1kBhSce1erh3YA3QFYVtNsxfGErmvMObc/view?usp=drivesdk" TargetMode="External"/><Relationship Id="rId971" Type="http://schemas.openxmlformats.org/officeDocument/2006/relationships/hyperlink" Target="https://drive.google.com/file/d/1nNN9G5M5NS5__zYGyqUxKr12cTcKUORj/view?usp=drivesdk" TargetMode="External"/><Relationship Id="rId1320" Type="http://schemas.openxmlformats.org/officeDocument/2006/relationships/hyperlink" Target="https://drive.google.com/file/d/1UM-XbH6nJUx-WKhsONPiEcxspvUmq732/view?usp=drivesdk" TargetMode="External"/><Relationship Id="rId970" Type="http://schemas.openxmlformats.org/officeDocument/2006/relationships/hyperlink" Target="https://drive.google.com/file/d/1Ujnq2vfajTnHrIMN7nsuBh2wEhqlto8u/view?usp=drivesdk" TargetMode="External"/><Relationship Id="rId1321" Type="http://schemas.openxmlformats.org/officeDocument/2006/relationships/hyperlink" Target="https://drive.google.com/file/d/10S8mf0_Aiag4qKSHsd8T8pJDFkfebyQR/view?usp=drivesdk" TargetMode="External"/><Relationship Id="rId1322" Type="http://schemas.openxmlformats.org/officeDocument/2006/relationships/hyperlink" Target="https://drive.google.com/file/d/1IKoegxGDrveWbt7SNC3haCUh2P4Uwjhm/view?usp=drivesdk" TargetMode="External"/><Relationship Id="rId1114" Type="http://schemas.openxmlformats.org/officeDocument/2006/relationships/hyperlink" Target="https://drive.google.com/file/d/1uSmC6gg27UJ2wuBh1j1DWJ4WpkCi3ANK/view?usp=drivesdk" TargetMode="External"/><Relationship Id="rId1115" Type="http://schemas.openxmlformats.org/officeDocument/2006/relationships/hyperlink" Target="https://drive.google.com/file/d/104Z2WiqwUXRjDi54lJPMGpN85TY2JgLX/view?usp=drivesdk" TargetMode="External"/><Relationship Id="rId20" Type="http://schemas.openxmlformats.org/officeDocument/2006/relationships/hyperlink" Target="https://drive.google.com/file/d/14vNaogpj8ilnXTRcV2Gw6sXu4XjK2Hta/view?usp=drivesdk" TargetMode="External"/><Relationship Id="rId1116" Type="http://schemas.openxmlformats.org/officeDocument/2006/relationships/hyperlink" Target="https://drive.google.com/file/d/1rI3-xl8C7x0sAWCqvuPY7NtE1Hv-cqfm/view?usp=drivesdk" TargetMode="External"/><Relationship Id="rId1117" Type="http://schemas.openxmlformats.org/officeDocument/2006/relationships/hyperlink" Target="https://drive.google.com/file/d/1y63JhyNiZD6Qx1WxSEbYDZxiqJmpwPkM/view?usp=drivesdk" TargetMode="External"/><Relationship Id="rId22" Type="http://schemas.openxmlformats.org/officeDocument/2006/relationships/hyperlink" Target="https://drive.google.com/file/d/1y0oVcbXwyavgnH3iVNx1l0ai9_mmjKAx/view?usp=drivesdk" TargetMode="External"/><Relationship Id="rId1118" Type="http://schemas.openxmlformats.org/officeDocument/2006/relationships/hyperlink" Target="https://drive.google.com/file/d/1n_Rzx4QVizl9jDO4MFBHpbzunAKuqSys/view?usp=drivesdk" TargetMode="External"/><Relationship Id="rId21" Type="http://schemas.openxmlformats.org/officeDocument/2006/relationships/hyperlink" Target="https://drive.google.com/file/d/1ViLdVQA_-hOe33FFUj2TF_MT17J4ZiVx/view?usp=drivesdk" TargetMode="External"/><Relationship Id="rId1119" Type="http://schemas.openxmlformats.org/officeDocument/2006/relationships/hyperlink" Target="https://drive.google.com/file/d/13705YYlhlMJrnAdoeTmZo-dHv9NFXz7d/view?usp=drivesdk" TargetMode="External"/><Relationship Id="rId24" Type="http://schemas.openxmlformats.org/officeDocument/2006/relationships/hyperlink" Target="https://drive.google.com/file/d/1QJ8782dNxX0Bu9nXd2T6hdlXLh6aKeGE/view?usp=drivesdk" TargetMode="External"/><Relationship Id="rId23" Type="http://schemas.openxmlformats.org/officeDocument/2006/relationships/hyperlink" Target="https://drive.google.com/file/d/18kGF12W0nZx3JnyEWpyoXXf01F87fUMt/view?usp=drivesdk" TargetMode="External"/><Relationship Id="rId525" Type="http://schemas.openxmlformats.org/officeDocument/2006/relationships/hyperlink" Target="https://drive.google.com/file/d/122-Sm2m1ABUtwUCrntQE1dQnX_oLKHjy/view?usp=drivesdk" TargetMode="External"/><Relationship Id="rId767" Type="http://schemas.openxmlformats.org/officeDocument/2006/relationships/hyperlink" Target="https://drive.google.com/file/d/1Nsvkn4sFreup8wQbwoaE8f1R_8VVDeaN/view?usp=drivesdk" TargetMode="External"/><Relationship Id="rId524" Type="http://schemas.openxmlformats.org/officeDocument/2006/relationships/hyperlink" Target="https://drive.google.com/file/d/1PZm5D4o0iOlGkkaiyBFYlCRK4dOtlh1G/view?usp=drivesdk" TargetMode="External"/><Relationship Id="rId766" Type="http://schemas.openxmlformats.org/officeDocument/2006/relationships/hyperlink" Target="https://drive.google.com/file/d/1zldDakR0PajbzcJS70-lXVXmrSFpMTuI/view?usp=drivesdk" TargetMode="External"/><Relationship Id="rId523" Type="http://schemas.openxmlformats.org/officeDocument/2006/relationships/hyperlink" Target="https://drive.google.com/file/d/1rhop4LbH87qj06Ygp7YOtVAFcQbdHnWj/view?usp=drivesdk" TargetMode="External"/><Relationship Id="rId765" Type="http://schemas.openxmlformats.org/officeDocument/2006/relationships/hyperlink" Target="https://drive.google.com/file/d/1NHIztSR98VAsJHC1D3IxCIIPl6sIjHgx/view?usp=drivesdk" TargetMode="External"/><Relationship Id="rId522" Type="http://schemas.openxmlformats.org/officeDocument/2006/relationships/hyperlink" Target="https://drive.google.com/file/d/1qm7s1j1acxWo1TkAb8I1Q4TrqoU_AJZU/view?usp=drivesdk" TargetMode="External"/><Relationship Id="rId764" Type="http://schemas.openxmlformats.org/officeDocument/2006/relationships/hyperlink" Target="https://drive.google.com/file/d/15TYtsYzqBxVGOzufE4-rSnnCn9HQqO1l/view?usp=drivesdk" TargetMode="External"/><Relationship Id="rId529" Type="http://schemas.openxmlformats.org/officeDocument/2006/relationships/hyperlink" Target="https://drive.google.com/file/d/1fR231AJPOIgqOB3N_rR5UmPj8ysz2wxl/view?usp=drivesdk" TargetMode="External"/><Relationship Id="rId528" Type="http://schemas.openxmlformats.org/officeDocument/2006/relationships/hyperlink" Target="https://drive.google.com/file/d/1Ok-qMr_zvblE6jN3JZ0pb4Rx--DZ9_7K/view?usp=drivesdk" TargetMode="External"/><Relationship Id="rId527" Type="http://schemas.openxmlformats.org/officeDocument/2006/relationships/hyperlink" Target="https://drive.google.com/file/d/1p9LdMav26QTnoPfljCN6qlglgiW9WMH9/view?usp=drivesdk" TargetMode="External"/><Relationship Id="rId769" Type="http://schemas.openxmlformats.org/officeDocument/2006/relationships/hyperlink" Target="https://drive.google.com/file/d/1CBDXGLfIj_ROMygBx6yZ06xCvM9bUvGr/view?usp=drivesdk" TargetMode="External"/><Relationship Id="rId526" Type="http://schemas.openxmlformats.org/officeDocument/2006/relationships/hyperlink" Target="https://drive.google.com/file/d/1_zdaT-jZ07Nxn9eNGBbSaggQFU5gsF8v/view?usp=drivesdk" TargetMode="External"/><Relationship Id="rId768" Type="http://schemas.openxmlformats.org/officeDocument/2006/relationships/hyperlink" Target="https://drive.google.com/file/d/1HENecsKxGr1OV6qawnWIpVYhCx-04Sdv/view?usp=drivesdk" TargetMode="External"/><Relationship Id="rId26" Type="http://schemas.openxmlformats.org/officeDocument/2006/relationships/hyperlink" Target="https://drive.google.com/file/d/1mbug-T6maELyd90i9jGi4t3Gn3Co91uT/view?usp=drivesdk" TargetMode="External"/><Relationship Id="rId25" Type="http://schemas.openxmlformats.org/officeDocument/2006/relationships/hyperlink" Target="https://drive.google.com/file/d/1YsF1R2szHKKe1GAGW_Jw1AM760XoY9_G/view?usp=drivesdk" TargetMode="External"/><Relationship Id="rId28" Type="http://schemas.openxmlformats.org/officeDocument/2006/relationships/hyperlink" Target="https://drive.google.com/file/d/1ZzMFEinZnR7pf8OmsTE2t3CQGAz2ARkP/view?usp=drivesdk" TargetMode="External"/><Relationship Id="rId27" Type="http://schemas.openxmlformats.org/officeDocument/2006/relationships/hyperlink" Target="https://drive.google.com/file/d/1mEzh41oz_2hRCXX7H4WdkXV0nv850e_O/view?usp=drivesdk" TargetMode="External"/><Relationship Id="rId521" Type="http://schemas.openxmlformats.org/officeDocument/2006/relationships/hyperlink" Target="https://drive.google.com/file/d/1x8DU19ZF-h1XA8TwGFT9Xy5trtjKD0m6/view?usp=drivesdk" TargetMode="External"/><Relationship Id="rId763" Type="http://schemas.openxmlformats.org/officeDocument/2006/relationships/hyperlink" Target="https://drive.google.com/file/d/1h2MX-dnK3aEKBXIOO4qAuYg4R49YezkH/view?usp=drivesdk" TargetMode="External"/><Relationship Id="rId1110" Type="http://schemas.openxmlformats.org/officeDocument/2006/relationships/hyperlink" Target="https://drive.google.com/file/d/1wlZ6xxNDnwJ0QVq1ws_OOWpUTkgPg5TD/view?usp=drivesdk" TargetMode="External"/><Relationship Id="rId29" Type="http://schemas.openxmlformats.org/officeDocument/2006/relationships/hyperlink" Target="https://drive.google.com/file/d/1avmG1ZuzkOPeALMQvqE_0-IISAPqvitz/view?usp=drivesdk" TargetMode="External"/><Relationship Id="rId520" Type="http://schemas.openxmlformats.org/officeDocument/2006/relationships/hyperlink" Target="https://drive.google.com/file/d/1xmC4FYmyDWcFu72XItmvkS-rSMrn2yxt/view?usp=drivesdk" TargetMode="External"/><Relationship Id="rId762" Type="http://schemas.openxmlformats.org/officeDocument/2006/relationships/hyperlink" Target="https://drive.google.com/file/d/1p9NYWXLFJ0ES5ht6b4hWa4BK_o0ztrk_/view?usp=drivesdk" TargetMode="External"/><Relationship Id="rId1111" Type="http://schemas.openxmlformats.org/officeDocument/2006/relationships/hyperlink" Target="https://drive.google.com/file/d/1EaWOdmSZRHJ-rFZZfrZvAnqZUXei3NrV/view?usp=drivesdk" TargetMode="External"/><Relationship Id="rId761" Type="http://schemas.openxmlformats.org/officeDocument/2006/relationships/hyperlink" Target="https://drive.google.com/file/d/1enYdWxVYliKAIFlScCa1BTa87erYs4ga/view?usp=drivesdk" TargetMode="External"/><Relationship Id="rId1112" Type="http://schemas.openxmlformats.org/officeDocument/2006/relationships/hyperlink" Target="https://drive.google.com/file/d/1lN66n2niMiMUYS59uOTFXzNxeBiXQQxi/view?usp=drivesdk" TargetMode="External"/><Relationship Id="rId760" Type="http://schemas.openxmlformats.org/officeDocument/2006/relationships/hyperlink" Target="https://drive.google.com/file/d/1VZGD5vZFRHaH1KWVZ2Yj4C-F9c7E5z7k/view?usp=drivesdk" TargetMode="External"/><Relationship Id="rId1113" Type="http://schemas.openxmlformats.org/officeDocument/2006/relationships/hyperlink" Target="https://drive.google.com/file/d/1O25XGUHYDnvvBO_f7ADqKR1qPqfs8acz/view?usp=drivesdk" TargetMode="External"/><Relationship Id="rId1103" Type="http://schemas.openxmlformats.org/officeDocument/2006/relationships/hyperlink" Target="https://drive.google.com/file/d/1x0ZhgL2SEiFrhOTcx2AS22awUWDV5tRK/view?usp=drivesdk" TargetMode="External"/><Relationship Id="rId1104" Type="http://schemas.openxmlformats.org/officeDocument/2006/relationships/hyperlink" Target="https://drive.google.com/file/d/1VIOvwaU6MUSXHhuIm6gfnpfsLhvVEBbj/view?usp=drivesdk" TargetMode="External"/><Relationship Id="rId1105" Type="http://schemas.openxmlformats.org/officeDocument/2006/relationships/hyperlink" Target="https://drive.google.com/file/d/1GphMi3apYu8gE5q7JrN46o3ppqZ6o7gV/view?usp=drivesdk" TargetMode="External"/><Relationship Id="rId1106" Type="http://schemas.openxmlformats.org/officeDocument/2006/relationships/hyperlink" Target="https://drive.google.com/file/d/11Hj45kexgMsNjvUAUd4cu4xJu1WhZ2ZB/view?usp=drivesdk" TargetMode="External"/><Relationship Id="rId11" Type="http://schemas.openxmlformats.org/officeDocument/2006/relationships/hyperlink" Target="https://drive.google.com/file/d/1RmLiraFC_x-9GiCtWSP0vAoYKs4lgwii/view?usp=drivesdk" TargetMode="External"/><Relationship Id="rId1107" Type="http://schemas.openxmlformats.org/officeDocument/2006/relationships/hyperlink" Target="https://drive.google.com/file/d/1eTlb1hZlxRDQiLNJxNBakma298ZeN9e5/view?usp=drivesdk" TargetMode="External"/><Relationship Id="rId10" Type="http://schemas.openxmlformats.org/officeDocument/2006/relationships/hyperlink" Target="https://drive.google.com/file/d/1irXIgCmq3UnSp45OWMM9Etq88MPeQua6/view?usp=drivesdk" TargetMode="External"/><Relationship Id="rId1108" Type="http://schemas.openxmlformats.org/officeDocument/2006/relationships/hyperlink" Target="https://drive.google.com/file/d/1t_GXktogUPx-Rbys1IGLrRNd6O98n8Iv/view?usp=drivesdk" TargetMode="External"/><Relationship Id="rId13" Type="http://schemas.openxmlformats.org/officeDocument/2006/relationships/hyperlink" Target="https://drive.google.com/file/d/13iW9V8aKH2qijagfAQu5rCdBu6T3IhIQ/view?usp=drivesdk" TargetMode="External"/><Relationship Id="rId1109" Type="http://schemas.openxmlformats.org/officeDocument/2006/relationships/hyperlink" Target="https://drive.google.com/file/d/1zy9zKr3GkQ_xjxVG77bcqoTGYHkA-Mz5/view?usp=drivesdk" TargetMode="External"/><Relationship Id="rId12" Type="http://schemas.openxmlformats.org/officeDocument/2006/relationships/hyperlink" Target="https://drive.google.com/file/d/1X3PX9-STZZwvhMPpui9ixg0pImxiX_dW/view?usp=drivesdk" TargetMode="External"/><Relationship Id="rId519" Type="http://schemas.openxmlformats.org/officeDocument/2006/relationships/hyperlink" Target="https://drive.google.com/file/d/1WILgo7Bf2BDBolWguczsUa5TW4l4NZdz/view?usp=drivesdk" TargetMode="External"/><Relationship Id="rId514" Type="http://schemas.openxmlformats.org/officeDocument/2006/relationships/hyperlink" Target="https://drive.google.com/file/d/1L8jYGmoCbnUv8fU2a3BEMvsq_-OhOPgQ/view?usp=drivesdk" TargetMode="External"/><Relationship Id="rId756" Type="http://schemas.openxmlformats.org/officeDocument/2006/relationships/hyperlink" Target="https://drive.google.com/file/d/18wBKEaW_oyeJSIMeYb95Az53qH9WYmaw/view?usp=drivesdk" TargetMode="External"/><Relationship Id="rId998" Type="http://schemas.openxmlformats.org/officeDocument/2006/relationships/hyperlink" Target="https://drive.google.com/file/d/18H6y3VEEqmaLu1Wafhhtj244anYSDIG_/view?usp=drivesdk" TargetMode="External"/><Relationship Id="rId513" Type="http://schemas.openxmlformats.org/officeDocument/2006/relationships/hyperlink" Target="https://drive.google.com/file/d/1vwvYoACLP9NYefNsE_kbwGkgw8jz8piw/view?usp=drivesdk" TargetMode="External"/><Relationship Id="rId755" Type="http://schemas.openxmlformats.org/officeDocument/2006/relationships/hyperlink" Target="https://drive.google.com/file/d/1FWUEMxbrgc3APxcpOEvbJEQyCRZIEHfH/view?usp=drivesdk" TargetMode="External"/><Relationship Id="rId997" Type="http://schemas.openxmlformats.org/officeDocument/2006/relationships/hyperlink" Target="https://drive.google.com/file/d/17LTtOciU7OQaX7GZjPfNbfjOSxhTDxvW/view?usp=drivesdk" TargetMode="External"/><Relationship Id="rId512" Type="http://schemas.openxmlformats.org/officeDocument/2006/relationships/hyperlink" Target="https://drive.google.com/file/d/12XwZs4v4KzRkuxHJIXNN0KPaDTekdM_3/view?usp=drivesdk" TargetMode="External"/><Relationship Id="rId754" Type="http://schemas.openxmlformats.org/officeDocument/2006/relationships/hyperlink" Target="https://drive.google.com/file/d/1RA8-hAvgTxc4mUHsWXuRMOH5sHgpFA-e/view?usp=drivesdk" TargetMode="External"/><Relationship Id="rId996" Type="http://schemas.openxmlformats.org/officeDocument/2006/relationships/hyperlink" Target="https://drive.google.com/file/d/1v3gumb5LFKiLh_M-1a_SVhekG7Jxhaw_/view?usp=drivesdk" TargetMode="External"/><Relationship Id="rId511" Type="http://schemas.openxmlformats.org/officeDocument/2006/relationships/hyperlink" Target="https://drive.google.com/file/d/1UNyNy03V7ZXzCO8xqqfzwprae-nuBvRr/view?usp=drivesdk" TargetMode="External"/><Relationship Id="rId753" Type="http://schemas.openxmlformats.org/officeDocument/2006/relationships/hyperlink" Target="https://drive.google.com/file/d/1bfGlVl7WOLLV_Y2gs1QLbYzTROo6ofYQ/view?usp=drivesdk" TargetMode="External"/><Relationship Id="rId995" Type="http://schemas.openxmlformats.org/officeDocument/2006/relationships/hyperlink" Target="https://drive.google.com/file/d/1HAf777S33XAChkvE37Ap9P1ACixeezPE/view?usp=drivesdk" TargetMode="External"/><Relationship Id="rId518" Type="http://schemas.openxmlformats.org/officeDocument/2006/relationships/hyperlink" Target="https://drive.google.com/file/d/1n_lm9AMDcxljMUUiJ_ky0EB-JK5Cwuvp/view?usp=drivesdk" TargetMode="External"/><Relationship Id="rId517" Type="http://schemas.openxmlformats.org/officeDocument/2006/relationships/hyperlink" Target="https://drive.google.com/file/d/1x_s-nnza5MAx9P3IgHQuMjSpm6iNAqh1/view?usp=drivesdk" TargetMode="External"/><Relationship Id="rId759" Type="http://schemas.openxmlformats.org/officeDocument/2006/relationships/hyperlink" Target="https://drive.google.com/file/d/1f_ydedLr_VKKZtbC10Dpp98q7X2e9hSW/view?usp=drivesdk" TargetMode="External"/><Relationship Id="rId516" Type="http://schemas.openxmlformats.org/officeDocument/2006/relationships/hyperlink" Target="https://drive.google.com/file/d/1eWOwL6d6iy-OPGAYPFMMk239A9OwZS3b/view?usp=drivesdk" TargetMode="External"/><Relationship Id="rId758" Type="http://schemas.openxmlformats.org/officeDocument/2006/relationships/hyperlink" Target="https://drive.google.com/file/d/1WJgQ6iIhJaymANwYjWtUN7KvmCL68BUC/view?usp=drivesdk" TargetMode="External"/><Relationship Id="rId515" Type="http://schemas.openxmlformats.org/officeDocument/2006/relationships/hyperlink" Target="https://drive.google.com/file/d/1UJHnNsFvIU-_p4wOIHM9qwADIxtYFoNg/view?usp=drivesdk" TargetMode="External"/><Relationship Id="rId757" Type="http://schemas.openxmlformats.org/officeDocument/2006/relationships/hyperlink" Target="https://drive.google.com/file/d/1fm8Urkyl82htjTvl4a6MbDoLSkFS0B1t/view?usp=drivesdk" TargetMode="External"/><Relationship Id="rId999" Type="http://schemas.openxmlformats.org/officeDocument/2006/relationships/hyperlink" Target="https://drive.google.com/file/d/1yeOdKFX4iOSr_8sDraFjC2dMZQrgj1v1/view?usp=drivesdk" TargetMode="External"/><Relationship Id="rId15" Type="http://schemas.openxmlformats.org/officeDocument/2006/relationships/hyperlink" Target="https://drive.google.com/file/d/1c9sYOLd2AoaTQTHaw91jjbQ7hND_ffPH/view?usp=drivesdk" TargetMode="External"/><Relationship Id="rId990" Type="http://schemas.openxmlformats.org/officeDocument/2006/relationships/hyperlink" Target="https://drive.google.com/file/d/1jmiqFU271skqNv1Jv8DuVPNQEOB-Fw61/view?usp=drivesdk" TargetMode="External"/><Relationship Id="rId14" Type="http://schemas.openxmlformats.org/officeDocument/2006/relationships/hyperlink" Target="https://drive.google.com/file/d/1bmgNaIBveO7fhm1ohE3nT6KwNuVmYaol/view?usp=drivesdk" TargetMode="External"/><Relationship Id="rId17" Type="http://schemas.openxmlformats.org/officeDocument/2006/relationships/hyperlink" Target="https://drive.google.com/file/d/1Y-r3ggNOwYWX1pR8SKsU4XfDZ2aRmAjk/view?usp=drivesdk" TargetMode="External"/><Relationship Id="rId16" Type="http://schemas.openxmlformats.org/officeDocument/2006/relationships/hyperlink" Target="https://drive.google.com/file/d/1XEST2q3ZUtr-B8qA6o1q8J3gm5J1MJRL/view?usp=drivesdk" TargetMode="External"/><Relationship Id="rId19" Type="http://schemas.openxmlformats.org/officeDocument/2006/relationships/hyperlink" Target="https://drive.google.com/file/d/15w0PoontBUoL0iw3cfyEGBPjbnt8qipR/view?usp=drivesdk" TargetMode="External"/><Relationship Id="rId510" Type="http://schemas.openxmlformats.org/officeDocument/2006/relationships/hyperlink" Target="https://drive.google.com/file/d/1ElytO8UbrxiJUQidGmGzTMFp6tIpskF4/view?usp=drivesdk" TargetMode="External"/><Relationship Id="rId752" Type="http://schemas.openxmlformats.org/officeDocument/2006/relationships/hyperlink" Target="https://drive.google.com/file/d/1YiYJi3ZoiWpRAfKQf6eMCEI7_pqLImAY/view?usp=drivesdk" TargetMode="External"/><Relationship Id="rId994" Type="http://schemas.openxmlformats.org/officeDocument/2006/relationships/hyperlink" Target="https://drive.google.com/file/d/1MGh_NjS38tpYzX4vuJJ23N2WmUnvlKyO/view?usp=drivesdk" TargetMode="External"/><Relationship Id="rId18" Type="http://schemas.openxmlformats.org/officeDocument/2006/relationships/hyperlink" Target="https://drive.google.com/file/d/12LUy-jcdhnSyPxLky-4JP1YWD_3chyke/view?usp=drivesdk" TargetMode="External"/><Relationship Id="rId751" Type="http://schemas.openxmlformats.org/officeDocument/2006/relationships/hyperlink" Target="https://drive.google.com/file/d/1QVKUHnhzAnypvtfyDaV9c5J2Dc68Vu_J/view?usp=drivesdk" TargetMode="External"/><Relationship Id="rId993" Type="http://schemas.openxmlformats.org/officeDocument/2006/relationships/hyperlink" Target="https://drive.google.com/file/d/16QBVv4M69c2mj59yrECqRazWOrlccnf6/view?usp=drivesdk" TargetMode="External"/><Relationship Id="rId1100" Type="http://schemas.openxmlformats.org/officeDocument/2006/relationships/hyperlink" Target="https://drive.google.com/file/d/1v0yfj5yytbjHE10aE3X_yMpbE7DxTpgo/view?usp=drivesdk" TargetMode="External"/><Relationship Id="rId750" Type="http://schemas.openxmlformats.org/officeDocument/2006/relationships/hyperlink" Target="https://drive.google.com/file/d/1yh8tvzS5rWJfMSCqpotIV_oz3xYuyJce/view?usp=drivesdk" TargetMode="External"/><Relationship Id="rId992" Type="http://schemas.openxmlformats.org/officeDocument/2006/relationships/hyperlink" Target="https://drive.google.com/file/d/1HqJOHMYJvgBCcoc9JjGoJyTes52DbljC/view?usp=drivesdk" TargetMode="External"/><Relationship Id="rId1101" Type="http://schemas.openxmlformats.org/officeDocument/2006/relationships/hyperlink" Target="https://drive.google.com/file/d/1m9FZdwGKBLDV4-zXg2jrrk2BUvKY-ca6/view?usp=drivesdk" TargetMode="External"/><Relationship Id="rId991" Type="http://schemas.openxmlformats.org/officeDocument/2006/relationships/hyperlink" Target="https://drive.google.com/file/d/1gJlqvzGIIINMOuwGq9_l_USgxoys8jIH/view?usp=drivesdk" TargetMode="External"/><Relationship Id="rId1102" Type="http://schemas.openxmlformats.org/officeDocument/2006/relationships/hyperlink" Target="https://drive.google.com/file/d/1xuWF9i3X0JCgGpsXYEhwf_sliPCIYTnn/view?usp=drivesdk" TargetMode="External"/><Relationship Id="rId84" Type="http://schemas.openxmlformats.org/officeDocument/2006/relationships/hyperlink" Target="https://drive.google.com/file/d/1EOw8aQbqNsYiURtjjfo8KMD0rb4_smXn/view?usp=drivesdk" TargetMode="External"/><Relationship Id="rId83" Type="http://schemas.openxmlformats.org/officeDocument/2006/relationships/hyperlink" Target="https://drive.google.com/file/d/196LgbIQNrlahy-8_wu4ok7sVznOuH4fA/view?usp=drivesdk" TargetMode="External"/><Relationship Id="rId86" Type="http://schemas.openxmlformats.org/officeDocument/2006/relationships/hyperlink" Target="https://drive.google.com/file/d/1sYOCb8e7z6SmURFH0rIIS3QwI3y-Jg3l/view?usp=drivesdk" TargetMode="External"/><Relationship Id="rId85" Type="http://schemas.openxmlformats.org/officeDocument/2006/relationships/hyperlink" Target="https://drive.google.com/file/d/1FILS7B4D9ErWIEMAev7tTPH_WGs1dm4c/view?usp=drivesdk" TargetMode="External"/><Relationship Id="rId88" Type="http://schemas.openxmlformats.org/officeDocument/2006/relationships/hyperlink" Target="https://drive.google.com/file/d/1vp2511PwORXvXYLevqCufzdwacKcQVC2/view?usp=drivesdk" TargetMode="External"/><Relationship Id="rId87" Type="http://schemas.openxmlformats.org/officeDocument/2006/relationships/hyperlink" Target="https://drive.google.com/file/d/1z08ZiYSgSoE88LZNzm8bbF244DDjnkbM/view?usp=drivesdk" TargetMode="External"/><Relationship Id="rId89" Type="http://schemas.openxmlformats.org/officeDocument/2006/relationships/hyperlink" Target="https://drive.google.com/file/d/1GqKPio2lOVCT6c4M_1O1pecROiRW7dNW/view?usp=drivesdk" TargetMode="External"/><Relationship Id="rId709" Type="http://schemas.openxmlformats.org/officeDocument/2006/relationships/hyperlink" Target="https://drive.google.com/file/d/1cDedenisdbPMRL5tam42SewNZIprFIwO/view?usp=drivesdk" TargetMode="External"/><Relationship Id="rId708" Type="http://schemas.openxmlformats.org/officeDocument/2006/relationships/hyperlink" Target="https://drive.google.com/file/d/1jKFhiek4VK7nhSVe4OD7AA6uzKmwr_En/view?usp=drivesdk" TargetMode="External"/><Relationship Id="rId707" Type="http://schemas.openxmlformats.org/officeDocument/2006/relationships/hyperlink" Target="https://drive.google.com/file/d/1e36GVIDVMozN9Cf6SwFggk_pW3H_8v23/view?usp=drivesdk" TargetMode="External"/><Relationship Id="rId949" Type="http://schemas.openxmlformats.org/officeDocument/2006/relationships/hyperlink" Target="https://drive.google.com/file/d/1zsvDxxOTEVCLJvk6zYZ6qjiwJ_ID4obk/view?usp=drivesdk" TargetMode="External"/><Relationship Id="rId706" Type="http://schemas.openxmlformats.org/officeDocument/2006/relationships/hyperlink" Target="https://drive.google.com/file/d/1GKe98NusoIL-gkUScO7f3cCb5O8i5lzq/view?usp=drivesdk" TargetMode="External"/><Relationship Id="rId948" Type="http://schemas.openxmlformats.org/officeDocument/2006/relationships/hyperlink" Target="https://drive.google.com/file/d/1-4SszCkDsw12VMpHVts8fEUXHQb56iqg/view?usp=drivesdk" TargetMode="External"/><Relationship Id="rId80" Type="http://schemas.openxmlformats.org/officeDocument/2006/relationships/hyperlink" Target="https://drive.google.com/file/d/1_lrjTIRT1qzKjYAq8MXOaIhHEOvB61dD/view?usp=drivesdk" TargetMode="External"/><Relationship Id="rId82" Type="http://schemas.openxmlformats.org/officeDocument/2006/relationships/hyperlink" Target="https://drive.google.com/file/d/1PRT9fcCI7mU_Oo3gcNlgZXlRAWuMPwid/view?usp=drivesdk" TargetMode="External"/><Relationship Id="rId81" Type="http://schemas.openxmlformats.org/officeDocument/2006/relationships/hyperlink" Target="https://drive.google.com/file/d/1tI50yuEO5i4zAW3bs2pUZoPVN_YlqpNM/view?usp=drivesdk" TargetMode="External"/><Relationship Id="rId701" Type="http://schemas.openxmlformats.org/officeDocument/2006/relationships/hyperlink" Target="https://drive.google.com/file/d/1eROfNZeqE58D0EVHJzsikXjY0y52LPQq/view?usp=drivesdk" TargetMode="External"/><Relationship Id="rId943" Type="http://schemas.openxmlformats.org/officeDocument/2006/relationships/hyperlink" Target="https://drive.google.com/file/d/1Gx-lKOh53qmXtcaJwAA6CzgPDr6BZMI3/view?usp=drivesdk" TargetMode="External"/><Relationship Id="rId700" Type="http://schemas.openxmlformats.org/officeDocument/2006/relationships/hyperlink" Target="https://drive.google.com/file/d/1zyej0sWjvrZR3biiaUXCtZy1-71tJXxe/view?usp=drivesdk" TargetMode="External"/><Relationship Id="rId942" Type="http://schemas.openxmlformats.org/officeDocument/2006/relationships/hyperlink" Target="https://drive.google.com/file/d/1Xkp-r4kgVgy10MTXFy_c3PzDBfQbsSEb/view?usp=drivesdk" TargetMode="External"/><Relationship Id="rId941" Type="http://schemas.openxmlformats.org/officeDocument/2006/relationships/hyperlink" Target="https://drive.google.com/file/d/14QaRTylTPojJWn8Yui-kuSWncc_HRJ3E/view?usp=drivesdk" TargetMode="External"/><Relationship Id="rId940" Type="http://schemas.openxmlformats.org/officeDocument/2006/relationships/hyperlink" Target="https://drive.google.com/file/d/1Gqcwqz7748x_VyMy7CCk6J0Xi5NyFeKA/view?usp=drivesdk" TargetMode="External"/><Relationship Id="rId705" Type="http://schemas.openxmlformats.org/officeDocument/2006/relationships/hyperlink" Target="https://drive.google.com/file/d/1JbLik0DKQmjS4Ou-4I2pfzqFNqGUWr4p/view?usp=drivesdk" TargetMode="External"/><Relationship Id="rId947" Type="http://schemas.openxmlformats.org/officeDocument/2006/relationships/hyperlink" Target="https://drive.google.com/file/d/1ZzNz3dljrh5C2pwWUVQNEZsAU4BfI4R0/view?usp=drivesdk" TargetMode="External"/><Relationship Id="rId704" Type="http://schemas.openxmlformats.org/officeDocument/2006/relationships/hyperlink" Target="https://drive.google.com/file/d/1slC6wU9iGI8AZxdqMwpTGd-6kWcl0GQz/view?usp=drivesdk" TargetMode="External"/><Relationship Id="rId946" Type="http://schemas.openxmlformats.org/officeDocument/2006/relationships/hyperlink" Target="https://drive.google.com/file/d/1lvcN_eF2XF9J9OT7GX3rA0bPWQxb6xSV/view?usp=drivesdk" TargetMode="External"/><Relationship Id="rId703" Type="http://schemas.openxmlformats.org/officeDocument/2006/relationships/hyperlink" Target="https://drive.google.com/file/d/1T3xJy8e9S8edo34vVz-_vB8RUK7Pe99c/view?usp=drivesdk" TargetMode="External"/><Relationship Id="rId945" Type="http://schemas.openxmlformats.org/officeDocument/2006/relationships/hyperlink" Target="https://drive.google.com/file/d/1ch1jFHrGahuRHYnj143buVjNOG8sXycv/view?usp=drivesdk" TargetMode="External"/><Relationship Id="rId702" Type="http://schemas.openxmlformats.org/officeDocument/2006/relationships/hyperlink" Target="https://drive.google.com/file/d/1j-HhJCRdumGC04KU3SUJ7AZuIqfdA0-B/view?usp=drivesdk" TargetMode="External"/><Relationship Id="rId944" Type="http://schemas.openxmlformats.org/officeDocument/2006/relationships/hyperlink" Target="https://drive.google.com/file/d/1RTozSrfPLrhhOjXvYBZZGufYItxyMl99/view?usp=drivesdk" TargetMode="External"/><Relationship Id="rId73" Type="http://schemas.openxmlformats.org/officeDocument/2006/relationships/hyperlink" Target="https://drive.google.com/file/d/1hVMPb1qf2-u9qU_gUc_L4livwzaziaU-/view?usp=drivesdk" TargetMode="External"/><Relationship Id="rId72" Type="http://schemas.openxmlformats.org/officeDocument/2006/relationships/hyperlink" Target="https://drive.google.com/file/d/1njr6hRteDlcv5_AEjYWyE8oqvViIqH1S/view?usp=drivesdk" TargetMode="External"/><Relationship Id="rId75" Type="http://schemas.openxmlformats.org/officeDocument/2006/relationships/hyperlink" Target="https://drive.google.com/file/d/1dmUPljzhRm5eF7PAOFovJ92fycb57KI2/view?usp=drivesdk" TargetMode="External"/><Relationship Id="rId74" Type="http://schemas.openxmlformats.org/officeDocument/2006/relationships/hyperlink" Target="https://drive.google.com/file/d/1hwc0MALbFHX9agdosP8vge0li3a-c2yt/view?usp=drivesdk" TargetMode="External"/><Relationship Id="rId77" Type="http://schemas.openxmlformats.org/officeDocument/2006/relationships/hyperlink" Target="https://drive.google.com/file/d/15PxlRYdwgs2d5E00qmS__EskGfMTu26V/view?usp=drivesdk" TargetMode="External"/><Relationship Id="rId76" Type="http://schemas.openxmlformats.org/officeDocument/2006/relationships/hyperlink" Target="https://drive.google.com/file/d/1YtzEcEzVk7NpBetmxrJ7Eguwl73PsAiN/view?usp=drivesdk" TargetMode="External"/><Relationship Id="rId79" Type="http://schemas.openxmlformats.org/officeDocument/2006/relationships/hyperlink" Target="https://drive.google.com/file/d/1nw1S_FHDoW0ngbWRsDh19Gmv7878j66p/view?usp=drivesdk" TargetMode="External"/><Relationship Id="rId78" Type="http://schemas.openxmlformats.org/officeDocument/2006/relationships/hyperlink" Target="https://drive.google.com/file/d/1nqKm7F-rJ_Mn6OzfksaV0rN2-HAx5bw3/view?usp=drivesdk" TargetMode="External"/><Relationship Id="rId939" Type="http://schemas.openxmlformats.org/officeDocument/2006/relationships/hyperlink" Target="https://drive.google.com/file/d/1Ld4oUd1nCXHGLC5sGlDM2kcJvzWdc_lb/view?usp=drivesdk" TargetMode="External"/><Relationship Id="rId938" Type="http://schemas.openxmlformats.org/officeDocument/2006/relationships/hyperlink" Target="https://drive.google.com/file/d/10iDLKGW9qpHujkL-T6gdhi9vTxYM1LOE/view?usp=drivesdk" TargetMode="External"/><Relationship Id="rId937" Type="http://schemas.openxmlformats.org/officeDocument/2006/relationships/hyperlink" Target="https://drive.google.com/file/d/1s_tBUYMYJ8F_qkslL7W0IBtyorxFJNE-/view?usp=drivesdk" TargetMode="External"/><Relationship Id="rId71" Type="http://schemas.openxmlformats.org/officeDocument/2006/relationships/hyperlink" Target="https://drive.google.com/file/d/1yssA-V_AtZY_l-veevslFxMtXjnPvM0I/view?usp=drivesdk" TargetMode="External"/><Relationship Id="rId70" Type="http://schemas.openxmlformats.org/officeDocument/2006/relationships/hyperlink" Target="https://drive.google.com/file/d/1Y3Hd55S72M0IHEtBfM69o8DNAnq7-T-v/view?usp=drivesdk" TargetMode="External"/><Relationship Id="rId932" Type="http://schemas.openxmlformats.org/officeDocument/2006/relationships/hyperlink" Target="https://drive.google.com/file/d/1TJSFDpUwHJcmEEi4UFS99r5ssiC4AwRN/view?usp=drivesdk" TargetMode="External"/><Relationship Id="rId931" Type="http://schemas.openxmlformats.org/officeDocument/2006/relationships/hyperlink" Target="https://drive.google.com/file/d/1zzp3ylk0vyPMNgfaHTmG88soJsqdnbxy/view?usp=drivesdk" TargetMode="External"/><Relationship Id="rId930" Type="http://schemas.openxmlformats.org/officeDocument/2006/relationships/hyperlink" Target="https://drive.google.com/file/d/1DO782QAY18aiSCFsFfQVSIuYiB0F00VG/view?usp=drivesdk" TargetMode="External"/><Relationship Id="rId936" Type="http://schemas.openxmlformats.org/officeDocument/2006/relationships/hyperlink" Target="https://drive.google.com/file/d/1iGDjmMPjYo6upgFQY7DAGyhRHmI_bcx7/view?usp=drivesdk" TargetMode="External"/><Relationship Id="rId935" Type="http://schemas.openxmlformats.org/officeDocument/2006/relationships/hyperlink" Target="https://drive.google.com/file/d/1vzvSfJmdWfR_vKnpZS5irVzTz8qAejxw/view?usp=drivesdk" TargetMode="External"/><Relationship Id="rId934" Type="http://schemas.openxmlformats.org/officeDocument/2006/relationships/hyperlink" Target="https://drive.google.com/file/d/1jkY4EQ8Kp5ncTbw1qQ8amDDljrq2nH1J/view?usp=drivesdk" TargetMode="External"/><Relationship Id="rId933" Type="http://schemas.openxmlformats.org/officeDocument/2006/relationships/hyperlink" Target="https://drive.google.com/file/d/1BInCxWboqI4enonxraV7A-CST5D7s6sr/view?usp=drivesdk" TargetMode="External"/><Relationship Id="rId62" Type="http://schemas.openxmlformats.org/officeDocument/2006/relationships/hyperlink" Target="https://drive.google.com/file/d/1ILU-k86uQJxw1omIntJx2cRXYO1JDC0R/view?usp=drivesdk" TargetMode="External"/><Relationship Id="rId1312" Type="http://schemas.openxmlformats.org/officeDocument/2006/relationships/hyperlink" Target="https://drive.google.com/file/d/1LXHP0ZQEHYEzDXeAivmHYGNI2VuHAO16/view?usp=drivesdk" TargetMode="External"/><Relationship Id="rId61" Type="http://schemas.openxmlformats.org/officeDocument/2006/relationships/hyperlink" Target="https://drive.google.com/file/d/1Rv0UpbE4l8lxyTY30dwgKDh4rQaHsr8z/view?usp=drivesdk" TargetMode="External"/><Relationship Id="rId1313" Type="http://schemas.openxmlformats.org/officeDocument/2006/relationships/hyperlink" Target="https://drive.google.com/file/d/1AX8YueUIRgFz4olNxEePoMuT2sasgjT-/view?usp=drivesdk" TargetMode="External"/><Relationship Id="rId64" Type="http://schemas.openxmlformats.org/officeDocument/2006/relationships/hyperlink" Target="https://drive.google.com/file/d/1l0LjTLmI2L89fWfHVjpIO6iCdDVT3l3P/view?usp=drivesdk" TargetMode="External"/><Relationship Id="rId1314" Type="http://schemas.openxmlformats.org/officeDocument/2006/relationships/hyperlink" Target="https://drive.google.com/file/d/1BGw3ll2WvTUeanqjQQu4kJhdVqRUMXKK/view?usp=drivesdk" TargetMode="External"/><Relationship Id="rId63" Type="http://schemas.openxmlformats.org/officeDocument/2006/relationships/hyperlink" Target="https://drive.google.com/file/d/1BCM2wN0NgM0sbfcTO6RaGbMMq3E7t7Uf/view?usp=drivesdk" TargetMode="External"/><Relationship Id="rId1315" Type="http://schemas.openxmlformats.org/officeDocument/2006/relationships/hyperlink" Target="https://drive.google.com/file/d/1-zhUerGGleMbormZ1EEfBizVbQFXI8Nd/view?usp=drivesdk" TargetMode="External"/><Relationship Id="rId66" Type="http://schemas.openxmlformats.org/officeDocument/2006/relationships/hyperlink" Target="https://drive.google.com/file/d/190zf_8efXavPAWVP4NVXxYxWk4UFFq9N/view?usp=drivesdk" TargetMode="External"/><Relationship Id="rId1316" Type="http://schemas.openxmlformats.org/officeDocument/2006/relationships/hyperlink" Target="https://drive.google.com/file/d/11h6oubJqh9p0vIaKW7QlP_4u0W2DCRad/view?usp=drivesdk" TargetMode="External"/><Relationship Id="rId65" Type="http://schemas.openxmlformats.org/officeDocument/2006/relationships/hyperlink" Target="https://drive.google.com/file/d/1NQRg6gVlBUAAamnGvuu0_75HVrBcXV1A/view?usp=drivesdk" TargetMode="External"/><Relationship Id="rId1317" Type="http://schemas.openxmlformats.org/officeDocument/2006/relationships/hyperlink" Target="https://drive.google.com/file/d/1LdCBgij_uL7UOL4jWLJro4yI1qzRCrjd/view?usp=drivesdk" TargetMode="External"/><Relationship Id="rId68" Type="http://schemas.openxmlformats.org/officeDocument/2006/relationships/hyperlink" Target="https://drive.google.com/file/d/1W0Wo0l_NXG_YCiovictmX-XrRVkiNscw/view?usp=drivesdk" TargetMode="External"/><Relationship Id="rId1318" Type="http://schemas.openxmlformats.org/officeDocument/2006/relationships/hyperlink" Target="https://drive.google.com/file/d/1dBYsJmlTublK1hDdOSusSMWY1A8uKdBh/view?usp=drivesdk" TargetMode="External"/><Relationship Id="rId67" Type="http://schemas.openxmlformats.org/officeDocument/2006/relationships/hyperlink" Target="https://drive.google.com/file/d/1Cn0UhB9cr-YOAZB605kz7KUiDprKctYE/view?usp=drivesdk" TargetMode="External"/><Relationship Id="rId1319" Type="http://schemas.openxmlformats.org/officeDocument/2006/relationships/hyperlink" Target="https://drive.google.com/file/d/10OqGLYyPH9VVoZRSlMBdEtWdfIaM2ESX/view?usp=drivesdk" TargetMode="External"/><Relationship Id="rId729" Type="http://schemas.openxmlformats.org/officeDocument/2006/relationships/hyperlink" Target="https://drive.google.com/file/d/1ugAcscezVq4WxOszX-Klca-mL1egK3VO/view?usp=drivesdk" TargetMode="External"/><Relationship Id="rId728" Type="http://schemas.openxmlformats.org/officeDocument/2006/relationships/hyperlink" Target="https://drive.google.com/file/d/1j3foYCCTlBqpNGAtYRkUykE8FmuBua82/view?usp=drivesdk" TargetMode="External"/><Relationship Id="rId60" Type="http://schemas.openxmlformats.org/officeDocument/2006/relationships/hyperlink" Target="https://drive.google.com/file/d/10BiDAAMH14MpU6Fzmp62AwtfSN2YEqTH/view?usp=drivesdk" TargetMode="External"/><Relationship Id="rId723" Type="http://schemas.openxmlformats.org/officeDocument/2006/relationships/hyperlink" Target="https://drive.google.com/file/d/1Af47sUTPGytDcEH1zWuqJqfD5KPU0yLM/view?usp=drivesdk" TargetMode="External"/><Relationship Id="rId965" Type="http://schemas.openxmlformats.org/officeDocument/2006/relationships/hyperlink" Target="https://drive.google.com/file/d/1zMz5Z1-6yIqWTV3-yCl3Ctub1-7xVw7d/view?usp=drivesdk" TargetMode="External"/><Relationship Id="rId722" Type="http://schemas.openxmlformats.org/officeDocument/2006/relationships/hyperlink" Target="https://drive.google.com/file/d/19YyCELlhci4nyn8wXx9sGyqKHf_TLHL8/view?usp=drivesdk" TargetMode="External"/><Relationship Id="rId964" Type="http://schemas.openxmlformats.org/officeDocument/2006/relationships/hyperlink" Target="https://drive.google.com/file/d/1iq8qngGOBOH4mT69ojhVHxjM0TUfiDUH/view?usp=drivesdk" TargetMode="External"/><Relationship Id="rId721" Type="http://schemas.openxmlformats.org/officeDocument/2006/relationships/hyperlink" Target="https://drive.google.com/file/d/14A7a5qUmLzj6kBjE0E5pFuh7A1EYv1TV/view?usp=drivesdk" TargetMode="External"/><Relationship Id="rId963" Type="http://schemas.openxmlformats.org/officeDocument/2006/relationships/hyperlink" Target="https://drive.google.com/file/d/1hVJrS7_Y3Ab2_Sv1ZswK57uYDc0-L4nW/view?usp=drivesdk" TargetMode="External"/><Relationship Id="rId720" Type="http://schemas.openxmlformats.org/officeDocument/2006/relationships/hyperlink" Target="https://drive.google.com/file/d/1hRU2FMZR8YA-GzEP5S6KSUmM5YwManT4/view?usp=drivesdk" TargetMode="External"/><Relationship Id="rId962" Type="http://schemas.openxmlformats.org/officeDocument/2006/relationships/hyperlink" Target="https://drive.google.com/file/d/1MDogIQZIEtm5smHbrKWhS6BfRzAIjkMa/view?usp=drivesdk" TargetMode="External"/><Relationship Id="rId727" Type="http://schemas.openxmlformats.org/officeDocument/2006/relationships/hyperlink" Target="https://drive.google.com/file/d/1J2Fq4WLc-3-Q4rO0Iu4-HQseykY9xIzI/view?usp=drivesdk" TargetMode="External"/><Relationship Id="rId969" Type="http://schemas.openxmlformats.org/officeDocument/2006/relationships/hyperlink" Target="https://drive.google.com/file/d/1uYXAkibF08eNcZHHxgy8X6s2iknc-wD4/view?usp=drivesdk" TargetMode="External"/><Relationship Id="rId726" Type="http://schemas.openxmlformats.org/officeDocument/2006/relationships/hyperlink" Target="https://drive.google.com/file/d/1qdUW0z_LsbBEiepmVLppyKfrMF3tjln5/view?usp=drivesdk" TargetMode="External"/><Relationship Id="rId968" Type="http://schemas.openxmlformats.org/officeDocument/2006/relationships/hyperlink" Target="https://drive.google.com/file/d/1wMopQ8LqIDNVrcPkkeZ0AtWxiNGcgVaD/view?usp=drivesdk" TargetMode="External"/><Relationship Id="rId725" Type="http://schemas.openxmlformats.org/officeDocument/2006/relationships/hyperlink" Target="https://drive.google.com/file/d/1TqMMjG3F3X_XJ54GOfqIY_ktLDZdDVtk/view?usp=drivesdk" TargetMode="External"/><Relationship Id="rId967" Type="http://schemas.openxmlformats.org/officeDocument/2006/relationships/hyperlink" Target="https://drive.google.com/file/d/1rYTfFtwON0O8AmyN1mLEukqCJSr-bGJe/view?usp=drivesdk" TargetMode="External"/><Relationship Id="rId724" Type="http://schemas.openxmlformats.org/officeDocument/2006/relationships/hyperlink" Target="https://drive.google.com/file/d/1vyBri-3MK8tySVMWlhe8TAn-H3mL0WkZ/view?usp=drivesdk" TargetMode="External"/><Relationship Id="rId966" Type="http://schemas.openxmlformats.org/officeDocument/2006/relationships/hyperlink" Target="https://drive.google.com/file/d/1_YT0ZAbvwcsSLG34EZ4OenJrM0k89jC2/view?usp=drivesdk" TargetMode="External"/><Relationship Id="rId69" Type="http://schemas.openxmlformats.org/officeDocument/2006/relationships/hyperlink" Target="https://drive.google.com/file/d/1Z1V_m93q4jkWcKOT4os8z5ed-KmlpyN8/view?usp=drivesdk" TargetMode="External"/><Relationship Id="rId961" Type="http://schemas.openxmlformats.org/officeDocument/2006/relationships/hyperlink" Target="https://drive.google.com/file/d/14dB046Lagea5q6I4CTlCc8FgLiroRJMz/view?usp=drivesdk" TargetMode="External"/><Relationship Id="rId960" Type="http://schemas.openxmlformats.org/officeDocument/2006/relationships/hyperlink" Target="https://drive.google.com/file/d/1Dys71USp4spufphg3WXOYHsMSjfhU4Nm/view?usp=drivesdk" TargetMode="External"/><Relationship Id="rId1310" Type="http://schemas.openxmlformats.org/officeDocument/2006/relationships/hyperlink" Target="https://drive.google.com/file/d/1_KuF9GSyOF3W5eLMI_dH_-bkLLrgTjEB/view?usp=drivesdk" TargetMode="External"/><Relationship Id="rId1311" Type="http://schemas.openxmlformats.org/officeDocument/2006/relationships/hyperlink" Target="https://drive.google.com/file/d/1wr5a-KbhHvBdwJZ_xJg2K6ZRFHTsOXQ0/view?usp=drivesdk" TargetMode="External"/><Relationship Id="rId51" Type="http://schemas.openxmlformats.org/officeDocument/2006/relationships/hyperlink" Target="https://drive.google.com/file/d/1o-r27GOd-DnhGpbQ9ijUSJkfLoAy6cKD/view?usp=drivesdk" TargetMode="External"/><Relationship Id="rId1301" Type="http://schemas.openxmlformats.org/officeDocument/2006/relationships/hyperlink" Target="https://drive.google.com/file/d/1H39CLdCHrQBZcJF6xB3S_9j6nKYqsDnn/view?usp=drivesdk" TargetMode="External"/><Relationship Id="rId50" Type="http://schemas.openxmlformats.org/officeDocument/2006/relationships/hyperlink" Target="https://drive.google.com/file/d/1YedjWM_tGjl5prroUC1ul2fb-j2ewzhP/view?usp=drivesdk" TargetMode="External"/><Relationship Id="rId1302" Type="http://schemas.openxmlformats.org/officeDocument/2006/relationships/hyperlink" Target="https://drive.google.com/file/d/1ZXUmGRjHhVEUESCYxZ6g9OxxYCYTCOAB/view?usp=drivesdk" TargetMode="External"/><Relationship Id="rId53" Type="http://schemas.openxmlformats.org/officeDocument/2006/relationships/hyperlink" Target="https://drive.google.com/file/d/1JVCR9FwIuiOiztAXwpSV0CHSClCiTwKd/view?usp=drivesdk" TargetMode="External"/><Relationship Id="rId1303" Type="http://schemas.openxmlformats.org/officeDocument/2006/relationships/hyperlink" Target="https://drive.google.com/file/d/1tePI-pzvT1SZYwi_fdzkifwi38RprcVS/view?usp=drivesdk" TargetMode="External"/><Relationship Id="rId52" Type="http://schemas.openxmlformats.org/officeDocument/2006/relationships/hyperlink" Target="https://drive.google.com/file/d/1zGXjRcqiUZZZ3iOkVcZNGCz3jD2MWjDu/view?usp=drivesdk" TargetMode="External"/><Relationship Id="rId1304" Type="http://schemas.openxmlformats.org/officeDocument/2006/relationships/hyperlink" Target="https://drive.google.com/file/d/1G96Rc8ueoAQS2ndygfTY0q4VH6ytGPd5/view?usp=drivesdk" TargetMode="External"/><Relationship Id="rId55" Type="http://schemas.openxmlformats.org/officeDocument/2006/relationships/hyperlink" Target="https://drive.google.com/file/d/1OuHxufuju85YkbWZB5AX2kMqM5hcsND0/view?usp=drivesdk" TargetMode="External"/><Relationship Id="rId1305" Type="http://schemas.openxmlformats.org/officeDocument/2006/relationships/hyperlink" Target="https://drive.google.com/file/d/1F4HnLJwmLepe_QZpEZ2Fm1jbWGdcBiAd/view?usp=drivesdk" TargetMode="External"/><Relationship Id="rId54" Type="http://schemas.openxmlformats.org/officeDocument/2006/relationships/hyperlink" Target="https://drive.google.com/file/d/1cfL3pfOJzFutM7805_03Ms37lq4FH9UR/view?usp=drivesdk" TargetMode="External"/><Relationship Id="rId1306" Type="http://schemas.openxmlformats.org/officeDocument/2006/relationships/hyperlink" Target="https://drive.google.com/file/d/1k4mcWHQpVCyn69KAX_u2IDwDbabsepYM/view?usp=drivesdk" TargetMode="External"/><Relationship Id="rId57" Type="http://schemas.openxmlformats.org/officeDocument/2006/relationships/hyperlink" Target="https://drive.google.com/file/d/1EcrUcml6czXhKB7oQure0_RjVb_E3yql/view?usp=drivesdk" TargetMode="External"/><Relationship Id="rId1307" Type="http://schemas.openxmlformats.org/officeDocument/2006/relationships/hyperlink" Target="https://drive.google.com/file/d/1DRpTHFH65q_5yjEuBNkW34boNpYybJly/view?usp=drivesdk" TargetMode="External"/><Relationship Id="rId56" Type="http://schemas.openxmlformats.org/officeDocument/2006/relationships/hyperlink" Target="https://drive.google.com/file/d/17BhVoPgWCttJWOMOGKprWmycI7nBMOn_/view?usp=drivesdk" TargetMode="External"/><Relationship Id="rId1308" Type="http://schemas.openxmlformats.org/officeDocument/2006/relationships/hyperlink" Target="https://drive.google.com/file/d/14GCY7aStn_L1N-452p6uBNml29IZVpWo/view?usp=drivesdk" TargetMode="External"/><Relationship Id="rId1309" Type="http://schemas.openxmlformats.org/officeDocument/2006/relationships/hyperlink" Target="https://drive.google.com/file/d/18wVyYWMHbegRH2TFlLbmbmR6uLozX-LR/view?usp=drivesdk" TargetMode="External"/><Relationship Id="rId719" Type="http://schemas.openxmlformats.org/officeDocument/2006/relationships/hyperlink" Target="https://drive.google.com/file/d/1zMv6a_t0h2c5n1b5mHIB_R98G0H5ikuL/view?usp=drivesdk" TargetMode="External"/><Relationship Id="rId718" Type="http://schemas.openxmlformats.org/officeDocument/2006/relationships/hyperlink" Target="https://drive.google.com/file/d/1DFtCgF8pWDvSsI_8bqLSlAuDaDj-cgay/view?usp=drivesdk" TargetMode="External"/><Relationship Id="rId717" Type="http://schemas.openxmlformats.org/officeDocument/2006/relationships/hyperlink" Target="https://drive.google.com/file/d/1dsSO-VdI0HWsCVXvnXAeBzKMYBh6Xnwe/view?usp=drivesdk" TargetMode="External"/><Relationship Id="rId959" Type="http://schemas.openxmlformats.org/officeDocument/2006/relationships/hyperlink" Target="https://drive.google.com/file/d/1r-k17ht6Ydj1WrfszMqA1ckyxxQqedzN/view?usp=drivesdk" TargetMode="External"/><Relationship Id="rId712" Type="http://schemas.openxmlformats.org/officeDocument/2006/relationships/hyperlink" Target="https://drive.google.com/file/d/1Vzg5S0vHdtnVpxCFxh918WamZjf7k8fK/view?usp=drivesdk" TargetMode="External"/><Relationship Id="rId954" Type="http://schemas.openxmlformats.org/officeDocument/2006/relationships/hyperlink" Target="https://drive.google.com/file/d/1CAIYZkf8gFxXCBRTxVjUpsWmzqjsgV8c/view?usp=drivesdk" TargetMode="External"/><Relationship Id="rId711" Type="http://schemas.openxmlformats.org/officeDocument/2006/relationships/hyperlink" Target="https://drive.google.com/file/d/12st4sDkN-lXot5puqdt4z-Vj9cg41alw/view?usp=drivesdk" TargetMode="External"/><Relationship Id="rId953" Type="http://schemas.openxmlformats.org/officeDocument/2006/relationships/hyperlink" Target="https://drive.google.com/file/d/1T17X2s5PUoHzRjhFW5ClOLuzAGG4IAF-/view?usp=drivesdk" TargetMode="External"/><Relationship Id="rId710" Type="http://schemas.openxmlformats.org/officeDocument/2006/relationships/hyperlink" Target="https://drive.google.com/file/d/1aqv5e7ZkZueAn0KwkCN9ZzKgIFrnpXgR/view?usp=drivesdk" TargetMode="External"/><Relationship Id="rId952" Type="http://schemas.openxmlformats.org/officeDocument/2006/relationships/hyperlink" Target="https://drive.google.com/file/d/1qRzc8BhSp0mK-NRFz7ynjILAinWGHlKP/view?usp=drivesdk" TargetMode="External"/><Relationship Id="rId951" Type="http://schemas.openxmlformats.org/officeDocument/2006/relationships/hyperlink" Target="https://drive.google.com/file/d/1VqtHxBeYCT4MDn6aiQdSm5Xtx8WcGzAt/view?usp=drivesdk" TargetMode="External"/><Relationship Id="rId716" Type="http://schemas.openxmlformats.org/officeDocument/2006/relationships/hyperlink" Target="https://drive.google.com/file/d/1FKHTG3j08EI_uRstm6EMFQvxT5DKTbmL/view?usp=drivesdk" TargetMode="External"/><Relationship Id="rId958" Type="http://schemas.openxmlformats.org/officeDocument/2006/relationships/hyperlink" Target="https://drive.google.com/file/d/1y-QCO8S1jsGG5jZLi87IUuDrzknZ2ZXs/view?usp=drivesdk" TargetMode="External"/><Relationship Id="rId715" Type="http://schemas.openxmlformats.org/officeDocument/2006/relationships/hyperlink" Target="https://drive.google.com/file/d/1dzgB-Fbb7deMbMlOBFpRg-lLkPGqiQDZ/view?usp=drivesdk" TargetMode="External"/><Relationship Id="rId957" Type="http://schemas.openxmlformats.org/officeDocument/2006/relationships/hyperlink" Target="https://drive.google.com/file/d/1fT63OsN2cyTVKmLkxLwSFvsexrdn-jst/view?usp=drivesdk" TargetMode="External"/><Relationship Id="rId714" Type="http://schemas.openxmlformats.org/officeDocument/2006/relationships/hyperlink" Target="https://drive.google.com/file/d/12GEJ4liqMSU4mPitjcHtsHeZTXQf84rH/view?usp=drivesdk" TargetMode="External"/><Relationship Id="rId956" Type="http://schemas.openxmlformats.org/officeDocument/2006/relationships/hyperlink" Target="https://drive.google.com/file/d/1PZYqtgzKZxmnZSOX3-ypwqKFmlTSBR0-/view?usp=drivesdk" TargetMode="External"/><Relationship Id="rId713" Type="http://schemas.openxmlformats.org/officeDocument/2006/relationships/hyperlink" Target="https://drive.google.com/file/d/1DH-UQPSXVD-f8_jKT5P8JT5TcL9SCFVk/view?usp=drivesdk" TargetMode="External"/><Relationship Id="rId955" Type="http://schemas.openxmlformats.org/officeDocument/2006/relationships/hyperlink" Target="https://drive.google.com/file/d/1FMARl4nNnUI88I9IYkPpRNhpCG844iXj/view?usp=drivesdk" TargetMode="External"/><Relationship Id="rId59" Type="http://schemas.openxmlformats.org/officeDocument/2006/relationships/hyperlink" Target="https://drive.google.com/file/d/1er02pRumRIvZWLOsTawkaiDB3pTZ8S8R/view?usp=drivesdk" TargetMode="External"/><Relationship Id="rId58" Type="http://schemas.openxmlformats.org/officeDocument/2006/relationships/hyperlink" Target="https://drive.google.com/file/d/1OJmS7B8QjcntmZgEa6L_lbir63B4Ptd8/view?usp=drivesdk" TargetMode="External"/><Relationship Id="rId950" Type="http://schemas.openxmlformats.org/officeDocument/2006/relationships/hyperlink" Target="https://drive.google.com/file/d/1ZGmc-OvSTlTCOBe5BxP3a-sbcW7m854d/view?usp=drivesdk" TargetMode="External"/><Relationship Id="rId1300" Type="http://schemas.openxmlformats.org/officeDocument/2006/relationships/hyperlink" Target="https://drive.google.com/file/d/1r9P2huWI6x27fya48evaZiohUaYVmwWN/view?usp=drivesdk" TargetMode="External"/><Relationship Id="rId590" Type="http://schemas.openxmlformats.org/officeDocument/2006/relationships/hyperlink" Target="https://drive.google.com/file/d/1ie_XvGPGgIGdKqUFDfEttn8aqOGiJK4w/view?usp=drivesdk" TargetMode="External"/><Relationship Id="rId107" Type="http://schemas.openxmlformats.org/officeDocument/2006/relationships/hyperlink" Target="https://drive.google.com/file/d/1jjIBLbBZ83zslGPwGANsiWHNDxjKmwZp/view?usp=drivesdk" TargetMode="External"/><Relationship Id="rId349" Type="http://schemas.openxmlformats.org/officeDocument/2006/relationships/hyperlink" Target="https://drive.google.com/file/d/1ICEECJou3xZrCvyNc-82J1cL9dSJDB9f/view?usp=drivesdk" TargetMode="External"/><Relationship Id="rId106" Type="http://schemas.openxmlformats.org/officeDocument/2006/relationships/hyperlink" Target="https://drive.google.com/file/d/19b442Yf6DwAlsojhw9zuhv5U5bNOdlat/view?usp=drivesdk" TargetMode="External"/><Relationship Id="rId348" Type="http://schemas.openxmlformats.org/officeDocument/2006/relationships/hyperlink" Target="https://drive.google.com/file/d/1c2hPreWkFBNRC3KUpiLMdZ-M6ToJuq_q/view?usp=drivesdk" TargetMode="External"/><Relationship Id="rId105" Type="http://schemas.openxmlformats.org/officeDocument/2006/relationships/hyperlink" Target="https://drive.google.com/file/d/1C92wC6yfGmUjs41QsGlXv_SkjVcwQt-c/view?usp=drivesdk" TargetMode="External"/><Relationship Id="rId347" Type="http://schemas.openxmlformats.org/officeDocument/2006/relationships/hyperlink" Target="https://drive.google.com/file/d/1Kshsyw6mXQqDYPBveAWvW0AXjSIuCUlZ/view?usp=drivesdk" TargetMode="External"/><Relationship Id="rId589" Type="http://schemas.openxmlformats.org/officeDocument/2006/relationships/hyperlink" Target="https://drive.google.com/file/d/1GGGZuF2aZVNDjVsz559fgma1SRO6e2ts/view?usp=drivesdk" TargetMode="External"/><Relationship Id="rId104" Type="http://schemas.openxmlformats.org/officeDocument/2006/relationships/hyperlink" Target="https://drive.google.com/file/d/1MszwbCvT2pNjqdvQoGokfQLLUq8vQpYg/view?usp=drivesdk" TargetMode="External"/><Relationship Id="rId346" Type="http://schemas.openxmlformats.org/officeDocument/2006/relationships/hyperlink" Target="https://drive.google.com/file/d/1jDKyjcp8gvgnr6AVuT7tirZ6-OG6FTbH/view?usp=drivesdk" TargetMode="External"/><Relationship Id="rId588" Type="http://schemas.openxmlformats.org/officeDocument/2006/relationships/hyperlink" Target="https://drive.google.com/file/d/1-C-eYD7UWOHznndAhlKZB3ue-0x8l4m9/view?usp=drivesdk" TargetMode="External"/><Relationship Id="rId109" Type="http://schemas.openxmlformats.org/officeDocument/2006/relationships/hyperlink" Target="https://drive.google.com/file/d/1vMeDRdnyq6NdSpz4oVheV4DKyfyJcMG7/view?usp=drivesdk" TargetMode="External"/><Relationship Id="rId1170" Type="http://schemas.openxmlformats.org/officeDocument/2006/relationships/hyperlink" Target="https://drive.google.com/file/d/1iun3StuOQ-oDVCciy8FUWdFy2QM6bNNG/view?usp=drivesdk" TargetMode="External"/><Relationship Id="rId108" Type="http://schemas.openxmlformats.org/officeDocument/2006/relationships/hyperlink" Target="https://drive.google.com/file/d/1fOsfB7QoFjBXJnhaP3PO5pO4flKMP28y/view?usp=drivesdk" TargetMode="External"/><Relationship Id="rId1171" Type="http://schemas.openxmlformats.org/officeDocument/2006/relationships/hyperlink" Target="https://drive.google.com/file/d/1kfDfa37UXb6RfvOEKl32KY-MFTjrjZZH/view?usp=drivesdk" TargetMode="External"/><Relationship Id="rId341" Type="http://schemas.openxmlformats.org/officeDocument/2006/relationships/hyperlink" Target="https://drive.google.com/file/d/15tWdWfq3P7_7JTW65rBXTn0G5erpqLLw/view?usp=drivesdk" TargetMode="External"/><Relationship Id="rId583" Type="http://schemas.openxmlformats.org/officeDocument/2006/relationships/hyperlink" Target="https://drive.google.com/file/d/1ku_Ugh6P9AAR0CqUpf-mUH5uKkqgibiH/view?usp=drivesdk" TargetMode="External"/><Relationship Id="rId1172" Type="http://schemas.openxmlformats.org/officeDocument/2006/relationships/hyperlink" Target="https://drive.google.com/file/d/1WcWNE6w4SoqltMI-U8h7MbgtO_f0OrC1/view?usp=drivesdk" TargetMode="External"/><Relationship Id="rId340" Type="http://schemas.openxmlformats.org/officeDocument/2006/relationships/hyperlink" Target="https://drive.google.com/file/d/1HuG3e_0OTRm6Dw0gNx0q-ikpRiAmv5wW/view?usp=drivesdk" TargetMode="External"/><Relationship Id="rId582" Type="http://schemas.openxmlformats.org/officeDocument/2006/relationships/hyperlink" Target="https://drive.google.com/file/d/1r8hKHS_5Q1fyVAGsa6sZCXbaKmJ_f9JG/view?usp=drivesdk" TargetMode="External"/><Relationship Id="rId1173" Type="http://schemas.openxmlformats.org/officeDocument/2006/relationships/hyperlink" Target="https://drive.google.com/file/d/11dZmdaqrNK0tOb4lYLRIXqMRIQwD82Fk/view?usp=drivesdk" TargetMode="External"/><Relationship Id="rId581" Type="http://schemas.openxmlformats.org/officeDocument/2006/relationships/hyperlink" Target="https://drive.google.com/file/d/17sOtapDycQtRabsaaS075PZf9FA3YVRg/view?usp=drivesdk" TargetMode="External"/><Relationship Id="rId1174" Type="http://schemas.openxmlformats.org/officeDocument/2006/relationships/hyperlink" Target="https://drive.google.com/file/d/13bi2VECSs7npO9Zx9V6c1WvNzmKEZUGR/view?usp=drivesdk" TargetMode="External"/><Relationship Id="rId580" Type="http://schemas.openxmlformats.org/officeDocument/2006/relationships/hyperlink" Target="https://drive.google.com/file/d/1PiPg5WySyM6etiUypEATflM4M4JNI4r8/view?usp=drivesdk" TargetMode="External"/><Relationship Id="rId1175" Type="http://schemas.openxmlformats.org/officeDocument/2006/relationships/hyperlink" Target="https://drive.google.com/file/d/1iDYkKTHzpdzgvPR0sYfBXErMlywGZifz/view?usp=drivesdk" TargetMode="External"/><Relationship Id="rId103" Type="http://schemas.openxmlformats.org/officeDocument/2006/relationships/hyperlink" Target="https://drive.google.com/file/d/1geE3s_5cTI-68fQH2Hqe8j2isBWL_rQQ/view?usp=drivesdk" TargetMode="External"/><Relationship Id="rId345" Type="http://schemas.openxmlformats.org/officeDocument/2006/relationships/hyperlink" Target="https://drive.google.com/file/d/1OCEOKAg406LoLmiRdzzqElSTZixZ4Cnw/view?usp=drivesdk" TargetMode="External"/><Relationship Id="rId587" Type="http://schemas.openxmlformats.org/officeDocument/2006/relationships/hyperlink" Target="https://drive.google.com/file/d/1-pXFfpT2tFvWD4yTKxSR0pKpBYhpip3d/view?usp=drivesdk" TargetMode="External"/><Relationship Id="rId1176" Type="http://schemas.openxmlformats.org/officeDocument/2006/relationships/hyperlink" Target="https://drive.google.com/file/d/1JiQH5lSB3SN2ZK_UW3kIf_nqmKqo7g-i/view?usp=drivesdk" TargetMode="External"/><Relationship Id="rId102" Type="http://schemas.openxmlformats.org/officeDocument/2006/relationships/hyperlink" Target="https://drive.google.com/file/d/127VzxLxjIOaVInuiuAWU3CBpkpN7apaM/view?usp=drivesdk" TargetMode="External"/><Relationship Id="rId344" Type="http://schemas.openxmlformats.org/officeDocument/2006/relationships/hyperlink" Target="https://drive.google.com/file/d/1Mzi0vTuApqFcIFijtyaRHM1knwErBTgY/view?usp=drivesdk" TargetMode="External"/><Relationship Id="rId586" Type="http://schemas.openxmlformats.org/officeDocument/2006/relationships/hyperlink" Target="https://drive.google.com/file/d/19_IDKHkRbubc5iWzfkOGYbNo6o2fPitz/view?usp=drivesdk" TargetMode="External"/><Relationship Id="rId1177" Type="http://schemas.openxmlformats.org/officeDocument/2006/relationships/hyperlink" Target="https://drive.google.com/file/d/1agGAReMCB9sw-WDaKNvjKadkIYNTxjif/view?usp=drivesdk" TargetMode="External"/><Relationship Id="rId101" Type="http://schemas.openxmlformats.org/officeDocument/2006/relationships/hyperlink" Target="https://drive.google.com/file/d/17DhuR_obpscVJQxWgIpj1H4XEyKDDBLs/view?usp=drivesdk" TargetMode="External"/><Relationship Id="rId343" Type="http://schemas.openxmlformats.org/officeDocument/2006/relationships/hyperlink" Target="https://drive.google.com/file/d/1cQ_qRWCdDrQC5YqDvGmkbfbiKbJIAQOR/view?usp=drivesdk" TargetMode="External"/><Relationship Id="rId585" Type="http://schemas.openxmlformats.org/officeDocument/2006/relationships/hyperlink" Target="https://drive.google.com/file/d/1oXRbQKgLSZl5ixltDa2Xhs3sxBVxVANf/view?usp=drivesdk" TargetMode="External"/><Relationship Id="rId1178" Type="http://schemas.openxmlformats.org/officeDocument/2006/relationships/hyperlink" Target="https://drive.google.com/file/d/11Ahpwp6C0GV5R5JO_EfeDm80Yi2pQX-6/view?usp=drivesdk" TargetMode="External"/><Relationship Id="rId100" Type="http://schemas.openxmlformats.org/officeDocument/2006/relationships/hyperlink" Target="https://drive.google.com/file/d/1SZID_Lv0vCdrxPln3ke8kEd0vV97KuEw/view?usp=drivesdk" TargetMode="External"/><Relationship Id="rId342" Type="http://schemas.openxmlformats.org/officeDocument/2006/relationships/hyperlink" Target="https://drive.google.com/file/d/1uhzMzBFd766QgNn14Q3PaQYbSj5AAZYX/view?usp=drivesdk" TargetMode="External"/><Relationship Id="rId584" Type="http://schemas.openxmlformats.org/officeDocument/2006/relationships/hyperlink" Target="https://drive.google.com/file/d/1w5tVWbmkwAy7HoKFforyHOvAnM2KnoSI/view?usp=drivesdk" TargetMode="External"/><Relationship Id="rId1179" Type="http://schemas.openxmlformats.org/officeDocument/2006/relationships/hyperlink" Target="https://drive.google.com/file/d/1MZbQzPYPKRQ0Vb6ZWGyZmXbQUm6L-IQM/view?usp=drivesdk" TargetMode="External"/><Relationship Id="rId1169" Type="http://schemas.openxmlformats.org/officeDocument/2006/relationships/hyperlink" Target="https://drive.google.com/file/d/14Wk2HTyZgyboTtm2VtwacrwcfR-PXsJb/view?usp=drivesdk" TargetMode="External"/><Relationship Id="rId338" Type="http://schemas.openxmlformats.org/officeDocument/2006/relationships/hyperlink" Target="https://drive.google.com/file/d/1l0UDvQPuymxfjtbBHuTPYQVvqo9DSkXh/view?usp=drivesdk" TargetMode="External"/><Relationship Id="rId337" Type="http://schemas.openxmlformats.org/officeDocument/2006/relationships/hyperlink" Target="https://drive.google.com/file/d/1MjdAEC5qysaTiCYdBVSQqAovqePeWkb9/view?usp=drivesdk" TargetMode="External"/><Relationship Id="rId579" Type="http://schemas.openxmlformats.org/officeDocument/2006/relationships/hyperlink" Target="https://drive.google.com/file/d/1arE0ciCYdUELL6uILdFbB2J7QW4s2oNW/view?usp=drivesdk" TargetMode="External"/><Relationship Id="rId336" Type="http://schemas.openxmlformats.org/officeDocument/2006/relationships/hyperlink" Target="https://drive.google.com/file/d/1L5TmGqQauidtdwgqcFHR0iQVL7sGGBXe/view?usp=drivesdk" TargetMode="External"/><Relationship Id="rId578" Type="http://schemas.openxmlformats.org/officeDocument/2006/relationships/hyperlink" Target="https://drive.google.com/file/d/1Xs_CMZLmT5eRGFlFieocTjRryEkWEpp3/view?usp=drivesdk" TargetMode="External"/><Relationship Id="rId335" Type="http://schemas.openxmlformats.org/officeDocument/2006/relationships/hyperlink" Target="https://drive.google.com/file/d/1fxwED91ZZ2Ggr1xfqLYRQIjkUeDntuJD/view?usp=drivesdk" TargetMode="External"/><Relationship Id="rId577" Type="http://schemas.openxmlformats.org/officeDocument/2006/relationships/hyperlink" Target="https://drive.google.com/file/d/1ilV_OQxHr_JQdfkJ5OrTNmsQXTpdAdZe/view?usp=drivesdk" TargetMode="External"/><Relationship Id="rId339" Type="http://schemas.openxmlformats.org/officeDocument/2006/relationships/hyperlink" Target="https://drive.google.com/file/d/1qfhWTmCGCNemTH3yMIvXcnMY4oa4hL1R/view?usp=drivesdk" TargetMode="External"/><Relationship Id="rId1160" Type="http://schemas.openxmlformats.org/officeDocument/2006/relationships/hyperlink" Target="https://drive.google.com/file/d/1rTFJETQAZqawxp7VV2sD_vSpUo9AvrpN/view?usp=drivesdk" TargetMode="External"/><Relationship Id="rId330" Type="http://schemas.openxmlformats.org/officeDocument/2006/relationships/hyperlink" Target="https://drive.google.com/file/d/1lFqMuk9T6prpgaqenUZUP6Hwsdo0Ncm_/view?usp=drivesdk" TargetMode="External"/><Relationship Id="rId572" Type="http://schemas.openxmlformats.org/officeDocument/2006/relationships/hyperlink" Target="https://drive.google.com/file/d/1Y0t-9MXUzrX1LwI8e3s3RJ4Bhmi6Xo2u/view?usp=drivesdk" TargetMode="External"/><Relationship Id="rId1161" Type="http://schemas.openxmlformats.org/officeDocument/2006/relationships/hyperlink" Target="https://drive.google.com/file/d/1jv_TdxgHdwacmOLMKSSpEyK-Sr_cI0Jv/view?usp=drivesdk" TargetMode="External"/><Relationship Id="rId571" Type="http://schemas.openxmlformats.org/officeDocument/2006/relationships/hyperlink" Target="https://drive.google.com/file/d/1XA9uH9LprWLP6Yd9dCjssGbKkH7D3Vzj/view?usp=drivesdk" TargetMode="External"/><Relationship Id="rId1162" Type="http://schemas.openxmlformats.org/officeDocument/2006/relationships/hyperlink" Target="https://drive.google.com/file/d/1Oe-SduoMDLsZBPIbGBWRxCawPGgUWfPU/view?usp=drivesdk" TargetMode="External"/><Relationship Id="rId570" Type="http://schemas.openxmlformats.org/officeDocument/2006/relationships/hyperlink" Target="https://drive.google.com/file/d/1n5lyvY_mgCf-ccw-M8WgK9ZAWGBul9s5/view?usp=drivesdk" TargetMode="External"/><Relationship Id="rId1163" Type="http://schemas.openxmlformats.org/officeDocument/2006/relationships/hyperlink" Target="https://drive.google.com/file/d/1Lr2DRWAWIYyMOcjmGhPE28CnffCA729p/view?usp=drivesdk" TargetMode="External"/><Relationship Id="rId1164" Type="http://schemas.openxmlformats.org/officeDocument/2006/relationships/hyperlink" Target="https://drive.google.com/file/d/11RvUfGG0adkkgf-4aqtpJRi5EMYwKF9V/view?usp=drivesdk" TargetMode="External"/><Relationship Id="rId334" Type="http://schemas.openxmlformats.org/officeDocument/2006/relationships/hyperlink" Target="https://drive.google.com/file/d/1N-PKkpWQPuoplyB3cl1MRHoWrvYnvFEh/view?usp=drivesdk" TargetMode="External"/><Relationship Id="rId576" Type="http://schemas.openxmlformats.org/officeDocument/2006/relationships/hyperlink" Target="https://drive.google.com/file/d/1TxV1Zoo5zs_JZfiKcF_3f43Oy0bmSjtr/view?usp=drivesdk" TargetMode="External"/><Relationship Id="rId1165" Type="http://schemas.openxmlformats.org/officeDocument/2006/relationships/hyperlink" Target="https://drive.google.com/file/d/16uBoPbec8ADsz2rmqltSrEr9ym5qLMVs/view?usp=drivesdk" TargetMode="External"/><Relationship Id="rId333" Type="http://schemas.openxmlformats.org/officeDocument/2006/relationships/hyperlink" Target="https://drive.google.com/file/d/1WxQnPDGyuKLDhmNp2E_AF1gpTLgRiy6l/view?usp=drivesdk" TargetMode="External"/><Relationship Id="rId575" Type="http://schemas.openxmlformats.org/officeDocument/2006/relationships/hyperlink" Target="https://drive.google.com/file/d/11o4d3re2tCNdxH0NVoI_taQOlKbhyupy/view?usp=drivesdk" TargetMode="External"/><Relationship Id="rId1166" Type="http://schemas.openxmlformats.org/officeDocument/2006/relationships/hyperlink" Target="https://drive.google.com/file/d/1izHE3Trpt6KGQ9CQlZtFleJWaPieDs2y/view?usp=drivesdk" TargetMode="External"/><Relationship Id="rId332" Type="http://schemas.openxmlformats.org/officeDocument/2006/relationships/hyperlink" Target="https://drive.google.com/file/d/1nEUcans5pxNoQdhVDl_cCCF39uTDdH75/view?usp=drivesdk" TargetMode="External"/><Relationship Id="rId574" Type="http://schemas.openxmlformats.org/officeDocument/2006/relationships/hyperlink" Target="https://drive.google.com/file/d/1KiBOA-ezi0OJ58IIRpyzoOY65VZ8mrDH/view?usp=drivesdk" TargetMode="External"/><Relationship Id="rId1167" Type="http://schemas.openxmlformats.org/officeDocument/2006/relationships/hyperlink" Target="https://drive.google.com/file/d/17_8L4UgqYDvFU7el7O5OuK4QY_s2PJKC/view?usp=drivesdk" TargetMode="External"/><Relationship Id="rId331" Type="http://schemas.openxmlformats.org/officeDocument/2006/relationships/hyperlink" Target="https://drive.google.com/file/d/1aj7Q5nXzie7X_kkGv7Mr5TZMo32MVvqQ/view?usp=drivesdk" TargetMode="External"/><Relationship Id="rId573" Type="http://schemas.openxmlformats.org/officeDocument/2006/relationships/hyperlink" Target="https://drive.google.com/file/d/1Oo80ytYD6ofy3l9811IG_cdg-IL1KAM7/view?usp=drivesdk" TargetMode="External"/><Relationship Id="rId1168" Type="http://schemas.openxmlformats.org/officeDocument/2006/relationships/hyperlink" Target="https://drive.google.com/file/d/1_CTOhQx5U-DFj_4Olzdkplnhy4yRy0u-/view?usp=drivesdk" TargetMode="External"/><Relationship Id="rId370" Type="http://schemas.openxmlformats.org/officeDocument/2006/relationships/hyperlink" Target="https://drive.google.com/file/d/1rNtxqRZUsFSdLD090ldpyXiYxBP0qdz_/view?usp=drivesdk" TargetMode="External"/><Relationship Id="rId129" Type="http://schemas.openxmlformats.org/officeDocument/2006/relationships/hyperlink" Target="https://drive.google.com/file/d/1ZcgJnl5ycpiz9-mC8OiPnocqShSduucz/view?usp=drivesdk" TargetMode="External"/><Relationship Id="rId128" Type="http://schemas.openxmlformats.org/officeDocument/2006/relationships/hyperlink" Target="https://drive.google.com/file/d/1kIMkocPxRxeyzNIFucQbavfIKPl47LXK/view?usp=drivesdk" TargetMode="External"/><Relationship Id="rId127" Type="http://schemas.openxmlformats.org/officeDocument/2006/relationships/hyperlink" Target="https://drive.google.com/file/d/1qkAxkFChzDdLNr7c9qPQYLN0jN1F2maV/view?usp=drivesdk" TargetMode="External"/><Relationship Id="rId369" Type="http://schemas.openxmlformats.org/officeDocument/2006/relationships/hyperlink" Target="https://drive.google.com/file/d/15669PapkCaVAWsX8ZKEW5OZiFyeYNd5S/view?usp=drivesdk" TargetMode="External"/><Relationship Id="rId126" Type="http://schemas.openxmlformats.org/officeDocument/2006/relationships/hyperlink" Target="https://drive.google.com/file/d/10PB5nlg39rAcRB4bv2k1CamO8wq3_35H/view?usp=drivesdk" TargetMode="External"/><Relationship Id="rId368" Type="http://schemas.openxmlformats.org/officeDocument/2006/relationships/hyperlink" Target="https://drive.google.com/file/d/1vBeQHh4Dx4l0a_n_YV09kux3sZBpTPyB/view?usp=drivesdk" TargetMode="External"/><Relationship Id="rId1190" Type="http://schemas.openxmlformats.org/officeDocument/2006/relationships/hyperlink" Target="https://drive.google.com/file/d/123U7zFe2sPaKZARGqIpRHgEVPqbhYcCy/view?usp=drivesdk" TargetMode="External"/><Relationship Id="rId1191" Type="http://schemas.openxmlformats.org/officeDocument/2006/relationships/hyperlink" Target="https://drive.google.com/file/d/1aWDXwvx5Mlzb9zAYPqXQcFAerUp8d50d/view?usp=drivesdk" TargetMode="External"/><Relationship Id="rId1192" Type="http://schemas.openxmlformats.org/officeDocument/2006/relationships/hyperlink" Target="https://drive.google.com/file/d/1faTtC1j1lOhDi6dob9Nve9I2TUKYxsLs/view?usp=drivesdk" TargetMode="External"/><Relationship Id="rId1193" Type="http://schemas.openxmlformats.org/officeDocument/2006/relationships/hyperlink" Target="https://drive.google.com/file/d/1qGDz9BY-moVr0dWwMT0R0M2acU7-Ea-8/view?usp=drivesdk" TargetMode="External"/><Relationship Id="rId121" Type="http://schemas.openxmlformats.org/officeDocument/2006/relationships/hyperlink" Target="https://drive.google.com/file/d/1fPhB6MgZney1Tehl83YDX8MXtad_APd6/view?usp=drivesdk" TargetMode="External"/><Relationship Id="rId363" Type="http://schemas.openxmlformats.org/officeDocument/2006/relationships/hyperlink" Target="https://drive.google.com/file/d/1RZO3fXELypm84qgqXo4RQiS1EBcnzQZg/view?usp=drivesdk" TargetMode="External"/><Relationship Id="rId1194" Type="http://schemas.openxmlformats.org/officeDocument/2006/relationships/hyperlink" Target="https://drive.google.com/file/d/10vZM8bTh4Oq5PlSwmVSx5iC2vaAukXr4/view?usp=drivesdk" TargetMode="External"/><Relationship Id="rId120" Type="http://schemas.openxmlformats.org/officeDocument/2006/relationships/hyperlink" Target="https://drive.google.com/file/d/1O6nGzjQ9rddhZTVSqwRTKzL-LIBXfZwp/view?usp=drivesdk" TargetMode="External"/><Relationship Id="rId362" Type="http://schemas.openxmlformats.org/officeDocument/2006/relationships/hyperlink" Target="https://drive.google.com/file/d/1z1V0hWJZrhqgNj3ytUiF6waUSu42dGFT/view?usp=drivesdk" TargetMode="External"/><Relationship Id="rId1195" Type="http://schemas.openxmlformats.org/officeDocument/2006/relationships/hyperlink" Target="https://drive.google.com/file/d/13JfjrI-VrzRKPWw-hYgK4RLj2Mj_44Sl/view?usp=drivesdk" TargetMode="External"/><Relationship Id="rId361" Type="http://schemas.openxmlformats.org/officeDocument/2006/relationships/hyperlink" Target="https://drive.google.com/file/d/1jb9toYRwFUTpi_b5zLM17LfiC4EtksPV/view?usp=drivesdk" TargetMode="External"/><Relationship Id="rId1196" Type="http://schemas.openxmlformats.org/officeDocument/2006/relationships/hyperlink" Target="https://drive.google.com/file/d/19ScSMatIEvqS_4B0GjE07Dsm4zvu4Tt7/view?usp=drivesdk" TargetMode="External"/><Relationship Id="rId360" Type="http://schemas.openxmlformats.org/officeDocument/2006/relationships/hyperlink" Target="https://drive.google.com/file/d/1CZ0V2gxkokuQMjVEHUWZYm2rLSpY4McT/view?usp=drivesdk" TargetMode="External"/><Relationship Id="rId1197" Type="http://schemas.openxmlformats.org/officeDocument/2006/relationships/hyperlink" Target="https://drive.google.com/file/d/17O7C-RfA2PIZleEu2jpZOx-Qm4TO8Gzq/view?usp=drivesdk" TargetMode="External"/><Relationship Id="rId125" Type="http://schemas.openxmlformats.org/officeDocument/2006/relationships/hyperlink" Target="https://drive.google.com/file/d/1hNsS5v_049dHMeT1qnQ3IrbShoJsX7ay/view?usp=drivesdk" TargetMode="External"/><Relationship Id="rId367" Type="http://schemas.openxmlformats.org/officeDocument/2006/relationships/hyperlink" Target="https://drive.google.com/file/d/15TNbS_oKHaLUaFkFQWbJJRmzz63t70HU/view?usp=drivesdk" TargetMode="External"/><Relationship Id="rId1198" Type="http://schemas.openxmlformats.org/officeDocument/2006/relationships/hyperlink" Target="https://drive.google.com/file/d/1AGhDJmXdeqIuSWbyHOZctIPCbihGUpfh/view?usp=drivesdk" TargetMode="External"/><Relationship Id="rId124" Type="http://schemas.openxmlformats.org/officeDocument/2006/relationships/hyperlink" Target="https://drive.google.com/file/d/1F1OfPsfC9UlCgG34RcnvdszomfKBlQIA/view?usp=drivesdk" TargetMode="External"/><Relationship Id="rId366" Type="http://schemas.openxmlformats.org/officeDocument/2006/relationships/hyperlink" Target="https://drive.google.com/file/d/1rCZHap-8foZe1nLv7LBts14J7y172r9p/view?usp=drivesdk" TargetMode="External"/><Relationship Id="rId1199" Type="http://schemas.openxmlformats.org/officeDocument/2006/relationships/hyperlink" Target="https://drive.google.com/file/d/13VTTEkgmVTEOcX8UHQ-edFE3a8Dix_jr/view?usp=drivesdk" TargetMode="External"/><Relationship Id="rId123" Type="http://schemas.openxmlformats.org/officeDocument/2006/relationships/hyperlink" Target="https://drive.google.com/file/d/1SLm1ZG3okK-mQ_BsCCU_K9BgRn-Yt0Hi/view?usp=drivesdk" TargetMode="External"/><Relationship Id="rId365" Type="http://schemas.openxmlformats.org/officeDocument/2006/relationships/hyperlink" Target="https://drive.google.com/file/d/1eYw20duzYmTtQ_uTpeGRJlhwWmLIRHiE/view?usp=drivesdk" TargetMode="External"/><Relationship Id="rId122" Type="http://schemas.openxmlformats.org/officeDocument/2006/relationships/hyperlink" Target="https://drive.google.com/file/d/1b1drF0aRqJlYNpeEwL-2DjTNc_ZaKBvR/view?usp=drivesdk" TargetMode="External"/><Relationship Id="rId364" Type="http://schemas.openxmlformats.org/officeDocument/2006/relationships/hyperlink" Target="https://drive.google.com/file/d/1XRPzm65UtQwbE9h6i8PdzWMzclrUIhch/view?usp=drivesdk" TargetMode="External"/><Relationship Id="rId95" Type="http://schemas.openxmlformats.org/officeDocument/2006/relationships/hyperlink" Target="https://drive.google.com/file/d/1-BCsEL3U2N_a7NJCkflH1JTm7n--E82Y/view?usp=drivesdk" TargetMode="External"/><Relationship Id="rId94" Type="http://schemas.openxmlformats.org/officeDocument/2006/relationships/hyperlink" Target="https://drive.google.com/file/d/1_OuLL3RJ-LP2xaWiPjgGX2dGudtwbVEB/view?usp=drivesdk" TargetMode="External"/><Relationship Id="rId97" Type="http://schemas.openxmlformats.org/officeDocument/2006/relationships/hyperlink" Target="https://drive.google.com/file/d/1SxUOXK8891wJNY3XpzRoq34X8Fdf8C5Y/view?usp=drivesdk" TargetMode="External"/><Relationship Id="rId96" Type="http://schemas.openxmlformats.org/officeDocument/2006/relationships/hyperlink" Target="https://drive.google.com/file/d/1Dj8xUoE6tQl-5piKXDC01DOz_2G0Cswk/view?usp=drivesdk" TargetMode="External"/><Relationship Id="rId99" Type="http://schemas.openxmlformats.org/officeDocument/2006/relationships/hyperlink" Target="https://drive.google.com/file/d/1inf_UtmB8qZEJEjxHqb3mATNU9MfbGvi/view?usp=drivesdk" TargetMode="External"/><Relationship Id="rId98" Type="http://schemas.openxmlformats.org/officeDocument/2006/relationships/hyperlink" Target="https://drive.google.com/file/d/1x7vdUFlFv0Y6Mos-YN170z1npcF2pMfv/view?usp=drivesdk" TargetMode="External"/><Relationship Id="rId91" Type="http://schemas.openxmlformats.org/officeDocument/2006/relationships/hyperlink" Target="https://drive.google.com/file/d/1MbaevhE_VKIHQpY3XFPjfbkUUb0OY58W/view?usp=drivesdk" TargetMode="External"/><Relationship Id="rId90" Type="http://schemas.openxmlformats.org/officeDocument/2006/relationships/hyperlink" Target="https://drive.google.com/file/d/1IzpgbuwrQrc8DYOKXcsPzbsJBgtUFUwz/view?usp=drivesdk" TargetMode="External"/><Relationship Id="rId93" Type="http://schemas.openxmlformats.org/officeDocument/2006/relationships/hyperlink" Target="https://drive.google.com/file/d/1PTaQeyVZL42xIRMsNKEduykSSi2Syh6V/view?usp=drivesdk" TargetMode="External"/><Relationship Id="rId92" Type="http://schemas.openxmlformats.org/officeDocument/2006/relationships/hyperlink" Target="https://drive.google.com/file/d/1amsz2qHgf7CWjfTyWKZtKJLBBJfVruLP/view?usp=drivesdk" TargetMode="External"/><Relationship Id="rId118" Type="http://schemas.openxmlformats.org/officeDocument/2006/relationships/hyperlink" Target="https://drive.google.com/file/d/1F2qA2IiuJLM_6af-phSCfx4C0WtXxtop/view?usp=drivesdk" TargetMode="External"/><Relationship Id="rId117" Type="http://schemas.openxmlformats.org/officeDocument/2006/relationships/hyperlink" Target="https://drive.google.com/file/d/1nNH4FIjgolPptGYuwL8fxjJOQ2BRiL59/view?usp=drivesdk" TargetMode="External"/><Relationship Id="rId359" Type="http://schemas.openxmlformats.org/officeDocument/2006/relationships/hyperlink" Target="https://drive.google.com/file/d/1kgKDut1HZJ1TF0930m58PoKCHHnQSp6n/view?usp=drivesdk" TargetMode="External"/><Relationship Id="rId116" Type="http://schemas.openxmlformats.org/officeDocument/2006/relationships/hyperlink" Target="https://drive.google.com/file/d/1sUt47gJC6gm91Aki5pCqii7VlkfhLXYV/view?usp=drivesdk" TargetMode="External"/><Relationship Id="rId358" Type="http://schemas.openxmlformats.org/officeDocument/2006/relationships/hyperlink" Target="https://drive.google.com/file/d/1GzaLcBQljtJt3FTbBE7x2VZSPlKAU7EU/view?usp=drivesdk" TargetMode="External"/><Relationship Id="rId115" Type="http://schemas.openxmlformats.org/officeDocument/2006/relationships/hyperlink" Target="https://drive.google.com/file/d/1aqanjOppOIgFWJ7CgCppJDKIP3dweWeL/view?usp=drivesdk" TargetMode="External"/><Relationship Id="rId357" Type="http://schemas.openxmlformats.org/officeDocument/2006/relationships/hyperlink" Target="https://drive.google.com/file/d/1Z6OJupNRwl2d8FsMeMEROl4viwfjFehp/view?usp=drivesdk" TargetMode="External"/><Relationship Id="rId599" Type="http://schemas.openxmlformats.org/officeDocument/2006/relationships/hyperlink" Target="https://drive.google.com/file/d/1eRwac-UqjH6rK0c7CA6qvACVg_h90pBq/view?usp=drivesdk" TargetMode="External"/><Relationship Id="rId1180" Type="http://schemas.openxmlformats.org/officeDocument/2006/relationships/hyperlink" Target="https://drive.google.com/file/d/1T1W8DvM0f_N8Om8k7qCK7sIJl2IDJMwY/view?usp=drivesdk" TargetMode="External"/><Relationship Id="rId1181" Type="http://schemas.openxmlformats.org/officeDocument/2006/relationships/hyperlink" Target="https://drive.google.com/file/d/1cawqkGZNMs8tluB07TtTMhcddEzUILMT/view?usp=drivesdk" TargetMode="External"/><Relationship Id="rId119" Type="http://schemas.openxmlformats.org/officeDocument/2006/relationships/hyperlink" Target="https://drive.google.com/file/d/1p-2eXKVL2xyY6UHz-Uiiq5WgRY0aoBfR/view?usp=drivesdk" TargetMode="External"/><Relationship Id="rId1182" Type="http://schemas.openxmlformats.org/officeDocument/2006/relationships/hyperlink" Target="https://drive.google.com/file/d/1KSe695ljfgV2jBr8UATkkADwcg_k-Fip/view?usp=drivesdk" TargetMode="External"/><Relationship Id="rId110" Type="http://schemas.openxmlformats.org/officeDocument/2006/relationships/hyperlink" Target="https://drive.google.com/file/d/1XW5arMlkb71FcRm9SAfYdJU8VxWiL6G5/view?usp=drivesdk" TargetMode="External"/><Relationship Id="rId352" Type="http://schemas.openxmlformats.org/officeDocument/2006/relationships/hyperlink" Target="https://drive.google.com/file/d/1cNgMFZ4PulcG7-q-jMGiyBNFSsVZeFeA/view?usp=drivesdk" TargetMode="External"/><Relationship Id="rId594" Type="http://schemas.openxmlformats.org/officeDocument/2006/relationships/hyperlink" Target="https://drive.google.com/file/d/1M2hG1mH2gtQytRQQrNc8DX2djB0abIXp/view?usp=drivesdk" TargetMode="External"/><Relationship Id="rId1183" Type="http://schemas.openxmlformats.org/officeDocument/2006/relationships/hyperlink" Target="https://drive.google.com/file/d/1mmlDxVMHEYa9IkMfFlJBIa1BPLxjZLZb/view?usp=drivesdk" TargetMode="External"/><Relationship Id="rId351" Type="http://schemas.openxmlformats.org/officeDocument/2006/relationships/hyperlink" Target="https://drive.google.com/file/d/1698ouHLg9C2RLcPmDozTvongjAhgmvAH/view?usp=drivesdk" TargetMode="External"/><Relationship Id="rId593" Type="http://schemas.openxmlformats.org/officeDocument/2006/relationships/hyperlink" Target="https://drive.google.com/file/d/1Pj4bBE4RWooDYJaE7prno5oPTeSiHppR/view?usp=drivesdk" TargetMode="External"/><Relationship Id="rId1184" Type="http://schemas.openxmlformats.org/officeDocument/2006/relationships/hyperlink" Target="https://drive.google.com/file/d/1RUsGQix9oiVtXZy7U4sWdH47vV3mtrof/view?usp=drivesdk" TargetMode="External"/><Relationship Id="rId350" Type="http://schemas.openxmlformats.org/officeDocument/2006/relationships/hyperlink" Target="https://drive.google.com/file/d/1b1iWcrqFl9ks9zJ7wp4yocjLzE0qIvXa/view?usp=drivesdk" TargetMode="External"/><Relationship Id="rId592" Type="http://schemas.openxmlformats.org/officeDocument/2006/relationships/hyperlink" Target="https://drive.google.com/file/d/1d4KmZFYXuq2n-AgTqZSaH-VCjTFu4uwa/view?usp=drivesdk" TargetMode="External"/><Relationship Id="rId1185" Type="http://schemas.openxmlformats.org/officeDocument/2006/relationships/hyperlink" Target="https://drive.google.com/file/d/1QjvKXZ-FWcryIL499ua6eQkP47uArvY7/view?usp=drivesdk" TargetMode="External"/><Relationship Id="rId591" Type="http://schemas.openxmlformats.org/officeDocument/2006/relationships/hyperlink" Target="https://drive.google.com/file/d/1hawU69lVIUfpr5WJBdlddoXL9FjPEwV5/view?usp=drivesdk" TargetMode="External"/><Relationship Id="rId1186" Type="http://schemas.openxmlformats.org/officeDocument/2006/relationships/hyperlink" Target="https://drive.google.com/file/d/1Iz3k5XX7KR5AJF1cjmsJDjS0wXdZm0ZD/view?usp=drivesdk" TargetMode="External"/><Relationship Id="rId114" Type="http://schemas.openxmlformats.org/officeDocument/2006/relationships/hyperlink" Target="https://drive.google.com/file/d/18WCs-z_-hyOwBC97NqYX1L8BoffJLlFA/view?usp=drivesdk" TargetMode="External"/><Relationship Id="rId356" Type="http://schemas.openxmlformats.org/officeDocument/2006/relationships/hyperlink" Target="https://drive.google.com/file/d/1lHmOe0Yq9hINAmdQut83Ysy_zRD1F4S1/view?usp=drivesdk" TargetMode="External"/><Relationship Id="rId598" Type="http://schemas.openxmlformats.org/officeDocument/2006/relationships/hyperlink" Target="https://drive.google.com/file/d/14Xj2EaaX7L4E1pOMnuThOBqiY_-yRL8F/view?usp=drivesdk" TargetMode="External"/><Relationship Id="rId1187" Type="http://schemas.openxmlformats.org/officeDocument/2006/relationships/hyperlink" Target="https://drive.google.com/file/d/1_ZfVoIcMLMk_tK10-RgfYEfetEzFxWrk/view?usp=drivesdk" TargetMode="External"/><Relationship Id="rId113" Type="http://schemas.openxmlformats.org/officeDocument/2006/relationships/hyperlink" Target="https://drive.google.com/file/d/16wbKCWSBvzJIDf-gjlUQmszhncvNrTcl/view?usp=drivesdk" TargetMode="External"/><Relationship Id="rId355" Type="http://schemas.openxmlformats.org/officeDocument/2006/relationships/hyperlink" Target="https://drive.google.com/file/d/19B5W2-jwaS2PI17g9BRyvxapOA947DDW/view?usp=drivesdk" TargetMode="External"/><Relationship Id="rId597" Type="http://schemas.openxmlformats.org/officeDocument/2006/relationships/hyperlink" Target="https://drive.google.com/file/d/18hCeoz-wanIRK0pTuzHh5rGb6aXQ_leo/view?usp=drivesdk" TargetMode="External"/><Relationship Id="rId1188" Type="http://schemas.openxmlformats.org/officeDocument/2006/relationships/hyperlink" Target="https://drive.google.com/file/d/1a8Pw5kV6NbScfH2PXHwr1MJrhw-TbxcF/view?usp=drivesdk" TargetMode="External"/><Relationship Id="rId112" Type="http://schemas.openxmlformats.org/officeDocument/2006/relationships/hyperlink" Target="https://drive.google.com/file/d/1Yr6d81hDDjf2zdgUXOPbCG6NyQJh6fhi/view?usp=drivesdk" TargetMode="External"/><Relationship Id="rId354" Type="http://schemas.openxmlformats.org/officeDocument/2006/relationships/hyperlink" Target="https://drive.google.com/file/d/1jJFk-xXTLNVVfv2u77x47wEDeGJkWK2U/view?usp=drivesdk" TargetMode="External"/><Relationship Id="rId596" Type="http://schemas.openxmlformats.org/officeDocument/2006/relationships/hyperlink" Target="https://drive.google.com/file/d/1wLJ_xJY0QJLFcOLqqDJDxYqzMPDkEKzB/view?usp=drivesdk" TargetMode="External"/><Relationship Id="rId1189" Type="http://schemas.openxmlformats.org/officeDocument/2006/relationships/hyperlink" Target="https://drive.google.com/file/d/1IrgUWCCZLYZyO7xP3wD-wSyCleM2Fe2M/view?usp=drivesdk" TargetMode="External"/><Relationship Id="rId111" Type="http://schemas.openxmlformats.org/officeDocument/2006/relationships/hyperlink" Target="https://drive.google.com/file/d/1_o3wDsQVDHOy-jXsgNuz1R5MEZoK3JT8/view?usp=drivesdk" TargetMode="External"/><Relationship Id="rId353" Type="http://schemas.openxmlformats.org/officeDocument/2006/relationships/hyperlink" Target="https://drive.google.com/file/d/1q2uFSMVN-vksQ6dYupCsJcmiRO_wGOl_/view?usp=drivesdk" TargetMode="External"/><Relationship Id="rId595" Type="http://schemas.openxmlformats.org/officeDocument/2006/relationships/hyperlink" Target="https://drive.google.com/file/d/1m29Ndsh3fp3rtKoVaHQsNguA3TvHzw0f/view?usp=drivesdk" TargetMode="External"/><Relationship Id="rId1136" Type="http://schemas.openxmlformats.org/officeDocument/2006/relationships/hyperlink" Target="https://drive.google.com/file/d/12fu9WGdUdUyiytEWWRT7YcUMZfb7Dr89/view?usp=drivesdk" TargetMode="External"/><Relationship Id="rId1137" Type="http://schemas.openxmlformats.org/officeDocument/2006/relationships/hyperlink" Target="https://drive.google.com/file/d/1yryu5TpVeAfLINGpQ1ywx08h8n4i860e/view?usp=drivesdk" TargetMode="External"/><Relationship Id="rId1138" Type="http://schemas.openxmlformats.org/officeDocument/2006/relationships/hyperlink" Target="https://drive.google.com/file/d/1LSaSD0NEXa3oknl7mm2NRhHfW9Ja9Um9/view?usp=drivesdk" TargetMode="External"/><Relationship Id="rId1139" Type="http://schemas.openxmlformats.org/officeDocument/2006/relationships/hyperlink" Target="https://drive.google.com/file/d/11bk2oQUJtohm47nPV5LM_Prz5PzFkmiM/view?usp=drivesdk" TargetMode="External"/><Relationship Id="rId305" Type="http://schemas.openxmlformats.org/officeDocument/2006/relationships/hyperlink" Target="https://drive.google.com/file/d/1L6cQ8sxKdQVmgOXD0M7ychYx8T2wJVVH/view?usp=drivesdk" TargetMode="External"/><Relationship Id="rId547" Type="http://schemas.openxmlformats.org/officeDocument/2006/relationships/hyperlink" Target="https://drive.google.com/file/d/1LMdwlc54u39C0pl-zU6z2Dvr8qB-JJBA/view?usp=drivesdk" TargetMode="External"/><Relationship Id="rId789" Type="http://schemas.openxmlformats.org/officeDocument/2006/relationships/hyperlink" Target="https://drive.google.com/file/d/1MgVKfr9sERH00DQ8tMzg_P70bwnkZOyl/view?usp=drivesdk" TargetMode="External"/><Relationship Id="rId304" Type="http://schemas.openxmlformats.org/officeDocument/2006/relationships/hyperlink" Target="https://drive.google.com/file/d/1iM5QXcCqiUTB6pvOBwidFqxFgH7V82Oo/view?usp=drivesdk" TargetMode="External"/><Relationship Id="rId546" Type="http://schemas.openxmlformats.org/officeDocument/2006/relationships/hyperlink" Target="https://drive.google.com/file/d/1MBvd0v7neU-FUViQB2w4GaQAJtMxCZBq/view?usp=drivesdk" TargetMode="External"/><Relationship Id="rId788" Type="http://schemas.openxmlformats.org/officeDocument/2006/relationships/hyperlink" Target="https://drive.google.com/file/d/1NGLbDArSeHb9mv1xlTUUF80nBlD0SweO/view?usp=drivesdk" TargetMode="External"/><Relationship Id="rId303" Type="http://schemas.openxmlformats.org/officeDocument/2006/relationships/hyperlink" Target="https://drive.google.com/file/d/1Vfg3HUzdyn5pVId_k4j58DLmivBYcb2d/view?usp=drivesdk" TargetMode="External"/><Relationship Id="rId545" Type="http://schemas.openxmlformats.org/officeDocument/2006/relationships/hyperlink" Target="https://drive.google.com/file/d/1a8-DEaZeLwwQV8sEE1GU6KL_a9-SfV7T/view?usp=drivesdk" TargetMode="External"/><Relationship Id="rId787" Type="http://schemas.openxmlformats.org/officeDocument/2006/relationships/hyperlink" Target="https://drive.google.com/file/d/1wH6oiuJH_cu-yXfIhHItYlC2KS51DJVP/view?usp=drivesdk" TargetMode="External"/><Relationship Id="rId302" Type="http://schemas.openxmlformats.org/officeDocument/2006/relationships/hyperlink" Target="https://drive.google.com/file/d/1-nvdt2zsq8zbBK4n4u8eSkSnUq5i8RQc/view?usp=drivesdk" TargetMode="External"/><Relationship Id="rId544" Type="http://schemas.openxmlformats.org/officeDocument/2006/relationships/hyperlink" Target="https://drive.google.com/file/d/1KVxj6ymLv9ulLJahfXaHm104CnrQ0UxI/view?usp=drivesdk" TargetMode="External"/><Relationship Id="rId786" Type="http://schemas.openxmlformats.org/officeDocument/2006/relationships/hyperlink" Target="https://drive.google.com/file/d/17dHRYc5wRmQNTpTCYIF_rTj-frYQZurM/view?usp=drivesdk" TargetMode="External"/><Relationship Id="rId309" Type="http://schemas.openxmlformats.org/officeDocument/2006/relationships/hyperlink" Target="https://drive.google.com/file/d/15yPt6BG5M6Z3f8pKKpWJvWNtsp20AiBX/view?usp=drivesdk" TargetMode="External"/><Relationship Id="rId308" Type="http://schemas.openxmlformats.org/officeDocument/2006/relationships/hyperlink" Target="https://drive.google.com/file/d/14OLEIWuMVyOpKcSTBT2INazotiLISqjN/view?usp=drivesdk" TargetMode="External"/><Relationship Id="rId307" Type="http://schemas.openxmlformats.org/officeDocument/2006/relationships/hyperlink" Target="https://drive.google.com/file/d/1gtALv6Q5qRWVP2HPFDcPSyeGaWHD3thz/view?usp=drivesdk" TargetMode="External"/><Relationship Id="rId549" Type="http://schemas.openxmlformats.org/officeDocument/2006/relationships/hyperlink" Target="https://drive.google.com/file/d/1Mvjf0QK7EWsVTh1Qvy9FjSE9L1niehin/view?usp=drivesdk" TargetMode="External"/><Relationship Id="rId306" Type="http://schemas.openxmlformats.org/officeDocument/2006/relationships/hyperlink" Target="https://drive.google.com/file/d/1T6FWv4AZtDZC7pVU5K2mLkMQtYWrKzFd/view?usp=drivesdk" TargetMode="External"/><Relationship Id="rId548" Type="http://schemas.openxmlformats.org/officeDocument/2006/relationships/hyperlink" Target="https://drive.google.com/file/d/1uY8R2lyLxqy4fl8Jj10nvMoQ-FRQDcC7/view?usp=drivesdk" TargetMode="External"/><Relationship Id="rId781" Type="http://schemas.openxmlformats.org/officeDocument/2006/relationships/hyperlink" Target="https://drive.google.com/file/d/1_jbTTr1hSw0qpBEyKsux3WAwU7Vaj7pB/view?usp=drivesdk" TargetMode="External"/><Relationship Id="rId780" Type="http://schemas.openxmlformats.org/officeDocument/2006/relationships/hyperlink" Target="https://drive.google.com/file/d/1-T6BSeInQiQ2e-oPTsRnVlFPUpOOUg6q/view?usp=drivesdk" TargetMode="External"/><Relationship Id="rId1130" Type="http://schemas.openxmlformats.org/officeDocument/2006/relationships/hyperlink" Target="https://drive.google.com/file/d/1gGjTJ5_tmL3mSyb4HXmSf-5gbipoMxLo/view?usp=drivesdk" TargetMode="External"/><Relationship Id="rId1131" Type="http://schemas.openxmlformats.org/officeDocument/2006/relationships/hyperlink" Target="https://drive.google.com/file/d/1-rkXznDKWCsIJ2YUSMup-Zeuyac_yXDP/view?usp=drivesdk" TargetMode="External"/><Relationship Id="rId301" Type="http://schemas.openxmlformats.org/officeDocument/2006/relationships/hyperlink" Target="https://drive.google.com/file/d/1Z6jlOuHxTZJZJahRSh5LUt7fVJN6XShQ/view?usp=drivesdk" TargetMode="External"/><Relationship Id="rId543" Type="http://schemas.openxmlformats.org/officeDocument/2006/relationships/hyperlink" Target="https://drive.google.com/file/d/19VsqW31w4cA32yDqdiP6JVuqJy1t-5im/view?usp=drivesdk" TargetMode="External"/><Relationship Id="rId785" Type="http://schemas.openxmlformats.org/officeDocument/2006/relationships/hyperlink" Target="https://drive.google.com/file/d/1K5sucQG84VPUzxRS4PkJx7v0BPzv5Ive/view?usp=drivesdk" TargetMode="External"/><Relationship Id="rId1132" Type="http://schemas.openxmlformats.org/officeDocument/2006/relationships/hyperlink" Target="https://drive.google.com/file/d/12OyzJ9_7tdprAl49fZbj8LhYcf7_WIRq/view?usp=drivesdk" TargetMode="External"/><Relationship Id="rId300" Type="http://schemas.openxmlformats.org/officeDocument/2006/relationships/hyperlink" Target="https://drive.google.com/file/d/1ujF1BBkPbilsuQQ511eCU3UssKCpIKiw/view?usp=drivesdk" TargetMode="External"/><Relationship Id="rId542" Type="http://schemas.openxmlformats.org/officeDocument/2006/relationships/hyperlink" Target="https://drive.google.com/file/d/1Qr3f6l83NR2xdhUjfJttdtTIlJZ8ja46/view?usp=drivesdk" TargetMode="External"/><Relationship Id="rId784" Type="http://schemas.openxmlformats.org/officeDocument/2006/relationships/hyperlink" Target="https://drive.google.com/file/d/1WUd9vmSqcDMgvNWovSlNdzi6HRk3tBoz/view?usp=drivesdk" TargetMode="External"/><Relationship Id="rId1133" Type="http://schemas.openxmlformats.org/officeDocument/2006/relationships/hyperlink" Target="https://drive.google.com/file/d/12VAfKydrkL0R97gvfIfE47qJi5cRPQzm/view?usp=drivesdk" TargetMode="External"/><Relationship Id="rId541" Type="http://schemas.openxmlformats.org/officeDocument/2006/relationships/hyperlink" Target="https://drive.google.com/file/d/1t_SiZmn0BmZTtvCRD5vomEjmmPGHziiZ/view?usp=drivesdk" TargetMode="External"/><Relationship Id="rId783" Type="http://schemas.openxmlformats.org/officeDocument/2006/relationships/hyperlink" Target="https://drive.google.com/file/d/1wbqLIEAlRTVqm5OEnuBSLAClt6P350Mc/view?usp=drivesdk" TargetMode="External"/><Relationship Id="rId1134" Type="http://schemas.openxmlformats.org/officeDocument/2006/relationships/hyperlink" Target="https://drive.google.com/file/d/1L8qWSeQMHJjOWMFZdcBMrhIdbavutjBz/view?usp=drivesdk" TargetMode="External"/><Relationship Id="rId540" Type="http://schemas.openxmlformats.org/officeDocument/2006/relationships/hyperlink" Target="https://drive.google.com/file/d/1Cbe8BsL36OS5-YfDjWdn_K8jB0Ys9oM2/view?usp=drivesdk" TargetMode="External"/><Relationship Id="rId782" Type="http://schemas.openxmlformats.org/officeDocument/2006/relationships/hyperlink" Target="https://drive.google.com/file/d/1oSnzRJOHGJ42PbQb-Y7Yz3UDs_8SVHtD/view?usp=drivesdk" TargetMode="External"/><Relationship Id="rId1135" Type="http://schemas.openxmlformats.org/officeDocument/2006/relationships/hyperlink" Target="https://drive.google.com/file/d/1AIQrs9lm5fgNpzCpTbsyCniU2ceOqcEC/view?usp=drivesdk" TargetMode="External"/><Relationship Id="rId1125" Type="http://schemas.openxmlformats.org/officeDocument/2006/relationships/hyperlink" Target="https://drive.google.com/file/d/1kAcXftCVFoOBpOxeq9LP6nNtn3XSqrIX/view?usp=drivesdk" TargetMode="External"/><Relationship Id="rId1126" Type="http://schemas.openxmlformats.org/officeDocument/2006/relationships/hyperlink" Target="https://drive.google.com/file/d/1AQC66clB7tpIRYZJA48I4LYR983-ZLmU/view?usp=drivesdk" TargetMode="External"/><Relationship Id="rId1127" Type="http://schemas.openxmlformats.org/officeDocument/2006/relationships/hyperlink" Target="https://drive.google.com/file/d/1o7m1YO5Fanl5wdNBRvXe6u60SWF8ABPi/view?usp=drivesdk" TargetMode="External"/><Relationship Id="rId1128" Type="http://schemas.openxmlformats.org/officeDocument/2006/relationships/hyperlink" Target="https://drive.google.com/file/d/1_tB4B_-wIis7Vn9hK8N6t142jZEj0mO7/view?usp=drivesdk" TargetMode="External"/><Relationship Id="rId1129" Type="http://schemas.openxmlformats.org/officeDocument/2006/relationships/hyperlink" Target="https://drive.google.com/file/d/1B310rptRKlYhj4--PA50YRy6W6Bz-p81/view?usp=drivesdk" TargetMode="External"/><Relationship Id="rId536" Type="http://schemas.openxmlformats.org/officeDocument/2006/relationships/hyperlink" Target="https://drive.google.com/file/d/1L0QLXoWBWGAmiYlq0vNHa4rUrLKpVq7a/view?usp=drivesdk" TargetMode="External"/><Relationship Id="rId778" Type="http://schemas.openxmlformats.org/officeDocument/2006/relationships/hyperlink" Target="https://drive.google.com/file/d/1dj7t1_gN8M2MLF5GaM-1i7hNqXopQdqY/view?usp=drivesdk" TargetMode="External"/><Relationship Id="rId535" Type="http://schemas.openxmlformats.org/officeDocument/2006/relationships/hyperlink" Target="https://drive.google.com/file/d/1cPLcKqBU3Z3hIT1P5sRM1w4EFMovq_WO/view?usp=drivesdk" TargetMode="External"/><Relationship Id="rId777" Type="http://schemas.openxmlformats.org/officeDocument/2006/relationships/hyperlink" Target="https://drive.google.com/file/d/1Jxggx05AO77NxROgelOo24t0LEwA-aMl/view?usp=drivesdk" TargetMode="External"/><Relationship Id="rId534" Type="http://schemas.openxmlformats.org/officeDocument/2006/relationships/hyperlink" Target="https://drive.google.com/file/d/1yMBumSPJMYaEx3mbNjnDP-FzlFvYROQ9/view?usp=drivesdk" TargetMode="External"/><Relationship Id="rId776" Type="http://schemas.openxmlformats.org/officeDocument/2006/relationships/hyperlink" Target="https://drive.google.com/file/d/1Y9NuNphe_S_gRzFXCYIpumIwRHV_OTn3/view?usp=drivesdk" TargetMode="External"/><Relationship Id="rId533" Type="http://schemas.openxmlformats.org/officeDocument/2006/relationships/hyperlink" Target="https://drive.google.com/file/d/10cZWmcNssbtO6NYyInMcvlKd8xToXqqL/view?usp=drivesdk" TargetMode="External"/><Relationship Id="rId775" Type="http://schemas.openxmlformats.org/officeDocument/2006/relationships/hyperlink" Target="https://drive.google.com/file/d/1HYc_PqJsDxBhaXM-89Me0dqkn7vaVAgt/view?usp=drivesdk" TargetMode="External"/><Relationship Id="rId539" Type="http://schemas.openxmlformats.org/officeDocument/2006/relationships/hyperlink" Target="https://drive.google.com/file/d/1LXYOQDI4j86WFQHJ3Q9tpM3pEmn3LB0F/view?usp=drivesdk" TargetMode="External"/><Relationship Id="rId538" Type="http://schemas.openxmlformats.org/officeDocument/2006/relationships/hyperlink" Target="https://drive.google.com/file/d/1ynNWfE5dYu1ZgjB3NRpP5DUdQhRhylsh/view?usp=drivesdk" TargetMode="External"/><Relationship Id="rId537" Type="http://schemas.openxmlformats.org/officeDocument/2006/relationships/hyperlink" Target="https://drive.google.com/file/d/1eNqQX0LHhg87PQzyxpkTmaLMFMsFPzfs/view?usp=drivesdk" TargetMode="External"/><Relationship Id="rId779" Type="http://schemas.openxmlformats.org/officeDocument/2006/relationships/hyperlink" Target="https://drive.google.com/file/d/1R1FpFZrL3bw8CuksxO0PIDWDuQdBecEq/view?usp=drivesdk" TargetMode="External"/><Relationship Id="rId770" Type="http://schemas.openxmlformats.org/officeDocument/2006/relationships/hyperlink" Target="https://drive.google.com/file/d/1ZJbR66ovzDo1WfEy673LqMvj7jEDn7nl/view?usp=drivesdk" TargetMode="External"/><Relationship Id="rId1120" Type="http://schemas.openxmlformats.org/officeDocument/2006/relationships/hyperlink" Target="https://drive.google.com/file/d/1gYsjueT5dWSxfZjPD217j54difMa5TVi/view?usp=drivesdk" TargetMode="External"/><Relationship Id="rId532" Type="http://schemas.openxmlformats.org/officeDocument/2006/relationships/hyperlink" Target="https://drive.google.com/file/d/1zVjqC_hWqSRVTLRfiqIQixbpx0ZKJLyF/view?usp=drivesdk" TargetMode="External"/><Relationship Id="rId774" Type="http://schemas.openxmlformats.org/officeDocument/2006/relationships/hyperlink" Target="https://drive.google.com/file/d/1LBPUKoTYLh5c1pjUGCMtFSZWOabq6vvy/view?usp=drivesdk" TargetMode="External"/><Relationship Id="rId1121" Type="http://schemas.openxmlformats.org/officeDocument/2006/relationships/hyperlink" Target="https://drive.google.com/file/d/1O0PVx3px5U3EkjJeAyWYeahLFi08XBni/view?usp=drivesdk" TargetMode="External"/><Relationship Id="rId531" Type="http://schemas.openxmlformats.org/officeDocument/2006/relationships/hyperlink" Target="https://drive.google.com/file/d/1rDuoDDafAm7Y4UMqJkjC9bEMTtkdGywA/view?usp=drivesdk" TargetMode="External"/><Relationship Id="rId773" Type="http://schemas.openxmlformats.org/officeDocument/2006/relationships/hyperlink" Target="https://drive.google.com/file/d/17fIZXaU-iouRU_rT5-0GYtyVZ1uQuUcr/view?usp=drivesdk" TargetMode="External"/><Relationship Id="rId1122" Type="http://schemas.openxmlformats.org/officeDocument/2006/relationships/hyperlink" Target="https://drive.google.com/file/d/1whFtmLt5GafAWnjX8r8c5Rc6RwtheWPu/view?usp=drivesdk" TargetMode="External"/><Relationship Id="rId530" Type="http://schemas.openxmlformats.org/officeDocument/2006/relationships/hyperlink" Target="https://drive.google.com/file/d/1Fxv_3I6RUngPWfPDLE4VrOvCmEaFb9LQ/view?usp=drivesdk" TargetMode="External"/><Relationship Id="rId772" Type="http://schemas.openxmlformats.org/officeDocument/2006/relationships/hyperlink" Target="https://drive.google.com/file/d/19VzvMih44hYLpbIV8iwM4Iz6yBiKZFvH/view?usp=drivesdk" TargetMode="External"/><Relationship Id="rId1123" Type="http://schemas.openxmlformats.org/officeDocument/2006/relationships/hyperlink" Target="https://drive.google.com/file/d/1kOM8XLip7zbl4tu3kaM3xSCS7kmgd52n/view?usp=drivesdk" TargetMode="External"/><Relationship Id="rId771" Type="http://schemas.openxmlformats.org/officeDocument/2006/relationships/hyperlink" Target="https://drive.google.com/file/d/114G0Qmawpn6_2NOJb7PHkd3Kaj4WDWuf/view?usp=drivesdk" TargetMode="External"/><Relationship Id="rId1124" Type="http://schemas.openxmlformats.org/officeDocument/2006/relationships/hyperlink" Target="https://drive.google.com/file/d/1kxEp7L3skZ0UrWyYPrqhrRNOkT3Dkb7l/view?usp=drivesdk" TargetMode="External"/><Relationship Id="rId1158" Type="http://schemas.openxmlformats.org/officeDocument/2006/relationships/hyperlink" Target="https://drive.google.com/file/d/1iIBbbjHSgphUQTZp05pHFILE4XckMtSu/view?usp=drivesdk" TargetMode="External"/><Relationship Id="rId1159" Type="http://schemas.openxmlformats.org/officeDocument/2006/relationships/hyperlink" Target="https://drive.google.com/file/d/1l-FQDh_6BWqFULLKRVsqfXx--Fa2XEM8/view?usp=drivesdk" TargetMode="External"/><Relationship Id="rId327" Type="http://schemas.openxmlformats.org/officeDocument/2006/relationships/hyperlink" Target="https://drive.google.com/file/d/1dtKtdd_2kCj2_XWZ00HVUoDI14oKWQL4/view?usp=drivesdk" TargetMode="External"/><Relationship Id="rId569" Type="http://schemas.openxmlformats.org/officeDocument/2006/relationships/hyperlink" Target="https://drive.google.com/file/d/1FVuBK4B3s-hKrgmhZC5hpx9eOfxb1nt0/view?usp=drivesdk" TargetMode="External"/><Relationship Id="rId326" Type="http://schemas.openxmlformats.org/officeDocument/2006/relationships/hyperlink" Target="https://drive.google.com/file/d/1HFXkTrUQ8mI7mp9ox_hwUEQogpkDhj2e/view?usp=drivesdk" TargetMode="External"/><Relationship Id="rId568" Type="http://schemas.openxmlformats.org/officeDocument/2006/relationships/hyperlink" Target="https://drive.google.com/file/d/1xAmIP16iVLiBqjVVwMcExCjDLCexNoHS/view?usp=drivesdk" TargetMode="External"/><Relationship Id="rId325" Type="http://schemas.openxmlformats.org/officeDocument/2006/relationships/hyperlink" Target="https://drive.google.com/file/d/1EmBa4FAERTSR2VRVKMSpm5GubmxUEIHl/view?usp=drivesdk" TargetMode="External"/><Relationship Id="rId567" Type="http://schemas.openxmlformats.org/officeDocument/2006/relationships/hyperlink" Target="https://drive.google.com/file/d/15QAv4M6PNdG1pgFj7uT3ns_043Y9aqJD/view?usp=drivesdk" TargetMode="External"/><Relationship Id="rId324" Type="http://schemas.openxmlformats.org/officeDocument/2006/relationships/hyperlink" Target="https://drive.google.com/file/d/1j4TWVnNjXprDjzvGBpBXcH6L3LKSZLX9/view?usp=drivesdk" TargetMode="External"/><Relationship Id="rId566" Type="http://schemas.openxmlformats.org/officeDocument/2006/relationships/hyperlink" Target="https://drive.google.com/file/d/1NlstKV2myYrxqVH7palFjXnd5s-egVkV/view?usp=drivesdk" TargetMode="External"/><Relationship Id="rId329" Type="http://schemas.openxmlformats.org/officeDocument/2006/relationships/hyperlink" Target="https://drive.google.com/file/d/1lEBclQDmBNasLSWXgu6GpjmLM1nX5T8A/view?usp=drivesdk" TargetMode="External"/><Relationship Id="rId328" Type="http://schemas.openxmlformats.org/officeDocument/2006/relationships/hyperlink" Target="https://drive.google.com/file/d/12EZ-0hdDByn4A9gXqy3Z4L9vFQIJgKL2/view?usp=drivesdk" TargetMode="External"/><Relationship Id="rId561" Type="http://schemas.openxmlformats.org/officeDocument/2006/relationships/hyperlink" Target="https://drive.google.com/file/d/19TqOGmxg8qepMoOImhbMmmNfe5BmEOia/view?usp=drivesdk" TargetMode="External"/><Relationship Id="rId1150" Type="http://schemas.openxmlformats.org/officeDocument/2006/relationships/hyperlink" Target="https://drive.google.com/file/d/1pQslyafh5w6LXKs-4hvwoDaeOx6oKCqv/view?usp=drivesdk" TargetMode="External"/><Relationship Id="rId560" Type="http://schemas.openxmlformats.org/officeDocument/2006/relationships/hyperlink" Target="https://drive.google.com/file/d/19UjzTRwcAK_mv5d7Upr4wiloQds0iOr4/view?usp=drivesdk" TargetMode="External"/><Relationship Id="rId1151" Type="http://schemas.openxmlformats.org/officeDocument/2006/relationships/hyperlink" Target="https://drive.google.com/file/d/17VMFzHxY5tq76J7w4BG0NGbr50TCTg0F/view?usp=drivesdk" TargetMode="External"/><Relationship Id="rId1152" Type="http://schemas.openxmlformats.org/officeDocument/2006/relationships/hyperlink" Target="https://drive.google.com/file/d/1ka0FW4QzFTQTmLb6acx24wkpaOVWoZk4/view?usp=drivesdk" TargetMode="External"/><Relationship Id="rId1153" Type="http://schemas.openxmlformats.org/officeDocument/2006/relationships/hyperlink" Target="https://drive.google.com/file/d/1LhQY-kwPVHwQjVoIgby6ROOPlcuLZNsU/view?usp=drivesdk" TargetMode="External"/><Relationship Id="rId323" Type="http://schemas.openxmlformats.org/officeDocument/2006/relationships/hyperlink" Target="https://drive.google.com/file/d/14h4JAaLIFwJooHksF6zU7CsVLjzpq5-u/view?usp=drivesdk" TargetMode="External"/><Relationship Id="rId565" Type="http://schemas.openxmlformats.org/officeDocument/2006/relationships/hyperlink" Target="https://drive.google.com/file/d/1Sld4LneTy970dZeagu3K9pgq5PjoutgC/view?usp=drivesdk" TargetMode="External"/><Relationship Id="rId1154" Type="http://schemas.openxmlformats.org/officeDocument/2006/relationships/hyperlink" Target="https://drive.google.com/file/d/1t1XAeIm6WneH_o9USomfLYCVTxSRqbqJ/view?usp=drivesdk" TargetMode="External"/><Relationship Id="rId322" Type="http://schemas.openxmlformats.org/officeDocument/2006/relationships/hyperlink" Target="https://drive.google.com/file/d/1U69QzSgL1sGVmE3D5EtMgl_MmXGOF6xX/view?usp=drivesdk" TargetMode="External"/><Relationship Id="rId564" Type="http://schemas.openxmlformats.org/officeDocument/2006/relationships/hyperlink" Target="https://drive.google.com/file/d/1Lk5rpM3oHXydSuvKFykAsTyOJ-xfRd3E/view?usp=drivesdk" TargetMode="External"/><Relationship Id="rId1155" Type="http://schemas.openxmlformats.org/officeDocument/2006/relationships/hyperlink" Target="https://drive.google.com/file/d/1yY0R-I6iYqbfARW7_YXHptE674DCxqru/view?usp=drivesdk" TargetMode="External"/><Relationship Id="rId321" Type="http://schemas.openxmlformats.org/officeDocument/2006/relationships/hyperlink" Target="https://drive.google.com/file/d/157BUbV2deByGxx-TuOCq0LEA1QwZiVHl/view?usp=drivesdk" TargetMode="External"/><Relationship Id="rId563" Type="http://schemas.openxmlformats.org/officeDocument/2006/relationships/hyperlink" Target="https://drive.google.com/file/d/1Nyv91knhZPKqyrO4kHHV2HyZs2faHSMd/view?usp=drivesdk" TargetMode="External"/><Relationship Id="rId1156" Type="http://schemas.openxmlformats.org/officeDocument/2006/relationships/hyperlink" Target="https://drive.google.com/file/d/1UCKFjybPKQGoqRovEw1rgLnAeCEixTg4/view?usp=drivesdk" TargetMode="External"/><Relationship Id="rId320" Type="http://schemas.openxmlformats.org/officeDocument/2006/relationships/hyperlink" Target="https://drive.google.com/file/d/1hd9M1coDPygQO5hUKbsmZQT4DZuTm4F9/view?usp=drivesdk" TargetMode="External"/><Relationship Id="rId562" Type="http://schemas.openxmlformats.org/officeDocument/2006/relationships/hyperlink" Target="https://drive.google.com/file/d/1QTcV7TJWIc6IXNvmuhK63dh_x_9_pKGo/view?usp=drivesdk" TargetMode="External"/><Relationship Id="rId1157" Type="http://schemas.openxmlformats.org/officeDocument/2006/relationships/hyperlink" Target="https://drive.google.com/file/d/1EAnUAtRi2hq17rVtJF6Hjmpp800zf3Mz/view?usp=drivesdk" TargetMode="External"/><Relationship Id="rId1147" Type="http://schemas.openxmlformats.org/officeDocument/2006/relationships/hyperlink" Target="https://drive.google.com/file/d/1JNb6UaoVSjh1-p5T_DA9UQ4f938z8unv/view?usp=drivesdk" TargetMode="External"/><Relationship Id="rId1148" Type="http://schemas.openxmlformats.org/officeDocument/2006/relationships/hyperlink" Target="https://drive.google.com/file/d/1U6ATqlF0gBqbvUBvBAJ6Krh0Mj3GAyTF/view?usp=drivesdk" TargetMode="External"/><Relationship Id="rId1149" Type="http://schemas.openxmlformats.org/officeDocument/2006/relationships/hyperlink" Target="https://drive.google.com/file/d/1aukm0JC9_N6_c78Ts1B5YYMvY6A-_um8/view?usp=drivesdk" TargetMode="External"/><Relationship Id="rId316" Type="http://schemas.openxmlformats.org/officeDocument/2006/relationships/hyperlink" Target="https://drive.google.com/file/d/1cnMaIL9MlIeM_5sny9yYgWFfJ_ArL3WN/view?usp=drivesdk" TargetMode="External"/><Relationship Id="rId558" Type="http://schemas.openxmlformats.org/officeDocument/2006/relationships/hyperlink" Target="https://drive.google.com/file/d/1I-0rrY_vY_crauRu_v9BmwJUblt9NJXy/view?usp=drivesdk" TargetMode="External"/><Relationship Id="rId315" Type="http://schemas.openxmlformats.org/officeDocument/2006/relationships/hyperlink" Target="https://drive.google.com/file/d/1JoA74YbiqOsqoZ4Tzwvh65wtZdAyMl-3/view?usp=drivesdk" TargetMode="External"/><Relationship Id="rId557" Type="http://schemas.openxmlformats.org/officeDocument/2006/relationships/hyperlink" Target="https://drive.google.com/file/d/1N0PfpMd9alWvjXSeXz35OV8LagWjofRR/view?usp=drivesdk" TargetMode="External"/><Relationship Id="rId799" Type="http://schemas.openxmlformats.org/officeDocument/2006/relationships/hyperlink" Target="https://drive.google.com/file/d/1tpFFkc61_91ZpCOqyuCgR1E-r9q2LG1P/view?usp=drivesdk" TargetMode="External"/><Relationship Id="rId314" Type="http://schemas.openxmlformats.org/officeDocument/2006/relationships/hyperlink" Target="https://drive.google.com/file/d/1Bt6fT1afR2U-ak9p1_ka_y7x2HLfJo0R/view?usp=drivesdk" TargetMode="External"/><Relationship Id="rId556" Type="http://schemas.openxmlformats.org/officeDocument/2006/relationships/hyperlink" Target="https://drive.google.com/file/d/1mTPsT5B-oCaTTZoqNTXU808t2qDrnmjk/view?usp=drivesdk" TargetMode="External"/><Relationship Id="rId798" Type="http://schemas.openxmlformats.org/officeDocument/2006/relationships/hyperlink" Target="https://drive.google.com/file/d/1k8CgQcY5KHiLb7RH_DYHoHDBYsKs9wMD/view?usp=drivesdk" TargetMode="External"/><Relationship Id="rId313" Type="http://schemas.openxmlformats.org/officeDocument/2006/relationships/hyperlink" Target="https://drive.google.com/file/d/1h2mGzM7Wbs3gSpBa_59iOJVbPwZNta2Z/view?usp=drivesdk" TargetMode="External"/><Relationship Id="rId555" Type="http://schemas.openxmlformats.org/officeDocument/2006/relationships/hyperlink" Target="https://drive.google.com/file/d/1iuAvbFnMIXnD9pOHMl0UbwecznrlJ32m/view?usp=drivesdk" TargetMode="External"/><Relationship Id="rId797" Type="http://schemas.openxmlformats.org/officeDocument/2006/relationships/hyperlink" Target="https://drive.google.com/file/d/142gFyPMH6eqmsL8FZ-HhorB-SGJbVLR1/view?usp=drivesdk" TargetMode="External"/><Relationship Id="rId319" Type="http://schemas.openxmlformats.org/officeDocument/2006/relationships/hyperlink" Target="https://drive.google.com/file/d/1_AUdy6kAnRXq3gTZ7t1I9Du3GDQ1awXv/view?usp=drivesdk" TargetMode="External"/><Relationship Id="rId318" Type="http://schemas.openxmlformats.org/officeDocument/2006/relationships/hyperlink" Target="https://drive.google.com/file/d/1DuIvLOFgEYQzI0_-EXGsnhAw9UglqKAt/view?usp=drivesdk" TargetMode="External"/><Relationship Id="rId317" Type="http://schemas.openxmlformats.org/officeDocument/2006/relationships/hyperlink" Target="https://drive.google.com/file/d/1vP1CmzUWv2S8ygDyg0o8nSRdCNMn0TxY/view?usp=drivesdk" TargetMode="External"/><Relationship Id="rId559" Type="http://schemas.openxmlformats.org/officeDocument/2006/relationships/hyperlink" Target="https://drive.google.com/file/d/1v89vgyylT9Qnekra4V0WU_ahXkfuKlOL/view?usp=drivesdk" TargetMode="External"/><Relationship Id="rId550" Type="http://schemas.openxmlformats.org/officeDocument/2006/relationships/hyperlink" Target="https://drive.google.com/file/d/1l7ctssJ-zM7iaH20afN5MKb4tZL-gVY1/view?usp=drivesdk" TargetMode="External"/><Relationship Id="rId792" Type="http://schemas.openxmlformats.org/officeDocument/2006/relationships/hyperlink" Target="https://drive.google.com/file/d/1Gb2Ev1wDrBy09LGfBqyZDYEUuEa2pcfl/view?usp=drivesdk" TargetMode="External"/><Relationship Id="rId791" Type="http://schemas.openxmlformats.org/officeDocument/2006/relationships/hyperlink" Target="https://drive.google.com/file/d/1izzF0IcFtPG1IRVw3IjIg_mePpFoqb0E/view?usp=drivesdk" TargetMode="External"/><Relationship Id="rId1140" Type="http://schemas.openxmlformats.org/officeDocument/2006/relationships/hyperlink" Target="https://drive.google.com/file/d/1UQrQhhpICpoJYUv1LMuZIPBIb2a1o8nK/view?usp=drivesdk" TargetMode="External"/><Relationship Id="rId790" Type="http://schemas.openxmlformats.org/officeDocument/2006/relationships/hyperlink" Target="https://drive.google.com/file/d/1tUARJ0MGxdhnbOJwXsobW_Y7FO5IDyBf/view?usp=drivesdk" TargetMode="External"/><Relationship Id="rId1141" Type="http://schemas.openxmlformats.org/officeDocument/2006/relationships/hyperlink" Target="https://drive.google.com/file/d/1qcTRLwBs5Hbv3u3mgbV1qZjOYs2dwkLw/view?usp=drivesdk" TargetMode="External"/><Relationship Id="rId1142" Type="http://schemas.openxmlformats.org/officeDocument/2006/relationships/hyperlink" Target="https://drive.google.com/file/d/1A8mDECxDSdhNoKGzkivVx1gJALZEscrW/view?usp=drivesdk" TargetMode="External"/><Relationship Id="rId312" Type="http://schemas.openxmlformats.org/officeDocument/2006/relationships/hyperlink" Target="https://drive.google.com/file/d/1kktzRiJl0Vq1D7OAFfJCiFPtenYDxwMX/view?usp=drivesdk" TargetMode="External"/><Relationship Id="rId554" Type="http://schemas.openxmlformats.org/officeDocument/2006/relationships/hyperlink" Target="https://drive.google.com/file/d/1pJWYWBraBt-9a8-4rGJklRvuCP5LJ9vq/view?usp=drivesdk" TargetMode="External"/><Relationship Id="rId796" Type="http://schemas.openxmlformats.org/officeDocument/2006/relationships/hyperlink" Target="https://drive.google.com/file/d/1-ASE4tiAw8wVmFniLiCIAhhBOamIXXkM/view?usp=drivesdk" TargetMode="External"/><Relationship Id="rId1143" Type="http://schemas.openxmlformats.org/officeDocument/2006/relationships/hyperlink" Target="https://drive.google.com/file/d/1EPxlYi4PMGMtat0Yv6cLlGxSmLZhC1bs/view?usp=drivesdk" TargetMode="External"/><Relationship Id="rId311" Type="http://schemas.openxmlformats.org/officeDocument/2006/relationships/hyperlink" Target="https://drive.google.com/file/d/1St7BUUuYer79rzpG8vd7ADBk2ErIw885/view?usp=drivesdk" TargetMode="External"/><Relationship Id="rId553" Type="http://schemas.openxmlformats.org/officeDocument/2006/relationships/hyperlink" Target="https://drive.google.com/file/d/1w1lXBua-EuZDDCg54BayAiUiSdlfG5tu/view?usp=drivesdk" TargetMode="External"/><Relationship Id="rId795" Type="http://schemas.openxmlformats.org/officeDocument/2006/relationships/hyperlink" Target="https://drive.google.com/file/d/11J__VD3Y4f87jgcJJlMZBaOMJ_XKiJKF/view?usp=drivesdk" TargetMode="External"/><Relationship Id="rId1144" Type="http://schemas.openxmlformats.org/officeDocument/2006/relationships/hyperlink" Target="https://drive.google.com/file/d/1jLIimRwHpJN5KbeNW4SwCfdg9onBFY3e/view?usp=drivesdk" TargetMode="External"/><Relationship Id="rId310" Type="http://schemas.openxmlformats.org/officeDocument/2006/relationships/hyperlink" Target="https://drive.google.com/file/d/1fPzfcTShd8l0LCaFjacxeKatn8EKGQba/view?usp=drivesdk" TargetMode="External"/><Relationship Id="rId552" Type="http://schemas.openxmlformats.org/officeDocument/2006/relationships/hyperlink" Target="https://drive.google.com/file/d/1_TBNyQvCPozmJ0fMswsIeJGIc1xoizjG/view?usp=drivesdk" TargetMode="External"/><Relationship Id="rId794" Type="http://schemas.openxmlformats.org/officeDocument/2006/relationships/hyperlink" Target="https://drive.google.com/file/d/1TNEnS99QlCW87gdt8Rd5HQoMQ4qkwX-e/view?usp=drivesdk" TargetMode="External"/><Relationship Id="rId1145" Type="http://schemas.openxmlformats.org/officeDocument/2006/relationships/hyperlink" Target="https://drive.google.com/file/d/1f5a4fDoZSqVQn6_wZNpXMWZh5Th06E59/view?usp=drivesdk" TargetMode="External"/><Relationship Id="rId551" Type="http://schemas.openxmlformats.org/officeDocument/2006/relationships/hyperlink" Target="https://drive.google.com/file/d/1ZWpaFftVSHhhFTgOI5C20rwK0-SC15uq/view?usp=drivesdk" TargetMode="External"/><Relationship Id="rId793" Type="http://schemas.openxmlformats.org/officeDocument/2006/relationships/hyperlink" Target="https://drive.google.com/file/d/1Smf9dexy8FBQUYChkSHf9tWFsbB-3s5i/view?usp=drivesdk" TargetMode="External"/><Relationship Id="rId1146" Type="http://schemas.openxmlformats.org/officeDocument/2006/relationships/hyperlink" Target="https://drive.google.com/file/d/1ReVWAdYgLKJ4tK2TRkWEQJrHyY-Uu-Bh/view?usp=drivesdk" TargetMode="External"/><Relationship Id="rId297" Type="http://schemas.openxmlformats.org/officeDocument/2006/relationships/hyperlink" Target="https://drive.google.com/file/d/1AGoXaibT0tVCeC8BQ0j4D62HxHDqoBkE/view?usp=drivesdk" TargetMode="External"/><Relationship Id="rId296" Type="http://schemas.openxmlformats.org/officeDocument/2006/relationships/hyperlink" Target="https://drive.google.com/file/d/1_MU0cLx3tx1B_2QgpldrVAFxMH3l3J99/view?usp=drivesdk" TargetMode="External"/><Relationship Id="rId295" Type="http://schemas.openxmlformats.org/officeDocument/2006/relationships/hyperlink" Target="https://drive.google.com/file/d/1fLGPNXf4_MsqEehHWtgYUlsY1gBj4zpt/view?usp=drivesdk" TargetMode="External"/><Relationship Id="rId294" Type="http://schemas.openxmlformats.org/officeDocument/2006/relationships/hyperlink" Target="https://drive.google.com/file/d/13yIujtG1_6aaebGt7p9G9rTQi3acHFuK/view?usp=drivesdk" TargetMode="External"/><Relationship Id="rId299" Type="http://schemas.openxmlformats.org/officeDocument/2006/relationships/hyperlink" Target="https://drive.google.com/file/d/1Q_HJY3BylYacqBNEY-cjw4YDgWQjSJKQ/view?usp=drivesdk" TargetMode="External"/><Relationship Id="rId298" Type="http://schemas.openxmlformats.org/officeDocument/2006/relationships/hyperlink" Target="https://drive.google.com/file/d/1wfxw1KyfPGKMVbMIqPdqYXzJ3bcCsFH2/view?usp=drivesdk" TargetMode="External"/><Relationship Id="rId271" Type="http://schemas.openxmlformats.org/officeDocument/2006/relationships/hyperlink" Target="https://drive.google.com/file/d/19vyLwgsBBNtq5dNYReFl2MKi-gLKSi0d/view?usp=drivesdk" TargetMode="External"/><Relationship Id="rId270" Type="http://schemas.openxmlformats.org/officeDocument/2006/relationships/hyperlink" Target="https://drive.google.com/file/d/1rcTUSz6-GUSsQ2lo6zdgOnhahGyQm5Ns/view?usp=drivesdk" TargetMode="External"/><Relationship Id="rId269" Type="http://schemas.openxmlformats.org/officeDocument/2006/relationships/hyperlink" Target="https://drive.google.com/file/d/1F-ttSxH-EzdswZBdb0hgVMVC8aXl5sSc/view?usp=drivesdk" TargetMode="External"/><Relationship Id="rId264" Type="http://schemas.openxmlformats.org/officeDocument/2006/relationships/hyperlink" Target="https://drive.google.com/file/d/1MlcHaLBIbvAQDuOQP7y1utIme6-esCn_/view?usp=drivesdk" TargetMode="External"/><Relationship Id="rId263" Type="http://schemas.openxmlformats.org/officeDocument/2006/relationships/hyperlink" Target="https://drive.google.com/file/d/1y5-PvqQS3_sp1HHQeWywfrWcmSr6uztx/view?usp=drivesdk" TargetMode="External"/><Relationship Id="rId262" Type="http://schemas.openxmlformats.org/officeDocument/2006/relationships/hyperlink" Target="https://drive.google.com/file/d/1PhyhOmeIgLKg6nZZkA2BhQmN4E9N345A/view?usp=drivesdk" TargetMode="External"/><Relationship Id="rId261" Type="http://schemas.openxmlformats.org/officeDocument/2006/relationships/hyperlink" Target="https://drive.google.com/file/d/1_nbO9sUgmxMKXaDXpO-3JE_rXb0rg8pP/view?usp=drivesdk" TargetMode="External"/><Relationship Id="rId268" Type="http://schemas.openxmlformats.org/officeDocument/2006/relationships/hyperlink" Target="https://drive.google.com/file/d/1xaoR8s8Ra1_9-WQXdohwXy9SDEQeIzSK/view?usp=drivesdk" TargetMode="External"/><Relationship Id="rId267" Type="http://schemas.openxmlformats.org/officeDocument/2006/relationships/hyperlink" Target="https://drive.google.com/file/d/1wb8EMDmffvXpMFyfD60k4HGDW1Xr2WdT/view?usp=drivesdk" TargetMode="External"/><Relationship Id="rId266" Type="http://schemas.openxmlformats.org/officeDocument/2006/relationships/hyperlink" Target="https://drive.google.com/file/d/1-p9hrsHTfrcMVFq1ftR3vZbX5pL0ALWy/view?usp=drivesdk" TargetMode="External"/><Relationship Id="rId265" Type="http://schemas.openxmlformats.org/officeDocument/2006/relationships/hyperlink" Target="https://drive.google.com/file/d/1nKRJKtA5L4jY86IVlt3vEZ2OD8A1jjdJ/view?usp=drivesdk" TargetMode="External"/><Relationship Id="rId260" Type="http://schemas.openxmlformats.org/officeDocument/2006/relationships/hyperlink" Target="https://drive.google.com/file/d/1Lq4VgAlCaMXTZJPiZDeg2RyMp-gI6e1_/view?usp=drivesdk" TargetMode="External"/><Relationship Id="rId259" Type="http://schemas.openxmlformats.org/officeDocument/2006/relationships/hyperlink" Target="https://drive.google.com/file/d/1XXoYTHpcuWh2IgUAVqO2E4UJ14r85BME/view?usp=drivesdk" TargetMode="External"/><Relationship Id="rId258" Type="http://schemas.openxmlformats.org/officeDocument/2006/relationships/hyperlink" Target="https://drive.google.com/file/d/1fqLhzJdVoOMSO-y9Az2ijK1cQgJjTZGg/view?usp=drivesdk" TargetMode="External"/><Relationship Id="rId253" Type="http://schemas.openxmlformats.org/officeDocument/2006/relationships/hyperlink" Target="https://drive.google.com/file/d/1JO-LOgcmrMqENn-ZXb2Ug3KSWryP8iWn/view?usp=drivesdk" TargetMode="External"/><Relationship Id="rId495" Type="http://schemas.openxmlformats.org/officeDocument/2006/relationships/hyperlink" Target="https://drive.google.com/file/d/1f2CEYVLOMld3BYtHzMoul8cZaEgX-q__/view?usp=drivesdk" TargetMode="External"/><Relationship Id="rId252" Type="http://schemas.openxmlformats.org/officeDocument/2006/relationships/hyperlink" Target="https://drive.google.com/file/d/19dKCKxqaXfDUlcuKfEJxXvMzpq7MYCq7/view?usp=drivesdk" TargetMode="External"/><Relationship Id="rId494" Type="http://schemas.openxmlformats.org/officeDocument/2006/relationships/hyperlink" Target="https://drive.google.com/file/d/1JmeFm0Rdvf2e3tzFOn2RkyqmvDz36xQJ/view?usp=drivesdk" TargetMode="External"/><Relationship Id="rId251" Type="http://schemas.openxmlformats.org/officeDocument/2006/relationships/hyperlink" Target="https://drive.google.com/file/d/1Bypus2jyd4CXtGe1eEnSCgGaUOIoF-Gl/view?usp=drivesdk" TargetMode="External"/><Relationship Id="rId493" Type="http://schemas.openxmlformats.org/officeDocument/2006/relationships/hyperlink" Target="https://drive.google.com/file/d/1SZ0yI52-QqVgZf2RwUU5YdBHSYCupGC6/view?usp=drivesdk" TargetMode="External"/><Relationship Id="rId250" Type="http://schemas.openxmlformats.org/officeDocument/2006/relationships/hyperlink" Target="https://drive.google.com/file/d/1wfhd8qgNey3YGlujTvH7hBJR1UiZ5dQJ/view?usp=drivesdk" TargetMode="External"/><Relationship Id="rId492" Type="http://schemas.openxmlformats.org/officeDocument/2006/relationships/hyperlink" Target="https://drive.google.com/file/d/17DYMxjjrk0ITXPUO2wSzMVx2_4YGUF3R/view?usp=drivesdk" TargetMode="External"/><Relationship Id="rId257" Type="http://schemas.openxmlformats.org/officeDocument/2006/relationships/hyperlink" Target="https://drive.google.com/file/d/1fLRUHfngCjdU_tajvmqRbS1pRCn-vETV/view?usp=drivesdk" TargetMode="External"/><Relationship Id="rId499" Type="http://schemas.openxmlformats.org/officeDocument/2006/relationships/hyperlink" Target="https://drive.google.com/file/d/1-Q-0hU7480uQtld1kF8uRJzMYQsQqev5/view?usp=drivesdk" TargetMode="External"/><Relationship Id="rId256" Type="http://schemas.openxmlformats.org/officeDocument/2006/relationships/hyperlink" Target="https://drive.google.com/file/d/1tJcIdSKq_cDjXHoXXP9b3KyvA2InXHVf/view?usp=drivesdk" TargetMode="External"/><Relationship Id="rId498" Type="http://schemas.openxmlformats.org/officeDocument/2006/relationships/hyperlink" Target="https://drive.google.com/file/d/1EyJbsdsZ1XfQ_-XiYs5eSh0mahbXtJmN/view?usp=drivesdk" TargetMode="External"/><Relationship Id="rId255" Type="http://schemas.openxmlformats.org/officeDocument/2006/relationships/hyperlink" Target="https://drive.google.com/file/d/1FgZX1pj7qiWQFnMLJPUGtUZab7Yc-q_z/view?usp=drivesdk" TargetMode="External"/><Relationship Id="rId497" Type="http://schemas.openxmlformats.org/officeDocument/2006/relationships/hyperlink" Target="https://drive.google.com/file/d/1Um4PZYlcU4RbTUMbAdaWmvgj6qAsxTRG/view?usp=drivesdk" TargetMode="External"/><Relationship Id="rId254" Type="http://schemas.openxmlformats.org/officeDocument/2006/relationships/hyperlink" Target="https://drive.google.com/file/d/1kSOs6NsVTxaTGptCFnplcyjAaVGRvzyP/view?usp=drivesdk" TargetMode="External"/><Relationship Id="rId496" Type="http://schemas.openxmlformats.org/officeDocument/2006/relationships/hyperlink" Target="https://drive.google.com/file/d/1WYj2rZLif0lGepQQL9vCpCrJPFfbjW49/view?usp=drivesdk" TargetMode="External"/><Relationship Id="rId293" Type="http://schemas.openxmlformats.org/officeDocument/2006/relationships/hyperlink" Target="https://drive.google.com/file/d/1ueNriv1ZnbQZyXBDDwqhnOpa0TLftt0I/view?usp=drivesdk" TargetMode="External"/><Relationship Id="rId292" Type="http://schemas.openxmlformats.org/officeDocument/2006/relationships/hyperlink" Target="https://drive.google.com/file/d/10MUrrOiw2PMmb9U-yj5T71J3EByw1J49/view?usp=drivesdk" TargetMode="External"/><Relationship Id="rId291" Type="http://schemas.openxmlformats.org/officeDocument/2006/relationships/hyperlink" Target="https://drive.google.com/file/d/1z201EXLf2uqV6XgAiB5PV5JGi0qHnP5Z/view?usp=drivesdk" TargetMode="External"/><Relationship Id="rId290" Type="http://schemas.openxmlformats.org/officeDocument/2006/relationships/hyperlink" Target="https://drive.google.com/file/d/1ybQSJLFia9-yUqb1jsQCGm24yct9yLhU/view?usp=drivesdk" TargetMode="External"/><Relationship Id="rId286" Type="http://schemas.openxmlformats.org/officeDocument/2006/relationships/hyperlink" Target="https://drive.google.com/file/d/1551Vs0BClQ1LXZ4uaQuwxQa-nzfuEKyi/view?usp=drivesdk" TargetMode="External"/><Relationship Id="rId285" Type="http://schemas.openxmlformats.org/officeDocument/2006/relationships/hyperlink" Target="https://drive.google.com/file/d/1uXuT6EWtrzkaZ1XUyF2ppHOV7xxF8O6D/view?usp=drivesdk" TargetMode="External"/><Relationship Id="rId284" Type="http://schemas.openxmlformats.org/officeDocument/2006/relationships/hyperlink" Target="https://drive.google.com/file/d/1sg6ZlACdWDXwrDvMMx9cg0Wx7D2CBTwK/view?usp=drivesdk" TargetMode="External"/><Relationship Id="rId283" Type="http://schemas.openxmlformats.org/officeDocument/2006/relationships/hyperlink" Target="https://drive.google.com/file/d/1sndmzjlML2wzvC6fTQvn1a7O5yMgeAdW/view?usp=drivesdk" TargetMode="External"/><Relationship Id="rId289" Type="http://schemas.openxmlformats.org/officeDocument/2006/relationships/hyperlink" Target="https://drive.google.com/file/d/1vsLbFDLm13WI66wOYu29qosUlzxwLiN3/view?usp=drivesdk" TargetMode="External"/><Relationship Id="rId288" Type="http://schemas.openxmlformats.org/officeDocument/2006/relationships/hyperlink" Target="https://drive.google.com/file/d/1304LsO6EjxEuOxhYvmKOI73OW0DuiDps/view?usp=drivesdk" TargetMode="External"/><Relationship Id="rId287" Type="http://schemas.openxmlformats.org/officeDocument/2006/relationships/hyperlink" Target="https://drive.google.com/file/d/1CvdsdYLCW_qsFqIQg473v7RGtLh04ULX/view?usp=drivesdk" TargetMode="External"/><Relationship Id="rId282" Type="http://schemas.openxmlformats.org/officeDocument/2006/relationships/hyperlink" Target="https://drive.google.com/file/d/13J4q5JkKzNQ8SZr7KaSNr_qaMXGXmATC/view?usp=drivesdk" TargetMode="External"/><Relationship Id="rId281" Type="http://schemas.openxmlformats.org/officeDocument/2006/relationships/hyperlink" Target="https://drive.google.com/file/d/1xjPlMZxlxAXa3N4PqN-LmgslqvvxWzQD/view?usp=drivesdk" TargetMode="External"/><Relationship Id="rId280" Type="http://schemas.openxmlformats.org/officeDocument/2006/relationships/hyperlink" Target="https://drive.google.com/file/d/1VjEffNQ4Y3YPDU3JLN1IA8QmsQO_ijoa/view?usp=drivesdk" TargetMode="External"/><Relationship Id="rId275" Type="http://schemas.openxmlformats.org/officeDocument/2006/relationships/hyperlink" Target="https://drive.google.com/file/d/1b8k_15K3q_btiviUeMRxFp4zqhYXnTNI/view?usp=drivesdk" TargetMode="External"/><Relationship Id="rId274" Type="http://schemas.openxmlformats.org/officeDocument/2006/relationships/hyperlink" Target="https://drive.google.com/file/d/1ftbfip5SjaApmw7-x2hAynP4_CkwaYxJ/view?usp=drivesdk" TargetMode="External"/><Relationship Id="rId273" Type="http://schemas.openxmlformats.org/officeDocument/2006/relationships/hyperlink" Target="https://drive.google.com/file/d/1YrJgxHbqCf1VAuUY_S8VEaEhewW0HPEM/view?usp=drivesdk" TargetMode="External"/><Relationship Id="rId272" Type="http://schemas.openxmlformats.org/officeDocument/2006/relationships/hyperlink" Target="https://drive.google.com/file/d/1N1FFA_aCO1ChBUaT-PJGYsgkpyKcw5Ir/view?usp=drivesdk" TargetMode="External"/><Relationship Id="rId279" Type="http://schemas.openxmlformats.org/officeDocument/2006/relationships/hyperlink" Target="https://drive.google.com/file/d/1C94pyLzsk3_F_z_OEqIlKOGubp3gqwf5/view?usp=drivesdk" TargetMode="External"/><Relationship Id="rId278" Type="http://schemas.openxmlformats.org/officeDocument/2006/relationships/hyperlink" Target="https://drive.google.com/file/d/1YEq9im1OE-kB1QdRAOm2K4FK7EDSumoh/view?usp=drivesdk" TargetMode="External"/><Relationship Id="rId277" Type="http://schemas.openxmlformats.org/officeDocument/2006/relationships/hyperlink" Target="https://drive.google.com/file/d/1EInajmP27ThwvI3_pxbdocoFSGCYwExq/view?usp=drivesdk" TargetMode="External"/><Relationship Id="rId276" Type="http://schemas.openxmlformats.org/officeDocument/2006/relationships/hyperlink" Target="https://drive.google.com/file/d/1VyDANjHreOavi81Hbzyr0KpVHrmOjABL/view?usp=drivesdk" TargetMode="External"/><Relationship Id="rId907" Type="http://schemas.openxmlformats.org/officeDocument/2006/relationships/hyperlink" Target="https://drive.google.com/file/d/1riaMzIercJtpgvXQpF1tlp5JdwgL89vK/view?usp=drivesdk" TargetMode="External"/><Relationship Id="rId906" Type="http://schemas.openxmlformats.org/officeDocument/2006/relationships/hyperlink" Target="https://drive.google.com/file/d/1C2zXwNWbIotowQ8LvbgwFh39LhcBgQWc/view?usp=drivesdk" TargetMode="External"/><Relationship Id="rId905" Type="http://schemas.openxmlformats.org/officeDocument/2006/relationships/hyperlink" Target="https://drive.google.com/file/d/19AowcxJg8clRNs93-_H1vGnXLDIypekI/view?usp=drivesdk" TargetMode="External"/><Relationship Id="rId904" Type="http://schemas.openxmlformats.org/officeDocument/2006/relationships/hyperlink" Target="https://drive.google.com/file/d/1b5xZ81VncHEwvVtnwPFW37uaRUZmc1wa/view?usp=drivesdk" TargetMode="External"/><Relationship Id="rId909" Type="http://schemas.openxmlformats.org/officeDocument/2006/relationships/hyperlink" Target="https://drive.google.com/file/d/1aPV-Z3fy6Pn0g1iMBsC5a3Jm3htqtOfq/view?usp=drivesdk" TargetMode="External"/><Relationship Id="rId908" Type="http://schemas.openxmlformats.org/officeDocument/2006/relationships/hyperlink" Target="https://drive.google.com/file/d/1uGnSvQ0OOWPzBVZmR0y9jr9Q-x-VLHNr/view?usp=drivesdk" TargetMode="External"/><Relationship Id="rId903" Type="http://schemas.openxmlformats.org/officeDocument/2006/relationships/hyperlink" Target="https://drive.google.com/file/d/1pGFHa8zHmSNSBtx9zXrbrRPAaYr3ub-D/view?usp=drivesdk" TargetMode="External"/><Relationship Id="rId902" Type="http://schemas.openxmlformats.org/officeDocument/2006/relationships/hyperlink" Target="https://drive.google.com/file/d/1rtRWu6xMHuluJ2aTZShU6s32As6lQWYR/view?usp=drivesdk" TargetMode="External"/><Relationship Id="rId901" Type="http://schemas.openxmlformats.org/officeDocument/2006/relationships/hyperlink" Target="https://drive.google.com/file/d/1bUIjRwKVcJAevu3Z-ZaGY6tN6WeTFmQm/view?usp=drivesdk" TargetMode="External"/><Relationship Id="rId900" Type="http://schemas.openxmlformats.org/officeDocument/2006/relationships/hyperlink" Target="https://drive.google.com/file/d/1weY6-9VphilRruR79mk3VcBOAT9wRW2M/view?usp=drivesdk" TargetMode="External"/><Relationship Id="rId929" Type="http://schemas.openxmlformats.org/officeDocument/2006/relationships/hyperlink" Target="https://drive.google.com/file/d/1GqH9qt_JWwGeqLpeCorlKk1pq4hyPhYq/view?usp=drivesdk" TargetMode="External"/><Relationship Id="rId928" Type="http://schemas.openxmlformats.org/officeDocument/2006/relationships/hyperlink" Target="https://drive.google.com/file/d/1kvJmOk-9uvEWzwy-M8iwSWOOZdHjUEu4/view?usp=drivesdk" TargetMode="External"/><Relationship Id="rId927" Type="http://schemas.openxmlformats.org/officeDocument/2006/relationships/hyperlink" Target="https://drive.google.com/file/d/1NVxBZe9svpSJYVO4JxcuN0soKiDLHJje/view?usp=drivesdk" TargetMode="External"/><Relationship Id="rId926" Type="http://schemas.openxmlformats.org/officeDocument/2006/relationships/hyperlink" Target="https://drive.google.com/file/d/1X7jK0HB-aBO_CFPUXZgT5t8eVrrCHN43/view?usp=drivesdk" TargetMode="External"/><Relationship Id="rId921" Type="http://schemas.openxmlformats.org/officeDocument/2006/relationships/hyperlink" Target="https://drive.google.com/file/d/1x9g4L96OZZ6Gsa_Vff57Q-OGoOvIuoMj/view?usp=drivesdk" TargetMode="External"/><Relationship Id="rId920" Type="http://schemas.openxmlformats.org/officeDocument/2006/relationships/hyperlink" Target="https://drive.google.com/file/d/1ruHr-WKUoo0D7c-bRB-NOHua6SpJiY-O/view?usp=drivesdk" TargetMode="External"/><Relationship Id="rId925" Type="http://schemas.openxmlformats.org/officeDocument/2006/relationships/hyperlink" Target="https://drive.google.com/file/d/1Qm7cbgxk97C7uciWzQzD8iHtgIHhyF7x/view?usp=drivesdk" TargetMode="External"/><Relationship Id="rId924" Type="http://schemas.openxmlformats.org/officeDocument/2006/relationships/hyperlink" Target="https://drive.google.com/file/d/1yQhcxeQJbBM6aOJg5QTU9zN9CL1CG5PL/view?usp=drivesdk" TargetMode="External"/><Relationship Id="rId923" Type="http://schemas.openxmlformats.org/officeDocument/2006/relationships/hyperlink" Target="https://drive.google.com/file/d/1DjF6wmmSsL1Jpm3qEyLtQAajeG7PSlnY/view?usp=drivesdk" TargetMode="External"/><Relationship Id="rId922" Type="http://schemas.openxmlformats.org/officeDocument/2006/relationships/hyperlink" Target="https://drive.google.com/file/d/1umj-_lKRr7FxAj4pTMPrFfRYUQNb8-tk/view?usp=drivesdk" TargetMode="External"/><Relationship Id="rId918" Type="http://schemas.openxmlformats.org/officeDocument/2006/relationships/hyperlink" Target="https://drive.google.com/file/d/1PS63OIcdVio_f0eMIi7eZM5BHvLRiqkv/view?usp=drivesdk" TargetMode="External"/><Relationship Id="rId917" Type="http://schemas.openxmlformats.org/officeDocument/2006/relationships/hyperlink" Target="https://drive.google.com/file/d/11Se1n_djnPQENm4bYP_av56yEtA9XJsV/view?usp=drivesdk" TargetMode="External"/><Relationship Id="rId916" Type="http://schemas.openxmlformats.org/officeDocument/2006/relationships/hyperlink" Target="https://drive.google.com/file/d/1AbUwM3pRMaLlKFbNV_yhK-9nbVuHcxg4/view?usp=drivesdk" TargetMode="External"/><Relationship Id="rId915" Type="http://schemas.openxmlformats.org/officeDocument/2006/relationships/hyperlink" Target="https://drive.google.com/file/d/1Urj4dUUeKkz_7rk2zcWGzg3hy_9ExTjj/view?usp=drivesdk" TargetMode="External"/><Relationship Id="rId919" Type="http://schemas.openxmlformats.org/officeDocument/2006/relationships/hyperlink" Target="https://drive.google.com/file/d/1l4fzAqa1Bunz9VsqQE8SoxExhAs6KFdj/view?usp=drivesdk" TargetMode="External"/><Relationship Id="rId910" Type="http://schemas.openxmlformats.org/officeDocument/2006/relationships/hyperlink" Target="https://drive.google.com/file/d/1BW82gWOuFlASB9NIB2UFfB4fUqUDuMy2/view?usp=drivesdk" TargetMode="External"/><Relationship Id="rId914" Type="http://schemas.openxmlformats.org/officeDocument/2006/relationships/hyperlink" Target="https://drive.google.com/file/d/1-bi28LR9Evq2oRMIzk3-WyvxHzxGjy7Z/view?usp=drivesdk" TargetMode="External"/><Relationship Id="rId913" Type="http://schemas.openxmlformats.org/officeDocument/2006/relationships/hyperlink" Target="https://drive.google.com/file/d/16EuQ2xwJcPRunjsmilK16A0lHXpLfLky/view?usp=drivesdk" TargetMode="External"/><Relationship Id="rId912" Type="http://schemas.openxmlformats.org/officeDocument/2006/relationships/hyperlink" Target="https://drive.google.com/file/d/1ylIEwgCDlKA0d5zu_aDEVAu6QS9YaiJu/view?usp=drivesdk" TargetMode="External"/><Relationship Id="rId911" Type="http://schemas.openxmlformats.org/officeDocument/2006/relationships/hyperlink" Target="https://drive.google.com/file/d/1dJ0P4VECMUQa2jlqxNIxr0OMreCiwvMF/view?usp=drivesdk" TargetMode="External"/><Relationship Id="rId1213" Type="http://schemas.openxmlformats.org/officeDocument/2006/relationships/hyperlink" Target="https://drive.google.com/file/d/1t1_qUGPYgfwCKihvlosr6if_WLGCuYr_/view?usp=drivesdk" TargetMode="External"/><Relationship Id="rId1214" Type="http://schemas.openxmlformats.org/officeDocument/2006/relationships/hyperlink" Target="https://drive.google.com/file/d/1dtb8cicfBOaoqhAc4v1bM9zxCzeMulzr/view?usp=drivesdk" TargetMode="External"/><Relationship Id="rId1215" Type="http://schemas.openxmlformats.org/officeDocument/2006/relationships/hyperlink" Target="https://drive.google.com/file/d/1sTLvFGFh7QDhiTQTwyo3RTUCq8ZVnm4L/view?usp=drivesdk" TargetMode="External"/><Relationship Id="rId1216" Type="http://schemas.openxmlformats.org/officeDocument/2006/relationships/hyperlink" Target="https://drive.google.com/file/d/1W_FVS-Cpj9I8ytOX_FDDbaYJfsL_iIQG/view?usp=drivesdk" TargetMode="External"/><Relationship Id="rId1217" Type="http://schemas.openxmlformats.org/officeDocument/2006/relationships/hyperlink" Target="https://drive.google.com/file/d/1gUexielzW4CzqdXwbeSt-dcig9m9IfF5/view?usp=drivesdk" TargetMode="External"/><Relationship Id="rId1218" Type="http://schemas.openxmlformats.org/officeDocument/2006/relationships/hyperlink" Target="https://drive.google.com/file/d/120TX49HmzKM1_YAS2soLgh93hyjS_NYD/view?usp=drivesdk" TargetMode="External"/><Relationship Id="rId1219" Type="http://schemas.openxmlformats.org/officeDocument/2006/relationships/hyperlink" Target="https://drive.google.com/file/d/1zeXiePsQOYaCzZcybtsJdT5VdRsO62dE/view?usp=drivesdk" TargetMode="External"/><Relationship Id="rId629" Type="http://schemas.openxmlformats.org/officeDocument/2006/relationships/hyperlink" Target="https://drive.google.com/file/d/1yg1d3XzfFfdNbfGBkVzcv3ebZWEFGj4b/view?usp=drivesdk" TargetMode="External"/><Relationship Id="rId624" Type="http://schemas.openxmlformats.org/officeDocument/2006/relationships/hyperlink" Target="https://drive.google.com/file/d/1kx590FtfkGfAJ4WexuGwtHt8Rqi2zEB2/view?usp=drivesdk" TargetMode="External"/><Relationship Id="rId866" Type="http://schemas.openxmlformats.org/officeDocument/2006/relationships/hyperlink" Target="https://drive.google.com/file/d/1diWxs75mg2fCy2V0RrMH2fSK2oLcDthw/view?usp=drivesdk" TargetMode="External"/><Relationship Id="rId623" Type="http://schemas.openxmlformats.org/officeDocument/2006/relationships/hyperlink" Target="https://drive.google.com/file/d/1Qxm6utV51eGqkC_2IpCMUfTLpKVAh4Vn/view?usp=drivesdk" TargetMode="External"/><Relationship Id="rId865" Type="http://schemas.openxmlformats.org/officeDocument/2006/relationships/hyperlink" Target="https://drive.google.com/file/d/1blW9dYWe_-5bzWMFHPS1qtg1ZOVpfk8m/view?usp=drivesdk" TargetMode="External"/><Relationship Id="rId622" Type="http://schemas.openxmlformats.org/officeDocument/2006/relationships/hyperlink" Target="https://drive.google.com/file/d/1ZEO-kzHKIW1-l_RZpgFo4-Yf9P-elYSL/view?usp=drivesdk" TargetMode="External"/><Relationship Id="rId864" Type="http://schemas.openxmlformats.org/officeDocument/2006/relationships/hyperlink" Target="https://drive.google.com/file/d/1jl8s2abSu-fzrTwcUvyX4DXcfj-AyApQ/view?usp=drivesdk" TargetMode="External"/><Relationship Id="rId621" Type="http://schemas.openxmlformats.org/officeDocument/2006/relationships/hyperlink" Target="https://drive.google.com/file/d/1M0hdw5TjPdks2FPPmthdYgBEZAfuCbuH/view?usp=drivesdk" TargetMode="External"/><Relationship Id="rId863" Type="http://schemas.openxmlformats.org/officeDocument/2006/relationships/hyperlink" Target="https://drive.google.com/file/d/1Nvku4GwDQxUqDqHyj3KHGox5Pt4ARFcJ/view?usp=drivesdk" TargetMode="External"/><Relationship Id="rId628" Type="http://schemas.openxmlformats.org/officeDocument/2006/relationships/hyperlink" Target="https://drive.google.com/file/d/1F-cxvPD9lhkTwiefL6CW5OhjtS74NYpd/view?usp=drivesdk" TargetMode="External"/><Relationship Id="rId627" Type="http://schemas.openxmlformats.org/officeDocument/2006/relationships/hyperlink" Target="https://drive.google.com/file/d/1mEkAjZW8JsWmoU1EJB-xzQ8p3_F8dQgr/view?usp=drivesdk" TargetMode="External"/><Relationship Id="rId869" Type="http://schemas.openxmlformats.org/officeDocument/2006/relationships/hyperlink" Target="https://drive.google.com/file/d/1wVg_bzjZz-s_288aNtYrfdM6s_BKRdRE/view?usp=drivesdk" TargetMode="External"/><Relationship Id="rId626" Type="http://schemas.openxmlformats.org/officeDocument/2006/relationships/hyperlink" Target="https://drive.google.com/file/d/1SIcv-Bg0u49-Qisai_2BsD0yytPenMmz/view?usp=drivesdk" TargetMode="External"/><Relationship Id="rId868" Type="http://schemas.openxmlformats.org/officeDocument/2006/relationships/hyperlink" Target="https://drive.google.com/file/d/18ffZKxgcw_qZ2AdI87ZvIgYag9gyYR-1/view?usp=drivesdk" TargetMode="External"/><Relationship Id="rId625" Type="http://schemas.openxmlformats.org/officeDocument/2006/relationships/hyperlink" Target="https://drive.google.com/file/d/11UeWXMoQGutJ3piXD9RUuFi3cdPgWTf0/view?usp=drivesdk" TargetMode="External"/><Relationship Id="rId867" Type="http://schemas.openxmlformats.org/officeDocument/2006/relationships/hyperlink" Target="https://drive.google.com/file/d/1R7vQo6mAvCHsv9cnGmaOMMwzv7vmdRnY/view?usp=drivesdk" TargetMode="External"/><Relationship Id="rId620" Type="http://schemas.openxmlformats.org/officeDocument/2006/relationships/hyperlink" Target="https://drive.google.com/file/d/1ZNxUKsYEEurmWt0vN3G6_gi6Y0OVX95N/view?usp=drivesdk" TargetMode="External"/><Relationship Id="rId862" Type="http://schemas.openxmlformats.org/officeDocument/2006/relationships/hyperlink" Target="https://drive.google.com/file/d/1oPMPRBVjVex4-rAyW4J570F0ofCBVqxQ/view?usp=drivesdk" TargetMode="External"/><Relationship Id="rId861" Type="http://schemas.openxmlformats.org/officeDocument/2006/relationships/hyperlink" Target="https://drive.google.com/file/d/15nRyhftnElIrKT3bQthT-JttSrPc7sek/view?usp=drivesdk" TargetMode="External"/><Relationship Id="rId1210" Type="http://schemas.openxmlformats.org/officeDocument/2006/relationships/hyperlink" Target="https://drive.google.com/file/d/1F3AbC8ZihlINDAowcKOa0srVgV5w4PGM/view?usp=drivesdk" TargetMode="External"/><Relationship Id="rId860" Type="http://schemas.openxmlformats.org/officeDocument/2006/relationships/hyperlink" Target="https://drive.google.com/file/d/1ePOHK1xRSXhp6zypklux0KNg86NRhnQ6/view?usp=drivesdk" TargetMode="External"/><Relationship Id="rId1211" Type="http://schemas.openxmlformats.org/officeDocument/2006/relationships/hyperlink" Target="https://drive.google.com/file/d/14XaaFIRNscb8KJjqHbM5qX9szQZnwke5/view?usp=drivesdk" TargetMode="External"/><Relationship Id="rId1212" Type="http://schemas.openxmlformats.org/officeDocument/2006/relationships/hyperlink" Target="https://drive.google.com/file/d/1aSdkp1d8ARf35S24HaVON0WWWDK4WRSK/view?usp=drivesdk" TargetMode="External"/><Relationship Id="rId1202" Type="http://schemas.openxmlformats.org/officeDocument/2006/relationships/hyperlink" Target="https://drive.google.com/file/d/1CFEmhS9tEpcJtZsq-Xp6UFNZf3MybZ1z/view?usp=drivesdk" TargetMode="External"/><Relationship Id="rId1203" Type="http://schemas.openxmlformats.org/officeDocument/2006/relationships/hyperlink" Target="https://drive.google.com/file/d/1inggga0hMQZkxw0_C1qlqIkdvmFZKh1n/view?usp=drivesdk" TargetMode="External"/><Relationship Id="rId1204" Type="http://schemas.openxmlformats.org/officeDocument/2006/relationships/hyperlink" Target="https://drive.google.com/file/d/1Z83TMgC8F76c8qoCZ4ewAdecAtwiuVHe/view?usp=drivesdk" TargetMode="External"/><Relationship Id="rId1205" Type="http://schemas.openxmlformats.org/officeDocument/2006/relationships/hyperlink" Target="https://drive.google.com/file/d/1sYRFWMwHuL-e3GCAU2raj2KoyID07C7N/view?usp=drivesdk" TargetMode="External"/><Relationship Id="rId1206" Type="http://schemas.openxmlformats.org/officeDocument/2006/relationships/hyperlink" Target="https://drive.google.com/file/d/12fVLUBZP_XfA8UUKcqsHJkeO8t4aJ7Jv/view?usp=drivesdk" TargetMode="External"/><Relationship Id="rId1207" Type="http://schemas.openxmlformats.org/officeDocument/2006/relationships/hyperlink" Target="https://drive.google.com/file/d/1-EmFVafEUsFXk3Xq7TNe34EXUOOUj_nd/view?usp=drivesdk" TargetMode="External"/><Relationship Id="rId1208" Type="http://schemas.openxmlformats.org/officeDocument/2006/relationships/hyperlink" Target="https://drive.google.com/file/d/1MxOreHKGb5jx4Ekkl-t5OAbyXSxe9aK8/view?usp=drivesdk" TargetMode="External"/><Relationship Id="rId1209" Type="http://schemas.openxmlformats.org/officeDocument/2006/relationships/hyperlink" Target="https://drive.google.com/file/d/1Xq76ClV6kGuTeOK0CeTDfpeCBVbKYwN0/view?usp=drivesdk" TargetMode="External"/><Relationship Id="rId619" Type="http://schemas.openxmlformats.org/officeDocument/2006/relationships/hyperlink" Target="https://drive.google.com/file/d/10DBi4qrRVcAWCweJ-n6GiXGkasrSOtaz/view?usp=drivesdk" TargetMode="External"/><Relationship Id="rId618" Type="http://schemas.openxmlformats.org/officeDocument/2006/relationships/hyperlink" Target="https://drive.google.com/file/d/1-V5kMjLQQjtKlJwfktZiNMWkU8TUevh1/view?usp=drivesdk" TargetMode="External"/><Relationship Id="rId613" Type="http://schemas.openxmlformats.org/officeDocument/2006/relationships/hyperlink" Target="https://drive.google.com/file/d/14U3-gUoB_38zJbAObzG2r3NewyCB_m_r/view?usp=drivesdk" TargetMode="External"/><Relationship Id="rId855" Type="http://schemas.openxmlformats.org/officeDocument/2006/relationships/hyperlink" Target="https://drive.google.com/file/d/1aK9gkYtfB58KWzFuvmITaH_brtk_LGlj/view?usp=drivesdk" TargetMode="External"/><Relationship Id="rId612" Type="http://schemas.openxmlformats.org/officeDocument/2006/relationships/hyperlink" Target="https://drive.google.com/file/d/1X6gWfUyo9CnuhVxHcC-0sTk7XFjKycHq/view?usp=drivesdk" TargetMode="External"/><Relationship Id="rId854" Type="http://schemas.openxmlformats.org/officeDocument/2006/relationships/hyperlink" Target="https://drive.google.com/file/d/1m-tuZPO7IPlJ9QQmpYyCVtm1xI5UGfFc/view?usp=drivesdk" TargetMode="External"/><Relationship Id="rId611" Type="http://schemas.openxmlformats.org/officeDocument/2006/relationships/hyperlink" Target="https://drive.google.com/file/d/1I8SRm4JZsk5GeCB9RAPXoq3MpD0IN9mW/view?usp=drivesdk" TargetMode="External"/><Relationship Id="rId853" Type="http://schemas.openxmlformats.org/officeDocument/2006/relationships/hyperlink" Target="https://drive.google.com/file/d/1hFh2WLOqvmvlGa3cnrcdRYk65ANPbRGc/view?usp=drivesdk" TargetMode="External"/><Relationship Id="rId610" Type="http://schemas.openxmlformats.org/officeDocument/2006/relationships/hyperlink" Target="https://drive.google.com/file/d/1FxQjG_GiC9lilaPBMZLN641GG1hS4i2S/view?usp=drivesdk" TargetMode="External"/><Relationship Id="rId852" Type="http://schemas.openxmlformats.org/officeDocument/2006/relationships/hyperlink" Target="https://drive.google.com/file/d/1P8gA3Moy4qAAfDcQ34-yhpe2daKVuaUS/view?usp=drivesdk" TargetMode="External"/><Relationship Id="rId617" Type="http://schemas.openxmlformats.org/officeDocument/2006/relationships/hyperlink" Target="https://drive.google.com/file/d/1R0s_9AUVvi9v7gj0cpMqxM-29F6-Gdhv/view?usp=drivesdk" TargetMode="External"/><Relationship Id="rId859" Type="http://schemas.openxmlformats.org/officeDocument/2006/relationships/hyperlink" Target="https://drive.google.com/file/d/1rT4X34C__ymk09W9vrpxmppEY0nETtXE/view?usp=drivesdk" TargetMode="External"/><Relationship Id="rId616" Type="http://schemas.openxmlformats.org/officeDocument/2006/relationships/hyperlink" Target="https://drive.google.com/file/d/1S9pPHXHkmx2xDMsffz3Z0JfuhDd8npeO/view?usp=drivesdk" TargetMode="External"/><Relationship Id="rId858" Type="http://schemas.openxmlformats.org/officeDocument/2006/relationships/hyperlink" Target="https://drive.google.com/file/d/1eigqZMwQ4SHZIEBOMlavLnyeOMDrAwF3/view?usp=drivesdk" TargetMode="External"/><Relationship Id="rId615" Type="http://schemas.openxmlformats.org/officeDocument/2006/relationships/hyperlink" Target="https://drive.google.com/file/d/1yyjKMXhxY6fkJSiXHcNQt-Cu-6kNdM3z/view?usp=drivesdk" TargetMode="External"/><Relationship Id="rId857" Type="http://schemas.openxmlformats.org/officeDocument/2006/relationships/hyperlink" Target="https://drive.google.com/file/d/1ltR2AKe2wG9V0BIg2BvXmLewZZB8CSPR/view?usp=drivesdk" TargetMode="External"/><Relationship Id="rId614" Type="http://schemas.openxmlformats.org/officeDocument/2006/relationships/hyperlink" Target="https://drive.google.com/file/d/1HxWSRCgUETSt1cttnrBikc_z02zFq3tm/view?usp=drivesdk" TargetMode="External"/><Relationship Id="rId856" Type="http://schemas.openxmlformats.org/officeDocument/2006/relationships/hyperlink" Target="https://drive.google.com/file/d/1uJd9m_BfuAajOE6fiGGWWw-Hc5c9Ers4/view?usp=drivesdk" TargetMode="External"/><Relationship Id="rId851" Type="http://schemas.openxmlformats.org/officeDocument/2006/relationships/hyperlink" Target="https://drive.google.com/file/d/1M-hrgYW-81kvLpl0Z2ow_33dQVK3B3bK/view?usp=drivesdk" TargetMode="External"/><Relationship Id="rId850" Type="http://schemas.openxmlformats.org/officeDocument/2006/relationships/hyperlink" Target="https://drive.google.com/file/d/18gcvj_gC2MVsRWus1RMr_UavHW7Fh-5i/view?usp=drivesdk" TargetMode="External"/><Relationship Id="rId1200" Type="http://schemas.openxmlformats.org/officeDocument/2006/relationships/hyperlink" Target="https://drive.google.com/file/d/13X04JxP2XEqq2rxrXo4Vyu6rsk34OTHn/view?usp=drivesdk" TargetMode="External"/><Relationship Id="rId1201" Type="http://schemas.openxmlformats.org/officeDocument/2006/relationships/hyperlink" Target="https://drive.google.com/file/d/1cf845s3XxCWE0D1c-ocJe9BzhciL6h1G/view?usp=drivesdk" TargetMode="External"/><Relationship Id="rId1235" Type="http://schemas.openxmlformats.org/officeDocument/2006/relationships/hyperlink" Target="https://drive.google.com/file/d/1xY1_RAO9vaHLXbPhrG-5QBGvDyjglPks/view?usp=drivesdk" TargetMode="External"/><Relationship Id="rId1236" Type="http://schemas.openxmlformats.org/officeDocument/2006/relationships/hyperlink" Target="https://drive.google.com/file/d/1DThE8fELLdWkDXuOumFmvqKaOr5CMbLm/view?usp=drivesdk" TargetMode="External"/><Relationship Id="rId1237" Type="http://schemas.openxmlformats.org/officeDocument/2006/relationships/hyperlink" Target="https://drive.google.com/file/d/1u2AHZjEgRj0WlLyw8YdpjCDYn0IEy57_/view?usp=drivesdk" TargetMode="External"/><Relationship Id="rId1238" Type="http://schemas.openxmlformats.org/officeDocument/2006/relationships/hyperlink" Target="https://drive.google.com/file/d/1kbEr3H78koi0th7xR-iabMVbfn34CdHG/view?usp=drivesdk" TargetMode="External"/><Relationship Id="rId1239" Type="http://schemas.openxmlformats.org/officeDocument/2006/relationships/hyperlink" Target="https://drive.google.com/file/d/1jenZg44BpwSPdp3csgVWVnMrY_wS74he/view?usp=drivesdk" TargetMode="External"/><Relationship Id="rId409" Type="http://schemas.openxmlformats.org/officeDocument/2006/relationships/hyperlink" Target="https://drive.google.com/file/d/1VJXnFzDAGGBXnWW0EDpY90D0UyEoTSr9/view?usp=drivesdk" TargetMode="External"/><Relationship Id="rId404" Type="http://schemas.openxmlformats.org/officeDocument/2006/relationships/hyperlink" Target="https://drive.google.com/file/d/1rQFP6HVO292x7tUXXAl59TDzMuGCY9B_/view?usp=drivesdk" TargetMode="External"/><Relationship Id="rId646" Type="http://schemas.openxmlformats.org/officeDocument/2006/relationships/hyperlink" Target="https://drive.google.com/file/d/1m27rUHF1IkfqU3PXUAwV_ASQvC2T-Ymc/view?usp=drivesdk" TargetMode="External"/><Relationship Id="rId888" Type="http://schemas.openxmlformats.org/officeDocument/2006/relationships/hyperlink" Target="https://drive.google.com/file/d/1dkgQSduJY9wUnZxEEZ8Tu9CfPD8N9XVu/view?usp=drivesdk" TargetMode="External"/><Relationship Id="rId403" Type="http://schemas.openxmlformats.org/officeDocument/2006/relationships/hyperlink" Target="https://drive.google.com/file/d/174Wbe6MOhOFi-7jLWOyOaJ3jjMdvrmRW/view?usp=drivesdk" TargetMode="External"/><Relationship Id="rId645" Type="http://schemas.openxmlformats.org/officeDocument/2006/relationships/hyperlink" Target="https://drive.google.com/file/d/1BCT0edHgPa4ChDoJzelZqLe--OS1etHi/view?usp=drivesdk" TargetMode="External"/><Relationship Id="rId887" Type="http://schemas.openxmlformats.org/officeDocument/2006/relationships/hyperlink" Target="https://drive.google.com/file/d/1qO6j0QB9Z5F9kbyXQ9UOeSgKGXc4qm_9/view?usp=drivesdk" TargetMode="External"/><Relationship Id="rId402" Type="http://schemas.openxmlformats.org/officeDocument/2006/relationships/hyperlink" Target="https://drive.google.com/file/d/1fofPIG1hps7AVhMsJmY3JjApXp24Y49u/view?usp=drivesdk" TargetMode="External"/><Relationship Id="rId644" Type="http://schemas.openxmlformats.org/officeDocument/2006/relationships/hyperlink" Target="https://drive.google.com/file/d/1eXGhHmhVn3fbD0iigwSQ3lJTXODITpvg/view?usp=drivesdk" TargetMode="External"/><Relationship Id="rId886" Type="http://schemas.openxmlformats.org/officeDocument/2006/relationships/hyperlink" Target="https://drive.google.com/file/d/1GZw1D96ceSBXJDGRXSjAyBH2KfCV9LNq/view?usp=drivesdk" TargetMode="External"/><Relationship Id="rId401" Type="http://schemas.openxmlformats.org/officeDocument/2006/relationships/hyperlink" Target="https://drive.google.com/file/d/1yVtl2db8WtZohK2hm2clVbT8R-VbxADU/view?usp=drivesdk" TargetMode="External"/><Relationship Id="rId643" Type="http://schemas.openxmlformats.org/officeDocument/2006/relationships/hyperlink" Target="https://drive.google.com/file/d/1Z8op4lrljr3bHWpk4GyYA6iYV5HWZYIs/view?usp=drivesdk" TargetMode="External"/><Relationship Id="rId885" Type="http://schemas.openxmlformats.org/officeDocument/2006/relationships/hyperlink" Target="https://drive.google.com/file/d/1d4vQy17NlW-8nUms46bitq0K2DyZk6YU/view?usp=drivesdk" TargetMode="External"/><Relationship Id="rId408" Type="http://schemas.openxmlformats.org/officeDocument/2006/relationships/hyperlink" Target="https://drive.google.com/file/d/1EkLT7T_Pr8-vG5d0aGG6BQbLrO9k7yOO/view?usp=drivesdk" TargetMode="External"/><Relationship Id="rId407" Type="http://schemas.openxmlformats.org/officeDocument/2006/relationships/hyperlink" Target="https://drive.google.com/file/d/1CWxfGrNhwLJWCiMcRNDH7V596n6a0BEE/view?usp=drivesdk" TargetMode="External"/><Relationship Id="rId649" Type="http://schemas.openxmlformats.org/officeDocument/2006/relationships/hyperlink" Target="https://drive.google.com/file/d/1fLJ_KBsiK-R1oVTp1ye0o9az_ZHPo2sP/view?usp=drivesdk" TargetMode="External"/><Relationship Id="rId406" Type="http://schemas.openxmlformats.org/officeDocument/2006/relationships/hyperlink" Target="https://drive.google.com/file/d/1FxttsOhJ7eIPnjUw2eTjtMUggY5Uopek/view?usp=drivesdk" TargetMode="External"/><Relationship Id="rId648" Type="http://schemas.openxmlformats.org/officeDocument/2006/relationships/hyperlink" Target="https://drive.google.com/file/d/1wP3ztjznMdhYLC4f-75rGF4eL1Q1baJ2/view?usp=drivesdk" TargetMode="External"/><Relationship Id="rId405" Type="http://schemas.openxmlformats.org/officeDocument/2006/relationships/hyperlink" Target="https://drive.google.com/file/d/17gG3RhAM_ORVQ_aGBgRaPK3RXHmVyzWV/view?usp=drivesdk" TargetMode="External"/><Relationship Id="rId647" Type="http://schemas.openxmlformats.org/officeDocument/2006/relationships/hyperlink" Target="https://drive.google.com/file/d/1zAB7FrJxjEKNAXq45bYTmaoQioqvm5pY/view?usp=drivesdk" TargetMode="External"/><Relationship Id="rId889" Type="http://schemas.openxmlformats.org/officeDocument/2006/relationships/hyperlink" Target="https://drive.google.com/file/d/1cxzSNh8ILK763EaXzPp3BiRh2SLrXRn8/view?usp=drivesdk" TargetMode="External"/><Relationship Id="rId880" Type="http://schemas.openxmlformats.org/officeDocument/2006/relationships/hyperlink" Target="https://drive.google.com/file/d/1dMtGLovmPHvH7ayf9o_zinUU-u41yXAH/view?usp=drivesdk" TargetMode="External"/><Relationship Id="rId1230" Type="http://schemas.openxmlformats.org/officeDocument/2006/relationships/hyperlink" Target="https://drive.google.com/file/d/1FvhGXvPVSRyXdhZ3OVEEM0oG5yVxtfl6/view?usp=drivesdk" TargetMode="External"/><Relationship Id="rId400" Type="http://schemas.openxmlformats.org/officeDocument/2006/relationships/hyperlink" Target="https://drive.google.com/file/d/1bGduSD993ajgmRM5nKHoVIWWfAQjqOO-/view?usp=drivesdk" TargetMode="External"/><Relationship Id="rId642" Type="http://schemas.openxmlformats.org/officeDocument/2006/relationships/hyperlink" Target="https://drive.google.com/file/d/1QgEb-pKZ9y0QWHPkuKrX_G-kpM2s4hki/view?usp=drivesdk" TargetMode="External"/><Relationship Id="rId884" Type="http://schemas.openxmlformats.org/officeDocument/2006/relationships/hyperlink" Target="https://drive.google.com/file/d/1pBi6VM_HLNJ3GaQvcIxbikItAolq0TVj/view?usp=drivesdk" TargetMode="External"/><Relationship Id="rId1231" Type="http://schemas.openxmlformats.org/officeDocument/2006/relationships/hyperlink" Target="https://drive.google.com/file/d/1I5ho_O4uYc0Dd1kKTVBOz2r9Ft6CJWD1/view?usp=drivesdk" TargetMode="External"/><Relationship Id="rId641" Type="http://schemas.openxmlformats.org/officeDocument/2006/relationships/hyperlink" Target="https://drive.google.com/file/d/1EsPueOgCHV8Dh1chhOmi4RerOx0G2zWs/view?usp=drivesdk" TargetMode="External"/><Relationship Id="rId883" Type="http://schemas.openxmlformats.org/officeDocument/2006/relationships/hyperlink" Target="https://drive.google.com/file/d/1mLBgB03ocB5iATO0Y_nkkTJDm4kF_sKJ/view?usp=drivesdk" TargetMode="External"/><Relationship Id="rId1232" Type="http://schemas.openxmlformats.org/officeDocument/2006/relationships/hyperlink" Target="https://drive.google.com/file/d/11LZnKoiao062PPu4dIJIDiGPJHIVt_Ku/view?usp=drivesdk" TargetMode="External"/><Relationship Id="rId640" Type="http://schemas.openxmlformats.org/officeDocument/2006/relationships/hyperlink" Target="https://drive.google.com/file/d/1IeEF-KwoRj70KwALBFfOoMf321plIIfN/view?usp=drivesdk" TargetMode="External"/><Relationship Id="rId882" Type="http://schemas.openxmlformats.org/officeDocument/2006/relationships/hyperlink" Target="https://drive.google.com/file/d/1n5EDfHoj7CsjUEXYo6QsLsAsN7e1INku/view?usp=drivesdk" TargetMode="External"/><Relationship Id="rId1233" Type="http://schemas.openxmlformats.org/officeDocument/2006/relationships/hyperlink" Target="https://drive.google.com/file/d/155a6GRSj_4WT8LqkzNaZMXZxSgCBKEq8/view?usp=drivesdk" TargetMode="External"/><Relationship Id="rId881" Type="http://schemas.openxmlformats.org/officeDocument/2006/relationships/hyperlink" Target="https://drive.google.com/file/d/1TybzBjfsYNjNyn0_DvYNTVVzbGFdNWO-/view?usp=drivesdk" TargetMode="External"/><Relationship Id="rId1234" Type="http://schemas.openxmlformats.org/officeDocument/2006/relationships/hyperlink" Target="https://drive.google.com/file/d/1QrQnlkGaI2f3NmlCSFN2geb8YLDwxjP_/view?usp=drivesdk" TargetMode="External"/><Relationship Id="rId1224" Type="http://schemas.openxmlformats.org/officeDocument/2006/relationships/hyperlink" Target="https://drive.google.com/file/d/1xi0n7BOS-1-vYqO5ikcHQ41nqItgs21o/view?usp=drivesdk" TargetMode="External"/><Relationship Id="rId1225" Type="http://schemas.openxmlformats.org/officeDocument/2006/relationships/hyperlink" Target="https://drive.google.com/file/d/1-LOW33gdY0Tk58Y57i2MIkGR_STvMjx5/view?usp=drivesdk" TargetMode="External"/><Relationship Id="rId1226" Type="http://schemas.openxmlformats.org/officeDocument/2006/relationships/hyperlink" Target="https://drive.google.com/file/d/1KJxoHCaA9IUzBsaTPYZhXkoPgZHWpz1V/view?usp=drivesdk" TargetMode="External"/><Relationship Id="rId1227" Type="http://schemas.openxmlformats.org/officeDocument/2006/relationships/hyperlink" Target="https://drive.google.com/file/d/1hRzrGIsPfPmBwpUD87d3sbp22BWE-XF6/view?usp=drivesdk" TargetMode="External"/><Relationship Id="rId1228" Type="http://schemas.openxmlformats.org/officeDocument/2006/relationships/hyperlink" Target="https://drive.google.com/file/d/1KOzrEm9I8zzB_nlYGp62VTpdmKP2ZHEl/view?usp=drivesdk" TargetMode="External"/><Relationship Id="rId1229" Type="http://schemas.openxmlformats.org/officeDocument/2006/relationships/hyperlink" Target="https://drive.google.com/file/d/1Uh3wz1vmxX4BwMmzZyibmp75aZJdSjrs/view?usp=drivesdk" TargetMode="External"/><Relationship Id="rId635" Type="http://schemas.openxmlformats.org/officeDocument/2006/relationships/hyperlink" Target="https://drive.google.com/file/d/1NybX6qyIRGz5OcVw0yw-qc4QQCU-p_wr/view?usp=drivesdk" TargetMode="External"/><Relationship Id="rId877" Type="http://schemas.openxmlformats.org/officeDocument/2006/relationships/hyperlink" Target="https://drive.google.com/file/d/17wF9nJ0D6-mQyJuwvSuDlR2ssB7s4_gU/view?usp=drivesdk" TargetMode="External"/><Relationship Id="rId634" Type="http://schemas.openxmlformats.org/officeDocument/2006/relationships/hyperlink" Target="https://drive.google.com/file/d/1r3TrhY_nY4ErSyh5LvNzNnTCNv_U_S5X/view?usp=drivesdk" TargetMode="External"/><Relationship Id="rId876" Type="http://schemas.openxmlformats.org/officeDocument/2006/relationships/hyperlink" Target="https://drive.google.com/file/d/1oja8-Rz5PywX7Rxp56EqIh4FhphZ0YaH/view?usp=drivesdk" TargetMode="External"/><Relationship Id="rId633" Type="http://schemas.openxmlformats.org/officeDocument/2006/relationships/hyperlink" Target="https://drive.google.com/file/d/19bvNLnMhnBx4AtHLCSPSGHoVqcvs_BrV/view?usp=drivesdk" TargetMode="External"/><Relationship Id="rId875" Type="http://schemas.openxmlformats.org/officeDocument/2006/relationships/hyperlink" Target="https://drive.google.com/file/d/1QYCkjxmHHLNt03G5E-tfTLDOGLPrsvP-/view?usp=drivesdk" TargetMode="External"/><Relationship Id="rId632" Type="http://schemas.openxmlformats.org/officeDocument/2006/relationships/hyperlink" Target="https://drive.google.com/file/d/1sx6B-_0_fnPIkM8WBk-9co7hrBQFlX70/view?usp=drivesdk" TargetMode="External"/><Relationship Id="rId874" Type="http://schemas.openxmlformats.org/officeDocument/2006/relationships/hyperlink" Target="https://drive.google.com/file/d/1pC-TSXmAo4L31TAl6A1k0i7UzEoC4KSb/view?usp=drivesdk" TargetMode="External"/><Relationship Id="rId639" Type="http://schemas.openxmlformats.org/officeDocument/2006/relationships/hyperlink" Target="https://drive.google.com/file/d/1eqhBqLVDjXPHbqew_xmhBImXOplfdg1t/view?usp=drivesdk" TargetMode="External"/><Relationship Id="rId638" Type="http://schemas.openxmlformats.org/officeDocument/2006/relationships/hyperlink" Target="https://drive.google.com/file/d/1NM9hE7naIQw4Qe0LBH5P-s-qg2HwjHID/view?usp=drivesdk" TargetMode="External"/><Relationship Id="rId637" Type="http://schemas.openxmlformats.org/officeDocument/2006/relationships/hyperlink" Target="https://drive.google.com/file/d/17oJ6MO4-3i3CcV4CGXCs3uJfsZBjDxvW/view?usp=drivesdk" TargetMode="External"/><Relationship Id="rId879" Type="http://schemas.openxmlformats.org/officeDocument/2006/relationships/hyperlink" Target="https://drive.google.com/file/d/1o9bCHbVF9W6wl_JdWFzURkxzgf7srM7N/view?usp=drivesdk" TargetMode="External"/><Relationship Id="rId636" Type="http://schemas.openxmlformats.org/officeDocument/2006/relationships/hyperlink" Target="https://drive.google.com/file/d/1QXpsIPR1kMuTf1nhvcBlypXFRloz2FkR/view?usp=drivesdk" TargetMode="External"/><Relationship Id="rId878" Type="http://schemas.openxmlformats.org/officeDocument/2006/relationships/hyperlink" Target="https://drive.google.com/file/d/1JFyfSl9yJojaGLs_nsYK3S_ROjX1eXTO/view?usp=drivesdk" TargetMode="External"/><Relationship Id="rId631" Type="http://schemas.openxmlformats.org/officeDocument/2006/relationships/hyperlink" Target="https://drive.google.com/file/d/1wlTRhpNRbGu5OdO7CR6hgZNVy5bPpt-T/view?usp=drivesdk" TargetMode="External"/><Relationship Id="rId873" Type="http://schemas.openxmlformats.org/officeDocument/2006/relationships/hyperlink" Target="https://drive.google.com/file/d/1ExwF9GzCk9tWoMNL2x-v1QPvAJDPZxjQ/view?usp=drivesdk" TargetMode="External"/><Relationship Id="rId1220" Type="http://schemas.openxmlformats.org/officeDocument/2006/relationships/hyperlink" Target="https://drive.google.com/file/d/19Gkup9g-XH9Tr-twU1s7fUcvxwPc_hUJ/view?usp=drivesdk" TargetMode="External"/><Relationship Id="rId630" Type="http://schemas.openxmlformats.org/officeDocument/2006/relationships/hyperlink" Target="https://drive.google.com/file/d/1RvzDTNnwD_MdOZ9eWr7lAMKoyEPxOo9h/view?usp=drivesdk" TargetMode="External"/><Relationship Id="rId872" Type="http://schemas.openxmlformats.org/officeDocument/2006/relationships/hyperlink" Target="https://drive.google.com/file/d/1cIxxQTDFBxWSpfoAHWIhyRRnNUMLxIk3/view?usp=drivesdk" TargetMode="External"/><Relationship Id="rId1221" Type="http://schemas.openxmlformats.org/officeDocument/2006/relationships/hyperlink" Target="https://drive.google.com/file/d/1lX8yn9HmvtyFyRi6ArOti-5JdlHI-qAU/view?usp=drivesdk" TargetMode="External"/><Relationship Id="rId871" Type="http://schemas.openxmlformats.org/officeDocument/2006/relationships/hyperlink" Target="https://drive.google.com/file/d/1QIM7cyf5e48Ie29UzeDNwCf0YL4Ot6s5/view?usp=drivesdk" TargetMode="External"/><Relationship Id="rId1222" Type="http://schemas.openxmlformats.org/officeDocument/2006/relationships/hyperlink" Target="https://drive.google.com/file/d/1IXulvuVAFf201zF5UGDUcQHR98PAFwVr/view?usp=drivesdk" TargetMode="External"/><Relationship Id="rId870" Type="http://schemas.openxmlformats.org/officeDocument/2006/relationships/hyperlink" Target="https://drive.google.com/file/d/1ktv-iwTFShtDmpAMi2GPXXbgGjNq_Fat/view?usp=drivesdk" TargetMode="External"/><Relationship Id="rId1223" Type="http://schemas.openxmlformats.org/officeDocument/2006/relationships/hyperlink" Target="https://drive.google.com/file/d/1xMvqm5Hg1D4loZ_LVDZMfxHUWZ3MVTCg/view?usp=drivesdk" TargetMode="External"/><Relationship Id="rId829" Type="http://schemas.openxmlformats.org/officeDocument/2006/relationships/hyperlink" Target="https://drive.google.com/file/d/1OBLU7yF85hGH9-x7Z8mYCK3_X08YchgD/view?usp=drivesdk" TargetMode="External"/><Relationship Id="rId828" Type="http://schemas.openxmlformats.org/officeDocument/2006/relationships/hyperlink" Target="https://drive.google.com/file/d/1Wiv_faDUpPUMJipIQ5K0AOAltklA_Xzd/view?usp=drivesdk" TargetMode="External"/><Relationship Id="rId827" Type="http://schemas.openxmlformats.org/officeDocument/2006/relationships/hyperlink" Target="https://drive.google.com/file/d/1IrQS8jroID0qzE6rOnxoVOV0Ro6QG5aM/view?usp=drivesdk" TargetMode="External"/><Relationship Id="rId822" Type="http://schemas.openxmlformats.org/officeDocument/2006/relationships/hyperlink" Target="https://drive.google.com/file/d/1WoUUW2Y2fLq0rw5az4lEeA9eISevpPyu/view?usp=drivesdk" TargetMode="External"/><Relationship Id="rId821" Type="http://schemas.openxmlformats.org/officeDocument/2006/relationships/hyperlink" Target="https://drive.google.com/file/d/1u2cuYJw1wxtIaeKSTjMMB6x1UxAAzvyC/view?usp=drivesdk" TargetMode="External"/><Relationship Id="rId820" Type="http://schemas.openxmlformats.org/officeDocument/2006/relationships/hyperlink" Target="https://drive.google.com/file/d/1wTO_3OhiOt6T-NPBvKuw0YDU8m6gcZ0I/view?usp=drivesdk" TargetMode="External"/><Relationship Id="rId826" Type="http://schemas.openxmlformats.org/officeDocument/2006/relationships/hyperlink" Target="https://drive.google.com/file/d/1sZbc4SxXQNhtCjIfpVEjHix7Gf1GtDWZ/view?usp=drivesdk" TargetMode="External"/><Relationship Id="rId825" Type="http://schemas.openxmlformats.org/officeDocument/2006/relationships/hyperlink" Target="https://drive.google.com/file/d/1930XeGZwb2k89hOo-ugNZVwUhmh2t1vj/view?usp=drivesdk" TargetMode="External"/><Relationship Id="rId824" Type="http://schemas.openxmlformats.org/officeDocument/2006/relationships/hyperlink" Target="https://drive.google.com/file/d/1YiC503E7aApebHmFpctP_6jMYYMQOfec/view?usp=drivesdk" TargetMode="External"/><Relationship Id="rId823" Type="http://schemas.openxmlformats.org/officeDocument/2006/relationships/hyperlink" Target="https://drive.google.com/file/d/1yHTJQNH7xwaVDgh-NUPRaaSZikGonzC7/view?usp=drivesdk" TargetMode="External"/><Relationship Id="rId819" Type="http://schemas.openxmlformats.org/officeDocument/2006/relationships/hyperlink" Target="https://drive.google.com/file/d/1lY5hy9QIuYpEZ65qpwbl_zXSMkwYsQv0/view?usp=drivesdk" TargetMode="External"/><Relationship Id="rId818" Type="http://schemas.openxmlformats.org/officeDocument/2006/relationships/hyperlink" Target="https://drive.google.com/file/d/1_wM3J25gfPmJPUNTwwxT6F5mhTO2lKim/view?usp=drivesdk" TargetMode="External"/><Relationship Id="rId817" Type="http://schemas.openxmlformats.org/officeDocument/2006/relationships/hyperlink" Target="https://drive.google.com/file/d/1dG-v2DoRWPZ_gLPuOjhwnMds-R1HrZYK/view?usp=drivesdk" TargetMode="External"/><Relationship Id="rId816" Type="http://schemas.openxmlformats.org/officeDocument/2006/relationships/hyperlink" Target="https://drive.google.com/file/d/1I96rw_HWa08XMAVJGIq8jAV0v5sYmeHZ/view?usp=drivesdk" TargetMode="External"/><Relationship Id="rId811" Type="http://schemas.openxmlformats.org/officeDocument/2006/relationships/hyperlink" Target="https://drive.google.com/file/d/1L0CZf9GY2mIswHDqHWvwN10eZeqnt-SN/view?usp=drivesdk" TargetMode="External"/><Relationship Id="rId810" Type="http://schemas.openxmlformats.org/officeDocument/2006/relationships/hyperlink" Target="https://drive.google.com/file/d/1drnF4GSfDiihCB-ZcCVogFp1RjAFxaME/view?usp=drivesdk" TargetMode="External"/><Relationship Id="rId815" Type="http://schemas.openxmlformats.org/officeDocument/2006/relationships/hyperlink" Target="https://drive.google.com/file/d/1w1Fz_nAm6Xtrdje8SvBFO9ODRNEUP-AD/view?usp=drivesdk" TargetMode="External"/><Relationship Id="rId814" Type="http://schemas.openxmlformats.org/officeDocument/2006/relationships/hyperlink" Target="https://drive.google.com/file/d/1Y-Hmq1JLyoYuA2VVPS1LCrIVUY5H1Wvg/view?usp=drivesdk" TargetMode="External"/><Relationship Id="rId813" Type="http://schemas.openxmlformats.org/officeDocument/2006/relationships/hyperlink" Target="https://drive.google.com/file/d/1VDE3z0pQJ8P3bcuSmHItmG90dF-dojhc/view?usp=drivesdk" TargetMode="External"/><Relationship Id="rId812" Type="http://schemas.openxmlformats.org/officeDocument/2006/relationships/hyperlink" Target="https://drive.google.com/file/d/1MkhNH8IIM9u-xxf3nev_OFilbWkgeBKM/view?usp=drivesdk" TargetMode="External"/><Relationship Id="rId609" Type="http://schemas.openxmlformats.org/officeDocument/2006/relationships/hyperlink" Target="https://drive.google.com/file/d/1Ar73Hi1yRLVTfGMKXUp1xh_-AV8c4omx/view?usp=drivesdk" TargetMode="External"/><Relationship Id="rId608" Type="http://schemas.openxmlformats.org/officeDocument/2006/relationships/hyperlink" Target="https://drive.google.com/file/d/1E3y-nOe-HoOMcPmInezPNCKWLgqb1Jq7/view?usp=drivesdk" TargetMode="External"/><Relationship Id="rId607" Type="http://schemas.openxmlformats.org/officeDocument/2006/relationships/hyperlink" Target="https://drive.google.com/file/d/10KRMK_p70w0JX9Nwb3TSst_cHQRH2XLx/view?usp=drivesdk" TargetMode="External"/><Relationship Id="rId849" Type="http://schemas.openxmlformats.org/officeDocument/2006/relationships/hyperlink" Target="https://drive.google.com/file/d/105BWwOX7CYUei7OXv65WCv4wcUZrLRbV/view?usp=drivesdk" TargetMode="External"/><Relationship Id="rId602" Type="http://schemas.openxmlformats.org/officeDocument/2006/relationships/hyperlink" Target="https://drive.google.com/file/d/1nsFF8X2gIYqJRnyPU_g2-EiV7MGTMAk6/view?usp=drivesdk" TargetMode="External"/><Relationship Id="rId844" Type="http://schemas.openxmlformats.org/officeDocument/2006/relationships/hyperlink" Target="https://drive.google.com/file/d/1TpOShmxCtRXiYF4Xx9XoSUpaLs1VCu-4/view?usp=drivesdk" TargetMode="External"/><Relationship Id="rId601" Type="http://schemas.openxmlformats.org/officeDocument/2006/relationships/hyperlink" Target="https://drive.google.com/file/d/14TW83JObA4U3fCHrbDK8ajvYqAI7odqh/view?usp=drivesdk" TargetMode="External"/><Relationship Id="rId843" Type="http://schemas.openxmlformats.org/officeDocument/2006/relationships/hyperlink" Target="https://drive.google.com/file/d/11h3625pjGf10cuPUTtPvr1SqfXecXpGe/view?usp=drivesdk" TargetMode="External"/><Relationship Id="rId600" Type="http://schemas.openxmlformats.org/officeDocument/2006/relationships/hyperlink" Target="https://drive.google.com/file/d/1QbTATlCukCZK3d13L7Bc1cPwFqhV08sX/view?usp=drivesdk" TargetMode="External"/><Relationship Id="rId842" Type="http://schemas.openxmlformats.org/officeDocument/2006/relationships/hyperlink" Target="https://drive.google.com/file/d/13ABP3UlNPIzNK742S5bFq7QrZztJGV8C/view?usp=drivesdk" TargetMode="External"/><Relationship Id="rId841" Type="http://schemas.openxmlformats.org/officeDocument/2006/relationships/hyperlink" Target="https://drive.google.com/file/d/1pB0O3tgekyjca8nzWz0sLI0WCXwFaNx_/view?usp=drivesdk" TargetMode="External"/><Relationship Id="rId606" Type="http://schemas.openxmlformats.org/officeDocument/2006/relationships/hyperlink" Target="https://drive.google.com/file/d/18ieULr1xWEQjY2cC5IlFsbT0cn61eRQX/view?usp=drivesdk" TargetMode="External"/><Relationship Id="rId848" Type="http://schemas.openxmlformats.org/officeDocument/2006/relationships/hyperlink" Target="https://drive.google.com/file/d/1ILCFCRpdW5uDmisL1HCZQL6OBgkHkvUB/view?usp=drivesdk" TargetMode="External"/><Relationship Id="rId605" Type="http://schemas.openxmlformats.org/officeDocument/2006/relationships/hyperlink" Target="https://drive.google.com/file/d/1eZVD5VIMRXjj-o44sHUYgPPMkDAVYdYU/view?usp=drivesdk" TargetMode="External"/><Relationship Id="rId847" Type="http://schemas.openxmlformats.org/officeDocument/2006/relationships/hyperlink" Target="https://drive.google.com/file/d/1PIwNy79EtGjJ7LOxmjyT8iXBYSPrpbYY/view?usp=drivesdk" TargetMode="External"/><Relationship Id="rId604" Type="http://schemas.openxmlformats.org/officeDocument/2006/relationships/hyperlink" Target="https://drive.google.com/file/d/1fW7nkGvtA_5-QxAx-sQ649kGX0mpJhHe/view?usp=drivesdk" TargetMode="External"/><Relationship Id="rId846" Type="http://schemas.openxmlformats.org/officeDocument/2006/relationships/hyperlink" Target="https://drive.google.com/file/d/1UrTfzMqC4JRYGi60zmrqzuPTjaEOIixX/view?usp=drivesdk" TargetMode="External"/><Relationship Id="rId603" Type="http://schemas.openxmlformats.org/officeDocument/2006/relationships/hyperlink" Target="https://drive.google.com/file/d/1wa5MNk1ji0rfjraFHyzwTOjENsJCvhuZ/view?usp=drivesdk" TargetMode="External"/><Relationship Id="rId845" Type="http://schemas.openxmlformats.org/officeDocument/2006/relationships/hyperlink" Target="https://drive.google.com/file/d/1BB2juqafOWPzQJrI77GAHXzfqql1-J5p/view?usp=drivesdk" TargetMode="External"/><Relationship Id="rId840" Type="http://schemas.openxmlformats.org/officeDocument/2006/relationships/hyperlink" Target="https://drive.google.com/file/d/1qsw2r1GDTl4kK8WkobS-m9NqlwJrPj6s/view?usp=drivesdk" TargetMode="External"/><Relationship Id="rId839" Type="http://schemas.openxmlformats.org/officeDocument/2006/relationships/hyperlink" Target="https://drive.google.com/file/d/1p1Nl_ngsgWCETxoAsxHoXV1XaHAusybf/view?usp=drivesdk" TargetMode="External"/><Relationship Id="rId838" Type="http://schemas.openxmlformats.org/officeDocument/2006/relationships/hyperlink" Target="https://drive.google.com/file/d/1l055kXXwbWO_-htdM91leLa1yTNFvcJC/view?usp=drivesdk" TargetMode="External"/><Relationship Id="rId833" Type="http://schemas.openxmlformats.org/officeDocument/2006/relationships/hyperlink" Target="https://drive.google.com/file/d/1LL2ld2Fu6WC8z3qZHcPp4DZwtb0MQ-xk/view?usp=drivesdk" TargetMode="External"/><Relationship Id="rId832" Type="http://schemas.openxmlformats.org/officeDocument/2006/relationships/hyperlink" Target="https://drive.google.com/file/d/1tIF9cCf1Y4FUdQVoqpGWlaveqPFvi_WA/view?usp=drivesdk" TargetMode="External"/><Relationship Id="rId831" Type="http://schemas.openxmlformats.org/officeDocument/2006/relationships/hyperlink" Target="https://drive.google.com/file/d/1Sd6DAo60YoZpfeP9qgmSFagzC5t3LOtk/view?usp=drivesdk" TargetMode="External"/><Relationship Id="rId830" Type="http://schemas.openxmlformats.org/officeDocument/2006/relationships/hyperlink" Target="https://drive.google.com/file/d/1AJdP6Q9l1K95eq2Vwmb6Jd2MecVaTivD/view?usp=drivesdk" TargetMode="External"/><Relationship Id="rId837" Type="http://schemas.openxmlformats.org/officeDocument/2006/relationships/hyperlink" Target="https://drive.google.com/file/d/1OZ9v7Go2VYrJmIEquiDGxk9xU3-0TRxp/view?usp=drivesdk" TargetMode="External"/><Relationship Id="rId836" Type="http://schemas.openxmlformats.org/officeDocument/2006/relationships/hyperlink" Target="https://drive.google.com/file/d/1rFz6JPXCZsWAbdrNKO3KSyUuSTkIaV_5/view?usp=drivesdk" TargetMode="External"/><Relationship Id="rId835" Type="http://schemas.openxmlformats.org/officeDocument/2006/relationships/hyperlink" Target="https://drive.google.com/file/d/1Z_Hlv2z4ZmN5JJhP5rblZfdI0HLJSKpr/view?usp=drivesdk" TargetMode="External"/><Relationship Id="rId834" Type="http://schemas.openxmlformats.org/officeDocument/2006/relationships/hyperlink" Target="https://drive.google.com/file/d/1Vj09lH_vQ3BPYSSMPukL3AL7NaGS5-yE/view?usp=drivesdk" TargetMode="External"/><Relationship Id="rId1059" Type="http://schemas.openxmlformats.org/officeDocument/2006/relationships/hyperlink" Target="https://drive.google.com/file/d/1CoiCkGNvlbMdPR7PwSC56p52bEhkj1_D/view?usp=drivesdk" TargetMode="External"/><Relationship Id="rId228" Type="http://schemas.openxmlformats.org/officeDocument/2006/relationships/hyperlink" Target="https://drive.google.com/file/d/1i5x-M9Tzy3rqGivtyIufmAv7dClfKIHN/view?usp=drivesdk" TargetMode="External"/><Relationship Id="rId227" Type="http://schemas.openxmlformats.org/officeDocument/2006/relationships/hyperlink" Target="https://drive.google.com/file/d/1-q9J23qdC4EOAr5-ySEe0TEoiG1z0wtg/view?usp=drivesdk" TargetMode="External"/><Relationship Id="rId469" Type="http://schemas.openxmlformats.org/officeDocument/2006/relationships/hyperlink" Target="https://drive.google.com/file/d/1DBWOIqEgm2A9PHYIpv3gv6OXWaBp-72e/view?usp=drivesdk" TargetMode="External"/><Relationship Id="rId226" Type="http://schemas.openxmlformats.org/officeDocument/2006/relationships/hyperlink" Target="https://drive.google.com/file/d/1BXCFBncwCW3d6h2OcPVsxSndYjGTsJeP/view?usp=drivesdk" TargetMode="External"/><Relationship Id="rId468" Type="http://schemas.openxmlformats.org/officeDocument/2006/relationships/hyperlink" Target="https://drive.google.com/file/d/1faDvn0snXDbWj8Q77m3y0XLEmeZnuwZb/view?usp=drivesdk" TargetMode="External"/><Relationship Id="rId225" Type="http://schemas.openxmlformats.org/officeDocument/2006/relationships/hyperlink" Target="https://drive.google.com/file/d/1ngbxEVYfLYk_wwFJUcRiRpN-4GFOZSYR/view?usp=drivesdk" TargetMode="External"/><Relationship Id="rId467" Type="http://schemas.openxmlformats.org/officeDocument/2006/relationships/hyperlink" Target="https://drive.google.com/file/d/1nufJFXvYLRiYseKJRz9PQ6yeY4ORSnOv/view?usp=drivesdk" TargetMode="External"/><Relationship Id="rId1290" Type="http://schemas.openxmlformats.org/officeDocument/2006/relationships/hyperlink" Target="https://drive.google.com/file/d/1n2LpGEXWGi8CI0JVtYonH3xS02qHi2Iu/view?usp=drivesdk" TargetMode="External"/><Relationship Id="rId1291" Type="http://schemas.openxmlformats.org/officeDocument/2006/relationships/hyperlink" Target="https://drive.google.com/file/d/1jE6-4VMFHR0S106pQlZkYLNroXE1NvV0/view?usp=drivesdk" TargetMode="External"/><Relationship Id="rId229" Type="http://schemas.openxmlformats.org/officeDocument/2006/relationships/hyperlink" Target="https://drive.google.com/file/d/10kneF8HuKWEdqY5lxXXA9-gZKXPu24lF/view?usp=drivesdk" TargetMode="External"/><Relationship Id="rId1050" Type="http://schemas.openxmlformats.org/officeDocument/2006/relationships/hyperlink" Target="https://drive.google.com/file/d/1swAy8MCJFB6aVa-6jwEH0otPFb0YCdzU/view?usp=drivesdk" TargetMode="External"/><Relationship Id="rId1292" Type="http://schemas.openxmlformats.org/officeDocument/2006/relationships/hyperlink" Target="https://drive.google.com/file/d/1z1mkO00wSDsbqCnsmlKYx3RbKN1dvCXu/view?usp=drivesdk" TargetMode="External"/><Relationship Id="rId220" Type="http://schemas.openxmlformats.org/officeDocument/2006/relationships/hyperlink" Target="https://drive.google.com/file/d/12a_5U8Pqq9OaH1uxPChfKpTa8IroOV2E/view?usp=drivesdk" TargetMode="External"/><Relationship Id="rId462" Type="http://schemas.openxmlformats.org/officeDocument/2006/relationships/hyperlink" Target="https://drive.google.com/file/d/15sX8jpk4Btkx0D69tSX4kwI-WFWUyYuK/view?usp=drivesdk" TargetMode="External"/><Relationship Id="rId1051" Type="http://schemas.openxmlformats.org/officeDocument/2006/relationships/hyperlink" Target="https://drive.google.com/file/d/1sAYhV0lq6dJLxYaahBL3zJuJRItLKsh1/view?usp=drivesdk" TargetMode="External"/><Relationship Id="rId1293" Type="http://schemas.openxmlformats.org/officeDocument/2006/relationships/hyperlink" Target="https://drive.google.com/file/d/1G9r2xgkTjUZeCbzaKlX1BabQFQImA9ms/view?usp=drivesdk" TargetMode="External"/><Relationship Id="rId461" Type="http://schemas.openxmlformats.org/officeDocument/2006/relationships/hyperlink" Target="https://drive.google.com/file/d/1DvMoNMlJbx4vUVd1r6EAAylevJJnZ_JT/view?usp=drivesdk" TargetMode="External"/><Relationship Id="rId1052" Type="http://schemas.openxmlformats.org/officeDocument/2006/relationships/hyperlink" Target="https://drive.google.com/file/d/1qA1NMaoJKI1o5HVONYLoffNAtTNwyEfk/view?usp=drivesdk" TargetMode="External"/><Relationship Id="rId1294" Type="http://schemas.openxmlformats.org/officeDocument/2006/relationships/hyperlink" Target="https://drive.google.com/file/d/1xi_JdJMvRBSMpKACx30nNU51mrrDS7d7/view?usp=drivesdk" TargetMode="External"/><Relationship Id="rId460" Type="http://schemas.openxmlformats.org/officeDocument/2006/relationships/hyperlink" Target="https://drive.google.com/file/d/1WRzkvdZmxHcvot2wSpuiOpBwCxpV5_G9/view?usp=drivesdk" TargetMode="External"/><Relationship Id="rId1053" Type="http://schemas.openxmlformats.org/officeDocument/2006/relationships/hyperlink" Target="https://drive.google.com/file/d/1AICXM3btcbZ6jGloTRhPMu3z6LeSIVI2/view?usp=drivesdk" TargetMode="External"/><Relationship Id="rId1295" Type="http://schemas.openxmlformats.org/officeDocument/2006/relationships/hyperlink" Target="https://drive.google.com/file/d/1uAoK7XjG58SCXT7imwmxrjW6sFUl8-BZ/view?usp=drivesdk" TargetMode="External"/><Relationship Id="rId1054" Type="http://schemas.openxmlformats.org/officeDocument/2006/relationships/hyperlink" Target="https://drive.google.com/file/d/1Xu1fc4VJw6PoLrIkU-LbdFYmsQeUxT_r/view?usp=drivesdk" TargetMode="External"/><Relationship Id="rId1296" Type="http://schemas.openxmlformats.org/officeDocument/2006/relationships/hyperlink" Target="https://drive.google.com/file/d/1zm6x2R3UHlzaqddSAw6bSws8XM6K30_t/view?usp=drivesdk" TargetMode="External"/><Relationship Id="rId224" Type="http://schemas.openxmlformats.org/officeDocument/2006/relationships/hyperlink" Target="https://drive.google.com/file/d/12j1B8pl2THKiwHVLh8loLJdWr-d-4M60/view?usp=drivesdk" TargetMode="External"/><Relationship Id="rId466" Type="http://schemas.openxmlformats.org/officeDocument/2006/relationships/hyperlink" Target="https://drive.google.com/file/d/11CrYNzid0bJ9peRr4x7L5P7G6I2uK_oK/view?usp=drivesdk" TargetMode="External"/><Relationship Id="rId1055" Type="http://schemas.openxmlformats.org/officeDocument/2006/relationships/hyperlink" Target="https://drive.google.com/file/d/1QAAIgVDYsPLIG8z_UxUsp4OKl_lZZ-qZ/view?usp=drivesdk" TargetMode="External"/><Relationship Id="rId1297" Type="http://schemas.openxmlformats.org/officeDocument/2006/relationships/hyperlink" Target="https://drive.google.com/file/d/1buR_XQHrGgmolzGQnWXyMgIOMd5X18e6/view?usp=drivesdk" TargetMode="External"/><Relationship Id="rId223" Type="http://schemas.openxmlformats.org/officeDocument/2006/relationships/hyperlink" Target="https://drive.google.com/file/d/1pGozD1uSbTiSPD_nsznBxKGtY4nieSUl/view?usp=drivesdk" TargetMode="External"/><Relationship Id="rId465" Type="http://schemas.openxmlformats.org/officeDocument/2006/relationships/hyperlink" Target="https://drive.google.com/file/d/1jh5wFuB3QWcPn6lpTyHCc1z_mBK0DMkY/view?usp=drivesdk" TargetMode="External"/><Relationship Id="rId1056" Type="http://schemas.openxmlformats.org/officeDocument/2006/relationships/hyperlink" Target="https://drive.google.com/file/d/1WUkRzHtMPej4rkzdE7SDaMV0KpFyiiS9/view?usp=drivesdk" TargetMode="External"/><Relationship Id="rId1298" Type="http://schemas.openxmlformats.org/officeDocument/2006/relationships/hyperlink" Target="https://drive.google.com/file/d/1Ql_0mR6hPDQfhzvN73TB_trPvaDbGHZp/view?usp=drivesdk" TargetMode="External"/><Relationship Id="rId222" Type="http://schemas.openxmlformats.org/officeDocument/2006/relationships/hyperlink" Target="https://drive.google.com/file/d/1O2Z8bBgWXPw5EwcN2rxqeXF-OPeA2Ulk/view?usp=drivesdk" TargetMode="External"/><Relationship Id="rId464" Type="http://schemas.openxmlformats.org/officeDocument/2006/relationships/hyperlink" Target="https://drive.google.com/file/d/1_Da3K8xQTkorHg4VRNNo5qZB4djUgtnf/view?usp=drivesdk" TargetMode="External"/><Relationship Id="rId1057" Type="http://schemas.openxmlformats.org/officeDocument/2006/relationships/hyperlink" Target="https://drive.google.com/file/d/1ZREl2KcIWNMvVgrqDHU0N-BYQZ6Owlgh/view?usp=drivesdk" TargetMode="External"/><Relationship Id="rId1299" Type="http://schemas.openxmlformats.org/officeDocument/2006/relationships/hyperlink" Target="https://drive.google.com/file/d/1olNJAlyR1zUI0lx0g9ebHm5d7a3JaOAW/view?usp=drivesdk" TargetMode="External"/><Relationship Id="rId221" Type="http://schemas.openxmlformats.org/officeDocument/2006/relationships/hyperlink" Target="https://drive.google.com/file/d/1JleWbMEljJDYmYyQIU4q80-KQkhmNt9V/view?usp=drivesdk" TargetMode="External"/><Relationship Id="rId463" Type="http://schemas.openxmlformats.org/officeDocument/2006/relationships/hyperlink" Target="https://drive.google.com/file/d/1qxnX2b7ypMSMJjhn2PU2ORtCpqNsI-iM/view?usp=drivesdk" TargetMode="External"/><Relationship Id="rId1058" Type="http://schemas.openxmlformats.org/officeDocument/2006/relationships/hyperlink" Target="https://drive.google.com/file/d/1GbMP2e-WwtpYT1bpjBT92iAWB_O8KbB5/view?usp=drivesdk" TargetMode="External"/><Relationship Id="rId1048" Type="http://schemas.openxmlformats.org/officeDocument/2006/relationships/hyperlink" Target="https://drive.google.com/file/d/1IoJlpkxl_8DG6L9vTT8GWXuF8G1nC8Vx/view?usp=drivesdk" TargetMode="External"/><Relationship Id="rId1049" Type="http://schemas.openxmlformats.org/officeDocument/2006/relationships/hyperlink" Target="https://drive.google.com/file/d/13UA05pelGMtC3aX4M6BSz3ycb9Jy08Fy/view?usp=drivesdk" TargetMode="External"/><Relationship Id="rId217" Type="http://schemas.openxmlformats.org/officeDocument/2006/relationships/hyperlink" Target="https://drive.google.com/file/d/1GWYNy75LlFySCoJX4vnVRYVNdNsbt1xG/view?usp=drivesdk" TargetMode="External"/><Relationship Id="rId459" Type="http://schemas.openxmlformats.org/officeDocument/2006/relationships/hyperlink" Target="https://drive.google.com/file/d/1eaVZ2UArhkvmg-c_ocdPEGg4BTbrG-sY/view?usp=drivesdk" TargetMode="External"/><Relationship Id="rId216" Type="http://schemas.openxmlformats.org/officeDocument/2006/relationships/hyperlink" Target="https://drive.google.com/file/d/1NhC0ciAO2MuB3R5Om2XwGwNEMxw8FUv9/view?usp=drivesdk" TargetMode="External"/><Relationship Id="rId458" Type="http://schemas.openxmlformats.org/officeDocument/2006/relationships/hyperlink" Target="https://drive.google.com/file/d/1B3XGFQ3qMUzjPCmHcUoLj9bFRgN8Azsi/view?usp=drivesdk" TargetMode="External"/><Relationship Id="rId215" Type="http://schemas.openxmlformats.org/officeDocument/2006/relationships/hyperlink" Target="https://drive.google.com/file/d/1KFFYJXGB7qmVAl5F9jZnSyyHPOZUJ8jz/view?usp=drivesdk" TargetMode="External"/><Relationship Id="rId457" Type="http://schemas.openxmlformats.org/officeDocument/2006/relationships/hyperlink" Target="https://drive.google.com/file/d/1Yan-3YN2ukoJOtZc6k0kWiWa3w5ZwLcr/view?usp=drivesdk" TargetMode="External"/><Relationship Id="rId699" Type="http://schemas.openxmlformats.org/officeDocument/2006/relationships/hyperlink" Target="https://drive.google.com/file/d/1im-l2rbg2q_d0lzkEHGFMggeIeEMI0QL/view?usp=drivesdk" TargetMode="External"/><Relationship Id="rId214" Type="http://schemas.openxmlformats.org/officeDocument/2006/relationships/hyperlink" Target="https://drive.google.com/file/d/1s7yATKxgWn8NjCTvOkfDcqgfDTRv1cFS/view?usp=drivesdk" TargetMode="External"/><Relationship Id="rId456" Type="http://schemas.openxmlformats.org/officeDocument/2006/relationships/hyperlink" Target="https://drive.google.com/file/d/10dhcIUa9C5wSYnS1fXGibeAUMbyhOCAq/view?usp=drivesdk" TargetMode="External"/><Relationship Id="rId698" Type="http://schemas.openxmlformats.org/officeDocument/2006/relationships/hyperlink" Target="https://drive.google.com/file/d/1o_BKPuvkW1LpXB8gKrM23UncLmMAu5CP/view?usp=drivesdk" TargetMode="External"/><Relationship Id="rId219" Type="http://schemas.openxmlformats.org/officeDocument/2006/relationships/hyperlink" Target="https://drive.google.com/file/d/1GOnH8eYXFOd76me4BoQK89zqQ1e4EYJO/view?usp=drivesdk" TargetMode="External"/><Relationship Id="rId1280" Type="http://schemas.openxmlformats.org/officeDocument/2006/relationships/hyperlink" Target="https://drive.google.com/file/d/13xgBmeD-4Vu2mAaJEDB_fMxd1aPexXqM/view?usp=drivesdk" TargetMode="External"/><Relationship Id="rId218" Type="http://schemas.openxmlformats.org/officeDocument/2006/relationships/hyperlink" Target="https://drive.google.com/file/d/1IaQYZ2xPixQ-WIIZBdPsGdFozV1SzpUp/view?usp=drivesdk" TargetMode="External"/><Relationship Id="rId1281" Type="http://schemas.openxmlformats.org/officeDocument/2006/relationships/hyperlink" Target="https://drive.google.com/file/d/1rFC0BrB8dXUaZwpQirLKcp-4Emdo9UW-/view?usp=drivesdk" TargetMode="External"/><Relationship Id="rId451" Type="http://schemas.openxmlformats.org/officeDocument/2006/relationships/hyperlink" Target="https://drive.google.com/file/d/1XujfTic3Ka75ZGlbW12w23By7gJl4BBC/view?usp=drivesdk" TargetMode="External"/><Relationship Id="rId693" Type="http://schemas.openxmlformats.org/officeDocument/2006/relationships/hyperlink" Target="https://drive.google.com/file/d/19gKabIJ3E4UJB9-9O0Wc7CLt1_IQKiMq/view?usp=drivesdk" TargetMode="External"/><Relationship Id="rId1040" Type="http://schemas.openxmlformats.org/officeDocument/2006/relationships/hyperlink" Target="https://drive.google.com/file/d/1X3jLVFlYFZReVvBej0wueUg9XVVQnlaA/view?usp=drivesdk" TargetMode="External"/><Relationship Id="rId1282" Type="http://schemas.openxmlformats.org/officeDocument/2006/relationships/hyperlink" Target="https://drive.google.com/file/d/1xNsZKlVb3dJwk1FOsOJoEyjlXT1tsXjZ/view?usp=drivesdk" TargetMode="External"/><Relationship Id="rId450" Type="http://schemas.openxmlformats.org/officeDocument/2006/relationships/hyperlink" Target="https://drive.google.com/file/d/1ug75MGlhTrUJuLkLa7VYXg1gEu1hkv3c/view?usp=drivesdk" TargetMode="External"/><Relationship Id="rId692" Type="http://schemas.openxmlformats.org/officeDocument/2006/relationships/hyperlink" Target="https://drive.google.com/file/d/1EYByNsReaAjSXPo-qPGsTTDYERoIeowp/view?usp=drivesdk" TargetMode="External"/><Relationship Id="rId1041" Type="http://schemas.openxmlformats.org/officeDocument/2006/relationships/hyperlink" Target="https://drive.google.com/file/d/1AikkOU53qHS_sMmUNlL5jSlfPAIqGcOW/view?usp=drivesdk" TargetMode="External"/><Relationship Id="rId1283" Type="http://schemas.openxmlformats.org/officeDocument/2006/relationships/hyperlink" Target="https://drive.google.com/file/d/1HaEgV7GEK5ebtGZ4b9gS8FM-T6WEQbrf/view?usp=drivesdk" TargetMode="External"/><Relationship Id="rId691" Type="http://schemas.openxmlformats.org/officeDocument/2006/relationships/hyperlink" Target="https://drive.google.com/file/d/1wrLT1RWE3l4nIpavLij9tf6Bk4hY6sJj/view?usp=drivesdk" TargetMode="External"/><Relationship Id="rId1042" Type="http://schemas.openxmlformats.org/officeDocument/2006/relationships/hyperlink" Target="https://drive.google.com/file/d/1BSCSDRTR5xPw1O7Or-qjUwZ_rr9NeQnI/view?usp=drivesdk" TargetMode="External"/><Relationship Id="rId1284" Type="http://schemas.openxmlformats.org/officeDocument/2006/relationships/hyperlink" Target="https://drive.google.com/file/d/1qVtyqZKwKxHEzP32RHmZdQgnjgYsGVjl/view?usp=drivesdk" TargetMode="External"/><Relationship Id="rId690" Type="http://schemas.openxmlformats.org/officeDocument/2006/relationships/hyperlink" Target="https://drive.google.com/file/d/1dkMxKVpMjpfzrEWQD2yI8JvRElL5piqq/view?usp=drivesdk" TargetMode="External"/><Relationship Id="rId1043" Type="http://schemas.openxmlformats.org/officeDocument/2006/relationships/hyperlink" Target="https://drive.google.com/file/d/1qABkAa90ZWe46BcoV0zohbaay_k4dKUm/view?usp=drivesdk" TargetMode="External"/><Relationship Id="rId1285" Type="http://schemas.openxmlformats.org/officeDocument/2006/relationships/hyperlink" Target="https://drive.google.com/file/d/1xPainOlO8U05r0BCermbbyn-koKLGE42/view?usp=drivesdk" TargetMode="External"/><Relationship Id="rId213" Type="http://schemas.openxmlformats.org/officeDocument/2006/relationships/hyperlink" Target="https://drive.google.com/file/d/1XvBMXDg1NZTTdXqVJGkfMdxaG8eVvJGs/view?usp=drivesdk" TargetMode="External"/><Relationship Id="rId455" Type="http://schemas.openxmlformats.org/officeDocument/2006/relationships/hyperlink" Target="https://drive.google.com/file/d/1XmU_AbhREgXoPufWtDl56j_ay4QPYyMr/view?usp=drivesdk" TargetMode="External"/><Relationship Id="rId697" Type="http://schemas.openxmlformats.org/officeDocument/2006/relationships/hyperlink" Target="https://drive.google.com/file/d/1AhNUYBICzZsd_HQTMPGOBn82Fmjs3ru5/view?usp=drivesdk" TargetMode="External"/><Relationship Id="rId1044" Type="http://schemas.openxmlformats.org/officeDocument/2006/relationships/hyperlink" Target="https://drive.google.com/file/d/13Xwa9mcga9ZW0fnutuXj28qJYp3bLg4W/view?usp=drivesdk" TargetMode="External"/><Relationship Id="rId1286" Type="http://schemas.openxmlformats.org/officeDocument/2006/relationships/hyperlink" Target="https://drive.google.com/file/d/1EpmGQYCQGjq9eZhEC_kCHN17pCeKyKav/view?usp=drivesdk" TargetMode="External"/><Relationship Id="rId212" Type="http://schemas.openxmlformats.org/officeDocument/2006/relationships/hyperlink" Target="https://drive.google.com/file/d/1RqFDK0pd9FzT0v4DYmRrCCvr-c2dev86/view?usp=drivesdk" TargetMode="External"/><Relationship Id="rId454" Type="http://schemas.openxmlformats.org/officeDocument/2006/relationships/hyperlink" Target="https://drive.google.com/file/d/1GRlw9uJN_DpanyvcNB8mYx8QbtV4OujK/view?usp=drivesdk" TargetMode="External"/><Relationship Id="rId696" Type="http://schemas.openxmlformats.org/officeDocument/2006/relationships/hyperlink" Target="https://drive.google.com/file/d/1y_gFTGsCh5Rku7BRoesUkHjr6pRSzFBw/view?usp=drivesdk" TargetMode="External"/><Relationship Id="rId1045" Type="http://schemas.openxmlformats.org/officeDocument/2006/relationships/hyperlink" Target="https://drive.google.com/file/d/1-BWae57eKn40HbHn16gC6rgPv8oO7uXk/view?usp=drivesdk" TargetMode="External"/><Relationship Id="rId1287" Type="http://schemas.openxmlformats.org/officeDocument/2006/relationships/hyperlink" Target="https://drive.google.com/file/d/1A-rMKLNNa2ly19_BBPyV0FS2I2UirLip/view?usp=drivesdk" TargetMode="External"/><Relationship Id="rId211" Type="http://schemas.openxmlformats.org/officeDocument/2006/relationships/hyperlink" Target="https://drive.google.com/file/d/1BbewgHxaTP8SOv2vJ_dws6dQjlUwFN4L/view?usp=drivesdk" TargetMode="External"/><Relationship Id="rId453" Type="http://schemas.openxmlformats.org/officeDocument/2006/relationships/hyperlink" Target="https://drive.google.com/file/d/1AfifteHgDaHt4JzWzqb_GfkMojBqP1Ic/view?usp=drivesdk" TargetMode="External"/><Relationship Id="rId695" Type="http://schemas.openxmlformats.org/officeDocument/2006/relationships/hyperlink" Target="https://drive.google.com/file/d/19K2pE6DzMO1g-gJKs8H7SV6KhfbSFdpZ/view?usp=drivesdk" TargetMode="External"/><Relationship Id="rId1046" Type="http://schemas.openxmlformats.org/officeDocument/2006/relationships/hyperlink" Target="https://drive.google.com/file/d/1ffYRot5Y_8na7PU-8lZ5AWkDgngbOKlu/view?usp=drivesdk" TargetMode="External"/><Relationship Id="rId1288" Type="http://schemas.openxmlformats.org/officeDocument/2006/relationships/hyperlink" Target="https://drive.google.com/file/d/1s7f8iHYdIwDOUl_Fvzies_5sOZk666yz/view?usp=drivesdk" TargetMode="External"/><Relationship Id="rId210" Type="http://schemas.openxmlformats.org/officeDocument/2006/relationships/hyperlink" Target="https://drive.google.com/file/d/1cI18wVY9owMGU7Ej3hgTFwkKzGGkgDtM/view?usp=drivesdk" TargetMode="External"/><Relationship Id="rId452" Type="http://schemas.openxmlformats.org/officeDocument/2006/relationships/hyperlink" Target="https://drive.google.com/file/d/11b65UNIvexgf2TUl-13Syqk7UyjVgMRP/view?usp=drivesdk" TargetMode="External"/><Relationship Id="rId694" Type="http://schemas.openxmlformats.org/officeDocument/2006/relationships/hyperlink" Target="https://drive.google.com/file/d/1_0t0AorubOI-QjYT6JbhMUjFyrgbfWyO/view?usp=drivesdk" TargetMode="External"/><Relationship Id="rId1047" Type="http://schemas.openxmlformats.org/officeDocument/2006/relationships/hyperlink" Target="https://drive.google.com/file/d/1ncwbiVIbEPFk5YoMIKN5sRdQls9-RUXk/view?usp=drivesdk" TargetMode="External"/><Relationship Id="rId1289" Type="http://schemas.openxmlformats.org/officeDocument/2006/relationships/hyperlink" Target="https://drive.google.com/file/d/1KUncDcng9CCS7FozPVuk0Y-nTB6cQrH7/view?usp=drivesdk" TargetMode="External"/><Relationship Id="rId491" Type="http://schemas.openxmlformats.org/officeDocument/2006/relationships/hyperlink" Target="https://drive.google.com/file/d/1OgnNqcwdfxcizc1GRxgAs3cKGmFTkrwa/view?usp=drivesdk" TargetMode="External"/><Relationship Id="rId490" Type="http://schemas.openxmlformats.org/officeDocument/2006/relationships/hyperlink" Target="https://drive.google.com/file/d/1SSi9dOp6SWoIVJjkNwq_HiF0cd1T7tK6/view?usp=drivesdk" TargetMode="External"/><Relationship Id="rId249" Type="http://schemas.openxmlformats.org/officeDocument/2006/relationships/hyperlink" Target="https://drive.google.com/file/d/1lyXJ_k7nEwF63tw4cD8wmNKaiWkpdu2m/view?usp=drivesdk" TargetMode="External"/><Relationship Id="rId248" Type="http://schemas.openxmlformats.org/officeDocument/2006/relationships/hyperlink" Target="https://drive.google.com/file/d/1oNWvzMwVeG3O155Hrb6ykGf5thkZtIRk/view?usp=drivesdk" TargetMode="External"/><Relationship Id="rId247" Type="http://schemas.openxmlformats.org/officeDocument/2006/relationships/hyperlink" Target="https://drive.google.com/file/d/1w9UYrWbGm5eGvSyxvLpd1pS2h8n75IQv/view?usp=drivesdk" TargetMode="External"/><Relationship Id="rId489" Type="http://schemas.openxmlformats.org/officeDocument/2006/relationships/hyperlink" Target="https://drive.google.com/file/d/11jETUwIslEs-shrE6JBCCYKEnNfT4lIy/view?usp=drivesdk" TargetMode="External"/><Relationship Id="rId1070" Type="http://schemas.openxmlformats.org/officeDocument/2006/relationships/hyperlink" Target="https://drive.google.com/file/d/1Ee5t9AU5atAymE3UxtRM4TxNd7K9CpbV/view?usp=drivesdk" TargetMode="External"/><Relationship Id="rId1071" Type="http://schemas.openxmlformats.org/officeDocument/2006/relationships/hyperlink" Target="https://drive.google.com/file/d/1ocVhlQkqCCWcat8eKNy7ZiIxZ4GVSoUA/view?usp=drivesdk" TargetMode="External"/><Relationship Id="rId1072" Type="http://schemas.openxmlformats.org/officeDocument/2006/relationships/hyperlink" Target="https://drive.google.com/file/d/1PC4Le-dZn4tn510RYj4mtqlV-iNhMdxN/view?usp=drivesdk" TargetMode="External"/><Relationship Id="rId242" Type="http://schemas.openxmlformats.org/officeDocument/2006/relationships/hyperlink" Target="https://drive.google.com/file/d/1PIqnH9aQUfynUY2IqIsgSTr9O_aaku79/view?usp=drivesdk" TargetMode="External"/><Relationship Id="rId484" Type="http://schemas.openxmlformats.org/officeDocument/2006/relationships/hyperlink" Target="https://drive.google.com/file/d/1gazejt4reID2nW9hEZDWgGg2g22SqeFX/view?usp=drivesdk" TargetMode="External"/><Relationship Id="rId1073" Type="http://schemas.openxmlformats.org/officeDocument/2006/relationships/hyperlink" Target="https://drive.google.com/file/d/15bdvXCo_drO5-OlV0RW_qdzPtzidYx0x/view?usp=drivesdk" TargetMode="External"/><Relationship Id="rId241" Type="http://schemas.openxmlformats.org/officeDocument/2006/relationships/hyperlink" Target="https://drive.google.com/file/d/19ih4Xh5dhv5veq_MbUlmaL1B-lLzvXjY/view?usp=drivesdk" TargetMode="External"/><Relationship Id="rId483" Type="http://schemas.openxmlformats.org/officeDocument/2006/relationships/hyperlink" Target="https://drive.google.com/file/d/16Pdslxe7dJGBRFnO0XFi08azSVOmCk0H/view?usp=drivesdk" TargetMode="External"/><Relationship Id="rId1074" Type="http://schemas.openxmlformats.org/officeDocument/2006/relationships/hyperlink" Target="https://drive.google.com/file/d/1MV32HwQCxZyhBfO1jw7tWNgTZ50WnnWi/view?usp=drivesdk" TargetMode="External"/><Relationship Id="rId240" Type="http://schemas.openxmlformats.org/officeDocument/2006/relationships/hyperlink" Target="https://drive.google.com/file/d/17BePlK-V8l67Z5ZzoyAZpt4BqRh9uzHu/view?usp=drivesdk" TargetMode="External"/><Relationship Id="rId482" Type="http://schemas.openxmlformats.org/officeDocument/2006/relationships/hyperlink" Target="https://drive.google.com/file/d/1UjjEPuanCQLxmNR7FrSyp6HAMvYoMcvT/view?usp=drivesdk" TargetMode="External"/><Relationship Id="rId1075" Type="http://schemas.openxmlformats.org/officeDocument/2006/relationships/hyperlink" Target="https://drive.google.com/file/d/1TU_VFnfOXGr-nkzO3xix_n1laqr97Y7P/view?usp=drivesdk" TargetMode="External"/><Relationship Id="rId481" Type="http://schemas.openxmlformats.org/officeDocument/2006/relationships/hyperlink" Target="https://drive.google.com/file/d/1jf-tQDHTvyPbTKJprThStmdIISJkIvOs/view?usp=drivesdk" TargetMode="External"/><Relationship Id="rId1076" Type="http://schemas.openxmlformats.org/officeDocument/2006/relationships/hyperlink" Target="https://drive.google.com/file/d/1vtoxYVqPLf1DHDqhC1uAXMfw6DXFAPVh/view?usp=drivesdk" TargetMode="External"/><Relationship Id="rId246" Type="http://schemas.openxmlformats.org/officeDocument/2006/relationships/hyperlink" Target="https://drive.google.com/file/d/1oOMys4DVIrPIFunfiCGhJNcKuSQrWGIY/view?usp=drivesdk" TargetMode="External"/><Relationship Id="rId488" Type="http://schemas.openxmlformats.org/officeDocument/2006/relationships/hyperlink" Target="https://drive.google.com/file/d/1l39D6hWcUaP5MtN9wmfXezs6i0rHLErz/view?usp=drivesdk" TargetMode="External"/><Relationship Id="rId1077" Type="http://schemas.openxmlformats.org/officeDocument/2006/relationships/hyperlink" Target="https://drive.google.com/file/d/1bq62HxBe5_dSixW899_LtffPXQkxo_Sr/view?usp=drivesdk" TargetMode="External"/><Relationship Id="rId245" Type="http://schemas.openxmlformats.org/officeDocument/2006/relationships/hyperlink" Target="https://drive.google.com/file/d/1HNWRD2MUYO6wL3ppWBqiagd_8jii-BAJ/view?usp=drivesdk" TargetMode="External"/><Relationship Id="rId487" Type="http://schemas.openxmlformats.org/officeDocument/2006/relationships/hyperlink" Target="https://drive.google.com/file/d/1bMBogpPHu-w6_PkW_w2tdBep6xrLDz9S/view?usp=drivesdk" TargetMode="External"/><Relationship Id="rId1078" Type="http://schemas.openxmlformats.org/officeDocument/2006/relationships/hyperlink" Target="https://drive.google.com/file/d/1Y0i3DBvQbyGZ-pzx29N-CvSTJU3229Nb/view?usp=drivesdk" TargetMode="External"/><Relationship Id="rId244" Type="http://schemas.openxmlformats.org/officeDocument/2006/relationships/hyperlink" Target="https://drive.google.com/file/d/1Xo22GRw--eEityhuPRNtux-KzxBB_jz0/view?usp=drivesdk" TargetMode="External"/><Relationship Id="rId486" Type="http://schemas.openxmlformats.org/officeDocument/2006/relationships/hyperlink" Target="https://drive.google.com/file/d/1sVn5nfknJs3SVlK20hH9CP9MzZMO41A-/view?usp=drivesdk" TargetMode="External"/><Relationship Id="rId1079" Type="http://schemas.openxmlformats.org/officeDocument/2006/relationships/hyperlink" Target="https://drive.google.com/file/d/1mlVae5g6Dp-LDDuwH7PTDsS_5MM34hyu/view?usp=drivesdk" TargetMode="External"/><Relationship Id="rId243" Type="http://schemas.openxmlformats.org/officeDocument/2006/relationships/hyperlink" Target="https://drive.google.com/file/d/1PPRwGsrAi0h6CHafMD3zbTXh-fYBhydJ/view?usp=drivesdk" TargetMode="External"/><Relationship Id="rId485" Type="http://schemas.openxmlformats.org/officeDocument/2006/relationships/hyperlink" Target="https://drive.google.com/file/d/1uEWDpez-NpqtgWYWR0DNEyyLg72glI8y/view?usp=drivesdk" TargetMode="External"/><Relationship Id="rId480" Type="http://schemas.openxmlformats.org/officeDocument/2006/relationships/hyperlink" Target="https://drive.google.com/file/d/1JHYgoZPok_JhPeGqMK26rBv7ZkMKrDB7/view?usp=drivesdk" TargetMode="External"/><Relationship Id="rId239" Type="http://schemas.openxmlformats.org/officeDocument/2006/relationships/hyperlink" Target="https://drive.google.com/file/d/14sJhyasUmJ1cgHJKD2RM_b98LRX092vJ/view?usp=drivesdk" TargetMode="External"/><Relationship Id="rId238" Type="http://schemas.openxmlformats.org/officeDocument/2006/relationships/hyperlink" Target="https://drive.google.com/file/d/1e05HCstTN68SY_q_CKyFR1lJRIIg-Ndu/view?usp=drivesdk" TargetMode="External"/><Relationship Id="rId237" Type="http://schemas.openxmlformats.org/officeDocument/2006/relationships/hyperlink" Target="https://drive.google.com/file/d/1dZyXpzTwqF3loj51E-l2kFcVcSAXpEya/view?usp=drivesdk" TargetMode="External"/><Relationship Id="rId479" Type="http://schemas.openxmlformats.org/officeDocument/2006/relationships/hyperlink" Target="https://drive.google.com/file/d/1LzDdu1b-YSopP2ELdwOj8JZwxvDGd9WA/view?usp=drivesdk" TargetMode="External"/><Relationship Id="rId236" Type="http://schemas.openxmlformats.org/officeDocument/2006/relationships/hyperlink" Target="https://drive.google.com/file/d/1vW-hg0RrA4FefgjadwUVixKiSquyFDUd/view?usp=drivesdk" TargetMode="External"/><Relationship Id="rId478" Type="http://schemas.openxmlformats.org/officeDocument/2006/relationships/hyperlink" Target="https://drive.google.com/file/d/11I7Tc2Lb8plvATBG2Pm3nRRllcfh-MnG/view?usp=drivesdk" TargetMode="External"/><Relationship Id="rId1060" Type="http://schemas.openxmlformats.org/officeDocument/2006/relationships/hyperlink" Target="https://drive.google.com/file/d/1gcb5FLx7VyAjD22zmUoBNYkoCh2HMCmJ/view?usp=drivesdk" TargetMode="External"/><Relationship Id="rId1061" Type="http://schemas.openxmlformats.org/officeDocument/2006/relationships/hyperlink" Target="https://drive.google.com/file/d/1SCyyD_WspP4H8TMLDPqEYhWWgBiqrXmd/view?usp=drivesdk" TargetMode="External"/><Relationship Id="rId231" Type="http://schemas.openxmlformats.org/officeDocument/2006/relationships/hyperlink" Target="https://drive.google.com/file/d/1uIwwoVoYVtpB1yU72kAxmNPgDMwjaPAp/view?usp=drivesdk" TargetMode="External"/><Relationship Id="rId473" Type="http://schemas.openxmlformats.org/officeDocument/2006/relationships/hyperlink" Target="https://drive.google.com/file/d/1vrsFM4iCSCiqgR_QyFjUx0Xn26f9-YTD/view?usp=drivesdk" TargetMode="External"/><Relationship Id="rId1062" Type="http://schemas.openxmlformats.org/officeDocument/2006/relationships/hyperlink" Target="https://drive.google.com/file/d/1C-ZIygFCyhHHl6OH9hELza-qIJqn9oFb/view?usp=drivesdk" TargetMode="External"/><Relationship Id="rId230" Type="http://schemas.openxmlformats.org/officeDocument/2006/relationships/hyperlink" Target="https://drive.google.com/file/d/1LNzn1gj9EhXFiGGtw3hrR_K1_-M1QGdl/view?usp=drivesdk" TargetMode="External"/><Relationship Id="rId472" Type="http://schemas.openxmlformats.org/officeDocument/2006/relationships/hyperlink" Target="https://drive.google.com/file/d/124OkD4Wxyd2zgWja2h-Zzo61nem-5s-J/view?usp=drivesdk" TargetMode="External"/><Relationship Id="rId1063" Type="http://schemas.openxmlformats.org/officeDocument/2006/relationships/hyperlink" Target="https://drive.google.com/file/d/1VLCp-Zge5BDkwyRzYWEMBYhQtXV1qgcJ/view?usp=drivesdk" TargetMode="External"/><Relationship Id="rId471" Type="http://schemas.openxmlformats.org/officeDocument/2006/relationships/hyperlink" Target="https://drive.google.com/file/d/1JyNC9MsslXrU5JrQvsDNOcRCyvj2SFTn/view?usp=drivesdk" TargetMode="External"/><Relationship Id="rId1064" Type="http://schemas.openxmlformats.org/officeDocument/2006/relationships/hyperlink" Target="https://drive.google.com/file/d/1QTUtD_qk4rNdoWQaD1muPhaZehVGEzn3/view?usp=drivesdk" TargetMode="External"/><Relationship Id="rId470" Type="http://schemas.openxmlformats.org/officeDocument/2006/relationships/hyperlink" Target="https://drive.google.com/file/d/1GQN-0nQnvlqhits57_2cdJkVmbr_vAF1/view?usp=drivesdk" TargetMode="External"/><Relationship Id="rId1065" Type="http://schemas.openxmlformats.org/officeDocument/2006/relationships/hyperlink" Target="https://drive.google.com/file/d/1uYhsNZHWqVOYmWL0_VDesxsOJR7xBcEs/view?usp=drivesdk" TargetMode="External"/><Relationship Id="rId235" Type="http://schemas.openxmlformats.org/officeDocument/2006/relationships/hyperlink" Target="https://drive.google.com/file/d/166Xse8oZdjIx9uYa7X65iWMXkJJVx5xr/view?usp=drivesdk" TargetMode="External"/><Relationship Id="rId477" Type="http://schemas.openxmlformats.org/officeDocument/2006/relationships/hyperlink" Target="https://drive.google.com/file/d/1wji3aQXRlkdNPszoJg0_FF6BA6UEseB6/view?usp=drivesdk" TargetMode="External"/><Relationship Id="rId1066" Type="http://schemas.openxmlformats.org/officeDocument/2006/relationships/hyperlink" Target="https://drive.google.com/file/d/1pAD_gWC4BBp2UmyHOiUmRwkH9Kyem8ic/view?usp=drivesdk" TargetMode="External"/><Relationship Id="rId234" Type="http://schemas.openxmlformats.org/officeDocument/2006/relationships/hyperlink" Target="https://drive.google.com/file/d/1zHz7fnQiowBhUmq5mxBbGO17Veo4sZG7/view?usp=drivesdk" TargetMode="External"/><Relationship Id="rId476" Type="http://schemas.openxmlformats.org/officeDocument/2006/relationships/hyperlink" Target="https://drive.google.com/file/d/1DWJ1iZDUCj3HCxQqWYYFVig27sliLX5H/view?usp=drivesdk" TargetMode="External"/><Relationship Id="rId1067" Type="http://schemas.openxmlformats.org/officeDocument/2006/relationships/hyperlink" Target="https://drive.google.com/file/d/1Z-5F5RsEDVDtz1Gr_WssNuVIsQCWY8qF/view?usp=drivesdk" TargetMode="External"/><Relationship Id="rId233" Type="http://schemas.openxmlformats.org/officeDocument/2006/relationships/hyperlink" Target="https://drive.google.com/file/d/1TXLfMCKwd_G_eJvm4pTP0gQiMVQFy72a/view?usp=drivesdk" TargetMode="External"/><Relationship Id="rId475" Type="http://schemas.openxmlformats.org/officeDocument/2006/relationships/hyperlink" Target="https://drive.google.com/file/d/1KNWpzXg8QmDdwOBKPKcPdRu-eqEiDNBT/view?usp=drivesdk" TargetMode="External"/><Relationship Id="rId1068" Type="http://schemas.openxmlformats.org/officeDocument/2006/relationships/hyperlink" Target="https://drive.google.com/file/d/1EyJWeaaKZFOHhFf3leoVV0rVwUuiHjfJ/view?usp=drivesdk" TargetMode="External"/><Relationship Id="rId232" Type="http://schemas.openxmlformats.org/officeDocument/2006/relationships/hyperlink" Target="https://drive.google.com/file/d/1O6rakdBQ4yOaQQVEd4Cgct01ps-81CoT/view?usp=drivesdk" TargetMode="External"/><Relationship Id="rId474" Type="http://schemas.openxmlformats.org/officeDocument/2006/relationships/hyperlink" Target="https://drive.google.com/file/d/1nu4XR_ibcrT-H8_CGRt5y44LksLSvu-T/view?usp=drivesdk" TargetMode="External"/><Relationship Id="rId1069" Type="http://schemas.openxmlformats.org/officeDocument/2006/relationships/hyperlink" Target="https://drive.google.com/file/d/1jytBYglOnDxeBj5T3kYx1o1aCWoe-X1u/view?usp=drivesdk" TargetMode="External"/><Relationship Id="rId1015" Type="http://schemas.openxmlformats.org/officeDocument/2006/relationships/hyperlink" Target="https://drive.google.com/file/d/137chNIXTgJCcgO9cUdxo3H6ON9gv-wla/view?usp=drivesdk" TargetMode="External"/><Relationship Id="rId1257" Type="http://schemas.openxmlformats.org/officeDocument/2006/relationships/hyperlink" Target="https://drive.google.com/file/d/1hR76Bhe1Q6NOvra3BZONyldic2ibrhJh/view?usp=drivesdk" TargetMode="External"/><Relationship Id="rId1016" Type="http://schemas.openxmlformats.org/officeDocument/2006/relationships/hyperlink" Target="https://drive.google.com/file/d/1JWNhqfm49RzpuoUIlXDiMqBPZrm8dza2/view?usp=drivesdk" TargetMode="External"/><Relationship Id="rId1258" Type="http://schemas.openxmlformats.org/officeDocument/2006/relationships/hyperlink" Target="https://drive.google.com/file/d/1wck3JmkGKcMlYBmOyrWVT5M5D7femgaB/view?usp=drivesdk" TargetMode="External"/><Relationship Id="rId1017" Type="http://schemas.openxmlformats.org/officeDocument/2006/relationships/hyperlink" Target="https://drive.google.com/file/d/1t99oNfYgMj18uM8EIMObYpVLOaPj-jt9/view?usp=drivesdk" TargetMode="External"/><Relationship Id="rId1259" Type="http://schemas.openxmlformats.org/officeDocument/2006/relationships/hyperlink" Target="https://drive.google.com/file/d/1EpfCnqrLhTsnzRwjVP8LzF_BUCam3vAN/view?usp=drivesdk" TargetMode="External"/><Relationship Id="rId1018" Type="http://schemas.openxmlformats.org/officeDocument/2006/relationships/hyperlink" Target="https://drive.google.com/file/d/1fEB4k6eVka38Se_9_LtkfYxEtGTS_ry0/view?usp=drivesdk" TargetMode="External"/><Relationship Id="rId1019" Type="http://schemas.openxmlformats.org/officeDocument/2006/relationships/hyperlink" Target="https://drive.google.com/file/d/1LT6dEFHWqnr7I4ezyVTusAheXfj_bTRU/view?usp=drivesdk" TargetMode="External"/><Relationship Id="rId426" Type="http://schemas.openxmlformats.org/officeDocument/2006/relationships/hyperlink" Target="https://drive.google.com/file/d/1KeBZfEYOiEfkpfczcp-Qbl-qxMIy7aWq/view?usp=drivesdk" TargetMode="External"/><Relationship Id="rId668" Type="http://schemas.openxmlformats.org/officeDocument/2006/relationships/hyperlink" Target="https://drive.google.com/file/d/1Rx2LTM428-3-bxC5iRmIoC-7xqzk9SdG/view?usp=drivesdk" TargetMode="External"/><Relationship Id="rId425" Type="http://schemas.openxmlformats.org/officeDocument/2006/relationships/hyperlink" Target="https://drive.google.com/file/d/1saauvIdy7dtaHC4gLAvRpCQWGUUX-t-p/view?usp=drivesdk" TargetMode="External"/><Relationship Id="rId667" Type="http://schemas.openxmlformats.org/officeDocument/2006/relationships/hyperlink" Target="https://drive.google.com/file/d/1LC-S9xI3zKimJuy50njaRkqeoHWed6W5/view?usp=drivesdk" TargetMode="External"/><Relationship Id="rId424" Type="http://schemas.openxmlformats.org/officeDocument/2006/relationships/hyperlink" Target="https://drive.google.com/file/d/15yrbaHTj7Am9-YBQQA1RxVwKkh-zWg_i/view?usp=drivesdk" TargetMode="External"/><Relationship Id="rId666" Type="http://schemas.openxmlformats.org/officeDocument/2006/relationships/hyperlink" Target="https://drive.google.com/file/d/1y7w0xqbmD3iksLa32z_9U7PlarhAtkuY/view?usp=drivesdk" TargetMode="External"/><Relationship Id="rId423" Type="http://schemas.openxmlformats.org/officeDocument/2006/relationships/hyperlink" Target="https://drive.google.com/file/d/1fNm8iIthF0LsV91ycDE57MxsgIeYwA9O/view?usp=drivesdk" TargetMode="External"/><Relationship Id="rId665" Type="http://schemas.openxmlformats.org/officeDocument/2006/relationships/hyperlink" Target="https://drive.google.com/file/d/1-KS2mgkQZVku7mKSe3RB9qj4K6H_0LNs/view?usp=drivesdk" TargetMode="External"/><Relationship Id="rId429" Type="http://schemas.openxmlformats.org/officeDocument/2006/relationships/hyperlink" Target="https://drive.google.com/file/d/1n_QHiMCFpsWJUsxLBVCluZWIlDcjvEk-/view?usp=drivesdk" TargetMode="External"/><Relationship Id="rId428" Type="http://schemas.openxmlformats.org/officeDocument/2006/relationships/hyperlink" Target="https://drive.google.com/file/d/1XpSmdHiwOeMKgOuQrJLHct6LMhRRA2kc/view?usp=drivesdk" TargetMode="External"/><Relationship Id="rId427" Type="http://schemas.openxmlformats.org/officeDocument/2006/relationships/hyperlink" Target="https://drive.google.com/file/d/1r8lRWCGx-SZhCla5Gsbgq_SPfLo-zXYW/view?usp=drivesdk" TargetMode="External"/><Relationship Id="rId669" Type="http://schemas.openxmlformats.org/officeDocument/2006/relationships/hyperlink" Target="https://drive.google.com/file/d/1tJGICOCTa88uADPUNISs6cnttOD79CHi/view?usp=drivesdk" TargetMode="External"/><Relationship Id="rId660" Type="http://schemas.openxmlformats.org/officeDocument/2006/relationships/hyperlink" Target="https://drive.google.com/file/d/1Al3lOUHGFRzwm9Ai37mwEVXvgLc5R8An/view?usp=drivesdk" TargetMode="External"/><Relationship Id="rId1250" Type="http://schemas.openxmlformats.org/officeDocument/2006/relationships/hyperlink" Target="https://drive.google.com/file/d/1MLmwLSFpTn8UINmJijV7JgOKiJk8rDAO/view?usp=drivesdk" TargetMode="External"/><Relationship Id="rId1251" Type="http://schemas.openxmlformats.org/officeDocument/2006/relationships/hyperlink" Target="https://drive.google.com/file/d/1xzTCneMl8_e4j-AhpjFi_e3tDFpMTMhn/view?usp=drivesdk" TargetMode="External"/><Relationship Id="rId1010" Type="http://schemas.openxmlformats.org/officeDocument/2006/relationships/hyperlink" Target="https://drive.google.com/file/d/1oVaWBCtgpaqezY7ypVD5XXeQ9kz3gzAr/view?usp=drivesdk" TargetMode="External"/><Relationship Id="rId1252" Type="http://schemas.openxmlformats.org/officeDocument/2006/relationships/hyperlink" Target="https://drive.google.com/file/d/1V9wQS5MAdhk7tr5JXD8_vQfQ3XIcI6C9/view?usp=drivesdk" TargetMode="External"/><Relationship Id="rId422" Type="http://schemas.openxmlformats.org/officeDocument/2006/relationships/hyperlink" Target="https://drive.google.com/file/d/15Le6LZCRmYhzKvRPP7htOAfvZTeY-Dyx/view?usp=drivesdk" TargetMode="External"/><Relationship Id="rId664" Type="http://schemas.openxmlformats.org/officeDocument/2006/relationships/hyperlink" Target="https://drive.google.com/file/d/1RJgjTY1nkHjhjMF4oKddLdm8x27jrQ4z/view?usp=drivesdk" TargetMode="External"/><Relationship Id="rId1011" Type="http://schemas.openxmlformats.org/officeDocument/2006/relationships/hyperlink" Target="https://drive.google.com/file/d/1fkMpBK0BLmh3_YDstP4BE-PRne9T0AW2/view?usp=drivesdk" TargetMode="External"/><Relationship Id="rId1253" Type="http://schemas.openxmlformats.org/officeDocument/2006/relationships/hyperlink" Target="https://drive.google.com/file/d/1tDbbOiTJ5_-kTXB3n6O_I4xaHeGx2Fsc/view?usp=drivesdk" TargetMode="External"/><Relationship Id="rId421" Type="http://schemas.openxmlformats.org/officeDocument/2006/relationships/hyperlink" Target="https://drive.google.com/file/d/18_61c2sEq-B2UJxZO0VkexCDSPnz3uxM/view?usp=drivesdk" TargetMode="External"/><Relationship Id="rId663" Type="http://schemas.openxmlformats.org/officeDocument/2006/relationships/hyperlink" Target="https://drive.google.com/file/d/1RzqNcWzQJd4ulsGpdYlT0HGju8HCgYQf/view?usp=drivesdk" TargetMode="External"/><Relationship Id="rId1012" Type="http://schemas.openxmlformats.org/officeDocument/2006/relationships/hyperlink" Target="https://drive.google.com/file/d/16Cyk-q6B0kCCsaS34rZfXOIE3LZ4hL5E/view?usp=drivesdk" TargetMode="External"/><Relationship Id="rId1254" Type="http://schemas.openxmlformats.org/officeDocument/2006/relationships/hyperlink" Target="https://drive.google.com/file/d/12cVHVbGsR0KEPTsUcArt9eu8PPJgfWWo/view?usp=drivesdk" TargetMode="External"/><Relationship Id="rId420" Type="http://schemas.openxmlformats.org/officeDocument/2006/relationships/hyperlink" Target="https://drive.google.com/file/d/1didkJC_0EGoWSwi_BrNaIcXwb0wNvu8N/view?usp=drivesdk" TargetMode="External"/><Relationship Id="rId662" Type="http://schemas.openxmlformats.org/officeDocument/2006/relationships/hyperlink" Target="https://drive.google.com/file/d/1-N_4khuk9yONdmdRcO93exJaswC70ZzB/view?usp=drivesdk" TargetMode="External"/><Relationship Id="rId1013" Type="http://schemas.openxmlformats.org/officeDocument/2006/relationships/hyperlink" Target="https://drive.google.com/file/d/1UiXACf9v3xbD0kGtnAuJZQL0_z7Eug-6/view?usp=drivesdk" TargetMode="External"/><Relationship Id="rId1255" Type="http://schemas.openxmlformats.org/officeDocument/2006/relationships/hyperlink" Target="https://drive.google.com/file/d/1dVxGobnf7EaD7Cd70xKOy0jiM6WOG5_b/view?usp=drivesdk" TargetMode="External"/><Relationship Id="rId661" Type="http://schemas.openxmlformats.org/officeDocument/2006/relationships/hyperlink" Target="https://drive.google.com/file/d/129ztC3Rx9Cj_pnwes0uz4ucA-9f0EBYk/view?usp=drivesdk" TargetMode="External"/><Relationship Id="rId1014" Type="http://schemas.openxmlformats.org/officeDocument/2006/relationships/hyperlink" Target="https://drive.google.com/file/d/1ZKwV5SQaVyC6kVXtVpWehfczkX8d0DoK/view?usp=drivesdk" TargetMode="External"/><Relationship Id="rId1256" Type="http://schemas.openxmlformats.org/officeDocument/2006/relationships/hyperlink" Target="https://drive.google.com/file/d/1DYszIHCZtaG16mJfvYtl-81m06G6w5Th/view?usp=drivesdk" TargetMode="External"/><Relationship Id="rId1004" Type="http://schemas.openxmlformats.org/officeDocument/2006/relationships/hyperlink" Target="https://drive.google.com/file/d/1GiLrJ4FOa2flg7qZh7BPk1knMvmZRK5Q/view?usp=drivesdk" TargetMode="External"/><Relationship Id="rId1246" Type="http://schemas.openxmlformats.org/officeDocument/2006/relationships/hyperlink" Target="https://drive.google.com/file/d/15qI3aTE3VmRU_cRFWUNyUSr_LfK04O-X/view?usp=drivesdk" TargetMode="External"/><Relationship Id="rId1005" Type="http://schemas.openxmlformats.org/officeDocument/2006/relationships/hyperlink" Target="https://drive.google.com/file/d/1QbrWnnc2UFibp9fjRFzOzBHFWNkp3ooF/view?usp=drivesdk" TargetMode="External"/><Relationship Id="rId1247" Type="http://schemas.openxmlformats.org/officeDocument/2006/relationships/hyperlink" Target="https://drive.google.com/file/d/1lu3g-YMK7-WxLuP2xKZEl50yCe8wg-AU/view?usp=drivesdk" TargetMode="External"/><Relationship Id="rId1006" Type="http://schemas.openxmlformats.org/officeDocument/2006/relationships/hyperlink" Target="https://drive.google.com/file/d/15vzd-KaksDGWQovYoZU2koaEpjnB1X76/view?usp=drivesdk" TargetMode="External"/><Relationship Id="rId1248" Type="http://schemas.openxmlformats.org/officeDocument/2006/relationships/hyperlink" Target="https://drive.google.com/file/d/1fAZacasNtWJYQqfkPKGpP4XNrGa_qrkq/view?usp=drivesdk" TargetMode="External"/><Relationship Id="rId1007" Type="http://schemas.openxmlformats.org/officeDocument/2006/relationships/hyperlink" Target="https://drive.google.com/file/d/1x1qz1awvX6fjVUB-9odgvPiqcIflZe7U/view?usp=drivesdk" TargetMode="External"/><Relationship Id="rId1249" Type="http://schemas.openxmlformats.org/officeDocument/2006/relationships/hyperlink" Target="https://drive.google.com/file/d/134tzKd_zmSXq88vld9O_49joDFEuiMi4/view?usp=drivesdk" TargetMode="External"/><Relationship Id="rId1008" Type="http://schemas.openxmlformats.org/officeDocument/2006/relationships/hyperlink" Target="https://drive.google.com/file/d/1oDHEBnATUQ4wNVnNggyt3rciiFBBiXNK/view?usp=drivesdk" TargetMode="External"/><Relationship Id="rId1009" Type="http://schemas.openxmlformats.org/officeDocument/2006/relationships/hyperlink" Target="https://drive.google.com/file/d/1ZA8i4Wdf8kI4PJJ1--Z_yBh3jimHUBym/view?usp=drivesdk" TargetMode="External"/><Relationship Id="rId415" Type="http://schemas.openxmlformats.org/officeDocument/2006/relationships/hyperlink" Target="https://drive.google.com/file/d/1iMWNd8aTrnO-JzW3SeF54rqoB5ddaBGP/view?usp=drivesdk" TargetMode="External"/><Relationship Id="rId657" Type="http://schemas.openxmlformats.org/officeDocument/2006/relationships/hyperlink" Target="https://drive.google.com/file/d/1Lb_4VWiEwrTlEF5FxbjCijkISTS_qhnW/view?usp=drivesdk" TargetMode="External"/><Relationship Id="rId899" Type="http://schemas.openxmlformats.org/officeDocument/2006/relationships/hyperlink" Target="https://drive.google.com/file/d/1yB_Yb7YuJgV0hXgI80nebdCiB44Z373A/view?usp=drivesdk" TargetMode="External"/><Relationship Id="rId414" Type="http://schemas.openxmlformats.org/officeDocument/2006/relationships/hyperlink" Target="https://drive.google.com/file/d/1glowXBag9_jK6AxE3ufPPVbNJzLBX2sl/view?usp=drivesdk" TargetMode="External"/><Relationship Id="rId656" Type="http://schemas.openxmlformats.org/officeDocument/2006/relationships/hyperlink" Target="https://drive.google.com/file/d/1plT7Xip9oL27xr6WS_btKn1E3zOJ7U16/view?usp=drivesdk" TargetMode="External"/><Relationship Id="rId898" Type="http://schemas.openxmlformats.org/officeDocument/2006/relationships/hyperlink" Target="https://drive.google.com/file/d/1GsLff8yaajtfOAMu7siqop7FjZfL9nGj/view?usp=drivesdk" TargetMode="External"/><Relationship Id="rId413" Type="http://schemas.openxmlformats.org/officeDocument/2006/relationships/hyperlink" Target="https://drive.google.com/file/d/1LdMnV-siuRj3mTMuK_Hq1IVpc2iRxwDL/view?usp=drivesdk" TargetMode="External"/><Relationship Id="rId655" Type="http://schemas.openxmlformats.org/officeDocument/2006/relationships/hyperlink" Target="https://drive.google.com/file/d/1ae5f1z9AtHlXy5Njr-abN48HLKEqocza/view?usp=drivesdk" TargetMode="External"/><Relationship Id="rId897" Type="http://schemas.openxmlformats.org/officeDocument/2006/relationships/hyperlink" Target="https://drive.google.com/file/d/1bqxAGkXyInA2nPzfCxbMvLZI0IiJW780/view?usp=drivesdk" TargetMode="External"/><Relationship Id="rId412" Type="http://schemas.openxmlformats.org/officeDocument/2006/relationships/hyperlink" Target="https://drive.google.com/file/d/1F9lFnEXIYdK6cG516RY5F6SrxU8UX3fL/view?usp=drivesdk" TargetMode="External"/><Relationship Id="rId654" Type="http://schemas.openxmlformats.org/officeDocument/2006/relationships/hyperlink" Target="https://drive.google.com/file/d/1CJalXErOdTUHsF6sHgt3gmjHhCiyG8_j/view?usp=drivesdk" TargetMode="External"/><Relationship Id="rId896" Type="http://schemas.openxmlformats.org/officeDocument/2006/relationships/hyperlink" Target="https://drive.google.com/file/d/19i8WQ6zEig3iqQ_j6YHjVf9CmX1wFPzj/view?usp=drivesdk" TargetMode="External"/><Relationship Id="rId419" Type="http://schemas.openxmlformats.org/officeDocument/2006/relationships/hyperlink" Target="https://drive.google.com/file/d/1WrZR13cfeCgBGC6BX-pXssk_XwUzG0Fz/view?usp=drivesdk" TargetMode="External"/><Relationship Id="rId418" Type="http://schemas.openxmlformats.org/officeDocument/2006/relationships/hyperlink" Target="https://drive.google.com/file/d/1VgkOw3C5AKWeiV2Lb6enGwobaaKtsG1p/view?usp=drivesdk" TargetMode="External"/><Relationship Id="rId417" Type="http://schemas.openxmlformats.org/officeDocument/2006/relationships/hyperlink" Target="https://drive.google.com/file/d/1ltJARfn7Z-jyrwEG2NyHL5elj6EkcEIs/view?usp=drivesdk" TargetMode="External"/><Relationship Id="rId659" Type="http://schemas.openxmlformats.org/officeDocument/2006/relationships/hyperlink" Target="https://drive.google.com/file/d/1S-5Zg-ZrHjJCUQMdjooGF0s-SfboVp3R/view?usp=drivesdk" TargetMode="External"/><Relationship Id="rId416" Type="http://schemas.openxmlformats.org/officeDocument/2006/relationships/hyperlink" Target="https://drive.google.com/file/d/1TeT_ds9teVwG807Uj9F12pUo82ZxjRGU/view?usp=drivesdk" TargetMode="External"/><Relationship Id="rId658" Type="http://schemas.openxmlformats.org/officeDocument/2006/relationships/hyperlink" Target="https://drive.google.com/file/d/1rRuNjLjbPjGgPMp0hTjSDrWFp0BIjpJz/view?usp=drivesdk" TargetMode="External"/><Relationship Id="rId891" Type="http://schemas.openxmlformats.org/officeDocument/2006/relationships/hyperlink" Target="https://drive.google.com/file/d/16Amk4Hs3d9KQg0yzIbJf96vwoOYvrwZt/view?usp=drivesdk" TargetMode="External"/><Relationship Id="rId890" Type="http://schemas.openxmlformats.org/officeDocument/2006/relationships/hyperlink" Target="https://drive.google.com/file/d/1zSc2CTkh4VLdMhMe-SIi1efqP-8j0iot/view?usp=drivesdk" TargetMode="External"/><Relationship Id="rId1240" Type="http://schemas.openxmlformats.org/officeDocument/2006/relationships/hyperlink" Target="https://drive.google.com/file/d/1DAQvxERMKRX3UfpVVgshaGYll-syJNJI/view?usp=drivesdk" TargetMode="External"/><Relationship Id="rId1241" Type="http://schemas.openxmlformats.org/officeDocument/2006/relationships/hyperlink" Target="https://drive.google.com/file/d/1okR6RO16Es1Ac76hW1snW6qksTqdIRlB/view?usp=drivesdk" TargetMode="External"/><Relationship Id="rId411" Type="http://schemas.openxmlformats.org/officeDocument/2006/relationships/hyperlink" Target="https://drive.google.com/file/d/1Gi3Y3yjK6xrKk1mfIkoYh8vluLuYcE2E/view?usp=drivesdk" TargetMode="External"/><Relationship Id="rId653" Type="http://schemas.openxmlformats.org/officeDocument/2006/relationships/hyperlink" Target="https://drive.google.com/file/d/1t0ivAuWGhOL-bIdthuZ8hruEpsAu6-ke/view?usp=drivesdk" TargetMode="External"/><Relationship Id="rId895" Type="http://schemas.openxmlformats.org/officeDocument/2006/relationships/hyperlink" Target="https://drive.google.com/file/d/1leQ0v_EAt7R5FuFUAv-h2_HMI96lt58X/view?usp=drivesdk" TargetMode="External"/><Relationship Id="rId1000" Type="http://schemas.openxmlformats.org/officeDocument/2006/relationships/hyperlink" Target="https://drive.google.com/file/d/1fAvXJXvLIL63WbKPIYiBjADYBLzqyvFJ/view?usp=drivesdk" TargetMode="External"/><Relationship Id="rId1242" Type="http://schemas.openxmlformats.org/officeDocument/2006/relationships/hyperlink" Target="https://drive.google.com/file/d/1iIgZW0KzUwhDPWpp0ktINlnprMzHYUc_/view?usp=drivesdk" TargetMode="External"/><Relationship Id="rId410" Type="http://schemas.openxmlformats.org/officeDocument/2006/relationships/hyperlink" Target="https://drive.google.com/file/d/15WpnmJYyN2li6tuP1nWPAP2gCAvXuR6C/view?usp=drivesdk" TargetMode="External"/><Relationship Id="rId652" Type="http://schemas.openxmlformats.org/officeDocument/2006/relationships/hyperlink" Target="https://drive.google.com/file/d/1Nm3F5N0pbq8cs-7PoRdlBNuc727FAJen/view?usp=drivesdk" TargetMode="External"/><Relationship Id="rId894" Type="http://schemas.openxmlformats.org/officeDocument/2006/relationships/hyperlink" Target="https://drive.google.com/file/d/1gMtGuAIyLj-44nMcdrY2oQ0YC4KGVplb/view?usp=drivesdk" TargetMode="External"/><Relationship Id="rId1001" Type="http://schemas.openxmlformats.org/officeDocument/2006/relationships/hyperlink" Target="https://drive.google.com/file/d/1CdPWcwc52YkjESA-DwtyDJkneM4j7Wva/view?usp=drivesdk" TargetMode="External"/><Relationship Id="rId1243" Type="http://schemas.openxmlformats.org/officeDocument/2006/relationships/hyperlink" Target="https://drive.google.com/file/d/111euacnQHeNuzTUQDU9bUDT4X6TnBpFy/view?usp=drivesdk" TargetMode="External"/><Relationship Id="rId651" Type="http://schemas.openxmlformats.org/officeDocument/2006/relationships/hyperlink" Target="https://drive.google.com/file/d/1xIXcrghzKbHJVrhBVYMf-lCIkAIC7qUM/view?usp=drivesdk" TargetMode="External"/><Relationship Id="rId893" Type="http://schemas.openxmlformats.org/officeDocument/2006/relationships/hyperlink" Target="https://drive.google.com/file/d/1xvcKuCfYbDkfEif3bRJBMwveZJFSSxhX/view?usp=drivesdk" TargetMode="External"/><Relationship Id="rId1002" Type="http://schemas.openxmlformats.org/officeDocument/2006/relationships/hyperlink" Target="https://drive.google.com/file/d/1rQ_I187aKLxiZTwUDCOB2isRnCfSTQ34/view?usp=drivesdk" TargetMode="External"/><Relationship Id="rId1244" Type="http://schemas.openxmlformats.org/officeDocument/2006/relationships/hyperlink" Target="https://drive.google.com/file/d/1oqhetvZvtKcMV5E9K_MF_GI2OHbCcfSB/view?usp=drivesdk" TargetMode="External"/><Relationship Id="rId650" Type="http://schemas.openxmlformats.org/officeDocument/2006/relationships/hyperlink" Target="https://drive.google.com/file/d/1bN-bMKiKXitnTPNvKM4ITuDakzbFIJuu/view?usp=drivesdk" TargetMode="External"/><Relationship Id="rId892" Type="http://schemas.openxmlformats.org/officeDocument/2006/relationships/hyperlink" Target="https://drive.google.com/file/d/1r-dq4bJR4i-4LI8Kl3ouNfINjtL2pMIO/view?usp=drivesdk" TargetMode="External"/><Relationship Id="rId1003" Type="http://schemas.openxmlformats.org/officeDocument/2006/relationships/hyperlink" Target="https://drive.google.com/file/d/1nGeSm4hLneb6Fc1e0ez-XWeT5GYn-YOc/view?usp=drivesdk" TargetMode="External"/><Relationship Id="rId1245" Type="http://schemas.openxmlformats.org/officeDocument/2006/relationships/hyperlink" Target="https://drive.google.com/file/d/18BybA_uNNxanK1m7z263JKwTPCPB_GkB/view?usp=drivesdk" TargetMode="External"/><Relationship Id="rId1037" Type="http://schemas.openxmlformats.org/officeDocument/2006/relationships/hyperlink" Target="https://drive.google.com/file/d/1nucjwqmwrUNZMcwDR9Ekq0T4q-NVqJbP/view?usp=drivesdk" TargetMode="External"/><Relationship Id="rId1279" Type="http://schemas.openxmlformats.org/officeDocument/2006/relationships/hyperlink" Target="https://drive.google.com/file/d/1kBsJHw8yrv1orVKvvjrHTlVN_W1PBB1a/view?usp=drivesdk" TargetMode="External"/><Relationship Id="rId1038" Type="http://schemas.openxmlformats.org/officeDocument/2006/relationships/hyperlink" Target="https://drive.google.com/file/d/1sQO6PtbOfSRoTZ0DmaPdVJ0bdB6Z-cdR/view?usp=drivesdk" TargetMode="External"/><Relationship Id="rId1039" Type="http://schemas.openxmlformats.org/officeDocument/2006/relationships/hyperlink" Target="https://drive.google.com/file/d/1tPnUhkKAp3X7JR3jAGWvxA_RtkRoyIql/view?usp=drivesdk" TargetMode="External"/><Relationship Id="rId206" Type="http://schemas.openxmlformats.org/officeDocument/2006/relationships/hyperlink" Target="https://drive.google.com/file/d/1v4LCNQMzsgmx_cSvu16eIpX1tmTgQ7aj/view?usp=drivesdk" TargetMode="External"/><Relationship Id="rId448" Type="http://schemas.openxmlformats.org/officeDocument/2006/relationships/hyperlink" Target="https://drive.google.com/file/d/1CT1YH1Q42TVl9ugTksxC4lxdHsHxAhq5/view?usp=drivesdk" TargetMode="External"/><Relationship Id="rId205" Type="http://schemas.openxmlformats.org/officeDocument/2006/relationships/hyperlink" Target="https://drive.google.com/file/d/1zAUVthYe_LhOLSpJ0NONpQFx16_jL-Gc/view?usp=drivesdk" TargetMode="External"/><Relationship Id="rId447" Type="http://schemas.openxmlformats.org/officeDocument/2006/relationships/hyperlink" Target="https://drive.google.com/file/d/1-ql085kz00eHHTPZR4qG1ulb-IaTREss/view?usp=drivesdk" TargetMode="External"/><Relationship Id="rId689" Type="http://schemas.openxmlformats.org/officeDocument/2006/relationships/hyperlink" Target="https://drive.google.com/file/d/1kwRUqaQrZREZugza9HbYnAi05QwRFGJj/view?usp=drivesdk" TargetMode="External"/><Relationship Id="rId204" Type="http://schemas.openxmlformats.org/officeDocument/2006/relationships/hyperlink" Target="https://drive.google.com/file/d/15tVfz3uwP5dYr7wbrwroWsGJDHmRLMFy/view?usp=drivesdk" TargetMode="External"/><Relationship Id="rId446" Type="http://schemas.openxmlformats.org/officeDocument/2006/relationships/hyperlink" Target="https://drive.google.com/file/d/1fU5LjiMtLIhxy0Mgo5Q7BlwCW01F83fs/view?usp=drivesdk" TargetMode="External"/><Relationship Id="rId688" Type="http://schemas.openxmlformats.org/officeDocument/2006/relationships/hyperlink" Target="https://drive.google.com/file/d/1ttdRXZ_4Iu3DAv9Pn0NnviFnem5fCa-q/view?usp=drivesdk" TargetMode="External"/><Relationship Id="rId203" Type="http://schemas.openxmlformats.org/officeDocument/2006/relationships/hyperlink" Target="https://drive.google.com/file/d/1nGxK-S-aCJUkVXVORqMT2qvB2hT2eZib/view?usp=drivesdk" TargetMode="External"/><Relationship Id="rId445" Type="http://schemas.openxmlformats.org/officeDocument/2006/relationships/hyperlink" Target="https://drive.google.com/file/d/1Q7BS30K6OiLS4Jud_rTC8SkWtlor7qtl/view?usp=drivesdk" TargetMode="External"/><Relationship Id="rId687" Type="http://schemas.openxmlformats.org/officeDocument/2006/relationships/hyperlink" Target="https://drive.google.com/file/d/1-vwAIpx_Ah221r0FSYJc9Q7YEMJY-oGc/view?usp=drivesdk" TargetMode="External"/><Relationship Id="rId209" Type="http://schemas.openxmlformats.org/officeDocument/2006/relationships/hyperlink" Target="https://drive.google.com/file/d/1cFiY2tSp0ko68uCfniXtr5pLbpFoujib/view?usp=drivesdk" TargetMode="External"/><Relationship Id="rId208" Type="http://schemas.openxmlformats.org/officeDocument/2006/relationships/hyperlink" Target="https://drive.google.com/file/d/1ZDiQHeUJFeMGqhoQehWdNbhBaBGkhChT/view?usp=drivesdk" TargetMode="External"/><Relationship Id="rId207" Type="http://schemas.openxmlformats.org/officeDocument/2006/relationships/hyperlink" Target="https://drive.google.com/file/d/1dJuo2BYsXj6IY4t0ty24VZ5AjgNAWS08/view?usp=drivesdk" TargetMode="External"/><Relationship Id="rId449" Type="http://schemas.openxmlformats.org/officeDocument/2006/relationships/hyperlink" Target="https://drive.google.com/file/d/1pOzF5ka02eTS7v-dgfhtoLFBa2PAuKzv/view?usp=drivesdk" TargetMode="External"/><Relationship Id="rId1270" Type="http://schemas.openxmlformats.org/officeDocument/2006/relationships/hyperlink" Target="https://drive.google.com/file/d/1dLDz4OVdQ8ZWvw1-FIvhJUgyo_IRGwgk/view?usp=drivesdk" TargetMode="External"/><Relationship Id="rId440" Type="http://schemas.openxmlformats.org/officeDocument/2006/relationships/hyperlink" Target="https://drive.google.com/file/d/1aabaN6DnRJqCiVC2DAE0yZX4DGf8qy-A/view?usp=drivesdk" TargetMode="External"/><Relationship Id="rId682" Type="http://schemas.openxmlformats.org/officeDocument/2006/relationships/hyperlink" Target="https://drive.google.com/file/d/1UB9vinjT93jtp_TINFxC19esz-P9Y0w8/view?usp=drivesdk" TargetMode="External"/><Relationship Id="rId1271" Type="http://schemas.openxmlformats.org/officeDocument/2006/relationships/hyperlink" Target="https://drive.google.com/file/d/187IH5VlHQVG2s9771FxadR3UsXERxA7P/view?usp=drivesdk" TargetMode="External"/><Relationship Id="rId681" Type="http://schemas.openxmlformats.org/officeDocument/2006/relationships/hyperlink" Target="https://drive.google.com/file/d/1nKpruC0Jvt5yq92-CgljjuAJtaJW_m0G/view?usp=drivesdk" TargetMode="External"/><Relationship Id="rId1030" Type="http://schemas.openxmlformats.org/officeDocument/2006/relationships/hyperlink" Target="https://drive.google.com/file/d/1ES2G_UTcdND_3B2_rwpRvPRbeBLVdLXP/view?usp=drivesdk" TargetMode="External"/><Relationship Id="rId1272" Type="http://schemas.openxmlformats.org/officeDocument/2006/relationships/hyperlink" Target="https://drive.google.com/file/d/1zKIZmQGN1vh-S4AlW-PynrEpsYRjo16n/view?usp=drivesdk" TargetMode="External"/><Relationship Id="rId680" Type="http://schemas.openxmlformats.org/officeDocument/2006/relationships/hyperlink" Target="https://drive.google.com/file/d/1g572mjgSq81-a6Fvxw6LZ3HeZbaSQAbE/view?usp=drivesdk" TargetMode="External"/><Relationship Id="rId1031" Type="http://schemas.openxmlformats.org/officeDocument/2006/relationships/hyperlink" Target="https://drive.google.com/file/d/1mEyYDd0EL-60dLXEmj4Ad5jTSoIeKcTq/view?usp=drivesdk" TargetMode="External"/><Relationship Id="rId1273" Type="http://schemas.openxmlformats.org/officeDocument/2006/relationships/hyperlink" Target="https://drive.google.com/file/d/1AdEL_jsQ06s7xX5sA2tejFB0i-KYHSls/view?usp=drivesdk" TargetMode="External"/><Relationship Id="rId1032" Type="http://schemas.openxmlformats.org/officeDocument/2006/relationships/hyperlink" Target="https://drive.google.com/file/d/1GiE5cJJzXCImKc_dvl9GXuWLU27NXOve/view?usp=drivesdk" TargetMode="External"/><Relationship Id="rId1274" Type="http://schemas.openxmlformats.org/officeDocument/2006/relationships/hyperlink" Target="https://drive.google.com/file/d/1xc0SwJ_9Bv1HqDSbV6l0HCwH2JheY9nE/view?usp=drivesdk" TargetMode="External"/><Relationship Id="rId202" Type="http://schemas.openxmlformats.org/officeDocument/2006/relationships/hyperlink" Target="https://drive.google.com/file/d/1-q0RHsbMG7rpK8D7BFQJErDx3noSOX06/view?usp=drivesdk" TargetMode="External"/><Relationship Id="rId444" Type="http://schemas.openxmlformats.org/officeDocument/2006/relationships/hyperlink" Target="https://drive.google.com/file/d/1BOHYcFHkFHx7c0hzu6XwEeEub8k99gUX/view?usp=drivesdk" TargetMode="External"/><Relationship Id="rId686" Type="http://schemas.openxmlformats.org/officeDocument/2006/relationships/hyperlink" Target="https://drive.google.com/file/d/1h2sSZpmq7P3vRUbRMhfNMvkDaknIifU3/view?usp=drivesdk" TargetMode="External"/><Relationship Id="rId1033" Type="http://schemas.openxmlformats.org/officeDocument/2006/relationships/hyperlink" Target="https://drive.google.com/file/d/1XHZofesrlgeWgt5oZm4TpGakLDwd_0Zg/view?usp=drivesdk" TargetMode="External"/><Relationship Id="rId1275" Type="http://schemas.openxmlformats.org/officeDocument/2006/relationships/hyperlink" Target="https://drive.google.com/file/d/1nzdcY8OX1LeMF7hZFJgF50VuBVytyQLA/view?usp=drivesdk" TargetMode="External"/><Relationship Id="rId201" Type="http://schemas.openxmlformats.org/officeDocument/2006/relationships/hyperlink" Target="https://drive.google.com/file/d/1IOfxcLi01i2k3beKLl4ayKp97_BB6kI7/view?usp=drivesdk" TargetMode="External"/><Relationship Id="rId443" Type="http://schemas.openxmlformats.org/officeDocument/2006/relationships/hyperlink" Target="https://drive.google.com/file/d/1NgJk-7wG5ecjEsYPFtMUbUO5Wwepj2XN/view?usp=drivesdk" TargetMode="External"/><Relationship Id="rId685" Type="http://schemas.openxmlformats.org/officeDocument/2006/relationships/hyperlink" Target="https://drive.google.com/file/d/1qAmQeRKgmApvYcJdzMXccSdiulwxsLrB/view?usp=drivesdk" TargetMode="External"/><Relationship Id="rId1034" Type="http://schemas.openxmlformats.org/officeDocument/2006/relationships/hyperlink" Target="https://drive.google.com/file/d/1-3oi5opiAM8gZubNhKvOKMJjDkFpY2Sd/view?usp=drivesdk" TargetMode="External"/><Relationship Id="rId1276" Type="http://schemas.openxmlformats.org/officeDocument/2006/relationships/hyperlink" Target="https://drive.google.com/file/d/1RdUSu8vFwHi_R9idhV9eck3TMZU7-r5v/view?usp=drivesdk" TargetMode="External"/><Relationship Id="rId200" Type="http://schemas.openxmlformats.org/officeDocument/2006/relationships/hyperlink" Target="https://drive.google.com/file/d/1yII6dqhkkZVN57rdgPaICaOhgZBUmgP-/view?usp=drivesdk" TargetMode="External"/><Relationship Id="rId442" Type="http://schemas.openxmlformats.org/officeDocument/2006/relationships/hyperlink" Target="https://drive.google.com/file/d/1ff67FJ49ZvIAvD7P0y7yj3PHg1h11Esp/view?usp=drivesdk" TargetMode="External"/><Relationship Id="rId684" Type="http://schemas.openxmlformats.org/officeDocument/2006/relationships/hyperlink" Target="https://drive.google.com/file/d/1v2_QOkbViBcKpo9Gm2tl8hRxgwqqd8Vo/view?usp=drivesdk" TargetMode="External"/><Relationship Id="rId1035" Type="http://schemas.openxmlformats.org/officeDocument/2006/relationships/hyperlink" Target="https://drive.google.com/file/d/1ECDgsVUFKihoOztdsgefcjsSg5XcKfXG/view?usp=drivesdk" TargetMode="External"/><Relationship Id="rId1277" Type="http://schemas.openxmlformats.org/officeDocument/2006/relationships/hyperlink" Target="https://drive.google.com/file/d/12fOl5QgxgqiAtPoMYymyGpNnqeIvdPHm/view?usp=drivesdk" TargetMode="External"/><Relationship Id="rId441" Type="http://schemas.openxmlformats.org/officeDocument/2006/relationships/hyperlink" Target="https://drive.google.com/file/d/1X69DLFl2UYKPP2ryTpwnQDuh6p_scD0o/view?usp=drivesdk" TargetMode="External"/><Relationship Id="rId683" Type="http://schemas.openxmlformats.org/officeDocument/2006/relationships/hyperlink" Target="https://drive.google.com/file/d/1ytGuZ1ajmtHOFFhNBx161Sh8UAgtkOqY/view?usp=drivesdk" TargetMode="External"/><Relationship Id="rId1036" Type="http://schemas.openxmlformats.org/officeDocument/2006/relationships/hyperlink" Target="https://drive.google.com/file/d/19FDryLeOTAHgK5y5CEAtfTJH5QlJhoKF/view?usp=drivesdk" TargetMode="External"/><Relationship Id="rId1278" Type="http://schemas.openxmlformats.org/officeDocument/2006/relationships/hyperlink" Target="https://drive.google.com/file/d/1XY-f1VXbDYgxWHGJI-sZ-wajzSEr7nwL/view?usp=drivesdk" TargetMode="External"/><Relationship Id="rId1026" Type="http://schemas.openxmlformats.org/officeDocument/2006/relationships/hyperlink" Target="https://drive.google.com/file/d/1Ne5sJoZ4j1BrBysSW8qGYTuvBEWbB_1a/view?usp=drivesdk" TargetMode="External"/><Relationship Id="rId1268" Type="http://schemas.openxmlformats.org/officeDocument/2006/relationships/hyperlink" Target="https://drive.google.com/file/d/1fENL5y2TtN0wae2kzsq4nXSfQFDCNTsD/view?usp=drivesdk" TargetMode="External"/><Relationship Id="rId1027" Type="http://schemas.openxmlformats.org/officeDocument/2006/relationships/hyperlink" Target="https://drive.google.com/file/d/1QK6XZT1kgTcB0KkEQyJqXmKooiOq4KgT/view?usp=drivesdk" TargetMode="External"/><Relationship Id="rId1269" Type="http://schemas.openxmlformats.org/officeDocument/2006/relationships/hyperlink" Target="https://drive.google.com/file/d/178SOwwXVJ1Kfl5HrJUTmDKMQhcToBqEa/view?usp=drivesdk" TargetMode="External"/><Relationship Id="rId1028" Type="http://schemas.openxmlformats.org/officeDocument/2006/relationships/hyperlink" Target="https://drive.google.com/file/d/1q8_1CwHS10XwkBdEcpa8eiBoCSuV5DQl/view?usp=drivesdk" TargetMode="External"/><Relationship Id="rId1029" Type="http://schemas.openxmlformats.org/officeDocument/2006/relationships/hyperlink" Target="https://drive.google.com/file/d/1sGfu70Wcc4LjjcapmkfgTytFWPWvqynz/view?usp=drivesdk" TargetMode="External"/><Relationship Id="rId437" Type="http://schemas.openxmlformats.org/officeDocument/2006/relationships/hyperlink" Target="https://drive.google.com/file/d/1Jvh9GKRMvkeS257ZmqTHP6wq_c3Of2mW/view?usp=drivesdk" TargetMode="External"/><Relationship Id="rId679" Type="http://schemas.openxmlformats.org/officeDocument/2006/relationships/hyperlink" Target="https://drive.google.com/file/d/1E0ESWfiqIjkXRb1YhAYt2OnhvmkJPVxZ/view?usp=drivesdk" TargetMode="External"/><Relationship Id="rId436" Type="http://schemas.openxmlformats.org/officeDocument/2006/relationships/hyperlink" Target="https://drive.google.com/file/d/1OpwJBoALfwoVfEI5eFjaNTd50ptamYxo/view?usp=drivesdk" TargetMode="External"/><Relationship Id="rId678" Type="http://schemas.openxmlformats.org/officeDocument/2006/relationships/hyperlink" Target="https://drive.google.com/file/d/1lWk1oNh34YBzskZxkWriVbyfoFRumnrq/view?usp=drivesdk" TargetMode="External"/><Relationship Id="rId435" Type="http://schemas.openxmlformats.org/officeDocument/2006/relationships/hyperlink" Target="https://drive.google.com/file/d/1BtxNxCHJmtX3Zlujzk5odVs-AVXidFFq/view?usp=drivesdk" TargetMode="External"/><Relationship Id="rId677" Type="http://schemas.openxmlformats.org/officeDocument/2006/relationships/hyperlink" Target="https://drive.google.com/file/d/1CGdM0t9EQ_jo3zoXYaQW_QpqvoIeqcPL/view?usp=drivesdk" TargetMode="External"/><Relationship Id="rId434" Type="http://schemas.openxmlformats.org/officeDocument/2006/relationships/hyperlink" Target="https://drive.google.com/file/d/1ecMrvVuSncajGo63yod4XR7XV5jSrcBq/view?usp=drivesdk" TargetMode="External"/><Relationship Id="rId676" Type="http://schemas.openxmlformats.org/officeDocument/2006/relationships/hyperlink" Target="https://drive.google.com/file/d/1HxCqErIEc7XoHY5vyWE3J8OmcpCC9y6L/view?usp=drivesdk" TargetMode="External"/><Relationship Id="rId439" Type="http://schemas.openxmlformats.org/officeDocument/2006/relationships/hyperlink" Target="https://drive.google.com/file/d/18G35AkSX5yqC620G0_DX5Z8mYqzZy-6G/view?usp=drivesdk" TargetMode="External"/><Relationship Id="rId438" Type="http://schemas.openxmlformats.org/officeDocument/2006/relationships/hyperlink" Target="https://drive.google.com/file/d/17BtMPJMPwsKEQGJ_ncNwF3kK-Zx6Sq0k/view?usp=drivesdk" TargetMode="External"/><Relationship Id="rId671" Type="http://schemas.openxmlformats.org/officeDocument/2006/relationships/hyperlink" Target="https://drive.google.com/file/d/1LzD5NQcqO6qtEGY-tBH4DM-J0FYr0wGH/view?usp=drivesdk" TargetMode="External"/><Relationship Id="rId1260" Type="http://schemas.openxmlformats.org/officeDocument/2006/relationships/hyperlink" Target="https://drive.google.com/file/d/1bQUiVScrVVO7Q95HpVO9Cz8r01kdjOe4/view?usp=drivesdk" TargetMode="External"/><Relationship Id="rId670" Type="http://schemas.openxmlformats.org/officeDocument/2006/relationships/hyperlink" Target="https://drive.google.com/file/d/1ZpxWl2xKTvmJmtJN2OvNhgu1h7STxer2/view?usp=drivesdk" TargetMode="External"/><Relationship Id="rId1261" Type="http://schemas.openxmlformats.org/officeDocument/2006/relationships/hyperlink" Target="https://drive.google.com/file/d/1fNBMQP4ZR7XlM3xcxec_pBhHgV7FQFFk/view?usp=drivesdk" TargetMode="External"/><Relationship Id="rId1020" Type="http://schemas.openxmlformats.org/officeDocument/2006/relationships/hyperlink" Target="https://drive.google.com/file/d/1BXquPeTZbBmYc0rko1VraxnWOcFx0VFq/view?usp=drivesdk" TargetMode="External"/><Relationship Id="rId1262" Type="http://schemas.openxmlformats.org/officeDocument/2006/relationships/hyperlink" Target="https://drive.google.com/file/d/1XvyHTCrOAz4u8ryOWD0KQ8qRc_E6eapz/view?usp=drivesdk" TargetMode="External"/><Relationship Id="rId1021" Type="http://schemas.openxmlformats.org/officeDocument/2006/relationships/hyperlink" Target="https://drive.google.com/file/d/17TTn_HbcXI1sOIEYZRcgr3SSflz0iHoC/view?usp=drivesdk" TargetMode="External"/><Relationship Id="rId1263" Type="http://schemas.openxmlformats.org/officeDocument/2006/relationships/hyperlink" Target="https://drive.google.com/file/d/1DO8eAmcFEzhTgyxFREEcDS9VUL7Rx1QJ/view?usp=drivesdk" TargetMode="External"/><Relationship Id="rId433" Type="http://schemas.openxmlformats.org/officeDocument/2006/relationships/hyperlink" Target="https://drive.google.com/file/d/1c-RgmmsygzEN5-PFbjsdr7dD77lIguBi/view?usp=drivesdk" TargetMode="External"/><Relationship Id="rId675" Type="http://schemas.openxmlformats.org/officeDocument/2006/relationships/hyperlink" Target="https://drive.google.com/file/d/1m33iya4G-PnM-dXKpMxrdq7iww-vjjnU/view?usp=drivesdk" TargetMode="External"/><Relationship Id="rId1022" Type="http://schemas.openxmlformats.org/officeDocument/2006/relationships/hyperlink" Target="https://drive.google.com/file/d/1WG13MFHT_nxkWq-Rg60w28fCNsXc1C80/view?usp=drivesdk" TargetMode="External"/><Relationship Id="rId1264" Type="http://schemas.openxmlformats.org/officeDocument/2006/relationships/hyperlink" Target="https://drive.google.com/file/d/1N8j5EKgwdD8qlfJ3-5QMnZrSE_5vNror/view?usp=drivesdk" TargetMode="External"/><Relationship Id="rId432" Type="http://schemas.openxmlformats.org/officeDocument/2006/relationships/hyperlink" Target="https://drive.google.com/file/d/1WXm163kpKMFX7Q5TzvuxKdppkF5k6dXD/view?usp=drivesdk" TargetMode="External"/><Relationship Id="rId674" Type="http://schemas.openxmlformats.org/officeDocument/2006/relationships/hyperlink" Target="https://drive.google.com/file/d/1uFQsX-7WGtH0yZqzxwduQwhOsVglvUMt/view?usp=drivesdk" TargetMode="External"/><Relationship Id="rId1023" Type="http://schemas.openxmlformats.org/officeDocument/2006/relationships/hyperlink" Target="https://drive.google.com/file/d/1u-ECS1kyeXpBGbSyURiX4kDZy8w1Woy_/view?usp=drivesdk" TargetMode="External"/><Relationship Id="rId1265" Type="http://schemas.openxmlformats.org/officeDocument/2006/relationships/hyperlink" Target="https://drive.google.com/file/d/1gqnS9tE8DCohx0y9ekaKtg3tElx0oHqQ/view?usp=drivesdk" TargetMode="External"/><Relationship Id="rId431" Type="http://schemas.openxmlformats.org/officeDocument/2006/relationships/hyperlink" Target="https://drive.google.com/file/d/1qnKlHUlYf_6R7dGz8zGD-rEaOt5WfJXC/view?usp=drivesdk" TargetMode="External"/><Relationship Id="rId673" Type="http://schemas.openxmlformats.org/officeDocument/2006/relationships/hyperlink" Target="https://drive.google.com/file/d/1Io8QxzKvaMvB1Xz8T8nNMQ5bj05r-VUf/view?usp=drivesdk" TargetMode="External"/><Relationship Id="rId1024" Type="http://schemas.openxmlformats.org/officeDocument/2006/relationships/hyperlink" Target="https://drive.google.com/file/d/1NG1iETPbDQbl4VsEGjAKyJvz07QSqty6/view?usp=drivesdk" TargetMode="External"/><Relationship Id="rId1266" Type="http://schemas.openxmlformats.org/officeDocument/2006/relationships/hyperlink" Target="https://drive.google.com/file/d/11BWy5YC0z3uzqqJMj-4uAxvS-017KpIE/view?usp=drivesdk" TargetMode="External"/><Relationship Id="rId430" Type="http://schemas.openxmlformats.org/officeDocument/2006/relationships/hyperlink" Target="https://drive.google.com/file/d/1XvQ6a-xvBMg-hBwxabhukAokA5az_QX9/view?usp=drivesdk" TargetMode="External"/><Relationship Id="rId672" Type="http://schemas.openxmlformats.org/officeDocument/2006/relationships/hyperlink" Target="https://drive.google.com/file/d/1L63ZgXrw4ASRMRaPoaAsI8Fj5qHhRFzU/view?usp=drivesdk" TargetMode="External"/><Relationship Id="rId1025" Type="http://schemas.openxmlformats.org/officeDocument/2006/relationships/hyperlink" Target="https://drive.google.com/file/d/1Q6UnwNLWJJEDZ6J51anlLEHIMR34zmng/view?usp=drivesdk" TargetMode="External"/><Relationship Id="rId1267" Type="http://schemas.openxmlformats.org/officeDocument/2006/relationships/hyperlink" Target="https://drive.google.com/file/d/12XFkywjyCqUQOgDpuBARTecssYHN9_xP/view?usp=drivesdk" TargetMode="External"/></Relationships>
</file>

<file path=xl/worksheets/_rels/sheet14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t8niSY4XE_MI9KuN84vlT_-APdTBUBCO/view?usp=drivesdk" TargetMode="External"/><Relationship Id="rId194" Type="http://schemas.openxmlformats.org/officeDocument/2006/relationships/hyperlink" Target="https://drive.google.com/file/d/1kKK_D_WJB57LhYEMSnTTWwMGUqiFBUad/view?usp=drivesdk" TargetMode="External"/><Relationship Id="rId193" Type="http://schemas.openxmlformats.org/officeDocument/2006/relationships/hyperlink" Target="https://drive.google.com/file/d/1eGd2BdZaQ6ltzpvtvjceCPxDU6vtDIvC/view?usp=drivesdk" TargetMode="External"/><Relationship Id="rId192" Type="http://schemas.openxmlformats.org/officeDocument/2006/relationships/hyperlink" Target="https://drive.google.com/file/d/1cLtyBrVO_NZMIIdN-DjFqk2MPH2eDjJQ/view?usp=drivesdk" TargetMode="External"/><Relationship Id="rId191" Type="http://schemas.openxmlformats.org/officeDocument/2006/relationships/hyperlink" Target="https://drive.google.com/file/d/1c-z9NkxULLElSdrFqLMaGGqvyzQmDf41/view?usp=drivesdk" TargetMode="External"/><Relationship Id="rId187" Type="http://schemas.openxmlformats.org/officeDocument/2006/relationships/hyperlink" Target="https://drive.google.com/file/d/1q8tdEoXv5rhhLCmTDmVCGnWX3EmRo9EH/view?usp=drivesdk" TargetMode="External"/><Relationship Id="rId186" Type="http://schemas.openxmlformats.org/officeDocument/2006/relationships/hyperlink" Target="https://drive.google.com/file/d/1ZYXB8ov0asz0QUNQQp9CaSQE0xfDXUVi/view?usp=drivesdk" TargetMode="External"/><Relationship Id="rId185" Type="http://schemas.openxmlformats.org/officeDocument/2006/relationships/hyperlink" Target="https://drive.google.com/file/d/11duMR8Y-8Wep_klG1alGaYQSHTwEXRDz/view?usp=drivesdk" TargetMode="External"/><Relationship Id="rId184" Type="http://schemas.openxmlformats.org/officeDocument/2006/relationships/hyperlink" Target="https://drive.google.com/file/d/12VWpt2T9D8QbirT8_Ko4KeKbRLGFHlSm/view?usp=drivesdk" TargetMode="External"/><Relationship Id="rId189" Type="http://schemas.openxmlformats.org/officeDocument/2006/relationships/hyperlink" Target="https://drive.google.com/file/d/1Of5chJ8axEkvVBP4gPgwZkCImRDiFGrh/view?usp=drivesdk" TargetMode="External"/><Relationship Id="rId188" Type="http://schemas.openxmlformats.org/officeDocument/2006/relationships/hyperlink" Target="https://drive.google.com/file/d/1g2mRiEsHCEjjaBbFVga82ucRNGgPWpzV/view?usp=drivesdk" TargetMode="External"/><Relationship Id="rId183" Type="http://schemas.openxmlformats.org/officeDocument/2006/relationships/hyperlink" Target="https://drive.google.com/file/d/1gmI-zZLmGTQWr0UjI80Z84P9mKvWas5h/view?usp=drivesdk" TargetMode="External"/><Relationship Id="rId182" Type="http://schemas.openxmlformats.org/officeDocument/2006/relationships/hyperlink" Target="https://drive.google.com/file/d/1cRjGBO9xAXNONFHRHSs264UhApdqf9ND/view?usp=drivesdk" TargetMode="External"/><Relationship Id="rId181" Type="http://schemas.openxmlformats.org/officeDocument/2006/relationships/hyperlink" Target="https://drive.google.com/file/d/1Un7Pa3AOnFdWOulbj9iEoSf1ZvVwIaHS/view?usp=drivesdk" TargetMode="External"/><Relationship Id="rId180" Type="http://schemas.openxmlformats.org/officeDocument/2006/relationships/hyperlink" Target="https://drive.google.com/file/d/1ndoK-Q6McLyRzDpU0QMn98-rLHOztXJd/view?usp=drivesdk" TargetMode="External"/><Relationship Id="rId176" Type="http://schemas.openxmlformats.org/officeDocument/2006/relationships/hyperlink" Target="https://drive.google.com/file/d/1brmd3rzMxmex_YuEwGBXeUvEEN8OTW3z/view?usp=drivesdk" TargetMode="External"/><Relationship Id="rId175" Type="http://schemas.openxmlformats.org/officeDocument/2006/relationships/hyperlink" Target="https://drive.google.com/file/d/179Jh5AGU-7FFmTMTJ2QtSd3O-3DueQL6/view?usp=drivesdk" TargetMode="External"/><Relationship Id="rId174" Type="http://schemas.openxmlformats.org/officeDocument/2006/relationships/hyperlink" Target="https://drive.google.com/file/d/1hU0gPaRvyUhJOGYdpL7Amq8lt1DAfPJP/view?usp=drivesdk" TargetMode="External"/><Relationship Id="rId173" Type="http://schemas.openxmlformats.org/officeDocument/2006/relationships/hyperlink" Target="https://drive.google.com/file/d/1I_cIPHxzSV2KFgquGErqv6aLrsl8c8hY/view?usp=drivesdk" TargetMode="External"/><Relationship Id="rId179" Type="http://schemas.openxmlformats.org/officeDocument/2006/relationships/hyperlink" Target="https://drive.google.com/file/d/16sxrumbY6mXmvPz2DOwcX1mFvC4Yns7u/view?usp=drivesdk" TargetMode="External"/><Relationship Id="rId178" Type="http://schemas.openxmlformats.org/officeDocument/2006/relationships/hyperlink" Target="https://drive.google.com/file/d/1FQcOrx0L2jG_9wOJfypgbZezmt_BleEy/view?usp=drivesdk" TargetMode="External"/><Relationship Id="rId177" Type="http://schemas.openxmlformats.org/officeDocument/2006/relationships/hyperlink" Target="https://drive.google.com/file/d/1jSU3WTNOtkEMunRrRgSuuPojl74D103j/view?usp=drivesdk" TargetMode="External"/><Relationship Id="rId198" Type="http://schemas.openxmlformats.org/officeDocument/2006/relationships/hyperlink" Target="https://drive.google.com/file/d/1odeVu2MGo5_z8U7SDi4csYPl1wVihRKS/view?usp=drivesdk" TargetMode="External"/><Relationship Id="rId197" Type="http://schemas.openxmlformats.org/officeDocument/2006/relationships/hyperlink" Target="https://drive.google.com/file/d/1SY5BojdRov2HRVH9vLxnZmFfhwSNhkoj/view?usp=drivesdk" TargetMode="External"/><Relationship Id="rId196" Type="http://schemas.openxmlformats.org/officeDocument/2006/relationships/hyperlink" Target="https://drive.google.com/file/d/1y40v7mAubwpNOrTTB_wXfOCrTREzwbQ5/view?usp=drivesdk" TargetMode="External"/><Relationship Id="rId195" Type="http://schemas.openxmlformats.org/officeDocument/2006/relationships/hyperlink" Target="https://drive.google.com/file/d/1gy5gEKrTn3Ch9U2-YneVwBqNcGGOCQDV/view?usp=drivesdk" TargetMode="External"/><Relationship Id="rId199" Type="http://schemas.openxmlformats.org/officeDocument/2006/relationships/hyperlink" Target="https://drive.google.com/file/d/1q7hE2uvLNPj5usppxeSdzAfODTMjTfal/view?usp=drivesdk" TargetMode="External"/><Relationship Id="rId150" Type="http://schemas.openxmlformats.org/officeDocument/2006/relationships/hyperlink" Target="https://drive.google.com/file/d/1V1pwKKt-MsxZNEqZOHni1jdK_L1ZwrE3/view?usp=drivesdk" TargetMode="External"/><Relationship Id="rId392" Type="http://schemas.openxmlformats.org/officeDocument/2006/relationships/hyperlink" Target="https://drive.google.com/file/d/1A19-bVyRzk34Ls5GfZ5YMq8hltMHPqVZ/view?usp=drivesdk" TargetMode="External"/><Relationship Id="rId391" Type="http://schemas.openxmlformats.org/officeDocument/2006/relationships/hyperlink" Target="https://drive.google.com/file/d/108AO5a8RfvV858onNNyJWTmv6c_eosDJ/view?usp=drivesdk" TargetMode="External"/><Relationship Id="rId390" Type="http://schemas.openxmlformats.org/officeDocument/2006/relationships/hyperlink" Target="https://drive.google.com/file/d/1vZ1FpmPs5GCBq7XHftDPZg1cm4A9O-Ux/view?usp=drivesdk" TargetMode="External"/><Relationship Id="rId1" Type="http://schemas.openxmlformats.org/officeDocument/2006/relationships/hyperlink" Target="https://drive.google.com/file/d/1zMZ07vrHqxepk0rVVoD8IQV46RSsfYNt/view?usp=drivesdk" TargetMode="External"/><Relationship Id="rId2" Type="http://schemas.openxmlformats.org/officeDocument/2006/relationships/hyperlink" Target="https://drive.google.com/file/d/1dvN9USr_A-jLeDk6BrPj1JqN5TE1_GJY/view?usp=drivesdk" TargetMode="External"/><Relationship Id="rId3" Type="http://schemas.openxmlformats.org/officeDocument/2006/relationships/hyperlink" Target="https://drive.google.com/file/d/1278sYVxEa5a7mKCQP3gtUOqK2xkycD85/view?usp=drivesdk" TargetMode="External"/><Relationship Id="rId149" Type="http://schemas.openxmlformats.org/officeDocument/2006/relationships/hyperlink" Target="https://drive.google.com/file/d/1koVMtoOz-l7iZIKYz5e8_FWKuqu6HTmK/view?usp=drivesdk" TargetMode="External"/><Relationship Id="rId4" Type="http://schemas.openxmlformats.org/officeDocument/2006/relationships/hyperlink" Target="https://drive.google.com/file/d/1Takmp2jWDsv1zWk1MIcrhqpdE62YNSjb/view?usp=drivesdk" TargetMode="External"/><Relationship Id="rId148" Type="http://schemas.openxmlformats.org/officeDocument/2006/relationships/hyperlink" Target="https://drive.google.com/file/d/1794WowGF1BNF06kn1gC-lFU51ri5_Kmm/view?usp=drivesdk" TargetMode="External"/><Relationship Id="rId1090" Type="http://schemas.openxmlformats.org/officeDocument/2006/relationships/hyperlink" Target="https://drive.google.com/file/d/1f7ofcg1mXKUpndLBz4gqftmK6wKjuFjE/view?usp=drivesdk" TargetMode="External"/><Relationship Id="rId1091" Type="http://schemas.openxmlformats.org/officeDocument/2006/relationships/hyperlink" Target="https://drive.google.com/file/d/1eU9dLXhs5A24PLdd4_CEpmX5te7n-wm_/view?usp=drivesdk" TargetMode="External"/><Relationship Id="rId1092" Type="http://schemas.openxmlformats.org/officeDocument/2006/relationships/hyperlink" Target="https://drive.google.com/file/d/1vvQPzWUUzbFBZnYgiRjoxPxKzTWhQCRQ/view?usp=drivesdk" TargetMode="External"/><Relationship Id="rId1093" Type="http://schemas.openxmlformats.org/officeDocument/2006/relationships/hyperlink" Target="https://drive.google.com/file/d/1MhcTBeRPV0VHCMQNW4rxL-l0X1AuspJO/view?usp=drivesdk" TargetMode="External"/><Relationship Id="rId1094" Type="http://schemas.openxmlformats.org/officeDocument/2006/relationships/hyperlink" Target="https://drive.google.com/file/d/1DytwtG6TuA4xveEWfNOKzrbTn0bFDUG_/view?usp=drivesdk" TargetMode="External"/><Relationship Id="rId9" Type="http://schemas.openxmlformats.org/officeDocument/2006/relationships/hyperlink" Target="https://drive.google.com/file/d/1nWVKb7t100NgycGki0J9UFu46wNxwtOf/view?usp=drivesdk" TargetMode="External"/><Relationship Id="rId143" Type="http://schemas.openxmlformats.org/officeDocument/2006/relationships/hyperlink" Target="https://drive.google.com/file/d/116t9NncHlCCzBe49EN2TZpBLPLM6J0ID/view?usp=drivesdk" TargetMode="External"/><Relationship Id="rId385" Type="http://schemas.openxmlformats.org/officeDocument/2006/relationships/hyperlink" Target="https://drive.google.com/file/d/1aIDlRtu18MbUcMTzMuhceHgc5HmhobX2/view?usp=drivesdk" TargetMode="External"/><Relationship Id="rId1095" Type="http://schemas.openxmlformats.org/officeDocument/2006/relationships/hyperlink" Target="https://drive.google.com/file/d/1H1hhRGYq_8W_jfVXO21o_PkAg7iyl7-p/view?usp=drivesdk" TargetMode="External"/><Relationship Id="rId142" Type="http://schemas.openxmlformats.org/officeDocument/2006/relationships/hyperlink" Target="https://drive.google.com/file/d/1uNYUBcUh4wBV0YieFWDbyDAhsdVlrAsq/view?usp=drivesdk" TargetMode="External"/><Relationship Id="rId384" Type="http://schemas.openxmlformats.org/officeDocument/2006/relationships/hyperlink" Target="https://drive.google.com/file/d/1ldGi1Yilwg545T7r9AfbGNEdPw--Nl-Y/view?usp=drivesdk" TargetMode="External"/><Relationship Id="rId1096" Type="http://schemas.openxmlformats.org/officeDocument/2006/relationships/hyperlink" Target="https://drive.google.com/file/d/1S9LXtcF1ALkwC-YdgbAcFySFjA2qKbdu/view?usp=drivesdk" TargetMode="External"/><Relationship Id="rId141" Type="http://schemas.openxmlformats.org/officeDocument/2006/relationships/hyperlink" Target="https://drive.google.com/file/d/1lkWIU5mHiG_rgyP7yp5AN-X_6b9okX67/view?usp=drivesdk" TargetMode="External"/><Relationship Id="rId383" Type="http://schemas.openxmlformats.org/officeDocument/2006/relationships/hyperlink" Target="https://drive.google.com/file/d/12zEbo2L-KRNjb-mZybDsD_umg4xHCyNg/view?usp=drivesdk" TargetMode="External"/><Relationship Id="rId1097" Type="http://schemas.openxmlformats.org/officeDocument/2006/relationships/hyperlink" Target="https://drive.google.com/file/d/1riPHHNSOmevTXI7q8SZE8GoyWxwf5vX8/view?usp=drivesdk" TargetMode="External"/><Relationship Id="rId140" Type="http://schemas.openxmlformats.org/officeDocument/2006/relationships/hyperlink" Target="https://drive.google.com/file/d/1Bl-vpijN0ZhRcCcrVUSxI7Y-gz6GzIZG/view?usp=drivesdk" TargetMode="External"/><Relationship Id="rId382" Type="http://schemas.openxmlformats.org/officeDocument/2006/relationships/hyperlink" Target="https://drive.google.com/file/d/1Tp40kIzezeUy2j5SstrNy4LVcn9r5sF3/view?usp=drivesdk" TargetMode="External"/><Relationship Id="rId1098" Type="http://schemas.openxmlformats.org/officeDocument/2006/relationships/hyperlink" Target="https://drive.google.com/file/d/1XbaOZCRGs3OhKcC--Ca76Klidf_xlTr0/view?usp=drivesdk" TargetMode="External"/><Relationship Id="rId5" Type="http://schemas.openxmlformats.org/officeDocument/2006/relationships/hyperlink" Target="https://drive.google.com/file/d/1gAqHpK0EvehjjlHF57Ph3M8CDtuJxmQe/view?usp=drivesdk" TargetMode="External"/><Relationship Id="rId147" Type="http://schemas.openxmlformats.org/officeDocument/2006/relationships/hyperlink" Target="https://drive.google.com/file/d/1Uhimiz-QqpyLKmqKFVl5_jNoLY0XNW6n/view?usp=drivesdk" TargetMode="External"/><Relationship Id="rId389" Type="http://schemas.openxmlformats.org/officeDocument/2006/relationships/hyperlink" Target="https://drive.google.com/file/d/19DljcYkBIkWcjbe0pi2l7VZckodsdhmf/view?usp=drivesdk" TargetMode="External"/><Relationship Id="rId1099" Type="http://schemas.openxmlformats.org/officeDocument/2006/relationships/hyperlink" Target="https://drive.google.com/file/d/1umABGAZpPn06feaHOeZ7DKaUin9Ij6YR/view?usp=drivesdk" TargetMode="External"/><Relationship Id="rId6" Type="http://schemas.openxmlformats.org/officeDocument/2006/relationships/hyperlink" Target="https://drive.google.com/file/d/1CxzFE1Wbn_sgLzBSBnkdMsHrjg7rOjGn/view?usp=drivesdk" TargetMode="External"/><Relationship Id="rId146" Type="http://schemas.openxmlformats.org/officeDocument/2006/relationships/hyperlink" Target="https://drive.google.com/file/d/11cU6Ap6H3QR6QHiZ_eAw9MIsKRK5sMjw/view?usp=drivesdk" TargetMode="External"/><Relationship Id="rId388" Type="http://schemas.openxmlformats.org/officeDocument/2006/relationships/hyperlink" Target="https://drive.google.com/file/d/15m2deQ8VpQUE6SWdLUY3RF10GPqFvKMi/view?usp=drivesdk" TargetMode="External"/><Relationship Id="rId7" Type="http://schemas.openxmlformats.org/officeDocument/2006/relationships/hyperlink" Target="https://drive.google.com/file/d/1YIOW3D3W8ZL1QSHFeIZD6vJYdy5aSglb/view?usp=drivesdk" TargetMode="External"/><Relationship Id="rId145" Type="http://schemas.openxmlformats.org/officeDocument/2006/relationships/hyperlink" Target="https://drive.google.com/file/d/1a7v_HmH4qCuE3DiiDZIvg3ISEdGIxc6C/view?usp=drivesdk" TargetMode="External"/><Relationship Id="rId387" Type="http://schemas.openxmlformats.org/officeDocument/2006/relationships/hyperlink" Target="https://drive.google.com/file/d/1Nt9hec4-3s-qa-uzeaCksQAD8c6iGSR4/view?usp=drivesdk" TargetMode="External"/><Relationship Id="rId8" Type="http://schemas.openxmlformats.org/officeDocument/2006/relationships/hyperlink" Target="https://drive.google.com/file/d/1vt8MKLhgHt0V4Ivh5fwdORT0lm-DaQsT/view?usp=drivesdk" TargetMode="External"/><Relationship Id="rId144" Type="http://schemas.openxmlformats.org/officeDocument/2006/relationships/hyperlink" Target="https://drive.google.com/file/d/11BIE2K6g0lhZ-mVlynLR3KQ00P2ArWSE/view?usp=drivesdk" TargetMode="External"/><Relationship Id="rId386" Type="http://schemas.openxmlformats.org/officeDocument/2006/relationships/hyperlink" Target="https://drive.google.com/file/d/1aWJ5ws3YbcFSwEb-c7mTPLEnJLEqfSxX/view?usp=drivesdk" TargetMode="External"/><Relationship Id="rId381" Type="http://schemas.openxmlformats.org/officeDocument/2006/relationships/hyperlink" Target="https://drive.google.com/file/d/1L4YlogT7dmwtzKmn0ANJ7L-B8Q8Kei63/view?usp=drivesdk" TargetMode="External"/><Relationship Id="rId380" Type="http://schemas.openxmlformats.org/officeDocument/2006/relationships/hyperlink" Target="https://drive.google.com/file/d/1wRDYQDmtRwmgeYXzIys2jZN25aytzoR9/view?usp=drivesdk" TargetMode="External"/><Relationship Id="rId139" Type="http://schemas.openxmlformats.org/officeDocument/2006/relationships/hyperlink" Target="https://drive.google.com/file/d/11zC2ACDFXAjBZrigXfPpaR0nkq8hr-E9/view?usp=drivesdk" TargetMode="External"/><Relationship Id="rId138" Type="http://schemas.openxmlformats.org/officeDocument/2006/relationships/hyperlink" Target="https://drive.google.com/file/d/1qU6Q6DudzdB90-Z610HylfrD2H-mJh8B/view?usp=drivesdk" TargetMode="External"/><Relationship Id="rId137" Type="http://schemas.openxmlformats.org/officeDocument/2006/relationships/hyperlink" Target="https://drive.google.com/file/d/1Y7MeIcJxVqXDIM5eDqVjdQPGzQW14yHz/view?usp=drivesdk" TargetMode="External"/><Relationship Id="rId379" Type="http://schemas.openxmlformats.org/officeDocument/2006/relationships/hyperlink" Target="https://drive.google.com/file/d/1sx08gDWAzFKCwNChQ7IsUOVl1lWlzRie/view?usp=drivesdk" TargetMode="External"/><Relationship Id="rId1080" Type="http://schemas.openxmlformats.org/officeDocument/2006/relationships/hyperlink" Target="https://drive.google.com/file/d/19qBzoZSWzf1SGv3zfapfcDunFATuGsmL/view?usp=drivesdk" TargetMode="External"/><Relationship Id="rId1081" Type="http://schemas.openxmlformats.org/officeDocument/2006/relationships/hyperlink" Target="https://drive.google.com/file/d/1e902dMdhWc40E4agSuCSB_vGRtEVJgYW/view?usp=drivesdk" TargetMode="External"/><Relationship Id="rId1082" Type="http://schemas.openxmlformats.org/officeDocument/2006/relationships/hyperlink" Target="https://drive.google.com/file/d/1FmNtsxXl5cjkyKWnwEy7CyXzYaiOyptr/view?usp=drivesdk" TargetMode="External"/><Relationship Id="rId1083" Type="http://schemas.openxmlformats.org/officeDocument/2006/relationships/hyperlink" Target="https://drive.google.com/file/d/1We6rj1EE0-hcSXHqPDgneQE1z7na0JdA/view?usp=drivesdk" TargetMode="External"/><Relationship Id="rId132" Type="http://schemas.openxmlformats.org/officeDocument/2006/relationships/hyperlink" Target="https://drive.google.com/file/d/1UTN4k6fCUXjCd0LZ2oIBHuzQAoUDZ7ra/view?usp=drivesdk" TargetMode="External"/><Relationship Id="rId374" Type="http://schemas.openxmlformats.org/officeDocument/2006/relationships/hyperlink" Target="https://drive.google.com/file/d/1FbTtN_iyPwPefP8YlNXUd0Yh9Ye1rV9R/view?usp=drivesdk" TargetMode="External"/><Relationship Id="rId1084" Type="http://schemas.openxmlformats.org/officeDocument/2006/relationships/hyperlink" Target="https://drive.google.com/file/d/1iKBghHE8rRI4TGBJmGuSdFVd6mqsb0e0/view?usp=drivesdk" TargetMode="External"/><Relationship Id="rId131" Type="http://schemas.openxmlformats.org/officeDocument/2006/relationships/hyperlink" Target="https://drive.google.com/file/d/1i0Pnw6Wo8I46YJxE_sx-56-mbLQQ78DY/view?usp=drivesdk" TargetMode="External"/><Relationship Id="rId373" Type="http://schemas.openxmlformats.org/officeDocument/2006/relationships/hyperlink" Target="https://drive.google.com/file/d/14kJHqcZqVgPGVuP63ePXhZJ77KKpk0hJ/view?usp=drivesdk" TargetMode="External"/><Relationship Id="rId1085" Type="http://schemas.openxmlformats.org/officeDocument/2006/relationships/hyperlink" Target="https://drive.google.com/file/d/1SWmx_y8P3Vk9Ib1CcO8uJpOJCa3R1lBu/view?usp=drivesdk" TargetMode="External"/><Relationship Id="rId130" Type="http://schemas.openxmlformats.org/officeDocument/2006/relationships/hyperlink" Target="https://drive.google.com/file/d/1OJ-qud5lbg1Bdro-GQ5ri7Q_xQ2S-Gf2/view?usp=drivesdk" TargetMode="External"/><Relationship Id="rId372" Type="http://schemas.openxmlformats.org/officeDocument/2006/relationships/hyperlink" Target="https://drive.google.com/file/d/1BlubGnbwk3jRf39NAdtDsKcXiQGIAlJy/view?usp=drivesdk" TargetMode="External"/><Relationship Id="rId1086" Type="http://schemas.openxmlformats.org/officeDocument/2006/relationships/hyperlink" Target="https://drive.google.com/file/d/1PZJPGN4W_T71Fzi_NQFyYrblwzPhpwKX/view?usp=drivesdk" TargetMode="External"/><Relationship Id="rId371" Type="http://schemas.openxmlformats.org/officeDocument/2006/relationships/hyperlink" Target="https://drive.google.com/file/d/10GC1D3vNZxS_itq06gvOQSUPlPFOWLoQ/view?usp=drivesdk" TargetMode="External"/><Relationship Id="rId1087" Type="http://schemas.openxmlformats.org/officeDocument/2006/relationships/hyperlink" Target="https://drive.google.com/file/d/1ugMSDQnr6uZitdo5xT3R3u5CQpWN8JYn/view?usp=drivesdk" TargetMode="External"/><Relationship Id="rId136" Type="http://schemas.openxmlformats.org/officeDocument/2006/relationships/hyperlink" Target="https://drive.google.com/file/d/1nii93Fi7g6oOGpomNjYTMV5xXb_4oPU3/view?usp=drivesdk" TargetMode="External"/><Relationship Id="rId378" Type="http://schemas.openxmlformats.org/officeDocument/2006/relationships/hyperlink" Target="https://drive.google.com/file/d/1bo6X1jO9040rWMPm0zB6hUTrYOr_Vf3T/view?usp=drivesdk" TargetMode="External"/><Relationship Id="rId1088" Type="http://schemas.openxmlformats.org/officeDocument/2006/relationships/hyperlink" Target="https://drive.google.com/file/d/1BWlRs-Q01o8s_nuJ8J5eVTgUGF2W7ItV/view?usp=drivesdk" TargetMode="External"/><Relationship Id="rId135" Type="http://schemas.openxmlformats.org/officeDocument/2006/relationships/hyperlink" Target="https://drive.google.com/file/d/1ghVyAE0llulwTOdsLSW5xAq3iYY5cBvd/view?usp=drivesdk" TargetMode="External"/><Relationship Id="rId377" Type="http://schemas.openxmlformats.org/officeDocument/2006/relationships/hyperlink" Target="https://drive.google.com/file/d/1y790UBl_WOyGoZBwkKja8W08qYknVl5E/view?usp=drivesdk" TargetMode="External"/><Relationship Id="rId1089" Type="http://schemas.openxmlformats.org/officeDocument/2006/relationships/hyperlink" Target="https://drive.google.com/file/d/172mR11ssMb_HaBLZaZ_QmSEJvxOP7Wf3/view?usp=drivesdk" TargetMode="External"/><Relationship Id="rId134" Type="http://schemas.openxmlformats.org/officeDocument/2006/relationships/hyperlink" Target="https://drive.google.com/file/d/1H0nyppk3kD6ruKAdFJCEerkU4yiAQERZ/view?usp=drivesdk" TargetMode="External"/><Relationship Id="rId376" Type="http://schemas.openxmlformats.org/officeDocument/2006/relationships/hyperlink" Target="https://drive.google.com/file/d/1m6R8NS7VIceFSvrMoprvXlnwzHDZuVKP/view?usp=drivesdk" TargetMode="External"/><Relationship Id="rId133" Type="http://schemas.openxmlformats.org/officeDocument/2006/relationships/hyperlink" Target="https://drive.google.com/file/d/1pwawE6hlLlyhDKznYGEftRuGL_Cb94pt/view?usp=drivesdk" TargetMode="External"/><Relationship Id="rId375" Type="http://schemas.openxmlformats.org/officeDocument/2006/relationships/hyperlink" Target="https://drive.google.com/file/d/1xnfgUh7utvQcRrstZsWuoHaKozmTv9bo/view?usp=drivesdk" TargetMode="External"/><Relationship Id="rId172" Type="http://schemas.openxmlformats.org/officeDocument/2006/relationships/hyperlink" Target="https://drive.google.com/file/d/1viZhDu_YWgaj97NqRgWk2__R9BCpSDvR/view?usp=drivesdk" TargetMode="External"/><Relationship Id="rId171" Type="http://schemas.openxmlformats.org/officeDocument/2006/relationships/hyperlink" Target="https://drive.google.com/file/d/1ObYQsydH_YKf-XJNNTrMBNuYvMss_3MC/view?usp=drivesdk" TargetMode="External"/><Relationship Id="rId170" Type="http://schemas.openxmlformats.org/officeDocument/2006/relationships/hyperlink" Target="https://drive.google.com/file/d/1EmfCKpJrMPm0qxAKJ3ev8p2yUvYvKxBA/view?usp=drivesdk" TargetMode="External"/><Relationship Id="rId165" Type="http://schemas.openxmlformats.org/officeDocument/2006/relationships/hyperlink" Target="https://drive.google.com/file/d/1J1sL0fbwmY9-Uz7zN4VthagnmsKLvIa6/view?usp=drivesdk" TargetMode="External"/><Relationship Id="rId164" Type="http://schemas.openxmlformats.org/officeDocument/2006/relationships/hyperlink" Target="https://drive.google.com/file/d/1Rk_HoP779xH26JMjWHGIg0lT4uPTFLCS/view?usp=drivesdk" TargetMode="External"/><Relationship Id="rId163" Type="http://schemas.openxmlformats.org/officeDocument/2006/relationships/hyperlink" Target="https://drive.google.com/file/d/1PcHyPZ6WYVmCzbfFXmUkl6nkGNy_qarS/view?usp=drivesdk" TargetMode="External"/><Relationship Id="rId162" Type="http://schemas.openxmlformats.org/officeDocument/2006/relationships/hyperlink" Target="https://drive.google.com/file/d/1l2cJMylOUw8atXrvqrMebUt-YE7MAp3G/view?usp=drivesdk" TargetMode="External"/><Relationship Id="rId169" Type="http://schemas.openxmlformats.org/officeDocument/2006/relationships/hyperlink" Target="https://drive.google.com/file/d/1zTcRLAoiCi32Cy7Cy70nIrDkZGAqBSf7/view?usp=drivesdk" TargetMode="External"/><Relationship Id="rId168" Type="http://schemas.openxmlformats.org/officeDocument/2006/relationships/hyperlink" Target="https://drive.google.com/file/d/19g86C-a_tX3SPboLnyYpQ4AKZ3CYOSBd/view?usp=drivesdk" TargetMode="External"/><Relationship Id="rId167" Type="http://schemas.openxmlformats.org/officeDocument/2006/relationships/hyperlink" Target="https://drive.google.com/file/d/1fn5wBLIUzur1n9Ga60uNNHzUQd-00FwJ/view?usp=drivesdk" TargetMode="External"/><Relationship Id="rId166" Type="http://schemas.openxmlformats.org/officeDocument/2006/relationships/hyperlink" Target="https://drive.google.com/file/d/1kbYjHAmgLUbkQ9pxr6aRlOpdX3gVRvVq/view?usp=drivesdk" TargetMode="External"/><Relationship Id="rId161" Type="http://schemas.openxmlformats.org/officeDocument/2006/relationships/hyperlink" Target="https://drive.google.com/file/d/1sfCD9XoXJ2ZnnvrmuNpYBS2r4f89lNgE/view?usp=drivesdk" TargetMode="External"/><Relationship Id="rId160" Type="http://schemas.openxmlformats.org/officeDocument/2006/relationships/hyperlink" Target="https://drive.google.com/file/d/1P6Ugj_P7u6XM5GNKwnZCxC1CqMKFoTdW/view?usp=drivesdk" TargetMode="External"/><Relationship Id="rId159" Type="http://schemas.openxmlformats.org/officeDocument/2006/relationships/hyperlink" Target="https://drive.google.com/file/d/1fj7RBaRfzBtvIZgmvFdnRktWcKI6WkEt/view?usp=drivesdk" TargetMode="External"/><Relationship Id="rId154" Type="http://schemas.openxmlformats.org/officeDocument/2006/relationships/hyperlink" Target="https://drive.google.com/file/d/1COlYWVj-BUsAUiBx46CLBybtXaAcJ_mn/view?usp=drivesdk" TargetMode="External"/><Relationship Id="rId396" Type="http://schemas.openxmlformats.org/officeDocument/2006/relationships/hyperlink" Target="https://drive.google.com/file/d/1MfyzFqnJ--UfG3LjPJTKcYqQNO5xZ5yc/view?usp=drivesdk" TargetMode="External"/><Relationship Id="rId153" Type="http://schemas.openxmlformats.org/officeDocument/2006/relationships/hyperlink" Target="https://drive.google.com/file/d/11BO9dNjJi9B2S9sSegxdDa0RF8tIJuMG/view?usp=drivesdk" TargetMode="External"/><Relationship Id="rId395" Type="http://schemas.openxmlformats.org/officeDocument/2006/relationships/hyperlink" Target="https://drive.google.com/file/d/1FL1h7hOa2Z3lCTP14stIbMNpeEEsBSib/view?usp=drivesdk" TargetMode="External"/><Relationship Id="rId152" Type="http://schemas.openxmlformats.org/officeDocument/2006/relationships/hyperlink" Target="https://drive.google.com/file/d/1q74UcaW5vSabQmtWkn5eza_jHUoWctcZ/view?usp=drivesdk" TargetMode="External"/><Relationship Id="rId394" Type="http://schemas.openxmlformats.org/officeDocument/2006/relationships/hyperlink" Target="https://drive.google.com/file/d/1BpXJTp2BB4-ILmi5QT1sVCY5OYxm3Cb3/view?usp=drivesdk" TargetMode="External"/><Relationship Id="rId151" Type="http://schemas.openxmlformats.org/officeDocument/2006/relationships/hyperlink" Target="https://drive.google.com/file/d/1FGRHh43YG1MC8nBUt39LvNekXH7eHv7Z/view?usp=drivesdk" TargetMode="External"/><Relationship Id="rId393" Type="http://schemas.openxmlformats.org/officeDocument/2006/relationships/hyperlink" Target="https://drive.google.com/file/d/1pqYKKka5ZgwKmO7pEV6UvHQy3P3Xcs97/view?usp=drivesdk" TargetMode="External"/><Relationship Id="rId158" Type="http://schemas.openxmlformats.org/officeDocument/2006/relationships/hyperlink" Target="https://drive.google.com/file/d/12sifCymyZgFIXJDKDqnbd5Q7vcxz4PSl/view?usp=drivesdk" TargetMode="External"/><Relationship Id="rId157" Type="http://schemas.openxmlformats.org/officeDocument/2006/relationships/hyperlink" Target="https://drive.google.com/file/d/1JJ5vv_wGBt6ZyWXnCbd9HqusMYBUdWCl/view?usp=drivesdk" TargetMode="External"/><Relationship Id="rId399" Type="http://schemas.openxmlformats.org/officeDocument/2006/relationships/hyperlink" Target="https://drive.google.com/file/d/1wD8H0N7psslogXV2Y338b-tu5kJSzjAz/view?usp=drivesdk" TargetMode="External"/><Relationship Id="rId156" Type="http://schemas.openxmlformats.org/officeDocument/2006/relationships/hyperlink" Target="https://drive.google.com/file/d/1ozwVRdg4IwdCjCZ8UQoX9u5eXmq4MjOw/view?usp=drivesdk" TargetMode="External"/><Relationship Id="rId398" Type="http://schemas.openxmlformats.org/officeDocument/2006/relationships/hyperlink" Target="https://drive.google.com/file/d/1XNeff26pe2EWxDuoT9TtrPzB2vQfuSFw/view?usp=drivesdk" TargetMode="External"/><Relationship Id="rId155" Type="http://schemas.openxmlformats.org/officeDocument/2006/relationships/hyperlink" Target="https://drive.google.com/file/d/1zGJyTU7sbcmd_WcJrbJV_1CL1dYhqZ7z/view?usp=drivesdk" TargetMode="External"/><Relationship Id="rId397" Type="http://schemas.openxmlformats.org/officeDocument/2006/relationships/hyperlink" Target="https://drive.google.com/file/d/1JuScUh8o5eH84EO3wonhDdV_hweT7Zh-/view?usp=drivesdk" TargetMode="External"/><Relationship Id="rId808" Type="http://schemas.openxmlformats.org/officeDocument/2006/relationships/hyperlink" Target="https://drive.google.com/file/d/15uvFl6njArvzhWvF3NzVtgS-JUlJGR9f/view?usp=drivesdk" TargetMode="External"/><Relationship Id="rId807" Type="http://schemas.openxmlformats.org/officeDocument/2006/relationships/hyperlink" Target="https://drive.google.com/file/d/1voItg-g_UwJ8AuKnpU0NnfwzYJphJs5c/view?usp=drivesdk" TargetMode="External"/><Relationship Id="rId806" Type="http://schemas.openxmlformats.org/officeDocument/2006/relationships/hyperlink" Target="https://drive.google.com/file/d/1k1_Li6f-L_9wezzvtaF-N-xAHxwzuQoT/view?usp=drivesdk" TargetMode="External"/><Relationship Id="rId805" Type="http://schemas.openxmlformats.org/officeDocument/2006/relationships/hyperlink" Target="https://drive.google.com/file/d/1TEJlPq5969yK0X7DERjQf9yh0BUtMrv8/view?usp=drivesdk" TargetMode="External"/><Relationship Id="rId809" Type="http://schemas.openxmlformats.org/officeDocument/2006/relationships/hyperlink" Target="https://drive.google.com/file/d/1yjnpokQ4EAAvz8kj_tidTA7Q-7RO1rPB/view?usp=drivesdk" TargetMode="External"/><Relationship Id="rId800" Type="http://schemas.openxmlformats.org/officeDocument/2006/relationships/hyperlink" Target="https://drive.google.com/file/d/1B-iCe9qtx1eV8kNJ11BCjbSm8TXE72ez/view?usp=drivesdk" TargetMode="External"/><Relationship Id="rId804" Type="http://schemas.openxmlformats.org/officeDocument/2006/relationships/hyperlink" Target="https://drive.google.com/file/d/1Z-SM3QF83J_Svm42Kiq3mjXFWnosoFn5/view?usp=drivesdk" TargetMode="External"/><Relationship Id="rId803" Type="http://schemas.openxmlformats.org/officeDocument/2006/relationships/hyperlink" Target="https://drive.google.com/file/d/1VZW8jWWQVwNQ8KAAl8nTEQac-Vkpdkvp/view?usp=drivesdk" TargetMode="External"/><Relationship Id="rId802" Type="http://schemas.openxmlformats.org/officeDocument/2006/relationships/hyperlink" Target="https://drive.google.com/file/d/1lGf496vsrYfPV-0ZE1Xf9ClYDE8m8d9Q/view?usp=drivesdk" TargetMode="External"/><Relationship Id="rId801" Type="http://schemas.openxmlformats.org/officeDocument/2006/relationships/hyperlink" Target="https://drive.google.com/file/d/1h6e5h_3XDStIxjeiQ1CbpzOn-E1OR74K/view?usp=drivesdk" TargetMode="External"/><Relationship Id="rId40" Type="http://schemas.openxmlformats.org/officeDocument/2006/relationships/hyperlink" Target="https://drive.google.com/file/d/1jH0Erglc1DkMOmE4CufMtjRspoOqQix5/view?usp=drivesdk" TargetMode="External"/><Relationship Id="rId1334" Type="http://schemas.openxmlformats.org/officeDocument/2006/relationships/drawing" Target="../drawings/drawing14.xml"/><Relationship Id="rId42" Type="http://schemas.openxmlformats.org/officeDocument/2006/relationships/hyperlink" Target="https://drive.google.com/file/d/1hiazb2CGNAMpfSLfnBAAkiiYUrBuTWvv/view?usp=drivesdk" TargetMode="External"/><Relationship Id="rId41" Type="http://schemas.openxmlformats.org/officeDocument/2006/relationships/hyperlink" Target="https://drive.google.com/file/d/1N5M7s1ofNFgcmx_ytzcV2cRHyuH3MqZO/view?usp=drivesdk" TargetMode="External"/><Relationship Id="rId44" Type="http://schemas.openxmlformats.org/officeDocument/2006/relationships/hyperlink" Target="https://drive.google.com/file/d/1kXtYKIT8wmUz34hbVv9ln_pCKE0XzJFB/view?usp=drivesdk" TargetMode="External"/><Relationship Id="rId43" Type="http://schemas.openxmlformats.org/officeDocument/2006/relationships/hyperlink" Target="https://drive.google.com/file/d/11G5y8vWkJeOPOY-b9E1l1U9l8gI2JIh0/view?usp=drivesdk" TargetMode="External"/><Relationship Id="rId46" Type="http://schemas.openxmlformats.org/officeDocument/2006/relationships/hyperlink" Target="https://drive.google.com/file/d/1T8Zq8SVvzlsIvLlyQINNDYuqUWegrpMr/view?usp=drivesdk" TargetMode="External"/><Relationship Id="rId45" Type="http://schemas.openxmlformats.org/officeDocument/2006/relationships/hyperlink" Target="https://drive.google.com/file/d/1pZtqj_fifC2SUVp90mmE4STmtKwu7EsO/view?usp=drivesdk" TargetMode="External"/><Relationship Id="rId509" Type="http://schemas.openxmlformats.org/officeDocument/2006/relationships/hyperlink" Target="https://drive.google.com/file/d/1FAaHZOFWLOwCpRNAkx74X2chbTxJe-CV/view?usp=drivesdk" TargetMode="External"/><Relationship Id="rId508" Type="http://schemas.openxmlformats.org/officeDocument/2006/relationships/hyperlink" Target="https://drive.google.com/file/d/1Yk5ctTSyTiOOmygYo0W1ukHH2-eqZIcm/view?usp=drivesdk" TargetMode="External"/><Relationship Id="rId503" Type="http://schemas.openxmlformats.org/officeDocument/2006/relationships/hyperlink" Target="https://drive.google.com/file/d/1HO8wuqvsRhgbw7X_a8UMiv8oPFLORghi/view?usp=drivesdk" TargetMode="External"/><Relationship Id="rId745" Type="http://schemas.openxmlformats.org/officeDocument/2006/relationships/hyperlink" Target="https://drive.google.com/file/d/1n07XQRgJW33XH3dEIfTEluQmYDFMLZ7z/view?usp=drivesdk" TargetMode="External"/><Relationship Id="rId987" Type="http://schemas.openxmlformats.org/officeDocument/2006/relationships/hyperlink" Target="https://drive.google.com/file/d/1T20BnvK55y-r-bSjGySHA5QwlMGfW9rZ/view?usp=drivesdk" TargetMode="External"/><Relationship Id="rId502" Type="http://schemas.openxmlformats.org/officeDocument/2006/relationships/hyperlink" Target="https://drive.google.com/file/d/1m6NhJji_K1W5lSLRUsdLvKIPQvxhpXSG/view?usp=drivesdk" TargetMode="External"/><Relationship Id="rId744" Type="http://schemas.openxmlformats.org/officeDocument/2006/relationships/hyperlink" Target="https://drive.google.com/file/d/1k-ri_t4VWpuDuQMwO0y1MSvu0V4VdpXY/view?usp=drivesdk" TargetMode="External"/><Relationship Id="rId986" Type="http://schemas.openxmlformats.org/officeDocument/2006/relationships/hyperlink" Target="https://drive.google.com/file/d/11t0AaslG1R53Ti4zwWoFtch85v7SEArK/view?usp=drivesdk" TargetMode="External"/><Relationship Id="rId501" Type="http://schemas.openxmlformats.org/officeDocument/2006/relationships/hyperlink" Target="https://drive.google.com/file/d/1tGYHra4ty3Sk8B7hEQWGT1Uf9AzmWGVp/view?usp=drivesdk" TargetMode="External"/><Relationship Id="rId743" Type="http://schemas.openxmlformats.org/officeDocument/2006/relationships/hyperlink" Target="https://drive.google.com/file/d/1VtMG1rq5DXE-83wGWw2-sKGsbCIRXN48/view?usp=drivesdk" TargetMode="External"/><Relationship Id="rId985" Type="http://schemas.openxmlformats.org/officeDocument/2006/relationships/hyperlink" Target="https://drive.google.com/file/d/1O6DjNcpV7lwPWjCKEhfeUNtFvSEZkCJU/view?usp=drivesdk" TargetMode="External"/><Relationship Id="rId500" Type="http://schemas.openxmlformats.org/officeDocument/2006/relationships/hyperlink" Target="https://drive.google.com/file/d/1n0YwYsfhzXIhx_O1rswPSBG-3ULAwTDa/view?usp=drivesdk" TargetMode="External"/><Relationship Id="rId742" Type="http://schemas.openxmlformats.org/officeDocument/2006/relationships/hyperlink" Target="https://drive.google.com/file/d/11SmhYzYXjAuIKuKnyC0z1XRapvAZD96m/view?usp=drivesdk" TargetMode="External"/><Relationship Id="rId984" Type="http://schemas.openxmlformats.org/officeDocument/2006/relationships/hyperlink" Target="https://drive.google.com/file/d/1X7kcAGD2NhevylqH7SUKamqDbZGSFCX4/view?usp=drivesdk" TargetMode="External"/><Relationship Id="rId507" Type="http://schemas.openxmlformats.org/officeDocument/2006/relationships/hyperlink" Target="https://drive.google.com/file/d/1hwGcB-p_K6R7kAYBqyAiXZW33AxQryJ3/view?usp=drivesdk" TargetMode="External"/><Relationship Id="rId749" Type="http://schemas.openxmlformats.org/officeDocument/2006/relationships/hyperlink" Target="https://drive.google.com/file/d/1H4e3rbz2OiM6Tr_QSVVyK5p8mtS52Vha/view?usp=drivesdk" TargetMode="External"/><Relationship Id="rId506" Type="http://schemas.openxmlformats.org/officeDocument/2006/relationships/hyperlink" Target="https://drive.google.com/file/d/1KSZMZxw5aYIgBv_oC1bw-YDnRy_i3CEv/view?usp=drivesdk" TargetMode="External"/><Relationship Id="rId748" Type="http://schemas.openxmlformats.org/officeDocument/2006/relationships/hyperlink" Target="https://drive.google.com/file/d/1cLtthlNZKiIVK6fKx5_JkJ-8ts2_CGyb/view?usp=drivesdk" TargetMode="External"/><Relationship Id="rId505" Type="http://schemas.openxmlformats.org/officeDocument/2006/relationships/hyperlink" Target="https://drive.google.com/file/d/1hrLE9tmC6woOgAnczozM7tjmLaJHfA3X/view?usp=drivesdk" TargetMode="External"/><Relationship Id="rId747" Type="http://schemas.openxmlformats.org/officeDocument/2006/relationships/hyperlink" Target="https://drive.google.com/file/d/1JU9mQ6z29BsH_VMPPSg2gVX6tBWDWqyy/view?usp=drivesdk" TargetMode="External"/><Relationship Id="rId989" Type="http://schemas.openxmlformats.org/officeDocument/2006/relationships/hyperlink" Target="https://drive.google.com/file/d/1Cx1iPNgE5_X3GuYTuy6oQzSF6Vzhz7Uy/view?usp=drivesdk" TargetMode="External"/><Relationship Id="rId504" Type="http://schemas.openxmlformats.org/officeDocument/2006/relationships/hyperlink" Target="https://drive.google.com/file/d/1QTBQ-X3k6G_8lA2LSrMf1jVq24jBpQR7/view?usp=drivesdk" TargetMode="External"/><Relationship Id="rId746" Type="http://schemas.openxmlformats.org/officeDocument/2006/relationships/hyperlink" Target="https://drive.google.com/file/d/1m2Nthrtq57lScVf5IQR5DRKn-ZPKIDmG/view?usp=drivesdk" TargetMode="External"/><Relationship Id="rId988" Type="http://schemas.openxmlformats.org/officeDocument/2006/relationships/hyperlink" Target="https://drive.google.com/file/d/1pKsQBX0qMNBE0CStufHw8QudvNPKrV71/view?usp=drivesdk" TargetMode="External"/><Relationship Id="rId48" Type="http://schemas.openxmlformats.org/officeDocument/2006/relationships/hyperlink" Target="https://drive.google.com/file/d/1U6ASMemDR50MeZLzQ90P02i4TUXcsJQ-/view?usp=drivesdk" TargetMode="External"/><Relationship Id="rId47" Type="http://schemas.openxmlformats.org/officeDocument/2006/relationships/hyperlink" Target="https://drive.google.com/file/d/1U0fqf2s5R-OEjjDMSahtfLbuusl_PEh9/view?usp=drivesdk" TargetMode="External"/><Relationship Id="rId49" Type="http://schemas.openxmlformats.org/officeDocument/2006/relationships/hyperlink" Target="https://drive.google.com/file/d/1g0gRjIXLRjuqGEvhgh7TFjzUttEY-oC8/view?usp=drivesdk" TargetMode="External"/><Relationship Id="rId741" Type="http://schemas.openxmlformats.org/officeDocument/2006/relationships/hyperlink" Target="https://drive.google.com/file/d/1i3S-7aM0OXDAilSRqXq36Dl2ovtF_Eai/view?usp=drivesdk" TargetMode="External"/><Relationship Id="rId983" Type="http://schemas.openxmlformats.org/officeDocument/2006/relationships/hyperlink" Target="https://drive.google.com/file/d/1g2zZFhFcV6ZBhmiKLyzTDv9TOIvK_966/view?usp=drivesdk" TargetMode="External"/><Relationship Id="rId1330" Type="http://schemas.openxmlformats.org/officeDocument/2006/relationships/hyperlink" Target="https://drive.google.com/file/d/12vaFaFC3pYPNq2v5Bb27o2TdBofDuIJv/view?usp=drivesdk" TargetMode="External"/><Relationship Id="rId740" Type="http://schemas.openxmlformats.org/officeDocument/2006/relationships/hyperlink" Target="https://drive.google.com/file/d/1OdAyrrUs0oyBHeWWYBP2O2DSo41XRl0g/view?usp=drivesdk" TargetMode="External"/><Relationship Id="rId982" Type="http://schemas.openxmlformats.org/officeDocument/2006/relationships/hyperlink" Target="https://drive.google.com/file/d/1-M0-Vih-MCi1T87eM7XdSsLgjpMRai0a/view?usp=drivesdk" TargetMode="External"/><Relationship Id="rId1331" Type="http://schemas.openxmlformats.org/officeDocument/2006/relationships/hyperlink" Target="https://drive.google.com/file/d/1iXncbfkmTY55_-TN4_EoDJIBfj-XvQUA/view?usp=drivesdk" TargetMode="External"/><Relationship Id="rId981" Type="http://schemas.openxmlformats.org/officeDocument/2006/relationships/hyperlink" Target="https://drive.google.com/file/d/1zO3I1bKOsFfCtA0KK84NJA5lklHM9p8t/view?usp=drivesdk" TargetMode="External"/><Relationship Id="rId1332" Type="http://schemas.openxmlformats.org/officeDocument/2006/relationships/hyperlink" Target="https://drive.google.com/file/d/1f0zqOvUtbCK4nFhNweOhkw3-24tazfRl/view?usp=drivesdk" TargetMode="External"/><Relationship Id="rId980" Type="http://schemas.openxmlformats.org/officeDocument/2006/relationships/hyperlink" Target="https://drive.google.com/file/d/10VTg4tgG9BQeg8xCpkW6bV-MCfud2iGL/view?usp=drivesdk" TargetMode="External"/><Relationship Id="rId1333" Type="http://schemas.openxmlformats.org/officeDocument/2006/relationships/hyperlink" Target="https://drive.google.com/file/d/12s3_0uL1uB23ZAgERYO6BkBaCBLQfdEI/view?usp=drivesdk" TargetMode="External"/><Relationship Id="rId1323" Type="http://schemas.openxmlformats.org/officeDocument/2006/relationships/hyperlink" Target="https://drive.google.com/file/d/1SCSpPMNySb0vylAVIvsV9qZrZTlk9-pq/view?usp=drivesdk" TargetMode="External"/><Relationship Id="rId1324" Type="http://schemas.openxmlformats.org/officeDocument/2006/relationships/hyperlink" Target="https://drive.google.com/file/d/1q7omPXclTJ_SN6wlYj8m5hPce38V9L27/view?usp=drivesdk" TargetMode="External"/><Relationship Id="rId31" Type="http://schemas.openxmlformats.org/officeDocument/2006/relationships/hyperlink" Target="https://drive.google.com/file/d/1dw-Ptd50H-9Hc6Mh2DWENxM2x-UmrpGF/view?usp=drivesdk" TargetMode="External"/><Relationship Id="rId1325" Type="http://schemas.openxmlformats.org/officeDocument/2006/relationships/hyperlink" Target="https://drive.google.com/file/d/1W-OatYKQTNVJUdTGX-UtsQSZ1Bbl2HRb/view?usp=drivesdk" TargetMode="External"/><Relationship Id="rId30" Type="http://schemas.openxmlformats.org/officeDocument/2006/relationships/hyperlink" Target="https://drive.google.com/file/d/1O2X9odFj64VbNxugD3-wUy8cjK3yPDYo/view?usp=drivesdk" TargetMode="External"/><Relationship Id="rId1326" Type="http://schemas.openxmlformats.org/officeDocument/2006/relationships/hyperlink" Target="https://drive.google.com/file/d/1am_r1Ug7tmcGI8se9y2uzAiJCpAZ2wC7/view?usp=drivesdk" TargetMode="External"/><Relationship Id="rId33" Type="http://schemas.openxmlformats.org/officeDocument/2006/relationships/hyperlink" Target="https://drive.google.com/file/d/1uHD5o3n-FD3FnZMLbEXV9Zta0ONXaIQf/view?usp=drivesdk" TargetMode="External"/><Relationship Id="rId1327" Type="http://schemas.openxmlformats.org/officeDocument/2006/relationships/hyperlink" Target="https://drive.google.com/file/d/13LtFcm5xPrC5-ZXF2r5vMtbOQAwbgfZ5/view?usp=drivesdk" TargetMode="External"/><Relationship Id="rId32" Type="http://schemas.openxmlformats.org/officeDocument/2006/relationships/hyperlink" Target="https://drive.google.com/file/d/14anGtu9WnFLeXByCFeIk1wPOGn6JT_W9/view?usp=drivesdk" TargetMode="External"/><Relationship Id="rId1328" Type="http://schemas.openxmlformats.org/officeDocument/2006/relationships/hyperlink" Target="https://drive.google.com/file/d/1YfX44b9ic04btKo6wFV5wcZ5K76_PELb/view?usp=drivesdk" TargetMode="External"/><Relationship Id="rId35" Type="http://schemas.openxmlformats.org/officeDocument/2006/relationships/hyperlink" Target="https://drive.google.com/file/d/14oCDy1OWC-mXC63ZFwTDPEiZxUfT6PC2/view?usp=drivesdk" TargetMode="External"/><Relationship Id="rId1329" Type="http://schemas.openxmlformats.org/officeDocument/2006/relationships/hyperlink" Target="https://drive.google.com/file/d/1nZTZME7JUcWE9qwaAn33lN7LiwdSXh_W/view?usp=drivesdk" TargetMode="External"/><Relationship Id="rId34" Type="http://schemas.openxmlformats.org/officeDocument/2006/relationships/hyperlink" Target="https://drive.google.com/file/d/1ny4ryAx69_NJtaj_kuP_7ewDOxUOT-xI/view?usp=drivesdk" TargetMode="External"/><Relationship Id="rId739" Type="http://schemas.openxmlformats.org/officeDocument/2006/relationships/hyperlink" Target="https://drive.google.com/file/d/1Qvh6mdLwaSkvYJrm4e5uSnDavJj5Hmaw/view?usp=drivesdk" TargetMode="External"/><Relationship Id="rId734" Type="http://schemas.openxmlformats.org/officeDocument/2006/relationships/hyperlink" Target="https://drive.google.com/file/d/1dA1NW6KRznD4HqnLoVoM09LJ1NApDpL1/view?usp=drivesdk" TargetMode="External"/><Relationship Id="rId976" Type="http://schemas.openxmlformats.org/officeDocument/2006/relationships/hyperlink" Target="https://drive.google.com/file/d/1CZwhzkf5yCGvXvYxN2oEE4K1K7_mibz-/view?usp=drivesdk" TargetMode="External"/><Relationship Id="rId733" Type="http://schemas.openxmlformats.org/officeDocument/2006/relationships/hyperlink" Target="https://drive.google.com/file/d/1MxeMctbq0r5HOwwT4tcSeCrb6PMbyMMh/view?usp=drivesdk" TargetMode="External"/><Relationship Id="rId975" Type="http://schemas.openxmlformats.org/officeDocument/2006/relationships/hyperlink" Target="https://drive.google.com/file/d/1o0lL1mk9FPfChC9iNcloNKtjJHCanLiQ/view?usp=drivesdk" TargetMode="External"/><Relationship Id="rId732" Type="http://schemas.openxmlformats.org/officeDocument/2006/relationships/hyperlink" Target="https://drive.google.com/file/d/1E4rorM1zwCrID19CS3q85vFnRipZHCj_/view?usp=drivesdk" TargetMode="External"/><Relationship Id="rId974" Type="http://schemas.openxmlformats.org/officeDocument/2006/relationships/hyperlink" Target="https://drive.google.com/file/d/1V2Encew7RYWRr2YRiFsasEasDvcU9JLv/view?usp=drivesdk" TargetMode="External"/><Relationship Id="rId731" Type="http://schemas.openxmlformats.org/officeDocument/2006/relationships/hyperlink" Target="https://drive.google.com/file/d/1VF2gsJ0XY5g_VM2T0yA2NYo4_l69XTmi/view?usp=drivesdk" TargetMode="External"/><Relationship Id="rId973" Type="http://schemas.openxmlformats.org/officeDocument/2006/relationships/hyperlink" Target="https://drive.google.com/file/d/1CF1wZY3gNTsSpEASbdxI30ZL3-rdn071/view?usp=drivesdk" TargetMode="External"/><Relationship Id="rId738" Type="http://schemas.openxmlformats.org/officeDocument/2006/relationships/hyperlink" Target="https://drive.google.com/file/d/1LbGnUe-hH-tJxosOpQsKw8EgPj7stPLN/view?usp=drivesdk" TargetMode="External"/><Relationship Id="rId737" Type="http://schemas.openxmlformats.org/officeDocument/2006/relationships/hyperlink" Target="https://drive.google.com/file/d/1V631CHOaeNaqLVO_y7WNGDvai9VjNMJL/view?usp=drivesdk" TargetMode="External"/><Relationship Id="rId979" Type="http://schemas.openxmlformats.org/officeDocument/2006/relationships/hyperlink" Target="https://drive.google.com/file/d/1gFyOuuap6qDv9lagn0-GY7x6o13Y0OeB/view?usp=drivesdk" TargetMode="External"/><Relationship Id="rId736" Type="http://schemas.openxmlformats.org/officeDocument/2006/relationships/hyperlink" Target="https://drive.google.com/file/d/1suOB0YyIZquzNPSemyhLTH1wrI9o_Sf0/view?usp=drivesdk" TargetMode="External"/><Relationship Id="rId978" Type="http://schemas.openxmlformats.org/officeDocument/2006/relationships/hyperlink" Target="https://drive.google.com/file/d/1H-uc5Zvi4jLZ_IMgjqeyXK6cBN8jBPXC/view?usp=drivesdk" TargetMode="External"/><Relationship Id="rId735" Type="http://schemas.openxmlformats.org/officeDocument/2006/relationships/hyperlink" Target="https://drive.google.com/file/d/1Fi78ds-z9wUFBSDgSIdWHqv7lH7CzS9z/view?usp=drivesdk" TargetMode="External"/><Relationship Id="rId977" Type="http://schemas.openxmlformats.org/officeDocument/2006/relationships/hyperlink" Target="https://drive.google.com/file/d/1BuOZ8Hj_misf0v04uaaa2_Uqx36h5VDF/view?usp=drivesdk" TargetMode="External"/><Relationship Id="rId37" Type="http://schemas.openxmlformats.org/officeDocument/2006/relationships/hyperlink" Target="https://drive.google.com/file/d/1EEgWPTqTPTf5BypxPWiW1RqAX4ZCJsUC/view?usp=drivesdk" TargetMode="External"/><Relationship Id="rId36" Type="http://schemas.openxmlformats.org/officeDocument/2006/relationships/hyperlink" Target="https://drive.google.com/file/d/1ozSgNde2Ym21NhsDwG5z2rWHzDgLfnPV/view?usp=drivesdk" TargetMode="External"/><Relationship Id="rId39" Type="http://schemas.openxmlformats.org/officeDocument/2006/relationships/hyperlink" Target="https://drive.google.com/file/d/1xfX7PF0E29OnQ_ExK6bcNhAUg_vGEOoI/view?usp=drivesdk" TargetMode="External"/><Relationship Id="rId38" Type="http://schemas.openxmlformats.org/officeDocument/2006/relationships/hyperlink" Target="https://drive.google.com/file/d/1Px2yc2lA7fQjhlYzEnz8dTRSPijFKlt2/view?usp=drivesdk" TargetMode="External"/><Relationship Id="rId730" Type="http://schemas.openxmlformats.org/officeDocument/2006/relationships/hyperlink" Target="https://drive.google.com/file/d/1MXa8ciWYvenZLusMX_9C0faZ71PtXJdc/view?usp=drivesdk" TargetMode="External"/><Relationship Id="rId972" Type="http://schemas.openxmlformats.org/officeDocument/2006/relationships/hyperlink" Target="https://drive.google.com/file/d/1kBhSce1erh3YA3QFYVtNsxfGErmvMObc/view?usp=drivesdk" TargetMode="External"/><Relationship Id="rId971" Type="http://schemas.openxmlformats.org/officeDocument/2006/relationships/hyperlink" Target="https://drive.google.com/file/d/1nNN9G5M5NS5__zYGyqUxKr12cTcKUORj/view?usp=drivesdk" TargetMode="External"/><Relationship Id="rId1320" Type="http://schemas.openxmlformats.org/officeDocument/2006/relationships/hyperlink" Target="https://drive.google.com/file/d/1UM-XbH6nJUx-WKhsONPiEcxspvUmq732/view?usp=drivesdk" TargetMode="External"/><Relationship Id="rId970" Type="http://schemas.openxmlformats.org/officeDocument/2006/relationships/hyperlink" Target="https://drive.google.com/file/d/1Ujnq2vfajTnHrIMN7nsuBh2wEhqlto8u/view?usp=drivesdk" TargetMode="External"/><Relationship Id="rId1321" Type="http://schemas.openxmlformats.org/officeDocument/2006/relationships/hyperlink" Target="https://drive.google.com/file/d/10S8mf0_Aiag4qKSHsd8T8pJDFkfebyQR/view?usp=drivesdk" TargetMode="External"/><Relationship Id="rId1322" Type="http://schemas.openxmlformats.org/officeDocument/2006/relationships/hyperlink" Target="https://drive.google.com/file/d/1IKoegxGDrveWbt7SNC3haCUh2P4Uwjhm/view?usp=drivesdk" TargetMode="External"/><Relationship Id="rId1114" Type="http://schemas.openxmlformats.org/officeDocument/2006/relationships/hyperlink" Target="https://drive.google.com/file/d/1uSmC6gg27UJ2wuBh1j1DWJ4WpkCi3ANK/view?usp=drivesdk" TargetMode="External"/><Relationship Id="rId1115" Type="http://schemas.openxmlformats.org/officeDocument/2006/relationships/hyperlink" Target="https://drive.google.com/file/d/104Z2WiqwUXRjDi54lJPMGpN85TY2JgLX/view?usp=drivesdk" TargetMode="External"/><Relationship Id="rId20" Type="http://schemas.openxmlformats.org/officeDocument/2006/relationships/hyperlink" Target="https://drive.google.com/file/d/14vNaogpj8ilnXTRcV2Gw6sXu4XjK2Hta/view?usp=drivesdk" TargetMode="External"/><Relationship Id="rId1116" Type="http://schemas.openxmlformats.org/officeDocument/2006/relationships/hyperlink" Target="https://drive.google.com/file/d/1rI3-xl8C7x0sAWCqvuPY7NtE1Hv-cqfm/view?usp=drivesdk" TargetMode="External"/><Relationship Id="rId1117" Type="http://schemas.openxmlformats.org/officeDocument/2006/relationships/hyperlink" Target="https://drive.google.com/file/d/1y63JhyNiZD6Qx1WxSEbYDZxiqJmpwPkM/view?usp=drivesdk" TargetMode="External"/><Relationship Id="rId22" Type="http://schemas.openxmlformats.org/officeDocument/2006/relationships/hyperlink" Target="https://drive.google.com/file/d/1y0oVcbXwyavgnH3iVNx1l0ai9_mmjKAx/view?usp=drivesdk" TargetMode="External"/><Relationship Id="rId1118" Type="http://schemas.openxmlformats.org/officeDocument/2006/relationships/hyperlink" Target="https://drive.google.com/file/d/1n_Rzx4QVizl9jDO4MFBHpbzunAKuqSys/view?usp=drivesdk" TargetMode="External"/><Relationship Id="rId21" Type="http://schemas.openxmlformats.org/officeDocument/2006/relationships/hyperlink" Target="https://drive.google.com/file/d/1ViLdVQA_-hOe33FFUj2TF_MT17J4ZiVx/view?usp=drivesdk" TargetMode="External"/><Relationship Id="rId1119" Type="http://schemas.openxmlformats.org/officeDocument/2006/relationships/hyperlink" Target="https://drive.google.com/file/d/13705YYlhlMJrnAdoeTmZo-dHv9NFXz7d/view?usp=drivesdk" TargetMode="External"/><Relationship Id="rId24" Type="http://schemas.openxmlformats.org/officeDocument/2006/relationships/hyperlink" Target="https://drive.google.com/file/d/1QJ8782dNxX0Bu9nXd2T6hdlXLh6aKeGE/view?usp=drivesdk" TargetMode="External"/><Relationship Id="rId23" Type="http://schemas.openxmlformats.org/officeDocument/2006/relationships/hyperlink" Target="https://drive.google.com/file/d/18kGF12W0nZx3JnyEWpyoXXf01F87fUMt/view?usp=drivesdk" TargetMode="External"/><Relationship Id="rId525" Type="http://schemas.openxmlformats.org/officeDocument/2006/relationships/hyperlink" Target="https://drive.google.com/file/d/122-Sm2m1ABUtwUCrntQE1dQnX_oLKHjy/view?usp=drivesdk" TargetMode="External"/><Relationship Id="rId767" Type="http://schemas.openxmlformats.org/officeDocument/2006/relationships/hyperlink" Target="https://drive.google.com/file/d/1Nsvkn4sFreup8wQbwoaE8f1R_8VVDeaN/view?usp=drivesdk" TargetMode="External"/><Relationship Id="rId524" Type="http://schemas.openxmlformats.org/officeDocument/2006/relationships/hyperlink" Target="https://drive.google.com/file/d/1PZm5D4o0iOlGkkaiyBFYlCRK4dOtlh1G/view?usp=drivesdk" TargetMode="External"/><Relationship Id="rId766" Type="http://schemas.openxmlformats.org/officeDocument/2006/relationships/hyperlink" Target="https://drive.google.com/file/d/1zldDakR0PajbzcJS70-lXVXmrSFpMTuI/view?usp=drivesdk" TargetMode="External"/><Relationship Id="rId523" Type="http://schemas.openxmlformats.org/officeDocument/2006/relationships/hyperlink" Target="https://drive.google.com/file/d/1rhop4LbH87qj06Ygp7YOtVAFcQbdHnWj/view?usp=drivesdk" TargetMode="External"/><Relationship Id="rId765" Type="http://schemas.openxmlformats.org/officeDocument/2006/relationships/hyperlink" Target="https://drive.google.com/file/d/1NHIztSR98VAsJHC1D3IxCIIPl6sIjHgx/view?usp=drivesdk" TargetMode="External"/><Relationship Id="rId522" Type="http://schemas.openxmlformats.org/officeDocument/2006/relationships/hyperlink" Target="https://drive.google.com/file/d/1qm7s1j1acxWo1TkAb8I1Q4TrqoU_AJZU/view?usp=drivesdk" TargetMode="External"/><Relationship Id="rId764" Type="http://schemas.openxmlformats.org/officeDocument/2006/relationships/hyperlink" Target="https://drive.google.com/file/d/15TYtsYzqBxVGOzufE4-rSnnCn9HQqO1l/view?usp=drivesdk" TargetMode="External"/><Relationship Id="rId529" Type="http://schemas.openxmlformats.org/officeDocument/2006/relationships/hyperlink" Target="https://drive.google.com/file/d/1fR231AJPOIgqOB3N_rR5UmPj8ysz2wxl/view?usp=drivesdk" TargetMode="External"/><Relationship Id="rId528" Type="http://schemas.openxmlformats.org/officeDocument/2006/relationships/hyperlink" Target="https://drive.google.com/file/d/1Ok-qMr_zvblE6jN3JZ0pb4Rx--DZ9_7K/view?usp=drivesdk" TargetMode="External"/><Relationship Id="rId527" Type="http://schemas.openxmlformats.org/officeDocument/2006/relationships/hyperlink" Target="https://drive.google.com/file/d/1p9LdMav26QTnoPfljCN6qlglgiW9WMH9/view?usp=drivesdk" TargetMode="External"/><Relationship Id="rId769" Type="http://schemas.openxmlformats.org/officeDocument/2006/relationships/hyperlink" Target="https://drive.google.com/file/d/1CBDXGLfIj_ROMygBx6yZ06xCvM9bUvGr/view?usp=drivesdk" TargetMode="External"/><Relationship Id="rId526" Type="http://schemas.openxmlformats.org/officeDocument/2006/relationships/hyperlink" Target="https://drive.google.com/file/d/1_zdaT-jZ07Nxn9eNGBbSaggQFU5gsF8v/view?usp=drivesdk" TargetMode="External"/><Relationship Id="rId768" Type="http://schemas.openxmlformats.org/officeDocument/2006/relationships/hyperlink" Target="https://drive.google.com/file/d/1HENecsKxGr1OV6qawnWIpVYhCx-04Sdv/view?usp=drivesdk" TargetMode="External"/><Relationship Id="rId26" Type="http://schemas.openxmlformats.org/officeDocument/2006/relationships/hyperlink" Target="https://drive.google.com/file/d/1mbug-T6maELyd90i9jGi4t3Gn3Co91uT/view?usp=drivesdk" TargetMode="External"/><Relationship Id="rId25" Type="http://schemas.openxmlformats.org/officeDocument/2006/relationships/hyperlink" Target="https://drive.google.com/file/d/1YsF1R2szHKKe1GAGW_Jw1AM760XoY9_G/view?usp=drivesdk" TargetMode="External"/><Relationship Id="rId28" Type="http://schemas.openxmlformats.org/officeDocument/2006/relationships/hyperlink" Target="https://drive.google.com/file/d/1ZzMFEinZnR7pf8OmsTE2t3CQGAz2ARkP/view?usp=drivesdk" TargetMode="External"/><Relationship Id="rId27" Type="http://schemas.openxmlformats.org/officeDocument/2006/relationships/hyperlink" Target="https://drive.google.com/file/d/1mEzh41oz_2hRCXX7H4WdkXV0nv850e_O/view?usp=drivesdk" TargetMode="External"/><Relationship Id="rId521" Type="http://schemas.openxmlformats.org/officeDocument/2006/relationships/hyperlink" Target="https://drive.google.com/file/d/1x8DU19ZF-h1XA8TwGFT9Xy5trtjKD0m6/view?usp=drivesdk" TargetMode="External"/><Relationship Id="rId763" Type="http://schemas.openxmlformats.org/officeDocument/2006/relationships/hyperlink" Target="https://drive.google.com/file/d/1h2MX-dnK3aEKBXIOO4qAuYg4R49YezkH/view?usp=drivesdk" TargetMode="External"/><Relationship Id="rId1110" Type="http://schemas.openxmlformats.org/officeDocument/2006/relationships/hyperlink" Target="https://drive.google.com/file/d/1wlZ6xxNDnwJ0QVq1ws_OOWpUTkgPg5TD/view?usp=drivesdk" TargetMode="External"/><Relationship Id="rId29" Type="http://schemas.openxmlformats.org/officeDocument/2006/relationships/hyperlink" Target="https://drive.google.com/file/d/1avmG1ZuzkOPeALMQvqE_0-IISAPqvitz/view?usp=drivesdk" TargetMode="External"/><Relationship Id="rId520" Type="http://schemas.openxmlformats.org/officeDocument/2006/relationships/hyperlink" Target="https://drive.google.com/file/d/1xmC4FYmyDWcFu72XItmvkS-rSMrn2yxt/view?usp=drivesdk" TargetMode="External"/><Relationship Id="rId762" Type="http://schemas.openxmlformats.org/officeDocument/2006/relationships/hyperlink" Target="https://drive.google.com/file/d/1p9NYWXLFJ0ES5ht6b4hWa4BK_o0ztrk_/view?usp=drivesdk" TargetMode="External"/><Relationship Id="rId1111" Type="http://schemas.openxmlformats.org/officeDocument/2006/relationships/hyperlink" Target="https://drive.google.com/file/d/1EaWOdmSZRHJ-rFZZfrZvAnqZUXei3NrV/view?usp=drivesdk" TargetMode="External"/><Relationship Id="rId761" Type="http://schemas.openxmlformats.org/officeDocument/2006/relationships/hyperlink" Target="https://drive.google.com/file/d/1enYdWxVYliKAIFlScCa1BTa87erYs4ga/view?usp=drivesdk" TargetMode="External"/><Relationship Id="rId1112" Type="http://schemas.openxmlformats.org/officeDocument/2006/relationships/hyperlink" Target="https://drive.google.com/file/d/1lN66n2niMiMUYS59uOTFXzNxeBiXQQxi/view?usp=drivesdk" TargetMode="External"/><Relationship Id="rId760" Type="http://schemas.openxmlformats.org/officeDocument/2006/relationships/hyperlink" Target="https://drive.google.com/file/d/1VZGD5vZFRHaH1KWVZ2Yj4C-F9c7E5z7k/view?usp=drivesdk" TargetMode="External"/><Relationship Id="rId1113" Type="http://schemas.openxmlformats.org/officeDocument/2006/relationships/hyperlink" Target="https://drive.google.com/file/d/1O25XGUHYDnvvBO_f7ADqKR1qPqfs8acz/view?usp=drivesdk" TargetMode="External"/><Relationship Id="rId1103" Type="http://schemas.openxmlformats.org/officeDocument/2006/relationships/hyperlink" Target="https://drive.google.com/file/d/1x0ZhgL2SEiFrhOTcx2AS22awUWDV5tRK/view?usp=drivesdk" TargetMode="External"/><Relationship Id="rId1104" Type="http://schemas.openxmlformats.org/officeDocument/2006/relationships/hyperlink" Target="https://drive.google.com/file/d/1VIOvwaU6MUSXHhuIm6gfnpfsLhvVEBbj/view?usp=drivesdk" TargetMode="External"/><Relationship Id="rId1105" Type="http://schemas.openxmlformats.org/officeDocument/2006/relationships/hyperlink" Target="https://drive.google.com/file/d/1GphMi3apYu8gE5q7JrN46o3ppqZ6o7gV/view?usp=drivesdk" TargetMode="External"/><Relationship Id="rId1106" Type="http://schemas.openxmlformats.org/officeDocument/2006/relationships/hyperlink" Target="https://drive.google.com/file/d/11Hj45kexgMsNjvUAUd4cu4xJu1WhZ2ZB/view?usp=drivesdk" TargetMode="External"/><Relationship Id="rId11" Type="http://schemas.openxmlformats.org/officeDocument/2006/relationships/hyperlink" Target="https://drive.google.com/file/d/1RmLiraFC_x-9GiCtWSP0vAoYKs4lgwii/view?usp=drivesdk" TargetMode="External"/><Relationship Id="rId1107" Type="http://schemas.openxmlformats.org/officeDocument/2006/relationships/hyperlink" Target="https://drive.google.com/file/d/1eTlb1hZlxRDQiLNJxNBakma298ZeN9e5/view?usp=drivesdk" TargetMode="External"/><Relationship Id="rId10" Type="http://schemas.openxmlformats.org/officeDocument/2006/relationships/hyperlink" Target="https://drive.google.com/file/d/1irXIgCmq3UnSp45OWMM9Etq88MPeQua6/view?usp=drivesdk" TargetMode="External"/><Relationship Id="rId1108" Type="http://schemas.openxmlformats.org/officeDocument/2006/relationships/hyperlink" Target="https://drive.google.com/file/d/1t_GXktogUPx-Rbys1IGLrRNd6O98n8Iv/view?usp=drivesdk" TargetMode="External"/><Relationship Id="rId13" Type="http://schemas.openxmlformats.org/officeDocument/2006/relationships/hyperlink" Target="https://drive.google.com/file/d/13iW9V8aKH2qijagfAQu5rCdBu6T3IhIQ/view?usp=drivesdk" TargetMode="External"/><Relationship Id="rId1109" Type="http://schemas.openxmlformats.org/officeDocument/2006/relationships/hyperlink" Target="https://drive.google.com/file/d/1zy9zKr3GkQ_xjxVG77bcqoTGYHkA-Mz5/view?usp=drivesdk" TargetMode="External"/><Relationship Id="rId12" Type="http://schemas.openxmlformats.org/officeDocument/2006/relationships/hyperlink" Target="https://drive.google.com/file/d/1X3PX9-STZZwvhMPpui9ixg0pImxiX_dW/view?usp=drivesdk" TargetMode="External"/><Relationship Id="rId519" Type="http://schemas.openxmlformats.org/officeDocument/2006/relationships/hyperlink" Target="https://drive.google.com/file/d/1WILgo7Bf2BDBolWguczsUa5TW4l4NZdz/view?usp=drivesdk" TargetMode="External"/><Relationship Id="rId514" Type="http://schemas.openxmlformats.org/officeDocument/2006/relationships/hyperlink" Target="https://drive.google.com/file/d/1L8jYGmoCbnUv8fU2a3BEMvsq_-OhOPgQ/view?usp=drivesdk" TargetMode="External"/><Relationship Id="rId756" Type="http://schemas.openxmlformats.org/officeDocument/2006/relationships/hyperlink" Target="https://drive.google.com/file/d/18wBKEaW_oyeJSIMeYb95Az53qH9WYmaw/view?usp=drivesdk" TargetMode="External"/><Relationship Id="rId998" Type="http://schemas.openxmlformats.org/officeDocument/2006/relationships/hyperlink" Target="https://drive.google.com/file/d/18H6y3VEEqmaLu1Wafhhtj244anYSDIG_/view?usp=drivesdk" TargetMode="External"/><Relationship Id="rId513" Type="http://schemas.openxmlformats.org/officeDocument/2006/relationships/hyperlink" Target="https://drive.google.com/file/d/1vwvYoACLP9NYefNsE_kbwGkgw8jz8piw/view?usp=drivesdk" TargetMode="External"/><Relationship Id="rId755" Type="http://schemas.openxmlformats.org/officeDocument/2006/relationships/hyperlink" Target="https://drive.google.com/file/d/1FWUEMxbrgc3APxcpOEvbJEQyCRZIEHfH/view?usp=drivesdk" TargetMode="External"/><Relationship Id="rId997" Type="http://schemas.openxmlformats.org/officeDocument/2006/relationships/hyperlink" Target="https://drive.google.com/file/d/17LTtOciU7OQaX7GZjPfNbfjOSxhTDxvW/view?usp=drivesdk" TargetMode="External"/><Relationship Id="rId512" Type="http://schemas.openxmlformats.org/officeDocument/2006/relationships/hyperlink" Target="https://drive.google.com/file/d/12XwZs4v4KzRkuxHJIXNN0KPaDTekdM_3/view?usp=drivesdk" TargetMode="External"/><Relationship Id="rId754" Type="http://schemas.openxmlformats.org/officeDocument/2006/relationships/hyperlink" Target="https://drive.google.com/file/d/1RA8-hAvgTxc4mUHsWXuRMOH5sHgpFA-e/view?usp=drivesdk" TargetMode="External"/><Relationship Id="rId996" Type="http://schemas.openxmlformats.org/officeDocument/2006/relationships/hyperlink" Target="https://drive.google.com/file/d/1v3gumb5LFKiLh_M-1a_SVhekG7Jxhaw_/view?usp=drivesdk" TargetMode="External"/><Relationship Id="rId511" Type="http://schemas.openxmlformats.org/officeDocument/2006/relationships/hyperlink" Target="https://drive.google.com/file/d/1UNyNy03V7ZXzCO8xqqfzwprae-nuBvRr/view?usp=drivesdk" TargetMode="External"/><Relationship Id="rId753" Type="http://schemas.openxmlformats.org/officeDocument/2006/relationships/hyperlink" Target="https://drive.google.com/file/d/1bfGlVl7WOLLV_Y2gs1QLbYzTROo6ofYQ/view?usp=drivesdk" TargetMode="External"/><Relationship Id="rId995" Type="http://schemas.openxmlformats.org/officeDocument/2006/relationships/hyperlink" Target="https://drive.google.com/file/d/1HAf777S33XAChkvE37Ap9P1ACixeezPE/view?usp=drivesdk" TargetMode="External"/><Relationship Id="rId518" Type="http://schemas.openxmlformats.org/officeDocument/2006/relationships/hyperlink" Target="https://drive.google.com/file/d/1n_lm9AMDcxljMUUiJ_ky0EB-JK5Cwuvp/view?usp=drivesdk" TargetMode="External"/><Relationship Id="rId517" Type="http://schemas.openxmlformats.org/officeDocument/2006/relationships/hyperlink" Target="https://drive.google.com/file/d/1x_s-nnza5MAx9P3IgHQuMjSpm6iNAqh1/view?usp=drivesdk" TargetMode="External"/><Relationship Id="rId759" Type="http://schemas.openxmlformats.org/officeDocument/2006/relationships/hyperlink" Target="https://drive.google.com/file/d/1f_ydedLr_VKKZtbC10Dpp98q7X2e9hSW/view?usp=drivesdk" TargetMode="External"/><Relationship Id="rId516" Type="http://schemas.openxmlformats.org/officeDocument/2006/relationships/hyperlink" Target="https://drive.google.com/file/d/1eWOwL6d6iy-OPGAYPFMMk239A9OwZS3b/view?usp=drivesdk" TargetMode="External"/><Relationship Id="rId758" Type="http://schemas.openxmlformats.org/officeDocument/2006/relationships/hyperlink" Target="https://drive.google.com/file/d/1WJgQ6iIhJaymANwYjWtUN7KvmCL68BUC/view?usp=drivesdk" TargetMode="External"/><Relationship Id="rId515" Type="http://schemas.openxmlformats.org/officeDocument/2006/relationships/hyperlink" Target="https://drive.google.com/file/d/1UJHnNsFvIU-_p4wOIHM9qwADIxtYFoNg/view?usp=drivesdk" TargetMode="External"/><Relationship Id="rId757" Type="http://schemas.openxmlformats.org/officeDocument/2006/relationships/hyperlink" Target="https://drive.google.com/file/d/1fm8Urkyl82htjTvl4a6MbDoLSkFS0B1t/view?usp=drivesdk" TargetMode="External"/><Relationship Id="rId999" Type="http://schemas.openxmlformats.org/officeDocument/2006/relationships/hyperlink" Target="https://drive.google.com/file/d/1yeOdKFX4iOSr_8sDraFjC2dMZQrgj1v1/view?usp=drivesdk" TargetMode="External"/><Relationship Id="rId15" Type="http://schemas.openxmlformats.org/officeDocument/2006/relationships/hyperlink" Target="https://drive.google.com/file/d/1c9sYOLd2AoaTQTHaw91jjbQ7hND_ffPH/view?usp=drivesdk" TargetMode="External"/><Relationship Id="rId990" Type="http://schemas.openxmlformats.org/officeDocument/2006/relationships/hyperlink" Target="https://drive.google.com/file/d/1jmiqFU271skqNv1Jv8DuVPNQEOB-Fw61/view?usp=drivesdk" TargetMode="External"/><Relationship Id="rId14" Type="http://schemas.openxmlformats.org/officeDocument/2006/relationships/hyperlink" Target="https://drive.google.com/file/d/1bmgNaIBveO7fhm1ohE3nT6KwNuVmYaol/view?usp=drivesdk" TargetMode="External"/><Relationship Id="rId17" Type="http://schemas.openxmlformats.org/officeDocument/2006/relationships/hyperlink" Target="https://drive.google.com/file/d/1Y-r3ggNOwYWX1pR8SKsU4XfDZ2aRmAjk/view?usp=drivesdk" TargetMode="External"/><Relationship Id="rId16" Type="http://schemas.openxmlformats.org/officeDocument/2006/relationships/hyperlink" Target="https://drive.google.com/file/d/1XEST2q3ZUtr-B8qA6o1q8J3gm5J1MJRL/view?usp=drivesdk" TargetMode="External"/><Relationship Id="rId19" Type="http://schemas.openxmlformats.org/officeDocument/2006/relationships/hyperlink" Target="https://drive.google.com/file/d/15w0PoontBUoL0iw3cfyEGBPjbnt8qipR/view?usp=drivesdk" TargetMode="External"/><Relationship Id="rId510" Type="http://schemas.openxmlformats.org/officeDocument/2006/relationships/hyperlink" Target="https://drive.google.com/file/d/1ElytO8UbrxiJUQidGmGzTMFp6tIpskF4/view?usp=drivesdk" TargetMode="External"/><Relationship Id="rId752" Type="http://schemas.openxmlformats.org/officeDocument/2006/relationships/hyperlink" Target="https://drive.google.com/file/d/1YiYJi3ZoiWpRAfKQf6eMCEI7_pqLImAY/view?usp=drivesdk" TargetMode="External"/><Relationship Id="rId994" Type="http://schemas.openxmlformats.org/officeDocument/2006/relationships/hyperlink" Target="https://drive.google.com/file/d/1MGh_NjS38tpYzX4vuJJ23N2WmUnvlKyO/view?usp=drivesdk" TargetMode="External"/><Relationship Id="rId18" Type="http://schemas.openxmlformats.org/officeDocument/2006/relationships/hyperlink" Target="https://drive.google.com/file/d/12LUy-jcdhnSyPxLky-4JP1YWD_3chyke/view?usp=drivesdk" TargetMode="External"/><Relationship Id="rId751" Type="http://schemas.openxmlformats.org/officeDocument/2006/relationships/hyperlink" Target="https://drive.google.com/file/d/1QVKUHnhzAnypvtfyDaV9c5J2Dc68Vu_J/view?usp=drivesdk" TargetMode="External"/><Relationship Id="rId993" Type="http://schemas.openxmlformats.org/officeDocument/2006/relationships/hyperlink" Target="https://drive.google.com/file/d/16QBVv4M69c2mj59yrECqRazWOrlccnf6/view?usp=drivesdk" TargetMode="External"/><Relationship Id="rId1100" Type="http://schemas.openxmlformats.org/officeDocument/2006/relationships/hyperlink" Target="https://drive.google.com/file/d/1v0yfj5yytbjHE10aE3X_yMpbE7DxTpgo/view?usp=drivesdk" TargetMode="External"/><Relationship Id="rId750" Type="http://schemas.openxmlformats.org/officeDocument/2006/relationships/hyperlink" Target="https://drive.google.com/file/d/1yh8tvzS5rWJfMSCqpotIV_oz3xYuyJce/view?usp=drivesdk" TargetMode="External"/><Relationship Id="rId992" Type="http://schemas.openxmlformats.org/officeDocument/2006/relationships/hyperlink" Target="https://drive.google.com/file/d/1HqJOHMYJvgBCcoc9JjGoJyTes52DbljC/view?usp=drivesdk" TargetMode="External"/><Relationship Id="rId1101" Type="http://schemas.openxmlformats.org/officeDocument/2006/relationships/hyperlink" Target="https://drive.google.com/file/d/1m9FZdwGKBLDV4-zXg2jrrk2BUvKY-ca6/view?usp=drivesdk" TargetMode="External"/><Relationship Id="rId991" Type="http://schemas.openxmlformats.org/officeDocument/2006/relationships/hyperlink" Target="https://drive.google.com/file/d/1gJlqvzGIIINMOuwGq9_l_USgxoys8jIH/view?usp=drivesdk" TargetMode="External"/><Relationship Id="rId1102" Type="http://schemas.openxmlformats.org/officeDocument/2006/relationships/hyperlink" Target="https://drive.google.com/file/d/1xuWF9i3X0JCgGpsXYEhwf_sliPCIYTnn/view?usp=drivesdk" TargetMode="External"/><Relationship Id="rId84" Type="http://schemas.openxmlformats.org/officeDocument/2006/relationships/hyperlink" Target="https://drive.google.com/file/d/1EOw8aQbqNsYiURtjjfo8KMD0rb4_smXn/view?usp=drivesdk" TargetMode="External"/><Relationship Id="rId83" Type="http://schemas.openxmlformats.org/officeDocument/2006/relationships/hyperlink" Target="https://drive.google.com/file/d/196LgbIQNrlahy-8_wu4ok7sVznOuH4fA/view?usp=drivesdk" TargetMode="External"/><Relationship Id="rId86" Type="http://schemas.openxmlformats.org/officeDocument/2006/relationships/hyperlink" Target="https://drive.google.com/file/d/1sYOCb8e7z6SmURFH0rIIS3QwI3y-Jg3l/view?usp=drivesdk" TargetMode="External"/><Relationship Id="rId85" Type="http://schemas.openxmlformats.org/officeDocument/2006/relationships/hyperlink" Target="https://drive.google.com/file/d/1FILS7B4D9ErWIEMAev7tTPH_WGs1dm4c/view?usp=drivesdk" TargetMode="External"/><Relationship Id="rId88" Type="http://schemas.openxmlformats.org/officeDocument/2006/relationships/hyperlink" Target="https://drive.google.com/file/d/1vp2511PwORXvXYLevqCufzdwacKcQVC2/view?usp=drivesdk" TargetMode="External"/><Relationship Id="rId87" Type="http://schemas.openxmlformats.org/officeDocument/2006/relationships/hyperlink" Target="https://drive.google.com/file/d/1z08ZiYSgSoE88LZNzm8bbF244DDjnkbM/view?usp=drivesdk" TargetMode="External"/><Relationship Id="rId89" Type="http://schemas.openxmlformats.org/officeDocument/2006/relationships/hyperlink" Target="https://drive.google.com/file/d/1GqKPio2lOVCT6c4M_1O1pecROiRW7dNW/view?usp=drivesdk" TargetMode="External"/><Relationship Id="rId709" Type="http://schemas.openxmlformats.org/officeDocument/2006/relationships/hyperlink" Target="https://drive.google.com/file/d/1cDedenisdbPMRL5tam42SewNZIprFIwO/view?usp=drivesdk" TargetMode="External"/><Relationship Id="rId708" Type="http://schemas.openxmlformats.org/officeDocument/2006/relationships/hyperlink" Target="https://drive.google.com/file/d/1jKFhiek4VK7nhSVe4OD7AA6uzKmwr_En/view?usp=drivesdk" TargetMode="External"/><Relationship Id="rId707" Type="http://schemas.openxmlformats.org/officeDocument/2006/relationships/hyperlink" Target="https://drive.google.com/file/d/1e36GVIDVMozN9Cf6SwFggk_pW3H_8v23/view?usp=drivesdk" TargetMode="External"/><Relationship Id="rId949" Type="http://schemas.openxmlformats.org/officeDocument/2006/relationships/hyperlink" Target="https://drive.google.com/file/d/1zsvDxxOTEVCLJvk6zYZ6qjiwJ_ID4obk/view?usp=drivesdk" TargetMode="External"/><Relationship Id="rId706" Type="http://schemas.openxmlformats.org/officeDocument/2006/relationships/hyperlink" Target="https://drive.google.com/file/d/1GKe98NusoIL-gkUScO7f3cCb5O8i5lzq/view?usp=drivesdk" TargetMode="External"/><Relationship Id="rId948" Type="http://schemas.openxmlformats.org/officeDocument/2006/relationships/hyperlink" Target="https://drive.google.com/file/d/1-4SszCkDsw12VMpHVts8fEUXHQb56iqg/view?usp=drivesdk" TargetMode="External"/><Relationship Id="rId80" Type="http://schemas.openxmlformats.org/officeDocument/2006/relationships/hyperlink" Target="https://drive.google.com/file/d/1_lrjTIRT1qzKjYAq8MXOaIhHEOvB61dD/view?usp=drivesdk" TargetMode="External"/><Relationship Id="rId82" Type="http://schemas.openxmlformats.org/officeDocument/2006/relationships/hyperlink" Target="https://drive.google.com/file/d/1PRT9fcCI7mU_Oo3gcNlgZXlRAWuMPwid/view?usp=drivesdk" TargetMode="External"/><Relationship Id="rId81" Type="http://schemas.openxmlformats.org/officeDocument/2006/relationships/hyperlink" Target="https://drive.google.com/file/d/1tI50yuEO5i4zAW3bs2pUZoPVN_YlqpNM/view?usp=drivesdk" TargetMode="External"/><Relationship Id="rId701" Type="http://schemas.openxmlformats.org/officeDocument/2006/relationships/hyperlink" Target="https://drive.google.com/file/d/1eROfNZeqE58D0EVHJzsikXjY0y52LPQq/view?usp=drivesdk" TargetMode="External"/><Relationship Id="rId943" Type="http://schemas.openxmlformats.org/officeDocument/2006/relationships/hyperlink" Target="https://drive.google.com/file/d/1Gx-lKOh53qmXtcaJwAA6CzgPDr6BZMI3/view?usp=drivesdk" TargetMode="External"/><Relationship Id="rId700" Type="http://schemas.openxmlformats.org/officeDocument/2006/relationships/hyperlink" Target="https://drive.google.com/file/d/1zyej0sWjvrZR3biiaUXCtZy1-71tJXxe/view?usp=drivesdk" TargetMode="External"/><Relationship Id="rId942" Type="http://schemas.openxmlformats.org/officeDocument/2006/relationships/hyperlink" Target="https://drive.google.com/file/d/1Xkp-r4kgVgy10MTXFy_c3PzDBfQbsSEb/view?usp=drivesdk" TargetMode="External"/><Relationship Id="rId941" Type="http://schemas.openxmlformats.org/officeDocument/2006/relationships/hyperlink" Target="https://drive.google.com/file/d/14QaRTylTPojJWn8Yui-kuSWncc_HRJ3E/view?usp=drivesdk" TargetMode="External"/><Relationship Id="rId940" Type="http://schemas.openxmlformats.org/officeDocument/2006/relationships/hyperlink" Target="https://drive.google.com/file/d/1Gqcwqz7748x_VyMy7CCk6J0Xi5NyFeKA/view?usp=drivesdk" TargetMode="External"/><Relationship Id="rId705" Type="http://schemas.openxmlformats.org/officeDocument/2006/relationships/hyperlink" Target="https://drive.google.com/file/d/1JbLik0DKQmjS4Ou-4I2pfzqFNqGUWr4p/view?usp=drivesdk" TargetMode="External"/><Relationship Id="rId947" Type="http://schemas.openxmlformats.org/officeDocument/2006/relationships/hyperlink" Target="https://drive.google.com/file/d/1ZzNz3dljrh5C2pwWUVQNEZsAU4BfI4R0/view?usp=drivesdk" TargetMode="External"/><Relationship Id="rId704" Type="http://schemas.openxmlformats.org/officeDocument/2006/relationships/hyperlink" Target="https://drive.google.com/file/d/1slC6wU9iGI8AZxdqMwpTGd-6kWcl0GQz/view?usp=drivesdk" TargetMode="External"/><Relationship Id="rId946" Type="http://schemas.openxmlformats.org/officeDocument/2006/relationships/hyperlink" Target="https://drive.google.com/file/d/1lvcN_eF2XF9J9OT7GX3rA0bPWQxb6xSV/view?usp=drivesdk" TargetMode="External"/><Relationship Id="rId703" Type="http://schemas.openxmlformats.org/officeDocument/2006/relationships/hyperlink" Target="https://drive.google.com/file/d/1T3xJy8e9S8edo34vVz-_vB8RUK7Pe99c/view?usp=drivesdk" TargetMode="External"/><Relationship Id="rId945" Type="http://schemas.openxmlformats.org/officeDocument/2006/relationships/hyperlink" Target="https://drive.google.com/file/d/1ch1jFHrGahuRHYnj143buVjNOG8sXycv/view?usp=drivesdk" TargetMode="External"/><Relationship Id="rId702" Type="http://schemas.openxmlformats.org/officeDocument/2006/relationships/hyperlink" Target="https://drive.google.com/file/d/1j-HhJCRdumGC04KU3SUJ7AZuIqfdA0-B/view?usp=drivesdk" TargetMode="External"/><Relationship Id="rId944" Type="http://schemas.openxmlformats.org/officeDocument/2006/relationships/hyperlink" Target="https://drive.google.com/file/d/1RTozSrfPLrhhOjXvYBZZGufYItxyMl99/view?usp=drivesdk" TargetMode="External"/><Relationship Id="rId73" Type="http://schemas.openxmlformats.org/officeDocument/2006/relationships/hyperlink" Target="https://drive.google.com/file/d/1hVMPb1qf2-u9qU_gUc_L4livwzaziaU-/view?usp=drivesdk" TargetMode="External"/><Relationship Id="rId72" Type="http://schemas.openxmlformats.org/officeDocument/2006/relationships/hyperlink" Target="https://drive.google.com/file/d/1njr6hRteDlcv5_AEjYWyE8oqvViIqH1S/view?usp=drivesdk" TargetMode="External"/><Relationship Id="rId75" Type="http://schemas.openxmlformats.org/officeDocument/2006/relationships/hyperlink" Target="https://drive.google.com/file/d/1dmUPljzhRm5eF7PAOFovJ92fycb57KI2/view?usp=drivesdk" TargetMode="External"/><Relationship Id="rId74" Type="http://schemas.openxmlformats.org/officeDocument/2006/relationships/hyperlink" Target="https://drive.google.com/file/d/1hwc0MALbFHX9agdosP8vge0li3a-c2yt/view?usp=drivesdk" TargetMode="External"/><Relationship Id="rId77" Type="http://schemas.openxmlformats.org/officeDocument/2006/relationships/hyperlink" Target="https://drive.google.com/file/d/15PxlRYdwgs2d5E00qmS__EskGfMTu26V/view?usp=drivesdk" TargetMode="External"/><Relationship Id="rId76" Type="http://schemas.openxmlformats.org/officeDocument/2006/relationships/hyperlink" Target="https://drive.google.com/file/d/1YtzEcEzVk7NpBetmxrJ7Eguwl73PsAiN/view?usp=drivesdk" TargetMode="External"/><Relationship Id="rId79" Type="http://schemas.openxmlformats.org/officeDocument/2006/relationships/hyperlink" Target="https://drive.google.com/file/d/1nw1S_FHDoW0ngbWRsDh19Gmv7878j66p/view?usp=drivesdk" TargetMode="External"/><Relationship Id="rId78" Type="http://schemas.openxmlformats.org/officeDocument/2006/relationships/hyperlink" Target="https://drive.google.com/file/d/1nqKm7F-rJ_Mn6OzfksaV0rN2-HAx5bw3/view?usp=drivesdk" TargetMode="External"/><Relationship Id="rId939" Type="http://schemas.openxmlformats.org/officeDocument/2006/relationships/hyperlink" Target="https://drive.google.com/file/d/1Ld4oUd1nCXHGLC5sGlDM2kcJvzWdc_lb/view?usp=drivesdk" TargetMode="External"/><Relationship Id="rId938" Type="http://schemas.openxmlformats.org/officeDocument/2006/relationships/hyperlink" Target="https://drive.google.com/file/d/10iDLKGW9qpHujkL-T6gdhi9vTxYM1LOE/view?usp=drivesdk" TargetMode="External"/><Relationship Id="rId937" Type="http://schemas.openxmlformats.org/officeDocument/2006/relationships/hyperlink" Target="https://drive.google.com/file/d/1s_tBUYMYJ8F_qkslL7W0IBtyorxFJNE-/view?usp=drivesdk" TargetMode="External"/><Relationship Id="rId71" Type="http://schemas.openxmlformats.org/officeDocument/2006/relationships/hyperlink" Target="https://drive.google.com/file/d/1yssA-V_AtZY_l-veevslFxMtXjnPvM0I/view?usp=drivesdk" TargetMode="External"/><Relationship Id="rId70" Type="http://schemas.openxmlformats.org/officeDocument/2006/relationships/hyperlink" Target="https://drive.google.com/file/d/1Y3Hd55S72M0IHEtBfM69o8DNAnq7-T-v/view?usp=drivesdk" TargetMode="External"/><Relationship Id="rId932" Type="http://schemas.openxmlformats.org/officeDocument/2006/relationships/hyperlink" Target="https://drive.google.com/file/d/1TJSFDpUwHJcmEEi4UFS99r5ssiC4AwRN/view?usp=drivesdk" TargetMode="External"/><Relationship Id="rId931" Type="http://schemas.openxmlformats.org/officeDocument/2006/relationships/hyperlink" Target="https://drive.google.com/file/d/1zzp3ylk0vyPMNgfaHTmG88soJsqdnbxy/view?usp=drivesdk" TargetMode="External"/><Relationship Id="rId930" Type="http://schemas.openxmlformats.org/officeDocument/2006/relationships/hyperlink" Target="https://drive.google.com/file/d/1DO782QAY18aiSCFsFfQVSIuYiB0F00VG/view?usp=drivesdk" TargetMode="External"/><Relationship Id="rId936" Type="http://schemas.openxmlformats.org/officeDocument/2006/relationships/hyperlink" Target="https://drive.google.com/file/d/1iGDjmMPjYo6upgFQY7DAGyhRHmI_bcx7/view?usp=drivesdk" TargetMode="External"/><Relationship Id="rId935" Type="http://schemas.openxmlformats.org/officeDocument/2006/relationships/hyperlink" Target="https://drive.google.com/file/d/1vzvSfJmdWfR_vKnpZS5irVzTz8qAejxw/view?usp=drivesdk" TargetMode="External"/><Relationship Id="rId934" Type="http://schemas.openxmlformats.org/officeDocument/2006/relationships/hyperlink" Target="https://drive.google.com/file/d/1jkY4EQ8Kp5ncTbw1qQ8amDDljrq2nH1J/view?usp=drivesdk" TargetMode="External"/><Relationship Id="rId933" Type="http://schemas.openxmlformats.org/officeDocument/2006/relationships/hyperlink" Target="https://drive.google.com/file/d/1BInCxWboqI4enonxraV7A-CST5D7s6sr/view?usp=drivesdk" TargetMode="External"/><Relationship Id="rId62" Type="http://schemas.openxmlformats.org/officeDocument/2006/relationships/hyperlink" Target="https://drive.google.com/file/d/1ILU-k86uQJxw1omIntJx2cRXYO1JDC0R/view?usp=drivesdk" TargetMode="External"/><Relationship Id="rId1312" Type="http://schemas.openxmlformats.org/officeDocument/2006/relationships/hyperlink" Target="https://drive.google.com/file/d/1LXHP0ZQEHYEzDXeAivmHYGNI2VuHAO16/view?usp=drivesdk" TargetMode="External"/><Relationship Id="rId61" Type="http://schemas.openxmlformats.org/officeDocument/2006/relationships/hyperlink" Target="https://drive.google.com/file/d/1Rv0UpbE4l8lxyTY30dwgKDh4rQaHsr8z/view?usp=drivesdk" TargetMode="External"/><Relationship Id="rId1313" Type="http://schemas.openxmlformats.org/officeDocument/2006/relationships/hyperlink" Target="https://drive.google.com/file/d/1AX8YueUIRgFz4olNxEePoMuT2sasgjT-/view?usp=drivesdk" TargetMode="External"/><Relationship Id="rId64" Type="http://schemas.openxmlformats.org/officeDocument/2006/relationships/hyperlink" Target="https://drive.google.com/file/d/1l0LjTLmI2L89fWfHVjpIO6iCdDVT3l3P/view?usp=drivesdk" TargetMode="External"/><Relationship Id="rId1314" Type="http://schemas.openxmlformats.org/officeDocument/2006/relationships/hyperlink" Target="https://drive.google.com/file/d/1BGw3ll2WvTUeanqjQQu4kJhdVqRUMXKK/view?usp=drivesdk" TargetMode="External"/><Relationship Id="rId63" Type="http://schemas.openxmlformats.org/officeDocument/2006/relationships/hyperlink" Target="https://drive.google.com/file/d/1BCM2wN0NgM0sbfcTO6RaGbMMq3E7t7Uf/view?usp=drivesdk" TargetMode="External"/><Relationship Id="rId1315" Type="http://schemas.openxmlformats.org/officeDocument/2006/relationships/hyperlink" Target="https://drive.google.com/file/d/1-zhUerGGleMbormZ1EEfBizVbQFXI8Nd/view?usp=drivesdk" TargetMode="External"/><Relationship Id="rId66" Type="http://schemas.openxmlformats.org/officeDocument/2006/relationships/hyperlink" Target="https://drive.google.com/file/d/190zf_8efXavPAWVP4NVXxYxWk4UFFq9N/view?usp=drivesdk" TargetMode="External"/><Relationship Id="rId1316" Type="http://schemas.openxmlformats.org/officeDocument/2006/relationships/hyperlink" Target="https://drive.google.com/file/d/11h6oubJqh9p0vIaKW7QlP_4u0W2DCRad/view?usp=drivesdk" TargetMode="External"/><Relationship Id="rId65" Type="http://schemas.openxmlformats.org/officeDocument/2006/relationships/hyperlink" Target="https://drive.google.com/file/d/1NQRg6gVlBUAAamnGvuu0_75HVrBcXV1A/view?usp=drivesdk" TargetMode="External"/><Relationship Id="rId1317" Type="http://schemas.openxmlformats.org/officeDocument/2006/relationships/hyperlink" Target="https://drive.google.com/file/d/1LdCBgij_uL7UOL4jWLJro4yI1qzRCrjd/view?usp=drivesdk" TargetMode="External"/><Relationship Id="rId68" Type="http://schemas.openxmlformats.org/officeDocument/2006/relationships/hyperlink" Target="https://drive.google.com/file/d/1W0Wo0l_NXG_YCiovictmX-XrRVkiNscw/view?usp=drivesdk" TargetMode="External"/><Relationship Id="rId1318" Type="http://schemas.openxmlformats.org/officeDocument/2006/relationships/hyperlink" Target="https://drive.google.com/file/d/1dBYsJmlTublK1hDdOSusSMWY1A8uKdBh/view?usp=drivesdk" TargetMode="External"/><Relationship Id="rId67" Type="http://schemas.openxmlformats.org/officeDocument/2006/relationships/hyperlink" Target="https://drive.google.com/file/d/1Cn0UhB9cr-YOAZB605kz7KUiDprKctYE/view?usp=drivesdk" TargetMode="External"/><Relationship Id="rId1319" Type="http://schemas.openxmlformats.org/officeDocument/2006/relationships/hyperlink" Target="https://drive.google.com/file/d/10OqGLYyPH9VVoZRSlMBdEtWdfIaM2ESX/view?usp=drivesdk" TargetMode="External"/><Relationship Id="rId729" Type="http://schemas.openxmlformats.org/officeDocument/2006/relationships/hyperlink" Target="https://drive.google.com/file/d/1ugAcscezVq4WxOszX-Klca-mL1egK3VO/view?usp=drivesdk" TargetMode="External"/><Relationship Id="rId728" Type="http://schemas.openxmlformats.org/officeDocument/2006/relationships/hyperlink" Target="https://drive.google.com/file/d/1j3foYCCTlBqpNGAtYRkUykE8FmuBua82/view?usp=drivesdk" TargetMode="External"/><Relationship Id="rId60" Type="http://schemas.openxmlformats.org/officeDocument/2006/relationships/hyperlink" Target="https://drive.google.com/file/d/10BiDAAMH14MpU6Fzmp62AwtfSN2YEqTH/view?usp=drivesdk" TargetMode="External"/><Relationship Id="rId723" Type="http://schemas.openxmlformats.org/officeDocument/2006/relationships/hyperlink" Target="https://drive.google.com/file/d/1Af47sUTPGytDcEH1zWuqJqfD5KPU0yLM/view?usp=drivesdk" TargetMode="External"/><Relationship Id="rId965" Type="http://schemas.openxmlformats.org/officeDocument/2006/relationships/hyperlink" Target="https://drive.google.com/file/d/1zMz5Z1-6yIqWTV3-yCl3Ctub1-7xVw7d/view?usp=drivesdk" TargetMode="External"/><Relationship Id="rId722" Type="http://schemas.openxmlformats.org/officeDocument/2006/relationships/hyperlink" Target="https://drive.google.com/file/d/19YyCELlhci4nyn8wXx9sGyqKHf_TLHL8/view?usp=drivesdk" TargetMode="External"/><Relationship Id="rId964" Type="http://schemas.openxmlformats.org/officeDocument/2006/relationships/hyperlink" Target="https://drive.google.com/file/d/1iq8qngGOBOH4mT69ojhVHxjM0TUfiDUH/view?usp=drivesdk" TargetMode="External"/><Relationship Id="rId721" Type="http://schemas.openxmlformats.org/officeDocument/2006/relationships/hyperlink" Target="https://drive.google.com/file/d/14A7a5qUmLzj6kBjE0E5pFuh7A1EYv1TV/view?usp=drivesdk" TargetMode="External"/><Relationship Id="rId963" Type="http://schemas.openxmlformats.org/officeDocument/2006/relationships/hyperlink" Target="https://drive.google.com/file/d/1hVJrS7_Y3Ab2_Sv1ZswK57uYDc0-L4nW/view?usp=drivesdk" TargetMode="External"/><Relationship Id="rId720" Type="http://schemas.openxmlformats.org/officeDocument/2006/relationships/hyperlink" Target="https://drive.google.com/file/d/1hRU2FMZR8YA-GzEP5S6KSUmM5YwManT4/view?usp=drivesdk" TargetMode="External"/><Relationship Id="rId962" Type="http://schemas.openxmlformats.org/officeDocument/2006/relationships/hyperlink" Target="https://drive.google.com/file/d/1MDogIQZIEtm5smHbrKWhS6BfRzAIjkMa/view?usp=drivesdk" TargetMode="External"/><Relationship Id="rId727" Type="http://schemas.openxmlformats.org/officeDocument/2006/relationships/hyperlink" Target="https://drive.google.com/file/d/1J2Fq4WLc-3-Q4rO0Iu4-HQseykY9xIzI/view?usp=drivesdk" TargetMode="External"/><Relationship Id="rId969" Type="http://schemas.openxmlformats.org/officeDocument/2006/relationships/hyperlink" Target="https://drive.google.com/file/d/1uYXAkibF08eNcZHHxgy8X6s2iknc-wD4/view?usp=drivesdk" TargetMode="External"/><Relationship Id="rId726" Type="http://schemas.openxmlformats.org/officeDocument/2006/relationships/hyperlink" Target="https://drive.google.com/file/d/1qdUW0z_LsbBEiepmVLppyKfrMF3tjln5/view?usp=drivesdk" TargetMode="External"/><Relationship Id="rId968" Type="http://schemas.openxmlformats.org/officeDocument/2006/relationships/hyperlink" Target="https://drive.google.com/file/d/1wMopQ8LqIDNVrcPkkeZ0AtWxiNGcgVaD/view?usp=drivesdk" TargetMode="External"/><Relationship Id="rId725" Type="http://schemas.openxmlformats.org/officeDocument/2006/relationships/hyperlink" Target="https://drive.google.com/file/d/1TqMMjG3F3X_XJ54GOfqIY_ktLDZdDVtk/view?usp=drivesdk" TargetMode="External"/><Relationship Id="rId967" Type="http://schemas.openxmlformats.org/officeDocument/2006/relationships/hyperlink" Target="https://drive.google.com/file/d/1rYTfFtwON0O8AmyN1mLEukqCJSr-bGJe/view?usp=drivesdk" TargetMode="External"/><Relationship Id="rId724" Type="http://schemas.openxmlformats.org/officeDocument/2006/relationships/hyperlink" Target="https://drive.google.com/file/d/1vyBri-3MK8tySVMWlhe8TAn-H3mL0WkZ/view?usp=drivesdk" TargetMode="External"/><Relationship Id="rId966" Type="http://schemas.openxmlformats.org/officeDocument/2006/relationships/hyperlink" Target="https://drive.google.com/file/d/1_YT0ZAbvwcsSLG34EZ4OenJrM0k89jC2/view?usp=drivesdk" TargetMode="External"/><Relationship Id="rId69" Type="http://schemas.openxmlformats.org/officeDocument/2006/relationships/hyperlink" Target="https://drive.google.com/file/d/1Z1V_m93q4jkWcKOT4os8z5ed-KmlpyN8/view?usp=drivesdk" TargetMode="External"/><Relationship Id="rId961" Type="http://schemas.openxmlformats.org/officeDocument/2006/relationships/hyperlink" Target="https://drive.google.com/file/d/14dB046Lagea5q6I4CTlCc8FgLiroRJMz/view?usp=drivesdk" TargetMode="External"/><Relationship Id="rId960" Type="http://schemas.openxmlformats.org/officeDocument/2006/relationships/hyperlink" Target="https://drive.google.com/file/d/1Dys71USp4spufphg3WXOYHsMSjfhU4Nm/view?usp=drivesdk" TargetMode="External"/><Relationship Id="rId1310" Type="http://schemas.openxmlformats.org/officeDocument/2006/relationships/hyperlink" Target="https://drive.google.com/file/d/1_KuF9GSyOF3W5eLMI_dH_-bkLLrgTjEB/view?usp=drivesdk" TargetMode="External"/><Relationship Id="rId1311" Type="http://schemas.openxmlformats.org/officeDocument/2006/relationships/hyperlink" Target="https://drive.google.com/file/d/1wr5a-KbhHvBdwJZ_xJg2K6ZRFHTsOXQ0/view?usp=drivesdk" TargetMode="External"/><Relationship Id="rId51" Type="http://schemas.openxmlformats.org/officeDocument/2006/relationships/hyperlink" Target="https://drive.google.com/file/d/1o-r27GOd-DnhGpbQ9ijUSJkfLoAy6cKD/view?usp=drivesdk" TargetMode="External"/><Relationship Id="rId1301" Type="http://schemas.openxmlformats.org/officeDocument/2006/relationships/hyperlink" Target="https://drive.google.com/file/d/1H39CLdCHrQBZcJF6xB3S_9j6nKYqsDnn/view?usp=drivesdk" TargetMode="External"/><Relationship Id="rId50" Type="http://schemas.openxmlformats.org/officeDocument/2006/relationships/hyperlink" Target="https://drive.google.com/file/d/1YedjWM_tGjl5prroUC1ul2fb-j2ewzhP/view?usp=drivesdk" TargetMode="External"/><Relationship Id="rId1302" Type="http://schemas.openxmlformats.org/officeDocument/2006/relationships/hyperlink" Target="https://drive.google.com/file/d/1ZXUmGRjHhVEUESCYxZ6g9OxxYCYTCOAB/view?usp=drivesdk" TargetMode="External"/><Relationship Id="rId53" Type="http://schemas.openxmlformats.org/officeDocument/2006/relationships/hyperlink" Target="https://drive.google.com/file/d/1JVCR9FwIuiOiztAXwpSV0CHSClCiTwKd/view?usp=drivesdk" TargetMode="External"/><Relationship Id="rId1303" Type="http://schemas.openxmlformats.org/officeDocument/2006/relationships/hyperlink" Target="https://drive.google.com/file/d/1tePI-pzvT1SZYwi_fdzkifwi38RprcVS/view?usp=drivesdk" TargetMode="External"/><Relationship Id="rId52" Type="http://schemas.openxmlformats.org/officeDocument/2006/relationships/hyperlink" Target="https://drive.google.com/file/d/1zGXjRcqiUZZZ3iOkVcZNGCz3jD2MWjDu/view?usp=drivesdk" TargetMode="External"/><Relationship Id="rId1304" Type="http://schemas.openxmlformats.org/officeDocument/2006/relationships/hyperlink" Target="https://drive.google.com/file/d/1G96Rc8ueoAQS2ndygfTY0q4VH6ytGPd5/view?usp=drivesdk" TargetMode="External"/><Relationship Id="rId55" Type="http://schemas.openxmlformats.org/officeDocument/2006/relationships/hyperlink" Target="https://drive.google.com/file/d/1OuHxufuju85YkbWZB5AX2kMqM5hcsND0/view?usp=drivesdk" TargetMode="External"/><Relationship Id="rId1305" Type="http://schemas.openxmlformats.org/officeDocument/2006/relationships/hyperlink" Target="https://drive.google.com/file/d/1F4HnLJwmLepe_QZpEZ2Fm1jbWGdcBiAd/view?usp=drivesdk" TargetMode="External"/><Relationship Id="rId54" Type="http://schemas.openxmlformats.org/officeDocument/2006/relationships/hyperlink" Target="https://drive.google.com/file/d/1cfL3pfOJzFutM7805_03Ms37lq4FH9UR/view?usp=drivesdk" TargetMode="External"/><Relationship Id="rId1306" Type="http://schemas.openxmlformats.org/officeDocument/2006/relationships/hyperlink" Target="https://drive.google.com/file/d/1k4mcWHQpVCyn69KAX_u2IDwDbabsepYM/view?usp=drivesdk" TargetMode="External"/><Relationship Id="rId57" Type="http://schemas.openxmlformats.org/officeDocument/2006/relationships/hyperlink" Target="https://drive.google.com/file/d/1EcrUcml6czXhKB7oQure0_RjVb_E3yql/view?usp=drivesdk" TargetMode="External"/><Relationship Id="rId1307" Type="http://schemas.openxmlformats.org/officeDocument/2006/relationships/hyperlink" Target="https://drive.google.com/file/d/1DRpTHFH65q_5yjEuBNkW34boNpYybJly/view?usp=drivesdk" TargetMode="External"/><Relationship Id="rId56" Type="http://schemas.openxmlformats.org/officeDocument/2006/relationships/hyperlink" Target="https://drive.google.com/file/d/17BhVoPgWCttJWOMOGKprWmycI7nBMOn_/view?usp=drivesdk" TargetMode="External"/><Relationship Id="rId1308" Type="http://schemas.openxmlformats.org/officeDocument/2006/relationships/hyperlink" Target="https://drive.google.com/file/d/14GCY7aStn_L1N-452p6uBNml29IZVpWo/view?usp=drivesdk" TargetMode="External"/><Relationship Id="rId1309" Type="http://schemas.openxmlformats.org/officeDocument/2006/relationships/hyperlink" Target="https://drive.google.com/file/d/18wVyYWMHbegRH2TFlLbmbmR6uLozX-LR/view?usp=drivesdk" TargetMode="External"/><Relationship Id="rId719" Type="http://schemas.openxmlformats.org/officeDocument/2006/relationships/hyperlink" Target="https://drive.google.com/file/d/1zMv6a_t0h2c5n1b5mHIB_R98G0H5ikuL/view?usp=drivesdk" TargetMode="External"/><Relationship Id="rId718" Type="http://schemas.openxmlformats.org/officeDocument/2006/relationships/hyperlink" Target="https://drive.google.com/file/d/1DFtCgF8pWDvSsI_8bqLSlAuDaDj-cgay/view?usp=drivesdk" TargetMode="External"/><Relationship Id="rId717" Type="http://schemas.openxmlformats.org/officeDocument/2006/relationships/hyperlink" Target="https://drive.google.com/file/d/1dsSO-VdI0HWsCVXvnXAeBzKMYBh6Xnwe/view?usp=drivesdk" TargetMode="External"/><Relationship Id="rId959" Type="http://schemas.openxmlformats.org/officeDocument/2006/relationships/hyperlink" Target="https://drive.google.com/file/d/1r-k17ht6Ydj1WrfszMqA1ckyxxQqedzN/view?usp=drivesdk" TargetMode="External"/><Relationship Id="rId712" Type="http://schemas.openxmlformats.org/officeDocument/2006/relationships/hyperlink" Target="https://drive.google.com/file/d/1Vzg5S0vHdtnVpxCFxh918WamZjf7k8fK/view?usp=drivesdk" TargetMode="External"/><Relationship Id="rId954" Type="http://schemas.openxmlformats.org/officeDocument/2006/relationships/hyperlink" Target="https://drive.google.com/file/d/1CAIYZkf8gFxXCBRTxVjUpsWmzqjsgV8c/view?usp=drivesdk" TargetMode="External"/><Relationship Id="rId711" Type="http://schemas.openxmlformats.org/officeDocument/2006/relationships/hyperlink" Target="https://drive.google.com/file/d/12st4sDkN-lXot5puqdt4z-Vj9cg41alw/view?usp=drivesdk" TargetMode="External"/><Relationship Id="rId953" Type="http://schemas.openxmlformats.org/officeDocument/2006/relationships/hyperlink" Target="https://drive.google.com/file/d/1T17X2s5PUoHzRjhFW5ClOLuzAGG4IAF-/view?usp=drivesdk" TargetMode="External"/><Relationship Id="rId710" Type="http://schemas.openxmlformats.org/officeDocument/2006/relationships/hyperlink" Target="https://drive.google.com/file/d/1aqv5e7ZkZueAn0KwkCN9ZzKgIFrnpXgR/view?usp=drivesdk" TargetMode="External"/><Relationship Id="rId952" Type="http://schemas.openxmlformats.org/officeDocument/2006/relationships/hyperlink" Target="https://drive.google.com/file/d/1qRzc8BhSp0mK-NRFz7ynjILAinWGHlKP/view?usp=drivesdk" TargetMode="External"/><Relationship Id="rId951" Type="http://schemas.openxmlformats.org/officeDocument/2006/relationships/hyperlink" Target="https://drive.google.com/file/d/1VqtHxBeYCT4MDn6aiQdSm5Xtx8WcGzAt/view?usp=drivesdk" TargetMode="External"/><Relationship Id="rId716" Type="http://schemas.openxmlformats.org/officeDocument/2006/relationships/hyperlink" Target="https://drive.google.com/file/d/1FKHTG3j08EI_uRstm6EMFQvxT5DKTbmL/view?usp=drivesdk" TargetMode="External"/><Relationship Id="rId958" Type="http://schemas.openxmlformats.org/officeDocument/2006/relationships/hyperlink" Target="https://drive.google.com/file/d/1y-QCO8S1jsGG5jZLi87IUuDrzknZ2ZXs/view?usp=drivesdk" TargetMode="External"/><Relationship Id="rId715" Type="http://schemas.openxmlformats.org/officeDocument/2006/relationships/hyperlink" Target="https://drive.google.com/file/d/1dzgB-Fbb7deMbMlOBFpRg-lLkPGqiQDZ/view?usp=drivesdk" TargetMode="External"/><Relationship Id="rId957" Type="http://schemas.openxmlformats.org/officeDocument/2006/relationships/hyperlink" Target="https://drive.google.com/file/d/1fT63OsN2cyTVKmLkxLwSFvsexrdn-jst/view?usp=drivesdk" TargetMode="External"/><Relationship Id="rId714" Type="http://schemas.openxmlformats.org/officeDocument/2006/relationships/hyperlink" Target="https://drive.google.com/file/d/12GEJ4liqMSU4mPitjcHtsHeZTXQf84rH/view?usp=drivesdk" TargetMode="External"/><Relationship Id="rId956" Type="http://schemas.openxmlformats.org/officeDocument/2006/relationships/hyperlink" Target="https://drive.google.com/file/d/1PZYqtgzKZxmnZSOX3-ypwqKFmlTSBR0-/view?usp=drivesdk" TargetMode="External"/><Relationship Id="rId713" Type="http://schemas.openxmlformats.org/officeDocument/2006/relationships/hyperlink" Target="https://drive.google.com/file/d/1DH-UQPSXVD-f8_jKT5P8JT5TcL9SCFVk/view?usp=drivesdk" TargetMode="External"/><Relationship Id="rId955" Type="http://schemas.openxmlformats.org/officeDocument/2006/relationships/hyperlink" Target="https://drive.google.com/file/d/1FMARl4nNnUI88I9IYkPpRNhpCG844iXj/view?usp=drivesdk" TargetMode="External"/><Relationship Id="rId59" Type="http://schemas.openxmlformats.org/officeDocument/2006/relationships/hyperlink" Target="https://drive.google.com/file/d/1er02pRumRIvZWLOsTawkaiDB3pTZ8S8R/view?usp=drivesdk" TargetMode="External"/><Relationship Id="rId58" Type="http://schemas.openxmlformats.org/officeDocument/2006/relationships/hyperlink" Target="https://drive.google.com/file/d/1OJmS7B8QjcntmZgEa6L_lbir63B4Ptd8/view?usp=drivesdk" TargetMode="External"/><Relationship Id="rId950" Type="http://schemas.openxmlformats.org/officeDocument/2006/relationships/hyperlink" Target="https://drive.google.com/file/d/1ZGmc-OvSTlTCOBe5BxP3a-sbcW7m854d/view?usp=drivesdk" TargetMode="External"/><Relationship Id="rId1300" Type="http://schemas.openxmlformats.org/officeDocument/2006/relationships/hyperlink" Target="https://drive.google.com/file/d/1r9P2huWI6x27fya48evaZiohUaYVmwWN/view?usp=drivesdk" TargetMode="External"/><Relationship Id="rId590" Type="http://schemas.openxmlformats.org/officeDocument/2006/relationships/hyperlink" Target="https://drive.google.com/file/d/1ie_XvGPGgIGdKqUFDfEttn8aqOGiJK4w/view?usp=drivesdk" TargetMode="External"/><Relationship Id="rId107" Type="http://schemas.openxmlformats.org/officeDocument/2006/relationships/hyperlink" Target="https://drive.google.com/file/d/1jjIBLbBZ83zslGPwGANsiWHNDxjKmwZp/view?usp=drivesdk" TargetMode="External"/><Relationship Id="rId349" Type="http://schemas.openxmlformats.org/officeDocument/2006/relationships/hyperlink" Target="https://drive.google.com/file/d/1ICEECJou3xZrCvyNc-82J1cL9dSJDB9f/view?usp=drivesdk" TargetMode="External"/><Relationship Id="rId106" Type="http://schemas.openxmlformats.org/officeDocument/2006/relationships/hyperlink" Target="https://drive.google.com/file/d/19b442Yf6DwAlsojhw9zuhv5U5bNOdlat/view?usp=drivesdk" TargetMode="External"/><Relationship Id="rId348" Type="http://schemas.openxmlformats.org/officeDocument/2006/relationships/hyperlink" Target="https://drive.google.com/file/d/1c2hPreWkFBNRC3KUpiLMdZ-M6ToJuq_q/view?usp=drivesdk" TargetMode="External"/><Relationship Id="rId105" Type="http://schemas.openxmlformats.org/officeDocument/2006/relationships/hyperlink" Target="https://drive.google.com/file/d/1C92wC6yfGmUjs41QsGlXv_SkjVcwQt-c/view?usp=drivesdk" TargetMode="External"/><Relationship Id="rId347" Type="http://schemas.openxmlformats.org/officeDocument/2006/relationships/hyperlink" Target="https://drive.google.com/file/d/1Kshsyw6mXQqDYPBveAWvW0AXjSIuCUlZ/view?usp=drivesdk" TargetMode="External"/><Relationship Id="rId589" Type="http://schemas.openxmlformats.org/officeDocument/2006/relationships/hyperlink" Target="https://drive.google.com/file/d/1GGGZuF2aZVNDjVsz559fgma1SRO6e2ts/view?usp=drivesdk" TargetMode="External"/><Relationship Id="rId104" Type="http://schemas.openxmlformats.org/officeDocument/2006/relationships/hyperlink" Target="https://drive.google.com/file/d/1MszwbCvT2pNjqdvQoGokfQLLUq8vQpYg/view?usp=drivesdk" TargetMode="External"/><Relationship Id="rId346" Type="http://schemas.openxmlformats.org/officeDocument/2006/relationships/hyperlink" Target="https://drive.google.com/file/d/1jDKyjcp8gvgnr6AVuT7tirZ6-OG6FTbH/view?usp=drivesdk" TargetMode="External"/><Relationship Id="rId588" Type="http://schemas.openxmlformats.org/officeDocument/2006/relationships/hyperlink" Target="https://drive.google.com/file/d/1-C-eYD7UWOHznndAhlKZB3ue-0x8l4m9/view?usp=drivesdk" TargetMode="External"/><Relationship Id="rId109" Type="http://schemas.openxmlformats.org/officeDocument/2006/relationships/hyperlink" Target="https://drive.google.com/file/d/1vMeDRdnyq6NdSpz4oVheV4DKyfyJcMG7/view?usp=drivesdk" TargetMode="External"/><Relationship Id="rId1170" Type="http://schemas.openxmlformats.org/officeDocument/2006/relationships/hyperlink" Target="https://drive.google.com/file/d/1iun3StuOQ-oDVCciy8FUWdFy2QM6bNNG/view?usp=drivesdk" TargetMode="External"/><Relationship Id="rId108" Type="http://schemas.openxmlformats.org/officeDocument/2006/relationships/hyperlink" Target="https://drive.google.com/file/d/1fOsfB7QoFjBXJnhaP3PO5pO4flKMP28y/view?usp=drivesdk" TargetMode="External"/><Relationship Id="rId1171" Type="http://schemas.openxmlformats.org/officeDocument/2006/relationships/hyperlink" Target="https://drive.google.com/file/d/1kfDfa37UXb6RfvOEKl32KY-MFTjrjZZH/view?usp=drivesdk" TargetMode="External"/><Relationship Id="rId341" Type="http://schemas.openxmlformats.org/officeDocument/2006/relationships/hyperlink" Target="https://drive.google.com/file/d/15tWdWfq3P7_7JTW65rBXTn0G5erpqLLw/view?usp=drivesdk" TargetMode="External"/><Relationship Id="rId583" Type="http://schemas.openxmlformats.org/officeDocument/2006/relationships/hyperlink" Target="https://drive.google.com/file/d/1ku_Ugh6P9AAR0CqUpf-mUH5uKkqgibiH/view?usp=drivesdk" TargetMode="External"/><Relationship Id="rId1172" Type="http://schemas.openxmlformats.org/officeDocument/2006/relationships/hyperlink" Target="https://drive.google.com/file/d/1WcWNE6w4SoqltMI-U8h7MbgtO_f0OrC1/view?usp=drivesdk" TargetMode="External"/><Relationship Id="rId340" Type="http://schemas.openxmlformats.org/officeDocument/2006/relationships/hyperlink" Target="https://drive.google.com/file/d/1HuG3e_0OTRm6Dw0gNx0q-ikpRiAmv5wW/view?usp=drivesdk" TargetMode="External"/><Relationship Id="rId582" Type="http://schemas.openxmlformats.org/officeDocument/2006/relationships/hyperlink" Target="https://drive.google.com/file/d/1r8hKHS_5Q1fyVAGsa6sZCXbaKmJ_f9JG/view?usp=drivesdk" TargetMode="External"/><Relationship Id="rId1173" Type="http://schemas.openxmlformats.org/officeDocument/2006/relationships/hyperlink" Target="https://drive.google.com/file/d/11dZmdaqrNK0tOb4lYLRIXqMRIQwD82Fk/view?usp=drivesdk" TargetMode="External"/><Relationship Id="rId581" Type="http://schemas.openxmlformats.org/officeDocument/2006/relationships/hyperlink" Target="https://drive.google.com/file/d/17sOtapDycQtRabsaaS075PZf9FA3YVRg/view?usp=drivesdk" TargetMode="External"/><Relationship Id="rId1174" Type="http://schemas.openxmlformats.org/officeDocument/2006/relationships/hyperlink" Target="https://drive.google.com/file/d/13bi2VECSs7npO9Zx9V6c1WvNzmKEZUGR/view?usp=drivesdk" TargetMode="External"/><Relationship Id="rId580" Type="http://schemas.openxmlformats.org/officeDocument/2006/relationships/hyperlink" Target="https://drive.google.com/file/d/1PiPg5WySyM6etiUypEATflM4M4JNI4r8/view?usp=drivesdk" TargetMode="External"/><Relationship Id="rId1175" Type="http://schemas.openxmlformats.org/officeDocument/2006/relationships/hyperlink" Target="https://drive.google.com/file/d/1iDYkKTHzpdzgvPR0sYfBXErMlywGZifz/view?usp=drivesdk" TargetMode="External"/><Relationship Id="rId103" Type="http://schemas.openxmlformats.org/officeDocument/2006/relationships/hyperlink" Target="https://drive.google.com/file/d/1geE3s_5cTI-68fQH2Hqe8j2isBWL_rQQ/view?usp=drivesdk" TargetMode="External"/><Relationship Id="rId345" Type="http://schemas.openxmlformats.org/officeDocument/2006/relationships/hyperlink" Target="https://drive.google.com/file/d/1OCEOKAg406LoLmiRdzzqElSTZixZ4Cnw/view?usp=drivesdk" TargetMode="External"/><Relationship Id="rId587" Type="http://schemas.openxmlformats.org/officeDocument/2006/relationships/hyperlink" Target="https://drive.google.com/file/d/1-pXFfpT2tFvWD4yTKxSR0pKpBYhpip3d/view?usp=drivesdk" TargetMode="External"/><Relationship Id="rId1176" Type="http://schemas.openxmlformats.org/officeDocument/2006/relationships/hyperlink" Target="https://drive.google.com/file/d/1JiQH5lSB3SN2ZK_UW3kIf_nqmKqo7g-i/view?usp=drivesdk" TargetMode="External"/><Relationship Id="rId102" Type="http://schemas.openxmlformats.org/officeDocument/2006/relationships/hyperlink" Target="https://drive.google.com/file/d/127VzxLxjIOaVInuiuAWU3CBpkpN7apaM/view?usp=drivesdk" TargetMode="External"/><Relationship Id="rId344" Type="http://schemas.openxmlformats.org/officeDocument/2006/relationships/hyperlink" Target="https://drive.google.com/file/d/1Mzi0vTuApqFcIFijtyaRHM1knwErBTgY/view?usp=drivesdk" TargetMode="External"/><Relationship Id="rId586" Type="http://schemas.openxmlformats.org/officeDocument/2006/relationships/hyperlink" Target="https://drive.google.com/file/d/19_IDKHkRbubc5iWzfkOGYbNo6o2fPitz/view?usp=drivesdk" TargetMode="External"/><Relationship Id="rId1177" Type="http://schemas.openxmlformats.org/officeDocument/2006/relationships/hyperlink" Target="https://drive.google.com/file/d/1agGAReMCB9sw-WDaKNvjKadkIYNTxjif/view?usp=drivesdk" TargetMode="External"/><Relationship Id="rId101" Type="http://schemas.openxmlformats.org/officeDocument/2006/relationships/hyperlink" Target="https://drive.google.com/file/d/17DhuR_obpscVJQxWgIpj1H4XEyKDDBLs/view?usp=drivesdk" TargetMode="External"/><Relationship Id="rId343" Type="http://schemas.openxmlformats.org/officeDocument/2006/relationships/hyperlink" Target="https://drive.google.com/file/d/1cQ_qRWCdDrQC5YqDvGmkbfbiKbJIAQOR/view?usp=drivesdk" TargetMode="External"/><Relationship Id="rId585" Type="http://schemas.openxmlformats.org/officeDocument/2006/relationships/hyperlink" Target="https://drive.google.com/file/d/1oXRbQKgLSZl5ixltDa2Xhs3sxBVxVANf/view?usp=drivesdk" TargetMode="External"/><Relationship Id="rId1178" Type="http://schemas.openxmlformats.org/officeDocument/2006/relationships/hyperlink" Target="https://drive.google.com/file/d/11Ahpwp6C0GV5R5JO_EfeDm80Yi2pQX-6/view?usp=drivesdk" TargetMode="External"/><Relationship Id="rId100" Type="http://schemas.openxmlformats.org/officeDocument/2006/relationships/hyperlink" Target="https://drive.google.com/file/d/1SZID_Lv0vCdrxPln3ke8kEd0vV97KuEw/view?usp=drivesdk" TargetMode="External"/><Relationship Id="rId342" Type="http://schemas.openxmlformats.org/officeDocument/2006/relationships/hyperlink" Target="https://drive.google.com/file/d/1uhzMzBFd766QgNn14Q3PaQYbSj5AAZYX/view?usp=drivesdk" TargetMode="External"/><Relationship Id="rId584" Type="http://schemas.openxmlformats.org/officeDocument/2006/relationships/hyperlink" Target="https://drive.google.com/file/d/1w5tVWbmkwAy7HoKFforyHOvAnM2KnoSI/view?usp=drivesdk" TargetMode="External"/><Relationship Id="rId1179" Type="http://schemas.openxmlformats.org/officeDocument/2006/relationships/hyperlink" Target="https://drive.google.com/file/d/1MZbQzPYPKRQ0Vb6ZWGyZmXbQUm6L-IQM/view?usp=drivesdk" TargetMode="External"/><Relationship Id="rId1169" Type="http://schemas.openxmlformats.org/officeDocument/2006/relationships/hyperlink" Target="https://drive.google.com/file/d/14Wk2HTyZgyboTtm2VtwacrwcfR-PXsJb/view?usp=drivesdk" TargetMode="External"/><Relationship Id="rId338" Type="http://schemas.openxmlformats.org/officeDocument/2006/relationships/hyperlink" Target="https://drive.google.com/file/d/1l0UDvQPuymxfjtbBHuTPYQVvqo9DSkXh/view?usp=drivesdk" TargetMode="External"/><Relationship Id="rId337" Type="http://schemas.openxmlformats.org/officeDocument/2006/relationships/hyperlink" Target="https://drive.google.com/file/d/1MjdAEC5qysaTiCYdBVSQqAovqePeWkb9/view?usp=drivesdk" TargetMode="External"/><Relationship Id="rId579" Type="http://schemas.openxmlformats.org/officeDocument/2006/relationships/hyperlink" Target="https://drive.google.com/file/d/1arE0ciCYdUELL6uILdFbB2J7QW4s2oNW/view?usp=drivesdk" TargetMode="External"/><Relationship Id="rId336" Type="http://schemas.openxmlformats.org/officeDocument/2006/relationships/hyperlink" Target="https://drive.google.com/file/d/1L5TmGqQauidtdwgqcFHR0iQVL7sGGBXe/view?usp=drivesdk" TargetMode="External"/><Relationship Id="rId578" Type="http://schemas.openxmlformats.org/officeDocument/2006/relationships/hyperlink" Target="https://drive.google.com/file/d/1Xs_CMZLmT5eRGFlFieocTjRryEkWEpp3/view?usp=drivesdk" TargetMode="External"/><Relationship Id="rId335" Type="http://schemas.openxmlformats.org/officeDocument/2006/relationships/hyperlink" Target="https://drive.google.com/file/d/1fxwED91ZZ2Ggr1xfqLYRQIjkUeDntuJD/view?usp=drivesdk" TargetMode="External"/><Relationship Id="rId577" Type="http://schemas.openxmlformats.org/officeDocument/2006/relationships/hyperlink" Target="https://drive.google.com/file/d/1ilV_OQxHr_JQdfkJ5OrTNmsQXTpdAdZe/view?usp=drivesdk" TargetMode="External"/><Relationship Id="rId339" Type="http://schemas.openxmlformats.org/officeDocument/2006/relationships/hyperlink" Target="https://drive.google.com/file/d/1qfhWTmCGCNemTH3yMIvXcnMY4oa4hL1R/view?usp=drivesdk" TargetMode="External"/><Relationship Id="rId1160" Type="http://schemas.openxmlformats.org/officeDocument/2006/relationships/hyperlink" Target="https://drive.google.com/file/d/1rTFJETQAZqawxp7VV2sD_vSpUo9AvrpN/view?usp=drivesdk" TargetMode="External"/><Relationship Id="rId330" Type="http://schemas.openxmlformats.org/officeDocument/2006/relationships/hyperlink" Target="https://drive.google.com/file/d/1lFqMuk9T6prpgaqenUZUP6Hwsdo0Ncm_/view?usp=drivesdk" TargetMode="External"/><Relationship Id="rId572" Type="http://schemas.openxmlformats.org/officeDocument/2006/relationships/hyperlink" Target="https://drive.google.com/file/d/1Y0t-9MXUzrX1LwI8e3s3RJ4Bhmi6Xo2u/view?usp=drivesdk" TargetMode="External"/><Relationship Id="rId1161" Type="http://schemas.openxmlformats.org/officeDocument/2006/relationships/hyperlink" Target="https://drive.google.com/file/d/1jv_TdxgHdwacmOLMKSSpEyK-Sr_cI0Jv/view?usp=drivesdk" TargetMode="External"/><Relationship Id="rId571" Type="http://schemas.openxmlformats.org/officeDocument/2006/relationships/hyperlink" Target="https://drive.google.com/file/d/1XA9uH9LprWLP6Yd9dCjssGbKkH7D3Vzj/view?usp=drivesdk" TargetMode="External"/><Relationship Id="rId1162" Type="http://schemas.openxmlformats.org/officeDocument/2006/relationships/hyperlink" Target="https://drive.google.com/file/d/1Oe-SduoMDLsZBPIbGBWRxCawPGgUWfPU/view?usp=drivesdk" TargetMode="External"/><Relationship Id="rId570" Type="http://schemas.openxmlformats.org/officeDocument/2006/relationships/hyperlink" Target="https://drive.google.com/file/d/1n5lyvY_mgCf-ccw-M8WgK9ZAWGBul9s5/view?usp=drivesdk" TargetMode="External"/><Relationship Id="rId1163" Type="http://schemas.openxmlformats.org/officeDocument/2006/relationships/hyperlink" Target="https://drive.google.com/file/d/1Lr2DRWAWIYyMOcjmGhPE28CnffCA729p/view?usp=drivesdk" TargetMode="External"/><Relationship Id="rId1164" Type="http://schemas.openxmlformats.org/officeDocument/2006/relationships/hyperlink" Target="https://drive.google.com/file/d/11RvUfGG0adkkgf-4aqtpJRi5EMYwKF9V/view?usp=drivesdk" TargetMode="External"/><Relationship Id="rId334" Type="http://schemas.openxmlformats.org/officeDocument/2006/relationships/hyperlink" Target="https://drive.google.com/file/d/1N-PKkpWQPuoplyB3cl1MRHoWrvYnvFEh/view?usp=drivesdk" TargetMode="External"/><Relationship Id="rId576" Type="http://schemas.openxmlformats.org/officeDocument/2006/relationships/hyperlink" Target="https://drive.google.com/file/d/1TxV1Zoo5zs_JZfiKcF_3f43Oy0bmSjtr/view?usp=drivesdk" TargetMode="External"/><Relationship Id="rId1165" Type="http://schemas.openxmlformats.org/officeDocument/2006/relationships/hyperlink" Target="https://drive.google.com/file/d/16uBoPbec8ADsz2rmqltSrEr9ym5qLMVs/view?usp=drivesdk" TargetMode="External"/><Relationship Id="rId333" Type="http://schemas.openxmlformats.org/officeDocument/2006/relationships/hyperlink" Target="https://drive.google.com/file/d/1WxQnPDGyuKLDhmNp2E_AF1gpTLgRiy6l/view?usp=drivesdk" TargetMode="External"/><Relationship Id="rId575" Type="http://schemas.openxmlformats.org/officeDocument/2006/relationships/hyperlink" Target="https://drive.google.com/file/d/11o4d3re2tCNdxH0NVoI_taQOlKbhyupy/view?usp=drivesdk" TargetMode="External"/><Relationship Id="rId1166" Type="http://schemas.openxmlformats.org/officeDocument/2006/relationships/hyperlink" Target="https://drive.google.com/file/d/1izHE3Trpt6KGQ9CQlZtFleJWaPieDs2y/view?usp=drivesdk" TargetMode="External"/><Relationship Id="rId332" Type="http://schemas.openxmlformats.org/officeDocument/2006/relationships/hyperlink" Target="https://drive.google.com/file/d/1nEUcans5pxNoQdhVDl_cCCF39uTDdH75/view?usp=drivesdk" TargetMode="External"/><Relationship Id="rId574" Type="http://schemas.openxmlformats.org/officeDocument/2006/relationships/hyperlink" Target="https://drive.google.com/file/d/1KiBOA-ezi0OJ58IIRpyzoOY65VZ8mrDH/view?usp=drivesdk" TargetMode="External"/><Relationship Id="rId1167" Type="http://schemas.openxmlformats.org/officeDocument/2006/relationships/hyperlink" Target="https://drive.google.com/file/d/17_8L4UgqYDvFU7el7O5OuK4QY_s2PJKC/view?usp=drivesdk" TargetMode="External"/><Relationship Id="rId331" Type="http://schemas.openxmlformats.org/officeDocument/2006/relationships/hyperlink" Target="https://drive.google.com/file/d/1aj7Q5nXzie7X_kkGv7Mr5TZMo32MVvqQ/view?usp=drivesdk" TargetMode="External"/><Relationship Id="rId573" Type="http://schemas.openxmlformats.org/officeDocument/2006/relationships/hyperlink" Target="https://drive.google.com/file/d/1Oo80ytYD6ofy3l9811IG_cdg-IL1KAM7/view?usp=drivesdk" TargetMode="External"/><Relationship Id="rId1168" Type="http://schemas.openxmlformats.org/officeDocument/2006/relationships/hyperlink" Target="https://drive.google.com/file/d/1_CTOhQx5U-DFj_4Olzdkplnhy4yRy0u-/view?usp=drivesdk" TargetMode="External"/><Relationship Id="rId370" Type="http://schemas.openxmlformats.org/officeDocument/2006/relationships/hyperlink" Target="https://drive.google.com/file/d/1rNtxqRZUsFSdLD090ldpyXiYxBP0qdz_/view?usp=drivesdk" TargetMode="External"/><Relationship Id="rId129" Type="http://schemas.openxmlformats.org/officeDocument/2006/relationships/hyperlink" Target="https://drive.google.com/file/d/1ZcgJnl5ycpiz9-mC8OiPnocqShSduucz/view?usp=drivesdk" TargetMode="External"/><Relationship Id="rId128" Type="http://schemas.openxmlformats.org/officeDocument/2006/relationships/hyperlink" Target="https://drive.google.com/file/d/1kIMkocPxRxeyzNIFucQbavfIKPl47LXK/view?usp=drivesdk" TargetMode="External"/><Relationship Id="rId127" Type="http://schemas.openxmlformats.org/officeDocument/2006/relationships/hyperlink" Target="https://drive.google.com/file/d/1qkAxkFChzDdLNr7c9qPQYLN0jN1F2maV/view?usp=drivesdk" TargetMode="External"/><Relationship Id="rId369" Type="http://schemas.openxmlformats.org/officeDocument/2006/relationships/hyperlink" Target="https://drive.google.com/file/d/15669PapkCaVAWsX8ZKEW5OZiFyeYNd5S/view?usp=drivesdk" TargetMode="External"/><Relationship Id="rId126" Type="http://schemas.openxmlformats.org/officeDocument/2006/relationships/hyperlink" Target="https://drive.google.com/file/d/10PB5nlg39rAcRB4bv2k1CamO8wq3_35H/view?usp=drivesdk" TargetMode="External"/><Relationship Id="rId368" Type="http://schemas.openxmlformats.org/officeDocument/2006/relationships/hyperlink" Target="https://drive.google.com/file/d/1vBeQHh4Dx4l0a_n_YV09kux3sZBpTPyB/view?usp=drivesdk" TargetMode="External"/><Relationship Id="rId1190" Type="http://schemas.openxmlformats.org/officeDocument/2006/relationships/hyperlink" Target="https://drive.google.com/file/d/123U7zFe2sPaKZARGqIpRHgEVPqbhYcCy/view?usp=drivesdk" TargetMode="External"/><Relationship Id="rId1191" Type="http://schemas.openxmlformats.org/officeDocument/2006/relationships/hyperlink" Target="https://drive.google.com/file/d/1aWDXwvx5Mlzb9zAYPqXQcFAerUp8d50d/view?usp=drivesdk" TargetMode="External"/><Relationship Id="rId1192" Type="http://schemas.openxmlformats.org/officeDocument/2006/relationships/hyperlink" Target="https://drive.google.com/file/d/1faTtC1j1lOhDi6dob9Nve9I2TUKYxsLs/view?usp=drivesdk" TargetMode="External"/><Relationship Id="rId1193" Type="http://schemas.openxmlformats.org/officeDocument/2006/relationships/hyperlink" Target="https://drive.google.com/file/d/1qGDz9BY-moVr0dWwMT0R0M2acU7-Ea-8/view?usp=drivesdk" TargetMode="External"/><Relationship Id="rId121" Type="http://schemas.openxmlformats.org/officeDocument/2006/relationships/hyperlink" Target="https://drive.google.com/file/d/1fPhB6MgZney1Tehl83YDX8MXtad_APd6/view?usp=drivesdk" TargetMode="External"/><Relationship Id="rId363" Type="http://schemas.openxmlformats.org/officeDocument/2006/relationships/hyperlink" Target="https://drive.google.com/file/d/1RZO3fXELypm84qgqXo4RQiS1EBcnzQZg/view?usp=drivesdk" TargetMode="External"/><Relationship Id="rId1194" Type="http://schemas.openxmlformats.org/officeDocument/2006/relationships/hyperlink" Target="https://drive.google.com/file/d/10vZM8bTh4Oq5PlSwmVSx5iC2vaAukXr4/view?usp=drivesdk" TargetMode="External"/><Relationship Id="rId120" Type="http://schemas.openxmlformats.org/officeDocument/2006/relationships/hyperlink" Target="https://drive.google.com/file/d/1O6nGzjQ9rddhZTVSqwRTKzL-LIBXfZwp/view?usp=drivesdk" TargetMode="External"/><Relationship Id="rId362" Type="http://schemas.openxmlformats.org/officeDocument/2006/relationships/hyperlink" Target="https://drive.google.com/file/d/1z1V0hWJZrhqgNj3ytUiF6waUSu42dGFT/view?usp=drivesdk" TargetMode="External"/><Relationship Id="rId1195" Type="http://schemas.openxmlformats.org/officeDocument/2006/relationships/hyperlink" Target="https://drive.google.com/file/d/13JfjrI-VrzRKPWw-hYgK4RLj2Mj_44Sl/view?usp=drivesdk" TargetMode="External"/><Relationship Id="rId361" Type="http://schemas.openxmlformats.org/officeDocument/2006/relationships/hyperlink" Target="https://drive.google.com/file/d/1jb9toYRwFUTpi_b5zLM17LfiC4EtksPV/view?usp=drivesdk" TargetMode="External"/><Relationship Id="rId1196" Type="http://schemas.openxmlformats.org/officeDocument/2006/relationships/hyperlink" Target="https://drive.google.com/file/d/19ScSMatIEvqS_4B0GjE07Dsm4zvu4Tt7/view?usp=drivesdk" TargetMode="External"/><Relationship Id="rId360" Type="http://schemas.openxmlformats.org/officeDocument/2006/relationships/hyperlink" Target="https://drive.google.com/file/d/1CZ0V2gxkokuQMjVEHUWZYm2rLSpY4McT/view?usp=drivesdk" TargetMode="External"/><Relationship Id="rId1197" Type="http://schemas.openxmlformats.org/officeDocument/2006/relationships/hyperlink" Target="https://drive.google.com/file/d/17O7C-RfA2PIZleEu2jpZOx-Qm4TO8Gzq/view?usp=drivesdk" TargetMode="External"/><Relationship Id="rId125" Type="http://schemas.openxmlformats.org/officeDocument/2006/relationships/hyperlink" Target="https://drive.google.com/file/d/1hNsS5v_049dHMeT1qnQ3IrbShoJsX7ay/view?usp=drivesdk" TargetMode="External"/><Relationship Id="rId367" Type="http://schemas.openxmlformats.org/officeDocument/2006/relationships/hyperlink" Target="https://drive.google.com/file/d/15TNbS_oKHaLUaFkFQWbJJRmzz63t70HU/view?usp=drivesdk" TargetMode="External"/><Relationship Id="rId1198" Type="http://schemas.openxmlformats.org/officeDocument/2006/relationships/hyperlink" Target="https://drive.google.com/file/d/1AGhDJmXdeqIuSWbyHOZctIPCbihGUpfh/view?usp=drivesdk" TargetMode="External"/><Relationship Id="rId124" Type="http://schemas.openxmlformats.org/officeDocument/2006/relationships/hyperlink" Target="https://drive.google.com/file/d/1F1OfPsfC9UlCgG34RcnvdszomfKBlQIA/view?usp=drivesdk" TargetMode="External"/><Relationship Id="rId366" Type="http://schemas.openxmlformats.org/officeDocument/2006/relationships/hyperlink" Target="https://drive.google.com/file/d/1rCZHap-8foZe1nLv7LBts14J7y172r9p/view?usp=drivesdk" TargetMode="External"/><Relationship Id="rId1199" Type="http://schemas.openxmlformats.org/officeDocument/2006/relationships/hyperlink" Target="https://drive.google.com/file/d/13VTTEkgmVTEOcX8UHQ-edFE3a8Dix_jr/view?usp=drivesdk" TargetMode="External"/><Relationship Id="rId123" Type="http://schemas.openxmlformats.org/officeDocument/2006/relationships/hyperlink" Target="https://drive.google.com/file/d/1SLm1ZG3okK-mQ_BsCCU_K9BgRn-Yt0Hi/view?usp=drivesdk" TargetMode="External"/><Relationship Id="rId365" Type="http://schemas.openxmlformats.org/officeDocument/2006/relationships/hyperlink" Target="https://drive.google.com/file/d/1eYw20duzYmTtQ_uTpeGRJlhwWmLIRHiE/view?usp=drivesdk" TargetMode="External"/><Relationship Id="rId122" Type="http://schemas.openxmlformats.org/officeDocument/2006/relationships/hyperlink" Target="https://drive.google.com/file/d/1b1drF0aRqJlYNpeEwL-2DjTNc_ZaKBvR/view?usp=drivesdk" TargetMode="External"/><Relationship Id="rId364" Type="http://schemas.openxmlformats.org/officeDocument/2006/relationships/hyperlink" Target="https://drive.google.com/file/d/1XRPzm65UtQwbE9h6i8PdzWMzclrUIhch/view?usp=drivesdk" TargetMode="External"/><Relationship Id="rId95" Type="http://schemas.openxmlformats.org/officeDocument/2006/relationships/hyperlink" Target="https://drive.google.com/file/d/1-BCsEL3U2N_a7NJCkflH1JTm7n--E82Y/view?usp=drivesdk" TargetMode="External"/><Relationship Id="rId94" Type="http://schemas.openxmlformats.org/officeDocument/2006/relationships/hyperlink" Target="https://drive.google.com/file/d/1_OuLL3RJ-LP2xaWiPjgGX2dGudtwbVEB/view?usp=drivesdk" TargetMode="External"/><Relationship Id="rId97" Type="http://schemas.openxmlformats.org/officeDocument/2006/relationships/hyperlink" Target="https://drive.google.com/file/d/1SxUOXK8891wJNY3XpzRoq34X8Fdf8C5Y/view?usp=drivesdk" TargetMode="External"/><Relationship Id="rId96" Type="http://schemas.openxmlformats.org/officeDocument/2006/relationships/hyperlink" Target="https://drive.google.com/file/d/1Dj8xUoE6tQl-5piKXDC01DOz_2G0Cswk/view?usp=drivesdk" TargetMode="External"/><Relationship Id="rId99" Type="http://schemas.openxmlformats.org/officeDocument/2006/relationships/hyperlink" Target="https://drive.google.com/file/d/1inf_UtmB8qZEJEjxHqb3mATNU9MfbGvi/view?usp=drivesdk" TargetMode="External"/><Relationship Id="rId98" Type="http://schemas.openxmlformats.org/officeDocument/2006/relationships/hyperlink" Target="https://drive.google.com/file/d/1x7vdUFlFv0Y6Mos-YN170z1npcF2pMfv/view?usp=drivesdk" TargetMode="External"/><Relationship Id="rId91" Type="http://schemas.openxmlformats.org/officeDocument/2006/relationships/hyperlink" Target="https://drive.google.com/file/d/1MbaevhE_VKIHQpY3XFPjfbkUUb0OY58W/view?usp=drivesdk" TargetMode="External"/><Relationship Id="rId90" Type="http://schemas.openxmlformats.org/officeDocument/2006/relationships/hyperlink" Target="https://drive.google.com/file/d/1IzpgbuwrQrc8DYOKXcsPzbsJBgtUFUwz/view?usp=drivesdk" TargetMode="External"/><Relationship Id="rId93" Type="http://schemas.openxmlformats.org/officeDocument/2006/relationships/hyperlink" Target="https://drive.google.com/file/d/1PTaQeyVZL42xIRMsNKEduykSSi2Syh6V/view?usp=drivesdk" TargetMode="External"/><Relationship Id="rId92" Type="http://schemas.openxmlformats.org/officeDocument/2006/relationships/hyperlink" Target="https://drive.google.com/file/d/1amsz2qHgf7CWjfTyWKZtKJLBBJfVruLP/view?usp=drivesdk" TargetMode="External"/><Relationship Id="rId118" Type="http://schemas.openxmlformats.org/officeDocument/2006/relationships/hyperlink" Target="https://drive.google.com/file/d/1F2qA2IiuJLM_6af-phSCfx4C0WtXxtop/view?usp=drivesdk" TargetMode="External"/><Relationship Id="rId117" Type="http://schemas.openxmlformats.org/officeDocument/2006/relationships/hyperlink" Target="https://drive.google.com/file/d/1nNH4FIjgolPptGYuwL8fxjJOQ2BRiL59/view?usp=drivesdk" TargetMode="External"/><Relationship Id="rId359" Type="http://schemas.openxmlformats.org/officeDocument/2006/relationships/hyperlink" Target="https://drive.google.com/file/d/1kgKDut1HZJ1TF0930m58PoKCHHnQSp6n/view?usp=drivesdk" TargetMode="External"/><Relationship Id="rId116" Type="http://schemas.openxmlformats.org/officeDocument/2006/relationships/hyperlink" Target="https://drive.google.com/file/d/1sUt47gJC6gm91Aki5pCqii7VlkfhLXYV/view?usp=drivesdk" TargetMode="External"/><Relationship Id="rId358" Type="http://schemas.openxmlformats.org/officeDocument/2006/relationships/hyperlink" Target="https://drive.google.com/file/d/1GzaLcBQljtJt3FTbBE7x2VZSPlKAU7EU/view?usp=drivesdk" TargetMode="External"/><Relationship Id="rId115" Type="http://schemas.openxmlformats.org/officeDocument/2006/relationships/hyperlink" Target="https://drive.google.com/file/d/1aqanjOppOIgFWJ7CgCppJDKIP3dweWeL/view?usp=drivesdk" TargetMode="External"/><Relationship Id="rId357" Type="http://schemas.openxmlformats.org/officeDocument/2006/relationships/hyperlink" Target="https://drive.google.com/file/d/1Z6OJupNRwl2d8FsMeMEROl4viwfjFehp/view?usp=drivesdk" TargetMode="External"/><Relationship Id="rId599" Type="http://schemas.openxmlformats.org/officeDocument/2006/relationships/hyperlink" Target="https://drive.google.com/file/d/1eRwac-UqjH6rK0c7CA6qvACVg_h90pBq/view?usp=drivesdk" TargetMode="External"/><Relationship Id="rId1180" Type="http://schemas.openxmlformats.org/officeDocument/2006/relationships/hyperlink" Target="https://drive.google.com/file/d/1T1W8DvM0f_N8Om8k7qCK7sIJl2IDJMwY/view?usp=drivesdk" TargetMode="External"/><Relationship Id="rId1181" Type="http://schemas.openxmlformats.org/officeDocument/2006/relationships/hyperlink" Target="https://drive.google.com/file/d/1cawqkGZNMs8tluB07TtTMhcddEzUILMT/view?usp=drivesdk" TargetMode="External"/><Relationship Id="rId119" Type="http://schemas.openxmlformats.org/officeDocument/2006/relationships/hyperlink" Target="https://drive.google.com/file/d/1p-2eXKVL2xyY6UHz-Uiiq5WgRY0aoBfR/view?usp=drivesdk" TargetMode="External"/><Relationship Id="rId1182" Type="http://schemas.openxmlformats.org/officeDocument/2006/relationships/hyperlink" Target="https://drive.google.com/file/d/1KSe695ljfgV2jBr8UATkkADwcg_k-Fip/view?usp=drivesdk" TargetMode="External"/><Relationship Id="rId110" Type="http://schemas.openxmlformats.org/officeDocument/2006/relationships/hyperlink" Target="https://drive.google.com/file/d/1XW5arMlkb71FcRm9SAfYdJU8VxWiL6G5/view?usp=drivesdk" TargetMode="External"/><Relationship Id="rId352" Type="http://schemas.openxmlformats.org/officeDocument/2006/relationships/hyperlink" Target="https://drive.google.com/file/d/1cNgMFZ4PulcG7-q-jMGiyBNFSsVZeFeA/view?usp=drivesdk" TargetMode="External"/><Relationship Id="rId594" Type="http://schemas.openxmlformats.org/officeDocument/2006/relationships/hyperlink" Target="https://drive.google.com/file/d/1M2hG1mH2gtQytRQQrNc8DX2djB0abIXp/view?usp=drivesdk" TargetMode="External"/><Relationship Id="rId1183" Type="http://schemas.openxmlformats.org/officeDocument/2006/relationships/hyperlink" Target="https://drive.google.com/file/d/1mmlDxVMHEYa9IkMfFlJBIa1BPLxjZLZb/view?usp=drivesdk" TargetMode="External"/><Relationship Id="rId351" Type="http://schemas.openxmlformats.org/officeDocument/2006/relationships/hyperlink" Target="https://drive.google.com/file/d/1698ouHLg9C2RLcPmDozTvongjAhgmvAH/view?usp=drivesdk" TargetMode="External"/><Relationship Id="rId593" Type="http://schemas.openxmlformats.org/officeDocument/2006/relationships/hyperlink" Target="https://drive.google.com/file/d/1Pj4bBE4RWooDYJaE7prno5oPTeSiHppR/view?usp=drivesdk" TargetMode="External"/><Relationship Id="rId1184" Type="http://schemas.openxmlformats.org/officeDocument/2006/relationships/hyperlink" Target="https://drive.google.com/file/d/1RUsGQix9oiVtXZy7U4sWdH47vV3mtrof/view?usp=drivesdk" TargetMode="External"/><Relationship Id="rId350" Type="http://schemas.openxmlformats.org/officeDocument/2006/relationships/hyperlink" Target="https://drive.google.com/file/d/1b1iWcrqFl9ks9zJ7wp4yocjLzE0qIvXa/view?usp=drivesdk" TargetMode="External"/><Relationship Id="rId592" Type="http://schemas.openxmlformats.org/officeDocument/2006/relationships/hyperlink" Target="https://drive.google.com/file/d/1d4KmZFYXuq2n-AgTqZSaH-VCjTFu4uwa/view?usp=drivesdk" TargetMode="External"/><Relationship Id="rId1185" Type="http://schemas.openxmlformats.org/officeDocument/2006/relationships/hyperlink" Target="https://drive.google.com/file/d/1QjvKXZ-FWcryIL499ua6eQkP47uArvY7/view?usp=drivesdk" TargetMode="External"/><Relationship Id="rId591" Type="http://schemas.openxmlformats.org/officeDocument/2006/relationships/hyperlink" Target="https://drive.google.com/file/d/1hawU69lVIUfpr5WJBdlddoXL9FjPEwV5/view?usp=drivesdk" TargetMode="External"/><Relationship Id="rId1186" Type="http://schemas.openxmlformats.org/officeDocument/2006/relationships/hyperlink" Target="https://drive.google.com/file/d/1Iz3k5XX7KR5AJF1cjmsJDjS0wXdZm0ZD/view?usp=drivesdk" TargetMode="External"/><Relationship Id="rId114" Type="http://schemas.openxmlformats.org/officeDocument/2006/relationships/hyperlink" Target="https://drive.google.com/file/d/18WCs-z_-hyOwBC97NqYX1L8BoffJLlFA/view?usp=drivesdk" TargetMode="External"/><Relationship Id="rId356" Type="http://schemas.openxmlformats.org/officeDocument/2006/relationships/hyperlink" Target="https://drive.google.com/file/d/1lHmOe0Yq9hINAmdQut83Ysy_zRD1F4S1/view?usp=drivesdk" TargetMode="External"/><Relationship Id="rId598" Type="http://schemas.openxmlformats.org/officeDocument/2006/relationships/hyperlink" Target="https://drive.google.com/file/d/14Xj2EaaX7L4E1pOMnuThOBqiY_-yRL8F/view?usp=drivesdk" TargetMode="External"/><Relationship Id="rId1187" Type="http://schemas.openxmlformats.org/officeDocument/2006/relationships/hyperlink" Target="https://drive.google.com/file/d/1_ZfVoIcMLMk_tK10-RgfYEfetEzFxWrk/view?usp=drivesdk" TargetMode="External"/><Relationship Id="rId113" Type="http://schemas.openxmlformats.org/officeDocument/2006/relationships/hyperlink" Target="https://drive.google.com/file/d/16wbKCWSBvzJIDf-gjlUQmszhncvNrTcl/view?usp=drivesdk" TargetMode="External"/><Relationship Id="rId355" Type="http://schemas.openxmlformats.org/officeDocument/2006/relationships/hyperlink" Target="https://drive.google.com/file/d/19B5W2-jwaS2PI17g9BRyvxapOA947DDW/view?usp=drivesdk" TargetMode="External"/><Relationship Id="rId597" Type="http://schemas.openxmlformats.org/officeDocument/2006/relationships/hyperlink" Target="https://drive.google.com/file/d/18hCeoz-wanIRK0pTuzHh5rGb6aXQ_leo/view?usp=drivesdk" TargetMode="External"/><Relationship Id="rId1188" Type="http://schemas.openxmlformats.org/officeDocument/2006/relationships/hyperlink" Target="https://drive.google.com/file/d/1a8Pw5kV6NbScfH2PXHwr1MJrhw-TbxcF/view?usp=drivesdk" TargetMode="External"/><Relationship Id="rId112" Type="http://schemas.openxmlformats.org/officeDocument/2006/relationships/hyperlink" Target="https://drive.google.com/file/d/1Yr6d81hDDjf2zdgUXOPbCG6NyQJh6fhi/view?usp=drivesdk" TargetMode="External"/><Relationship Id="rId354" Type="http://schemas.openxmlformats.org/officeDocument/2006/relationships/hyperlink" Target="https://drive.google.com/file/d/1jJFk-xXTLNVVfv2u77x47wEDeGJkWK2U/view?usp=drivesdk" TargetMode="External"/><Relationship Id="rId596" Type="http://schemas.openxmlformats.org/officeDocument/2006/relationships/hyperlink" Target="https://drive.google.com/file/d/1wLJ_xJY0QJLFcOLqqDJDxYqzMPDkEKzB/view?usp=drivesdk" TargetMode="External"/><Relationship Id="rId1189" Type="http://schemas.openxmlformats.org/officeDocument/2006/relationships/hyperlink" Target="https://drive.google.com/file/d/1IrgUWCCZLYZyO7xP3wD-wSyCleM2Fe2M/view?usp=drivesdk" TargetMode="External"/><Relationship Id="rId111" Type="http://schemas.openxmlformats.org/officeDocument/2006/relationships/hyperlink" Target="https://drive.google.com/file/d/1_o3wDsQVDHOy-jXsgNuz1R5MEZoK3JT8/view?usp=drivesdk" TargetMode="External"/><Relationship Id="rId353" Type="http://schemas.openxmlformats.org/officeDocument/2006/relationships/hyperlink" Target="https://drive.google.com/file/d/1q2uFSMVN-vksQ6dYupCsJcmiRO_wGOl_/view?usp=drivesdk" TargetMode="External"/><Relationship Id="rId595" Type="http://schemas.openxmlformats.org/officeDocument/2006/relationships/hyperlink" Target="https://drive.google.com/file/d/1m29Ndsh3fp3rtKoVaHQsNguA3TvHzw0f/view?usp=drivesdk" TargetMode="External"/><Relationship Id="rId1136" Type="http://schemas.openxmlformats.org/officeDocument/2006/relationships/hyperlink" Target="https://drive.google.com/file/d/12fu9WGdUdUyiytEWWRT7YcUMZfb7Dr89/view?usp=drivesdk" TargetMode="External"/><Relationship Id="rId1137" Type="http://schemas.openxmlformats.org/officeDocument/2006/relationships/hyperlink" Target="https://drive.google.com/file/d/1yryu5TpVeAfLINGpQ1ywx08h8n4i860e/view?usp=drivesdk" TargetMode="External"/><Relationship Id="rId1138" Type="http://schemas.openxmlformats.org/officeDocument/2006/relationships/hyperlink" Target="https://drive.google.com/file/d/1LSaSD0NEXa3oknl7mm2NRhHfW9Ja9Um9/view?usp=drivesdk" TargetMode="External"/><Relationship Id="rId1139" Type="http://schemas.openxmlformats.org/officeDocument/2006/relationships/hyperlink" Target="https://drive.google.com/file/d/11bk2oQUJtohm47nPV5LM_Prz5PzFkmiM/view?usp=drivesdk" TargetMode="External"/><Relationship Id="rId305" Type="http://schemas.openxmlformats.org/officeDocument/2006/relationships/hyperlink" Target="https://drive.google.com/file/d/1L6cQ8sxKdQVmgOXD0M7ychYx8T2wJVVH/view?usp=drivesdk" TargetMode="External"/><Relationship Id="rId547" Type="http://schemas.openxmlformats.org/officeDocument/2006/relationships/hyperlink" Target="https://drive.google.com/file/d/1LMdwlc54u39C0pl-zU6z2Dvr8qB-JJBA/view?usp=drivesdk" TargetMode="External"/><Relationship Id="rId789" Type="http://schemas.openxmlformats.org/officeDocument/2006/relationships/hyperlink" Target="https://drive.google.com/file/d/1MgVKfr9sERH00DQ8tMzg_P70bwnkZOyl/view?usp=drivesdk" TargetMode="External"/><Relationship Id="rId304" Type="http://schemas.openxmlformats.org/officeDocument/2006/relationships/hyperlink" Target="https://drive.google.com/file/d/1iM5QXcCqiUTB6pvOBwidFqxFgH7V82Oo/view?usp=drivesdk" TargetMode="External"/><Relationship Id="rId546" Type="http://schemas.openxmlformats.org/officeDocument/2006/relationships/hyperlink" Target="https://drive.google.com/file/d/1MBvd0v7neU-FUViQB2w4GaQAJtMxCZBq/view?usp=drivesdk" TargetMode="External"/><Relationship Id="rId788" Type="http://schemas.openxmlformats.org/officeDocument/2006/relationships/hyperlink" Target="https://drive.google.com/file/d/1NGLbDArSeHb9mv1xlTUUF80nBlD0SweO/view?usp=drivesdk" TargetMode="External"/><Relationship Id="rId303" Type="http://schemas.openxmlformats.org/officeDocument/2006/relationships/hyperlink" Target="https://drive.google.com/file/d/1Vfg3HUzdyn5pVId_k4j58DLmivBYcb2d/view?usp=drivesdk" TargetMode="External"/><Relationship Id="rId545" Type="http://schemas.openxmlformats.org/officeDocument/2006/relationships/hyperlink" Target="https://drive.google.com/file/d/1a8-DEaZeLwwQV8sEE1GU6KL_a9-SfV7T/view?usp=drivesdk" TargetMode="External"/><Relationship Id="rId787" Type="http://schemas.openxmlformats.org/officeDocument/2006/relationships/hyperlink" Target="https://drive.google.com/file/d/1wH6oiuJH_cu-yXfIhHItYlC2KS51DJVP/view?usp=drivesdk" TargetMode="External"/><Relationship Id="rId302" Type="http://schemas.openxmlformats.org/officeDocument/2006/relationships/hyperlink" Target="https://drive.google.com/file/d/1-nvdt2zsq8zbBK4n4u8eSkSnUq5i8RQc/view?usp=drivesdk" TargetMode="External"/><Relationship Id="rId544" Type="http://schemas.openxmlformats.org/officeDocument/2006/relationships/hyperlink" Target="https://drive.google.com/file/d/1KVxj6ymLv9ulLJahfXaHm104CnrQ0UxI/view?usp=drivesdk" TargetMode="External"/><Relationship Id="rId786" Type="http://schemas.openxmlformats.org/officeDocument/2006/relationships/hyperlink" Target="https://drive.google.com/file/d/17dHRYc5wRmQNTpTCYIF_rTj-frYQZurM/view?usp=drivesdk" TargetMode="External"/><Relationship Id="rId309" Type="http://schemas.openxmlformats.org/officeDocument/2006/relationships/hyperlink" Target="https://drive.google.com/file/d/15yPt6BG5M6Z3f8pKKpWJvWNtsp20AiBX/view?usp=drivesdk" TargetMode="External"/><Relationship Id="rId308" Type="http://schemas.openxmlformats.org/officeDocument/2006/relationships/hyperlink" Target="https://drive.google.com/file/d/14OLEIWuMVyOpKcSTBT2INazotiLISqjN/view?usp=drivesdk" TargetMode="External"/><Relationship Id="rId307" Type="http://schemas.openxmlformats.org/officeDocument/2006/relationships/hyperlink" Target="https://drive.google.com/file/d/1gtALv6Q5qRWVP2HPFDcPSyeGaWHD3thz/view?usp=drivesdk" TargetMode="External"/><Relationship Id="rId549" Type="http://schemas.openxmlformats.org/officeDocument/2006/relationships/hyperlink" Target="https://drive.google.com/file/d/1Mvjf0QK7EWsVTh1Qvy9FjSE9L1niehin/view?usp=drivesdk" TargetMode="External"/><Relationship Id="rId306" Type="http://schemas.openxmlformats.org/officeDocument/2006/relationships/hyperlink" Target="https://drive.google.com/file/d/1T6FWv4AZtDZC7pVU5K2mLkMQtYWrKzFd/view?usp=drivesdk" TargetMode="External"/><Relationship Id="rId548" Type="http://schemas.openxmlformats.org/officeDocument/2006/relationships/hyperlink" Target="https://drive.google.com/file/d/1uY8R2lyLxqy4fl8Jj10nvMoQ-FRQDcC7/view?usp=drivesdk" TargetMode="External"/><Relationship Id="rId781" Type="http://schemas.openxmlformats.org/officeDocument/2006/relationships/hyperlink" Target="https://drive.google.com/file/d/1_jbTTr1hSw0qpBEyKsux3WAwU7Vaj7pB/view?usp=drivesdk" TargetMode="External"/><Relationship Id="rId780" Type="http://schemas.openxmlformats.org/officeDocument/2006/relationships/hyperlink" Target="https://drive.google.com/file/d/1-T6BSeInQiQ2e-oPTsRnVlFPUpOOUg6q/view?usp=drivesdk" TargetMode="External"/><Relationship Id="rId1130" Type="http://schemas.openxmlformats.org/officeDocument/2006/relationships/hyperlink" Target="https://drive.google.com/file/d/1gGjTJ5_tmL3mSyb4HXmSf-5gbipoMxLo/view?usp=drivesdk" TargetMode="External"/><Relationship Id="rId1131" Type="http://schemas.openxmlformats.org/officeDocument/2006/relationships/hyperlink" Target="https://drive.google.com/file/d/1-rkXznDKWCsIJ2YUSMup-Zeuyac_yXDP/view?usp=drivesdk" TargetMode="External"/><Relationship Id="rId301" Type="http://schemas.openxmlformats.org/officeDocument/2006/relationships/hyperlink" Target="https://drive.google.com/file/d/1Z6jlOuHxTZJZJahRSh5LUt7fVJN6XShQ/view?usp=drivesdk" TargetMode="External"/><Relationship Id="rId543" Type="http://schemas.openxmlformats.org/officeDocument/2006/relationships/hyperlink" Target="https://drive.google.com/file/d/19VsqW31w4cA32yDqdiP6JVuqJy1t-5im/view?usp=drivesdk" TargetMode="External"/><Relationship Id="rId785" Type="http://schemas.openxmlformats.org/officeDocument/2006/relationships/hyperlink" Target="https://drive.google.com/file/d/1K5sucQG84VPUzxRS4PkJx7v0BPzv5Ive/view?usp=drivesdk" TargetMode="External"/><Relationship Id="rId1132" Type="http://schemas.openxmlformats.org/officeDocument/2006/relationships/hyperlink" Target="https://drive.google.com/file/d/12OyzJ9_7tdprAl49fZbj8LhYcf7_WIRq/view?usp=drivesdk" TargetMode="External"/><Relationship Id="rId300" Type="http://schemas.openxmlformats.org/officeDocument/2006/relationships/hyperlink" Target="https://drive.google.com/file/d/1ujF1BBkPbilsuQQ511eCU3UssKCpIKiw/view?usp=drivesdk" TargetMode="External"/><Relationship Id="rId542" Type="http://schemas.openxmlformats.org/officeDocument/2006/relationships/hyperlink" Target="https://drive.google.com/file/d/1Qr3f6l83NR2xdhUjfJttdtTIlJZ8ja46/view?usp=drivesdk" TargetMode="External"/><Relationship Id="rId784" Type="http://schemas.openxmlformats.org/officeDocument/2006/relationships/hyperlink" Target="https://drive.google.com/file/d/1WUd9vmSqcDMgvNWovSlNdzi6HRk3tBoz/view?usp=drivesdk" TargetMode="External"/><Relationship Id="rId1133" Type="http://schemas.openxmlformats.org/officeDocument/2006/relationships/hyperlink" Target="https://drive.google.com/file/d/12VAfKydrkL0R97gvfIfE47qJi5cRPQzm/view?usp=drivesdk" TargetMode="External"/><Relationship Id="rId541" Type="http://schemas.openxmlformats.org/officeDocument/2006/relationships/hyperlink" Target="https://drive.google.com/file/d/1t_SiZmn0BmZTtvCRD5vomEjmmPGHziiZ/view?usp=drivesdk" TargetMode="External"/><Relationship Id="rId783" Type="http://schemas.openxmlformats.org/officeDocument/2006/relationships/hyperlink" Target="https://drive.google.com/file/d/1wbqLIEAlRTVqm5OEnuBSLAClt6P350Mc/view?usp=drivesdk" TargetMode="External"/><Relationship Id="rId1134" Type="http://schemas.openxmlformats.org/officeDocument/2006/relationships/hyperlink" Target="https://drive.google.com/file/d/1L8qWSeQMHJjOWMFZdcBMrhIdbavutjBz/view?usp=drivesdk" TargetMode="External"/><Relationship Id="rId540" Type="http://schemas.openxmlformats.org/officeDocument/2006/relationships/hyperlink" Target="https://drive.google.com/file/d/1Cbe8BsL36OS5-YfDjWdn_K8jB0Ys9oM2/view?usp=drivesdk" TargetMode="External"/><Relationship Id="rId782" Type="http://schemas.openxmlformats.org/officeDocument/2006/relationships/hyperlink" Target="https://drive.google.com/file/d/1oSnzRJOHGJ42PbQb-Y7Yz3UDs_8SVHtD/view?usp=drivesdk" TargetMode="External"/><Relationship Id="rId1135" Type="http://schemas.openxmlformats.org/officeDocument/2006/relationships/hyperlink" Target="https://drive.google.com/file/d/1AIQrs9lm5fgNpzCpTbsyCniU2ceOqcEC/view?usp=drivesdk" TargetMode="External"/><Relationship Id="rId1125" Type="http://schemas.openxmlformats.org/officeDocument/2006/relationships/hyperlink" Target="https://drive.google.com/file/d/1kAcXftCVFoOBpOxeq9LP6nNtn3XSqrIX/view?usp=drivesdk" TargetMode="External"/><Relationship Id="rId1126" Type="http://schemas.openxmlformats.org/officeDocument/2006/relationships/hyperlink" Target="https://drive.google.com/file/d/1AQC66clB7tpIRYZJA48I4LYR983-ZLmU/view?usp=drivesdk" TargetMode="External"/><Relationship Id="rId1127" Type="http://schemas.openxmlformats.org/officeDocument/2006/relationships/hyperlink" Target="https://drive.google.com/file/d/1o7m1YO5Fanl5wdNBRvXe6u60SWF8ABPi/view?usp=drivesdk" TargetMode="External"/><Relationship Id="rId1128" Type="http://schemas.openxmlformats.org/officeDocument/2006/relationships/hyperlink" Target="https://drive.google.com/file/d/1_tB4B_-wIis7Vn9hK8N6t142jZEj0mO7/view?usp=drivesdk" TargetMode="External"/><Relationship Id="rId1129" Type="http://schemas.openxmlformats.org/officeDocument/2006/relationships/hyperlink" Target="https://drive.google.com/file/d/1B310rptRKlYhj4--PA50YRy6W6Bz-p81/view?usp=drivesdk" TargetMode="External"/><Relationship Id="rId536" Type="http://schemas.openxmlformats.org/officeDocument/2006/relationships/hyperlink" Target="https://drive.google.com/file/d/1L0QLXoWBWGAmiYlq0vNHa4rUrLKpVq7a/view?usp=drivesdk" TargetMode="External"/><Relationship Id="rId778" Type="http://schemas.openxmlformats.org/officeDocument/2006/relationships/hyperlink" Target="https://drive.google.com/file/d/1dj7t1_gN8M2MLF5GaM-1i7hNqXopQdqY/view?usp=drivesdk" TargetMode="External"/><Relationship Id="rId535" Type="http://schemas.openxmlformats.org/officeDocument/2006/relationships/hyperlink" Target="https://drive.google.com/file/d/1cPLcKqBU3Z3hIT1P5sRM1w4EFMovq_WO/view?usp=drivesdk" TargetMode="External"/><Relationship Id="rId777" Type="http://schemas.openxmlformats.org/officeDocument/2006/relationships/hyperlink" Target="https://drive.google.com/file/d/1Jxggx05AO77NxROgelOo24t0LEwA-aMl/view?usp=drivesdk" TargetMode="External"/><Relationship Id="rId534" Type="http://schemas.openxmlformats.org/officeDocument/2006/relationships/hyperlink" Target="https://drive.google.com/file/d/1yMBumSPJMYaEx3mbNjnDP-FzlFvYROQ9/view?usp=drivesdk" TargetMode="External"/><Relationship Id="rId776" Type="http://schemas.openxmlformats.org/officeDocument/2006/relationships/hyperlink" Target="https://drive.google.com/file/d/1Y9NuNphe_S_gRzFXCYIpumIwRHV_OTn3/view?usp=drivesdk" TargetMode="External"/><Relationship Id="rId533" Type="http://schemas.openxmlformats.org/officeDocument/2006/relationships/hyperlink" Target="https://drive.google.com/file/d/10cZWmcNssbtO6NYyInMcvlKd8xToXqqL/view?usp=drivesdk" TargetMode="External"/><Relationship Id="rId775" Type="http://schemas.openxmlformats.org/officeDocument/2006/relationships/hyperlink" Target="https://drive.google.com/file/d/1HYc_PqJsDxBhaXM-89Me0dqkn7vaVAgt/view?usp=drivesdk" TargetMode="External"/><Relationship Id="rId539" Type="http://schemas.openxmlformats.org/officeDocument/2006/relationships/hyperlink" Target="https://drive.google.com/file/d/1LXYOQDI4j86WFQHJ3Q9tpM3pEmn3LB0F/view?usp=drivesdk" TargetMode="External"/><Relationship Id="rId538" Type="http://schemas.openxmlformats.org/officeDocument/2006/relationships/hyperlink" Target="https://drive.google.com/file/d/1ynNWfE5dYu1ZgjB3NRpP5DUdQhRhylsh/view?usp=drivesdk" TargetMode="External"/><Relationship Id="rId537" Type="http://schemas.openxmlformats.org/officeDocument/2006/relationships/hyperlink" Target="https://drive.google.com/file/d/1eNqQX0LHhg87PQzyxpkTmaLMFMsFPzfs/view?usp=drivesdk" TargetMode="External"/><Relationship Id="rId779" Type="http://schemas.openxmlformats.org/officeDocument/2006/relationships/hyperlink" Target="https://drive.google.com/file/d/1R1FpFZrL3bw8CuksxO0PIDWDuQdBecEq/view?usp=drivesdk" TargetMode="External"/><Relationship Id="rId770" Type="http://schemas.openxmlformats.org/officeDocument/2006/relationships/hyperlink" Target="https://drive.google.com/file/d/1ZJbR66ovzDo1WfEy673LqMvj7jEDn7nl/view?usp=drivesdk" TargetMode="External"/><Relationship Id="rId1120" Type="http://schemas.openxmlformats.org/officeDocument/2006/relationships/hyperlink" Target="https://drive.google.com/file/d/1gYsjueT5dWSxfZjPD217j54difMa5TVi/view?usp=drivesdk" TargetMode="External"/><Relationship Id="rId532" Type="http://schemas.openxmlformats.org/officeDocument/2006/relationships/hyperlink" Target="https://drive.google.com/file/d/1zVjqC_hWqSRVTLRfiqIQixbpx0ZKJLyF/view?usp=drivesdk" TargetMode="External"/><Relationship Id="rId774" Type="http://schemas.openxmlformats.org/officeDocument/2006/relationships/hyperlink" Target="https://drive.google.com/file/d/1LBPUKoTYLh5c1pjUGCMtFSZWOabq6vvy/view?usp=drivesdk" TargetMode="External"/><Relationship Id="rId1121" Type="http://schemas.openxmlformats.org/officeDocument/2006/relationships/hyperlink" Target="https://drive.google.com/file/d/1O0PVx3px5U3EkjJeAyWYeahLFi08XBni/view?usp=drivesdk" TargetMode="External"/><Relationship Id="rId531" Type="http://schemas.openxmlformats.org/officeDocument/2006/relationships/hyperlink" Target="https://drive.google.com/file/d/1rDuoDDafAm7Y4UMqJkjC9bEMTtkdGywA/view?usp=drivesdk" TargetMode="External"/><Relationship Id="rId773" Type="http://schemas.openxmlformats.org/officeDocument/2006/relationships/hyperlink" Target="https://drive.google.com/file/d/17fIZXaU-iouRU_rT5-0GYtyVZ1uQuUcr/view?usp=drivesdk" TargetMode="External"/><Relationship Id="rId1122" Type="http://schemas.openxmlformats.org/officeDocument/2006/relationships/hyperlink" Target="https://drive.google.com/file/d/1whFtmLt5GafAWnjX8r8c5Rc6RwtheWPu/view?usp=drivesdk" TargetMode="External"/><Relationship Id="rId530" Type="http://schemas.openxmlformats.org/officeDocument/2006/relationships/hyperlink" Target="https://drive.google.com/file/d/1Fxv_3I6RUngPWfPDLE4VrOvCmEaFb9LQ/view?usp=drivesdk" TargetMode="External"/><Relationship Id="rId772" Type="http://schemas.openxmlformats.org/officeDocument/2006/relationships/hyperlink" Target="https://drive.google.com/file/d/19VzvMih44hYLpbIV8iwM4Iz6yBiKZFvH/view?usp=drivesdk" TargetMode="External"/><Relationship Id="rId1123" Type="http://schemas.openxmlformats.org/officeDocument/2006/relationships/hyperlink" Target="https://drive.google.com/file/d/1kOM8XLip7zbl4tu3kaM3xSCS7kmgd52n/view?usp=drivesdk" TargetMode="External"/><Relationship Id="rId771" Type="http://schemas.openxmlformats.org/officeDocument/2006/relationships/hyperlink" Target="https://drive.google.com/file/d/114G0Qmawpn6_2NOJb7PHkd3Kaj4WDWuf/view?usp=drivesdk" TargetMode="External"/><Relationship Id="rId1124" Type="http://schemas.openxmlformats.org/officeDocument/2006/relationships/hyperlink" Target="https://drive.google.com/file/d/1kxEp7L3skZ0UrWyYPrqhrRNOkT3Dkb7l/view?usp=drivesdk" TargetMode="External"/><Relationship Id="rId1158" Type="http://schemas.openxmlformats.org/officeDocument/2006/relationships/hyperlink" Target="https://drive.google.com/file/d/1iIBbbjHSgphUQTZp05pHFILE4XckMtSu/view?usp=drivesdk" TargetMode="External"/><Relationship Id="rId1159" Type="http://schemas.openxmlformats.org/officeDocument/2006/relationships/hyperlink" Target="https://drive.google.com/file/d/1l-FQDh_6BWqFULLKRVsqfXx--Fa2XEM8/view?usp=drivesdk" TargetMode="External"/><Relationship Id="rId327" Type="http://schemas.openxmlformats.org/officeDocument/2006/relationships/hyperlink" Target="https://drive.google.com/file/d/1dtKtdd_2kCj2_XWZ00HVUoDI14oKWQL4/view?usp=drivesdk" TargetMode="External"/><Relationship Id="rId569" Type="http://schemas.openxmlformats.org/officeDocument/2006/relationships/hyperlink" Target="https://drive.google.com/file/d/1FVuBK4B3s-hKrgmhZC5hpx9eOfxb1nt0/view?usp=drivesdk" TargetMode="External"/><Relationship Id="rId326" Type="http://schemas.openxmlformats.org/officeDocument/2006/relationships/hyperlink" Target="https://drive.google.com/file/d/1HFXkTrUQ8mI7mp9ox_hwUEQogpkDhj2e/view?usp=drivesdk" TargetMode="External"/><Relationship Id="rId568" Type="http://schemas.openxmlformats.org/officeDocument/2006/relationships/hyperlink" Target="https://drive.google.com/file/d/1xAmIP16iVLiBqjVVwMcExCjDLCexNoHS/view?usp=drivesdk" TargetMode="External"/><Relationship Id="rId325" Type="http://schemas.openxmlformats.org/officeDocument/2006/relationships/hyperlink" Target="https://drive.google.com/file/d/1EmBa4FAERTSR2VRVKMSpm5GubmxUEIHl/view?usp=drivesdk" TargetMode="External"/><Relationship Id="rId567" Type="http://schemas.openxmlformats.org/officeDocument/2006/relationships/hyperlink" Target="https://drive.google.com/file/d/15QAv4M6PNdG1pgFj7uT3ns_043Y9aqJD/view?usp=drivesdk" TargetMode="External"/><Relationship Id="rId324" Type="http://schemas.openxmlformats.org/officeDocument/2006/relationships/hyperlink" Target="https://drive.google.com/file/d/1j4TWVnNjXprDjzvGBpBXcH6L3LKSZLX9/view?usp=drivesdk" TargetMode="External"/><Relationship Id="rId566" Type="http://schemas.openxmlformats.org/officeDocument/2006/relationships/hyperlink" Target="https://drive.google.com/file/d/1NlstKV2myYrxqVH7palFjXnd5s-egVkV/view?usp=drivesdk" TargetMode="External"/><Relationship Id="rId329" Type="http://schemas.openxmlformats.org/officeDocument/2006/relationships/hyperlink" Target="https://drive.google.com/file/d/1lEBclQDmBNasLSWXgu6GpjmLM1nX5T8A/view?usp=drivesdk" TargetMode="External"/><Relationship Id="rId328" Type="http://schemas.openxmlformats.org/officeDocument/2006/relationships/hyperlink" Target="https://drive.google.com/file/d/12EZ-0hdDByn4A9gXqy3Z4L9vFQIJgKL2/view?usp=drivesdk" TargetMode="External"/><Relationship Id="rId561" Type="http://schemas.openxmlformats.org/officeDocument/2006/relationships/hyperlink" Target="https://drive.google.com/file/d/19TqOGmxg8qepMoOImhbMmmNfe5BmEOia/view?usp=drivesdk" TargetMode="External"/><Relationship Id="rId1150" Type="http://schemas.openxmlformats.org/officeDocument/2006/relationships/hyperlink" Target="https://drive.google.com/file/d/1pQslyafh5w6LXKs-4hvwoDaeOx6oKCqv/view?usp=drivesdk" TargetMode="External"/><Relationship Id="rId560" Type="http://schemas.openxmlformats.org/officeDocument/2006/relationships/hyperlink" Target="https://drive.google.com/file/d/19UjzTRwcAK_mv5d7Upr4wiloQds0iOr4/view?usp=drivesdk" TargetMode="External"/><Relationship Id="rId1151" Type="http://schemas.openxmlformats.org/officeDocument/2006/relationships/hyperlink" Target="https://drive.google.com/file/d/17VMFzHxY5tq76J7w4BG0NGbr50TCTg0F/view?usp=drivesdk" TargetMode="External"/><Relationship Id="rId1152" Type="http://schemas.openxmlformats.org/officeDocument/2006/relationships/hyperlink" Target="https://drive.google.com/file/d/1ka0FW4QzFTQTmLb6acx24wkpaOVWoZk4/view?usp=drivesdk" TargetMode="External"/><Relationship Id="rId1153" Type="http://schemas.openxmlformats.org/officeDocument/2006/relationships/hyperlink" Target="https://drive.google.com/file/d/1LhQY-kwPVHwQjVoIgby6ROOPlcuLZNsU/view?usp=drivesdk" TargetMode="External"/><Relationship Id="rId323" Type="http://schemas.openxmlformats.org/officeDocument/2006/relationships/hyperlink" Target="https://drive.google.com/file/d/14h4JAaLIFwJooHksF6zU7CsVLjzpq5-u/view?usp=drivesdk" TargetMode="External"/><Relationship Id="rId565" Type="http://schemas.openxmlformats.org/officeDocument/2006/relationships/hyperlink" Target="https://drive.google.com/file/d/1Sld4LneTy970dZeagu3K9pgq5PjoutgC/view?usp=drivesdk" TargetMode="External"/><Relationship Id="rId1154" Type="http://schemas.openxmlformats.org/officeDocument/2006/relationships/hyperlink" Target="https://drive.google.com/file/d/1t1XAeIm6WneH_o9USomfLYCVTxSRqbqJ/view?usp=drivesdk" TargetMode="External"/><Relationship Id="rId322" Type="http://schemas.openxmlformats.org/officeDocument/2006/relationships/hyperlink" Target="https://drive.google.com/file/d/1U69QzSgL1sGVmE3D5EtMgl_MmXGOF6xX/view?usp=drivesdk" TargetMode="External"/><Relationship Id="rId564" Type="http://schemas.openxmlformats.org/officeDocument/2006/relationships/hyperlink" Target="https://drive.google.com/file/d/1Lk5rpM3oHXydSuvKFykAsTyOJ-xfRd3E/view?usp=drivesdk" TargetMode="External"/><Relationship Id="rId1155" Type="http://schemas.openxmlformats.org/officeDocument/2006/relationships/hyperlink" Target="https://drive.google.com/file/d/1yY0R-I6iYqbfARW7_YXHptE674DCxqru/view?usp=drivesdk" TargetMode="External"/><Relationship Id="rId321" Type="http://schemas.openxmlformats.org/officeDocument/2006/relationships/hyperlink" Target="https://drive.google.com/file/d/157BUbV2deByGxx-TuOCq0LEA1QwZiVHl/view?usp=drivesdk" TargetMode="External"/><Relationship Id="rId563" Type="http://schemas.openxmlformats.org/officeDocument/2006/relationships/hyperlink" Target="https://drive.google.com/file/d/1Nyv91knhZPKqyrO4kHHV2HyZs2faHSMd/view?usp=drivesdk" TargetMode="External"/><Relationship Id="rId1156" Type="http://schemas.openxmlformats.org/officeDocument/2006/relationships/hyperlink" Target="https://drive.google.com/file/d/1UCKFjybPKQGoqRovEw1rgLnAeCEixTg4/view?usp=drivesdk" TargetMode="External"/><Relationship Id="rId320" Type="http://schemas.openxmlformats.org/officeDocument/2006/relationships/hyperlink" Target="https://drive.google.com/file/d/1hd9M1coDPygQO5hUKbsmZQT4DZuTm4F9/view?usp=drivesdk" TargetMode="External"/><Relationship Id="rId562" Type="http://schemas.openxmlformats.org/officeDocument/2006/relationships/hyperlink" Target="https://drive.google.com/file/d/1QTcV7TJWIc6IXNvmuhK63dh_x_9_pKGo/view?usp=drivesdk" TargetMode="External"/><Relationship Id="rId1157" Type="http://schemas.openxmlformats.org/officeDocument/2006/relationships/hyperlink" Target="https://drive.google.com/file/d/1EAnUAtRi2hq17rVtJF6Hjmpp800zf3Mz/view?usp=drivesdk" TargetMode="External"/><Relationship Id="rId1147" Type="http://schemas.openxmlformats.org/officeDocument/2006/relationships/hyperlink" Target="https://drive.google.com/file/d/1JNb6UaoVSjh1-p5T_DA9UQ4f938z8unv/view?usp=drivesdk" TargetMode="External"/><Relationship Id="rId1148" Type="http://schemas.openxmlformats.org/officeDocument/2006/relationships/hyperlink" Target="https://drive.google.com/file/d/1U6ATqlF0gBqbvUBvBAJ6Krh0Mj3GAyTF/view?usp=drivesdk" TargetMode="External"/><Relationship Id="rId1149" Type="http://schemas.openxmlformats.org/officeDocument/2006/relationships/hyperlink" Target="https://drive.google.com/file/d/1aukm0JC9_N6_c78Ts1B5YYMvY6A-_um8/view?usp=drivesdk" TargetMode="External"/><Relationship Id="rId316" Type="http://schemas.openxmlformats.org/officeDocument/2006/relationships/hyperlink" Target="https://drive.google.com/file/d/1cnMaIL9MlIeM_5sny9yYgWFfJ_ArL3WN/view?usp=drivesdk" TargetMode="External"/><Relationship Id="rId558" Type="http://schemas.openxmlformats.org/officeDocument/2006/relationships/hyperlink" Target="https://drive.google.com/file/d/1I-0rrY_vY_crauRu_v9BmwJUblt9NJXy/view?usp=drivesdk" TargetMode="External"/><Relationship Id="rId315" Type="http://schemas.openxmlformats.org/officeDocument/2006/relationships/hyperlink" Target="https://drive.google.com/file/d/1JoA74YbiqOsqoZ4Tzwvh65wtZdAyMl-3/view?usp=drivesdk" TargetMode="External"/><Relationship Id="rId557" Type="http://schemas.openxmlformats.org/officeDocument/2006/relationships/hyperlink" Target="https://drive.google.com/file/d/1N0PfpMd9alWvjXSeXz35OV8LagWjofRR/view?usp=drivesdk" TargetMode="External"/><Relationship Id="rId799" Type="http://schemas.openxmlformats.org/officeDocument/2006/relationships/hyperlink" Target="https://drive.google.com/file/d/1tpFFkc61_91ZpCOqyuCgR1E-r9q2LG1P/view?usp=drivesdk" TargetMode="External"/><Relationship Id="rId314" Type="http://schemas.openxmlformats.org/officeDocument/2006/relationships/hyperlink" Target="https://drive.google.com/file/d/1Bt6fT1afR2U-ak9p1_ka_y7x2HLfJo0R/view?usp=drivesdk" TargetMode="External"/><Relationship Id="rId556" Type="http://schemas.openxmlformats.org/officeDocument/2006/relationships/hyperlink" Target="https://drive.google.com/file/d/1mTPsT5B-oCaTTZoqNTXU808t2qDrnmjk/view?usp=drivesdk" TargetMode="External"/><Relationship Id="rId798" Type="http://schemas.openxmlformats.org/officeDocument/2006/relationships/hyperlink" Target="https://drive.google.com/file/d/1k8CgQcY5KHiLb7RH_DYHoHDBYsKs9wMD/view?usp=drivesdk" TargetMode="External"/><Relationship Id="rId313" Type="http://schemas.openxmlformats.org/officeDocument/2006/relationships/hyperlink" Target="https://drive.google.com/file/d/1h2mGzM7Wbs3gSpBa_59iOJVbPwZNta2Z/view?usp=drivesdk" TargetMode="External"/><Relationship Id="rId555" Type="http://schemas.openxmlformats.org/officeDocument/2006/relationships/hyperlink" Target="https://drive.google.com/file/d/1iuAvbFnMIXnD9pOHMl0UbwecznrlJ32m/view?usp=drivesdk" TargetMode="External"/><Relationship Id="rId797" Type="http://schemas.openxmlformats.org/officeDocument/2006/relationships/hyperlink" Target="https://drive.google.com/file/d/142gFyPMH6eqmsL8FZ-HhorB-SGJbVLR1/view?usp=drivesdk" TargetMode="External"/><Relationship Id="rId319" Type="http://schemas.openxmlformats.org/officeDocument/2006/relationships/hyperlink" Target="https://drive.google.com/file/d/1_AUdy6kAnRXq3gTZ7t1I9Du3GDQ1awXv/view?usp=drivesdk" TargetMode="External"/><Relationship Id="rId318" Type="http://schemas.openxmlformats.org/officeDocument/2006/relationships/hyperlink" Target="https://drive.google.com/file/d/1DuIvLOFgEYQzI0_-EXGsnhAw9UglqKAt/view?usp=drivesdk" TargetMode="External"/><Relationship Id="rId317" Type="http://schemas.openxmlformats.org/officeDocument/2006/relationships/hyperlink" Target="https://drive.google.com/file/d/1vP1CmzUWv2S8ygDyg0o8nSRdCNMn0TxY/view?usp=drivesdk" TargetMode="External"/><Relationship Id="rId559" Type="http://schemas.openxmlformats.org/officeDocument/2006/relationships/hyperlink" Target="https://drive.google.com/file/d/1v89vgyylT9Qnekra4V0WU_ahXkfuKlOL/view?usp=drivesdk" TargetMode="External"/><Relationship Id="rId550" Type="http://schemas.openxmlformats.org/officeDocument/2006/relationships/hyperlink" Target="https://drive.google.com/file/d/1l7ctssJ-zM7iaH20afN5MKb4tZL-gVY1/view?usp=drivesdk" TargetMode="External"/><Relationship Id="rId792" Type="http://schemas.openxmlformats.org/officeDocument/2006/relationships/hyperlink" Target="https://drive.google.com/file/d/1Gb2Ev1wDrBy09LGfBqyZDYEUuEa2pcfl/view?usp=drivesdk" TargetMode="External"/><Relationship Id="rId791" Type="http://schemas.openxmlformats.org/officeDocument/2006/relationships/hyperlink" Target="https://drive.google.com/file/d/1izzF0IcFtPG1IRVw3IjIg_mePpFoqb0E/view?usp=drivesdk" TargetMode="External"/><Relationship Id="rId1140" Type="http://schemas.openxmlformats.org/officeDocument/2006/relationships/hyperlink" Target="https://drive.google.com/file/d/1UQrQhhpICpoJYUv1LMuZIPBIb2a1o8nK/view?usp=drivesdk" TargetMode="External"/><Relationship Id="rId790" Type="http://schemas.openxmlformats.org/officeDocument/2006/relationships/hyperlink" Target="https://drive.google.com/file/d/1tUARJ0MGxdhnbOJwXsobW_Y7FO5IDyBf/view?usp=drivesdk" TargetMode="External"/><Relationship Id="rId1141" Type="http://schemas.openxmlformats.org/officeDocument/2006/relationships/hyperlink" Target="https://drive.google.com/file/d/1qcTRLwBs5Hbv3u3mgbV1qZjOYs2dwkLw/view?usp=drivesdk" TargetMode="External"/><Relationship Id="rId1142" Type="http://schemas.openxmlformats.org/officeDocument/2006/relationships/hyperlink" Target="https://drive.google.com/file/d/1A8mDECxDSdhNoKGzkivVx1gJALZEscrW/view?usp=drivesdk" TargetMode="External"/><Relationship Id="rId312" Type="http://schemas.openxmlformats.org/officeDocument/2006/relationships/hyperlink" Target="https://drive.google.com/file/d/1kktzRiJl0Vq1D7OAFfJCiFPtenYDxwMX/view?usp=drivesdk" TargetMode="External"/><Relationship Id="rId554" Type="http://schemas.openxmlformats.org/officeDocument/2006/relationships/hyperlink" Target="https://drive.google.com/file/d/1pJWYWBraBt-9a8-4rGJklRvuCP5LJ9vq/view?usp=drivesdk" TargetMode="External"/><Relationship Id="rId796" Type="http://schemas.openxmlformats.org/officeDocument/2006/relationships/hyperlink" Target="https://drive.google.com/file/d/1-ASE4tiAw8wVmFniLiCIAhhBOamIXXkM/view?usp=drivesdk" TargetMode="External"/><Relationship Id="rId1143" Type="http://schemas.openxmlformats.org/officeDocument/2006/relationships/hyperlink" Target="https://drive.google.com/file/d/1EPxlYi4PMGMtat0Yv6cLlGxSmLZhC1bs/view?usp=drivesdk" TargetMode="External"/><Relationship Id="rId311" Type="http://schemas.openxmlformats.org/officeDocument/2006/relationships/hyperlink" Target="https://drive.google.com/file/d/1St7BUUuYer79rzpG8vd7ADBk2ErIw885/view?usp=drivesdk" TargetMode="External"/><Relationship Id="rId553" Type="http://schemas.openxmlformats.org/officeDocument/2006/relationships/hyperlink" Target="https://drive.google.com/file/d/1w1lXBua-EuZDDCg54BayAiUiSdlfG5tu/view?usp=drivesdk" TargetMode="External"/><Relationship Id="rId795" Type="http://schemas.openxmlformats.org/officeDocument/2006/relationships/hyperlink" Target="https://drive.google.com/file/d/11J__VD3Y4f87jgcJJlMZBaOMJ_XKiJKF/view?usp=drivesdk" TargetMode="External"/><Relationship Id="rId1144" Type="http://schemas.openxmlformats.org/officeDocument/2006/relationships/hyperlink" Target="https://drive.google.com/file/d/1jLIimRwHpJN5KbeNW4SwCfdg9onBFY3e/view?usp=drivesdk" TargetMode="External"/><Relationship Id="rId310" Type="http://schemas.openxmlformats.org/officeDocument/2006/relationships/hyperlink" Target="https://drive.google.com/file/d/1fPzfcTShd8l0LCaFjacxeKatn8EKGQba/view?usp=drivesdk" TargetMode="External"/><Relationship Id="rId552" Type="http://schemas.openxmlformats.org/officeDocument/2006/relationships/hyperlink" Target="https://drive.google.com/file/d/1_TBNyQvCPozmJ0fMswsIeJGIc1xoizjG/view?usp=drivesdk" TargetMode="External"/><Relationship Id="rId794" Type="http://schemas.openxmlformats.org/officeDocument/2006/relationships/hyperlink" Target="https://drive.google.com/file/d/1TNEnS99QlCW87gdt8Rd5HQoMQ4qkwX-e/view?usp=drivesdk" TargetMode="External"/><Relationship Id="rId1145" Type="http://schemas.openxmlformats.org/officeDocument/2006/relationships/hyperlink" Target="https://drive.google.com/file/d/1f5a4fDoZSqVQn6_wZNpXMWZh5Th06E59/view?usp=drivesdk" TargetMode="External"/><Relationship Id="rId551" Type="http://schemas.openxmlformats.org/officeDocument/2006/relationships/hyperlink" Target="https://drive.google.com/file/d/1ZWpaFftVSHhhFTgOI5C20rwK0-SC15uq/view?usp=drivesdk" TargetMode="External"/><Relationship Id="rId793" Type="http://schemas.openxmlformats.org/officeDocument/2006/relationships/hyperlink" Target="https://drive.google.com/file/d/1Smf9dexy8FBQUYChkSHf9tWFsbB-3s5i/view?usp=drivesdk" TargetMode="External"/><Relationship Id="rId1146" Type="http://schemas.openxmlformats.org/officeDocument/2006/relationships/hyperlink" Target="https://drive.google.com/file/d/1ReVWAdYgLKJ4tK2TRkWEQJrHyY-Uu-Bh/view?usp=drivesdk" TargetMode="External"/><Relationship Id="rId297" Type="http://schemas.openxmlformats.org/officeDocument/2006/relationships/hyperlink" Target="https://drive.google.com/file/d/1AGoXaibT0tVCeC8BQ0j4D62HxHDqoBkE/view?usp=drivesdk" TargetMode="External"/><Relationship Id="rId296" Type="http://schemas.openxmlformats.org/officeDocument/2006/relationships/hyperlink" Target="https://drive.google.com/file/d/1_MU0cLx3tx1B_2QgpldrVAFxMH3l3J99/view?usp=drivesdk" TargetMode="External"/><Relationship Id="rId295" Type="http://schemas.openxmlformats.org/officeDocument/2006/relationships/hyperlink" Target="https://drive.google.com/file/d/1fLGPNXf4_MsqEehHWtgYUlsY1gBj4zpt/view?usp=drivesdk" TargetMode="External"/><Relationship Id="rId294" Type="http://schemas.openxmlformats.org/officeDocument/2006/relationships/hyperlink" Target="https://drive.google.com/file/d/13yIujtG1_6aaebGt7p9G9rTQi3acHFuK/view?usp=drivesdk" TargetMode="External"/><Relationship Id="rId299" Type="http://schemas.openxmlformats.org/officeDocument/2006/relationships/hyperlink" Target="https://drive.google.com/file/d/1Q_HJY3BylYacqBNEY-cjw4YDgWQjSJKQ/view?usp=drivesdk" TargetMode="External"/><Relationship Id="rId298" Type="http://schemas.openxmlformats.org/officeDocument/2006/relationships/hyperlink" Target="https://drive.google.com/file/d/1wfxw1KyfPGKMVbMIqPdqYXzJ3bcCsFH2/view?usp=drivesdk" TargetMode="External"/><Relationship Id="rId271" Type="http://schemas.openxmlformats.org/officeDocument/2006/relationships/hyperlink" Target="https://drive.google.com/file/d/19vyLwgsBBNtq5dNYReFl2MKi-gLKSi0d/view?usp=drivesdk" TargetMode="External"/><Relationship Id="rId270" Type="http://schemas.openxmlformats.org/officeDocument/2006/relationships/hyperlink" Target="https://drive.google.com/file/d/1rcTUSz6-GUSsQ2lo6zdgOnhahGyQm5Ns/view?usp=drivesdk" TargetMode="External"/><Relationship Id="rId269" Type="http://schemas.openxmlformats.org/officeDocument/2006/relationships/hyperlink" Target="https://drive.google.com/file/d/1F-ttSxH-EzdswZBdb0hgVMVC8aXl5sSc/view?usp=drivesdk" TargetMode="External"/><Relationship Id="rId264" Type="http://schemas.openxmlformats.org/officeDocument/2006/relationships/hyperlink" Target="https://drive.google.com/file/d/1MlcHaLBIbvAQDuOQP7y1utIme6-esCn_/view?usp=drivesdk" TargetMode="External"/><Relationship Id="rId263" Type="http://schemas.openxmlformats.org/officeDocument/2006/relationships/hyperlink" Target="https://drive.google.com/file/d/1y5-PvqQS3_sp1HHQeWywfrWcmSr6uztx/view?usp=drivesdk" TargetMode="External"/><Relationship Id="rId262" Type="http://schemas.openxmlformats.org/officeDocument/2006/relationships/hyperlink" Target="https://drive.google.com/file/d/1PhyhOmeIgLKg6nZZkA2BhQmN4E9N345A/view?usp=drivesdk" TargetMode="External"/><Relationship Id="rId261" Type="http://schemas.openxmlformats.org/officeDocument/2006/relationships/hyperlink" Target="https://drive.google.com/file/d/1_nbO9sUgmxMKXaDXpO-3JE_rXb0rg8pP/view?usp=drivesdk" TargetMode="External"/><Relationship Id="rId268" Type="http://schemas.openxmlformats.org/officeDocument/2006/relationships/hyperlink" Target="https://drive.google.com/file/d/1xaoR8s8Ra1_9-WQXdohwXy9SDEQeIzSK/view?usp=drivesdk" TargetMode="External"/><Relationship Id="rId267" Type="http://schemas.openxmlformats.org/officeDocument/2006/relationships/hyperlink" Target="https://drive.google.com/file/d/1wb8EMDmffvXpMFyfD60k4HGDW1Xr2WdT/view?usp=drivesdk" TargetMode="External"/><Relationship Id="rId266" Type="http://schemas.openxmlformats.org/officeDocument/2006/relationships/hyperlink" Target="https://drive.google.com/file/d/1-p9hrsHTfrcMVFq1ftR3vZbX5pL0ALWy/view?usp=drivesdk" TargetMode="External"/><Relationship Id="rId265" Type="http://schemas.openxmlformats.org/officeDocument/2006/relationships/hyperlink" Target="https://drive.google.com/file/d/1nKRJKtA5L4jY86IVlt3vEZ2OD8A1jjdJ/view?usp=drivesdk" TargetMode="External"/><Relationship Id="rId260" Type="http://schemas.openxmlformats.org/officeDocument/2006/relationships/hyperlink" Target="https://drive.google.com/file/d/1Lq4VgAlCaMXTZJPiZDeg2RyMp-gI6e1_/view?usp=drivesdk" TargetMode="External"/><Relationship Id="rId259" Type="http://schemas.openxmlformats.org/officeDocument/2006/relationships/hyperlink" Target="https://drive.google.com/file/d/1XXoYTHpcuWh2IgUAVqO2E4UJ14r85BME/view?usp=drivesdk" TargetMode="External"/><Relationship Id="rId258" Type="http://schemas.openxmlformats.org/officeDocument/2006/relationships/hyperlink" Target="https://drive.google.com/file/d/1fqLhzJdVoOMSO-y9Az2ijK1cQgJjTZGg/view?usp=drivesdk" TargetMode="External"/><Relationship Id="rId253" Type="http://schemas.openxmlformats.org/officeDocument/2006/relationships/hyperlink" Target="https://drive.google.com/file/d/1JO-LOgcmrMqENn-ZXb2Ug3KSWryP8iWn/view?usp=drivesdk" TargetMode="External"/><Relationship Id="rId495" Type="http://schemas.openxmlformats.org/officeDocument/2006/relationships/hyperlink" Target="https://drive.google.com/file/d/1f2CEYVLOMld3BYtHzMoul8cZaEgX-q__/view?usp=drivesdk" TargetMode="External"/><Relationship Id="rId252" Type="http://schemas.openxmlformats.org/officeDocument/2006/relationships/hyperlink" Target="https://drive.google.com/file/d/19dKCKxqaXfDUlcuKfEJxXvMzpq7MYCq7/view?usp=drivesdk" TargetMode="External"/><Relationship Id="rId494" Type="http://schemas.openxmlformats.org/officeDocument/2006/relationships/hyperlink" Target="https://drive.google.com/file/d/1JmeFm0Rdvf2e3tzFOn2RkyqmvDz36xQJ/view?usp=drivesdk" TargetMode="External"/><Relationship Id="rId251" Type="http://schemas.openxmlformats.org/officeDocument/2006/relationships/hyperlink" Target="https://drive.google.com/file/d/1Bypus2jyd4CXtGe1eEnSCgGaUOIoF-Gl/view?usp=drivesdk" TargetMode="External"/><Relationship Id="rId493" Type="http://schemas.openxmlformats.org/officeDocument/2006/relationships/hyperlink" Target="https://drive.google.com/file/d/1SZ0yI52-QqVgZf2RwUU5YdBHSYCupGC6/view?usp=drivesdk" TargetMode="External"/><Relationship Id="rId250" Type="http://schemas.openxmlformats.org/officeDocument/2006/relationships/hyperlink" Target="https://drive.google.com/file/d/1wfhd8qgNey3YGlujTvH7hBJR1UiZ5dQJ/view?usp=drivesdk" TargetMode="External"/><Relationship Id="rId492" Type="http://schemas.openxmlformats.org/officeDocument/2006/relationships/hyperlink" Target="https://drive.google.com/file/d/17DYMxjjrk0ITXPUO2wSzMVx2_4YGUF3R/view?usp=drivesdk" TargetMode="External"/><Relationship Id="rId257" Type="http://schemas.openxmlformats.org/officeDocument/2006/relationships/hyperlink" Target="https://drive.google.com/file/d/1fLRUHfngCjdU_tajvmqRbS1pRCn-vETV/view?usp=drivesdk" TargetMode="External"/><Relationship Id="rId499" Type="http://schemas.openxmlformats.org/officeDocument/2006/relationships/hyperlink" Target="https://drive.google.com/file/d/1-Q-0hU7480uQtld1kF8uRJzMYQsQqev5/view?usp=drivesdk" TargetMode="External"/><Relationship Id="rId256" Type="http://schemas.openxmlformats.org/officeDocument/2006/relationships/hyperlink" Target="https://drive.google.com/file/d/1tJcIdSKq_cDjXHoXXP9b3KyvA2InXHVf/view?usp=drivesdk" TargetMode="External"/><Relationship Id="rId498" Type="http://schemas.openxmlformats.org/officeDocument/2006/relationships/hyperlink" Target="https://drive.google.com/file/d/1EyJbsdsZ1XfQ_-XiYs5eSh0mahbXtJmN/view?usp=drivesdk" TargetMode="External"/><Relationship Id="rId255" Type="http://schemas.openxmlformats.org/officeDocument/2006/relationships/hyperlink" Target="https://drive.google.com/file/d/1FgZX1pj7qiWQFnMLJPUGtUZab7Yc-q_z/view?usp=drivesdk" TargetMode="External"/><Relationship Id="rId497" Type="http://schemas.openxmlformats.org/officeDocument/2006/relationships/hyperlink" Target="https://drive.google.com/file/d/1Um4PZYlcU4RbTUMbAdaWmvgj6qAsxTRG/view?usp=drivesdk" TargetMode="External"/><Relationship Id="rId254" Type="http://schemas.openxmlformats.org/officeDocument/2006/relationships/hyperlink" Target="https://drive.google.com/file/d/1kSOs6NsVTxaTGptCFnplcyjAaVGRvzyP/view?usp=drivesdk" TargetMode="External"/><Relationship Id="rId496" Type="http://schemas.openxmlformats.org/officeDocument/2006/relationships/hyperlink" Target="https://drive.google.com/file/d/1WYj2rZLif0lGepQQL9vCpCrJPFfbjW49/view?usp=drivesdk" TargetMode="External"/><Relationship Id="rId293" Type="http://schemas.openxmlformats.org/officeDocument/2006/relationships/hyperlink" Target="https://drive.google.com/file/d/1ueNriv1ZnbQZyXBDDwqhnOpa0TLftt0I/view?usp=drivesdk" TargetMode="External"/><Relationship Id="rId292" Type="http://schemas.openxmlformats.org/officeDocument/2006/relationships/hyperlink" Target="https://drive.google.com/file/d/10MUrrOiw2PMmb9U-yj5T71J3EByw1J49/view?usp=drivesdk" TargetMode="External"/><Relationship Id="rId291" Type="http://schemas.openxmlformats.org/officeDocument/2006/relationships/hyperlink" Target="https://drive.google.com/file/d/1z201EXLf2uqV6XgAiB5PV5JGi0qHnP5Z/view?usp=drivesdk" TargetMode="External"/><Relationship Id="rId290" Type="http://schemas.openxmlformats.org/officeDocument/2006/relationships/hyperlink" Target="https://drive.google.com/file/d/1ybQSJLFia9-yUqb1jsQCGm24yct9yLhU/view?usp=drivesdk" TargetMode="External"/><Relationship Id="rId286" Type="http://schemas.openxmlformats.org/officeDocument/2006/relationships/hyperlink" Target="https://drive.google.com/file/d/1551Vs0BClQ1LXZ4uaQuwxQa-nzfuEKyi/view?usp=drivesdk" TargetMode="External"/><Relationship Id="rId285" Type="http://schemas.openxmlformats.org/officeDocument/2006/relationships/hyperlink" Target="https://drive.google.com/file/d/1uXuT6EWtrzkaZ1XUyF2ppHOV7xxF8O6D/view?usp=drivesdk" TargetMode="External"/><Relationship Id="rId284" Type="http://schemas.openxmlformats.org/officeDocument/2006/relationships/hyperlink" Target="https://drive.google.com/file/d/1sg6ZlACdWDXwrDvMMx9cg0Wx7D2CBTwK/view?usp=drivesdk" TargetMode="External"/><Relationship Id="rId283" Type="http://schemas.openxmlformats.org/officeDocument/2006/relationships/hyperlink" Target="https://drive.google.com/file/d/1sndmzjlML2wzvC6fTQvn1a7O5yMgeAdW/view?usp=drivesdk" TargetMode="External"/><Relationship Id="rId289" Type="http://schemas.openxmlformats.org/officeDocument/2006/relationships/hyperlink" Target="https://drive.google.com/file/d/1vsLbFDLm13WI66wOYu29qosUlzxwLiN3/view?usp=drivesdk" TargetMode="External"/><Relationship Id="rId288" Type="http://schemas.openxmlformats.org/officeDocument/2006/relationships/hyperlink" Target="https://drive.google.com/file/d/1304LsO6EjxEuOxhYvmKOI73OW0DuiDps/view?usp=drivesdk" TargetMode="External"/><Relationship Id="rId287" Type="http://schemas.openxmlformats.org/officeDocument/2006/relationships/hyperlink" Target="https://drive.google.com/file/d/1CvdsdYLCW_qsFqIQg473v7RGtLh04ULX/view?usp=drivesdk" TargetMode="External"/><Relationship Id="rId282" Type="http://schemas.openxmlformats.org/officeDocument/2006/relationships/hyperlink" Target="https://drive.google.com/file/d/13J4q5JkKzNQ8SZr7KaSNr_qaMXGXmATC/view?usp=drivesdk" TargetMode="External"/><Relationship Id="rId281" Type="http://schemas.openxmlformats.org/officeDocument/2006/relationships/hyperlink" Target="https://drive.google.com/file/d/1xjPlMZxlxAXa3N4PqN-LmgslqvvxWzQD/view?usp=drivesdk" TargetMode="External"/><Relationship Id="rId280" Type="http://schemas.openxmlformats.org/officeDocument/2006/relationships/hyperlink" Target="https://drive.google.com/file/d/1VjEffNQ4Y3YPDU3JLN1IA8QmsQO_ijoa/view?usp=drivesdk" TargetMode="External"/><Relationship Id="rId275" Type="http://schemas.openxmlformats.org/officeDocument/2006/relationships/hyperlink" Target="https://drive.google.com/file/d/1b8k_15K3q_btiviUeMRxFp4zqhYXnTNI/view?usp=drivesdk" TargetMode="External"/><Relationship Id="rId274" Type="http://schemas.openxmlformats.org/officeDocument/2006/relationships/hyperlink" Target="https://drive.google.com/file/d/1ftbfip5SjaApmw7-x2hAynP4_CkwaYxJ/view?usp=drivesdk" TargetMode="External"/><Relationship Id="rId273" Type="http://schemas.openxmlformats.org/officeDocument/2006/relationships/hyperlink" Target="https://drive.google.com/file/d/1YrJgxHbqCf1VAuUY_S8VEaEhewW0HPEM/view?usp=drivesdk" TargetMode="External"/><Relationship Id="rId272" Type="http://schemas.openxmlformats.org/officeDocument/2006/relationships/hyperlink" Target="https://drive.google.com/file/d/1N1FFA_aCO1ChBUaT-PJGYsgkpyKcw5Ir/view?usp=drivesdk" TargetMode="External"/><Relationship Id="rId279" Type="http://schemas.openxmlformats.org/officeDocument/2006/relationships/hyperlink" Target="https://drive.google.com/file/d/1C94pyLzsk3_F_z_OEqIlKOGubp3gqwf5/view?usp=drivesdk" TargetMode="External"/><Relationship Id="rId278" Type="http://schemas.openxmlformats.org/officeDocument/2006/relationships/hyperlink" Target="https://drive.google.com/file/d/1YEq9im1OE-kB1QdRAOm2K4FK7EDSumoh/view?usp=drivesdk" TargetMode="External"/><Relationship Id="rId277" Type="http://schemas.openxmlformats.org/officeDocument/2006/relationships/hyperlink" Target="https://drive.google.com/file/d/1EInajmP27ThwvI3_pxbdocoFSGCYwExq/view?usp=drivesdk" TargetMode="External"/><Relationship Id="rId276" Type="http://schemas.openxmlformats.org/officeDocument/2006/relationships/hyperlink" Target="https://drive.google.com/file/d/1VyDANjHreOavi81Hbzyr0KpVHrmOjABL/view?usp=drivesdk" TargetMode="External"/><Relationship Id="rId907" Type="http://schemas.openxmlformats.org/officeDocument/2006/relationships/hyperlink" Target="https://drive.google.com/file/d/1riaMzIercJtpgvXQpF1tlp5JdwgL89vK/view?usp=drivesdk" TargetMode="External"/><Relationship Id="rId906" Type="http://schemas.openxmlformats.org/officeDocument/2006/relationships/hyperlink" Target="https://drive.google.com/file/d/1C2zXwNWbIotowQ8LvbgwFh39LhcBgQWc/view?usp=drivesdk" TargetMode="External"/><Relationship Id="rId905" Type="http://schemas.openxmlformats.org/officeDocument/2006/relationships/hyperlink" Target="https://drive.google.com/file/d/19AowcxJg8clRNs93-_H1vGnXLDIypekI/view?usp=drivesdk" TargetMode="External"/><Relationship Id="rId904" Type="http://schemas.openxmlformats.org/officeDocument/2006/relationships/hyperlink" Target="https://drive.google.com/file/d/1b5xZ81VncHEwvVtnwPFW37uaRUZmc1wa/view?usp=drivesdk" TargetMode="External"/><Relationship Id="rId909" Type="http://schemas.openxmlformats.org/officeDocument/2006/relationships/hyperlink" Target="https://drive.google.com/file/d/1aPV-Z3fy6Pn0g1iMBsC5a3Jm3htqtOfq/view?usp=drivesdk" TargetMode="External"/><Relationship Id="rId908" Type="http://schemas.openxmlformats.org/officeDocument/2006/relationships/hyperlink" Target="https://drive.google.com/file/d/1uGnSvQ0OOWPzBVZmR0y9jr9Q-x-VLHNr/view?usp=drivesdk" TargetMode="External"/><Relationship Id="rId903" Type="http://schemas.openxmlformats.org/officeDocument/2006/relationships/hyperlink" Target="https://drive.google.com/file/d/1pGFHa8zHmSNSBtx9zXrbrRPAaYr3ub-D/view?usp=drivesdk" TargetMode="External"/><Relationship Id="rId902" Type="http://schemas.openxmlformats.org/officeDocument/2006/relationships/hyperlink" Target="https://drive.google.com/file/d/1rtRWu6xMHuluJ2aTZShU6s32As6lQWYR/view?usp=drivesdk" TargetMode="External"/><Relationship Id="rId901" Type="http://schemas.openxmlformats.org/officeDocument/2006/relationships/hyperlink" Target="https://drive.google.com/file/d/1bUIjRwKVcJAevu3Z-ZaGY6tN6WeTFmQm/view?usp=drivesdk" TargetMode="External"/><Relationship Id="rId900" Type="http://schemas.openxmlformats.org/officeDocument/2006/relationships/hyperlink" Target="https://drive.google.com/file/d/1weY6-9VphilRruR79mk3VcBOAT9wRW2M/view?usp=drivesdk" TargetMode="External"/><Relationship Id="rId929" Type="http://schemas.openxmlformats.org/officeDocument/2006/relationships/hyperlink" Target="https://drive.google.com/file/d/1GqH9qt_JWwGeqLpeCorlKk1pq4hyPhYq/view?usp=drivesdk" TargetMode="External"/><Relationship Id="rId928" Type="http://schemas.openxmlformats.org/officeDocument/2006/relationships/hyperlink" Target="https://drive.google.com/file/d/1kvJmOk-9uvEWzwy-M8iwSWOOZdHjUEu4/view?usp=drivesdk" TargetMode="External"/><Relationship Id="rId927" Type="http://schemas.openxmlformats.org/officeDocument/2006/relationships/hyperlink" Target="https://drive.google.com/file/d/1NVxBZe9svpSJYVO4JxcuN0soKiDLHJje/view?usp=drivesdk" TargetMode="External"/><Relationship Id="rId926" Type="http://schemas.openxmlformats.org/officeDocument/2006/relationships/hyperlink" Target="https://drive.google.com/file/d/1X7jK0HB-aBO_CFPUXZgT5t8eVrrCHN43/view?usp=drivesdk" TargetMode="External"/><Relationship Id="rId921" Type="http://schemas.openxmlformats.org/officeDocument/2006/relationships/hyperlink" Target="https://drive.google.com/file/d/1x9g4L96OZZ6Gsa_Vff57Q-OGoOvIuoMj/view?usp=drivesdk" TargetMode="External"/><Relationship Id="rId920" Type="http://schemas.openxmlformats.org/officeDocument/2006/relationships/hyperlink" Target="https://drive.google.com/file/d/1ruHr-WKUoo0D7c-bRB-NOHua6SpJiY-O/view?usp=drivesdk" TargetMode="External"/><Relationship Id="rId925" Type="http://schemas.openxmlformats.org/officeDocument/2006/relationships/hyperlink" Target="https://drive.google.com/file/d/1Qm7cbgxk97C7uciWzQzD8iHtgIHhyF7x/view?usp=drivesdk" TargetMode="External"/><Relationship Id="rId924" Type="http://schemas.openxmlformats.org/officeDocument/2006/relationships/hyperlink" Target="https://drive.google.com/file/d/1yQhcxeQJbBM6aOJg5QTU9zN9CL1CG5PL/view?usp=drivesdk" TargetMode="External"/><Relationship Id="rId923" Type="http://schemas.openxmlformats.org/officeDocument/2006/relationships/hyperlink" Target="https://drive.google.com/file/d/1DjF6wmmSsL1Jpm3qEyLtQAajeG7PSlnY/view?usp=drivesdk" TargetMode="External"/><Relationship Id="rId922" Type="http://schemas.openxmlformats.org/officeDocument/2006/relationships/hyperlink" Target="https://drive.google.com/file/d/1umj-_lKRr7FxAj4pTMPrFfRYUQNb8-tk/view?usp=drivesdk" TargetMode="External"/><Relationship Id="rId918" Type="http://schemas.openxmlformats.org/officeDocument/2006/relationships/hyperlink" Target="https://drive.google.com/file/d/1PS63OIcdVio_f0eMIi7eZM5BHvLRiqkv/view?usp=drivesdk" TargetMode="External"/><Relationship Id="rId917" Type="http://schemas.openxmlformats.org/officeDocument/2006/relationships/hyperlink" Target="https://drive.google.com/file/d/11Se1n_djnPQENm4bYP_av56yEtA9XJsV/view?usp=drivesdk" TargetMode="External"/><Relationship Id="rId916" Type="http://schemas.openxmlformats.org/officeDocument/2006/relationships/hyperlink" Target="https://drive.google.com/file/d/1AbUwM3pRMaLlKFbNV_yhK-9nbVuHcxg4/view?usp=drivesdk" TargetMode="External"/><Relationship Id="rId915" Type="http://schemas.openxmlformats.org/officeDocument/2006/relationships/hyperlink" Target="https://drive.google.com/file/d/1Urj4dUUeKkz_7rk2zcWGzg3hy_9ExTjj/view?usp=drivesdk" TargetMode="External"/><Relationship Id="rId919" Type="http://schemas.openxmlformats.org/officeDocument/2006/relationships/hyperlink" Target="https://drive.google.com/file/d/1l4fzAqa1Bunz9VsqQE8SoxExhAs6KFdj/view?usp=drivesdk" TargetMode="External"/><Relationship Id="rId910" Type="http://schemas.openxmlformats.org/officeDocument/2006/relationships/hyperlink" Target="https://drive.google.com/file/d/1BW82gWOuFlASB9NIB2UFfB4fUqUDuMy2/view?usp=drivesdk" TargetMode="External"/><Relationship Id="rId914" Type="http://schemas.openxmlformats.org/officeDocument/2006/relationships/hyperlink" Target="https://drive.google.com/file/d/1-bi28LR9Evq2oRMIzk3-WyvxHzxGjy7Z/view?usp=drivesdk" TargetMode="External"/><Relationship Id="rId913" Type="http://schemas.openxmlformats.org/officeDocument/2006/relationships/hyperlink" Target="https://drive.google.com/file/d/16EuQ2xwJcPRunjsmilK16A0lHXpLfLky/view?usp=drivesdk" TargetMode="External"/><Relationship Id="rId912" Type="http://schemas.openxmlformats.org/officeDocument/2006/relationships/hyperlink" Target="https://drive.google.com/file/d/1ylIEwgCDlKA0d5zu_aDEVAu6QS9YaiJu/view?usp=drivesdk" TargetMode="External"/><Relationship Id="rId911" Type="http://schemas.openxmlformats.org/officeDocument/2006/relationships/hyperlink" Target="https://drive.google.com/file/d/1dJ0P4VECMUQa2jlqxNIxr0OMreCiwvMF/view?usp=drivesdk" TargetMode="External"/><Relationship Id="rId1213" Type="http://schemas.openxmlformats.org/officeDocument/2006/relationships/hyperlink" Target="https://drive.google.com/file/d/1t1_qUGPYgfwCKihvlosr6if_WLGCuYr_/view?usp=drivesdk" TargetMode="External"/><Relationship Id="rId1214" Type="http://schemas.openxmlformats.org/officeDocument/2006/relationships/hyperlink" Target="https://drive.google.com/file/d/1dtb8cicfBOaoqhAc4v1bM9zxCzeMulzr/view?usp=drivesdk" TargetMode="External"/><Relationship Id="rId1215" Type="http://schemas.openxmlformats.org/officeDocument/2006/relationships/hyperlink" Target="https://drive.google.com/file/d/1sTLvFGFh7QDhiTQTwyo3RTUCq8ZVnm4L/view?usp=drivesdk" TargetMode="External"/><Relationship Id="rId1216" Type="http://schemas.openxmlformats.org/officeDocument/2006/relationships/hyperlink" Target="https://drive.google.com/file/d/1W_FVS-Cpj9I8ytOX_FDDbaYJfsL_iIQG/view?usp=drivesdk" TargetMode="External"/><Relationship Id="rId1217" Type="http://schemas.openxmlformats.org/officeDocument/2006/relationships/hyperlink" Target="https://drive.google.com/file/d/1gUexielzW4CzqdXwbeSt-dcig9m9IfF5/view?usp=drivesdk" TargetMode="External"/><Relationship Id="rId1218" Type="http://schemas.openxmlformats.org/officeDocument/2006/relationships/hyperlink" Target="https://drive.google.com/file/d/120TX49HmzKM1_YAS2soLgh93hyjS_NYD/view?usp=drivesdk" TargetMode="External"/><Relationship Id="rId1219" Type="http://schemas.openxmlformats.org/officeDocument/2006/relationships/hyperlink" Target="https://drive.google.com/file/d/1zeXiePsQOYaCzZcybtsJdT5VdRsO62dE/view?usp=drivesdk" TargetMode="External"/><Relationship Id="rId629" Type="http://schemas.openxmlformats.org/officeDocument/2006/relationships/hyperlink" Target="https://drive.google.com/file/d/1yg1d3XzfFfdNbfGBkVzcv3ebZWEFGj4b/view?usp=drivesdk" TargetMode="External"/><Relationship Id="rId624" Type="http://schemas.openxmlformats.org/officeDocument/2006/relationships/hyperlink" Target="https://drive.google.com/file/d/1kx590FtfkGfAJ4WexuGwtHt8Rqi2zEB2/view?usp=drivesdk" TargetMode="External"/><Relationship Id="rId866" Type="http://schemas.openxmlformats.org/officeDocument/2006/relationships/hyperlink" Target="https://drive.google.com/file/d/1diWxs75mg2fCy2V0RrMH2fSK2oLcDthw/view?usp=drivesdk" TargetMode="External"/><Relationship Id="rId623" Type="http://schemas.openxmlformats.org/officeDocument/2006/relationships/hyperlink" Target="https://drive.google.com/file/d/1Qxm6utV51eGqkC_2IpCMUfTLpKVAh4Vn/view?usp=drivesdk" TargetMode="External"/><Relationship Id="rId865" Type="http://schemas.openxmlformats.org/officeDocument/2006/relationships/hyperlink" Target="https://drive.google.com/file/d/1blW9dYWe_-5bzWMFHPS1qtg1ZOVpfk8m/view?usp=drivesdk" TargetMode="External"/><Relationship Id="rId622" Type="http://schemas.openxmlformats.org/officeDocument/2006/relationships/hyperlink" Target="https://drive.google.com/file/d/1ZEO-kzHKIW1-l_RZpgFo4-Yf9P-elYSL/view?usp=drivesdk" TargetMode="External"/><Relationship Id="rId864" Type="http://schemas.openxmlformats.org/officeDocument/2006/relationships/hyperlink" Target="https://drive.google.com/file/d/1jl8s2abSu-fzrTwcUvyX4DXcfj-AyApQ/view?usp=drivesdk" TargetMode="External"/><Relationship Id="rId621" Type="http://schemas.openxmlformats.org/officeDocument/2006/relationships/hyperlink" Target="https://drive.google.com/file/d/1M0hdw5TjPdks2FPPmthdYgBEZAfuCbuH/view?usp=drivesdk" TargetMode="External"/><Relationship Id="rId863" Type="http://schemas.openxmlformats.org/officeDocument/2006/relationships/hyperlink" Target="https://drive.google.com/file/d/1Nvku4GwDQxUqDqHyj3KHGox5Pt4ARFcJ/view?usp=drivesdk" TargetMode="External"/><Relationship Id="rId628" Type="http://schemas.openxmlformats.org/officeDocument/2006/relationships/hyperlink" Target="https://drive.google.com/file/d/1F-cxvPD9lhkTwiefL6CW5OhjtS74NYpd/view?usp=drivesdk" TargetMode="External"/><Relationship Id="rId627" Type="http://schemas.openxmlformats.org/officeDocument/2006/relationships/hyperlink" Target="https://drive.google.com/file/d/1mEkAjZW8JsWmoU1EJB-xzQ8p3_F8dQgr/view?usp=drivesdk" TargetMode="External"/><Relationship Id="rId869" Type="http://schemas.openxmlformats.org/officeDocument/2006/relationships/hyperlink" Target="https://drive.google.com/file/d/1wVg_bzjZz-s_288aNtYrfdM6s_BKRdRE/view?usp=drivesdk" TargetMode="External"/><Relationship Id="rId626" Type="http://schemas.openxmlformats.org/officeDocument/2006/relationships/hyperlink" Target="https://drive.google.com/file/d/1SIcv-Bg0u49-Qisai_2BsD0yytPenMmz/view?usp=drivesdk" TargetMode="External"/><Relationship Id="rId868" Type="http://schemas.openxmlformats.org/officeDocument/2006/relationships/hyperlink" Target="https://drive.google.com/file/d/18ffZKxgcw_qZ2AdI87ZvIgYag9gyYR-1/view?usp=drivesdk" TargetMode="External"/><Relationship Id="rId625" Type="http://schemas.openxmlformats.org/officeDocument/2006/relationships/hyperlink" Target="https://drive.google.com/file/d/11UeWXMoQGutJ3piXD9RUuFi3cdPgWTf0/view?usp=drivesdk" TargetMode="External"/><Relationship Id="rId867" Type="http://schemas.openxmlformats.org/officeDocument/2006/relationships/hyperlink" Target="https://drive.google.com/file/d/1R7vQo6mAvCHsv9cnGmaOMMwzv7vmdRnY/view?usp=drivesdk" TargetMode="External"/><Relationship Id="rId620" Type="http://schemas.openxmlformats.org/officeDocument/2006/relationships/hyperlink" Target="https://drive.google.com/file/d/1ZNxUKsYEEurmWt0vN3G6_gi6Y0OVX95N/view?usp=drivesdk" TargetMode="External"/><Relationship Id="rId862" Type="http://schemas.openxmlformats.org/officeDocument/2006/relationships/hyperlink" Target="https://drive.google.com/file/d/1oPMPRBVjVex4-rAyW4J570F0ofCBVqxQ/view?usp=drivesdk" TargetMode="External"/><Relationship Id="rId861" Type="http://schemas.openxmlformats.org/officeDocument/2006/relationships/hyperlink" Target="https://drive.google.com/file/d/15nRyhftnElIrKT3bQthT-JttSrPc7sek/view?usp=drivesdk" TargetMode="External"/><Relationship Id="rId1210" Type="http://schemas.openxmlformats.org/officeDocument/2006/relationships/hyperlink" Target="https://drive.google.com/file/d/1F3AbC8ZihlINDAowcKOa0srVgV5w4PGM/view?usp=drivesdk" TargetMode="External"/><Relationship Id="rId860" Type="http://schemas.openxmlformats.org/officeDocument/2006/relationships/hyperlink" Target="https://drive.google.com/file/d/1ePOHK1xRSXhp6zypklux0KNg86NRhnQ6/view?usp=drivesdk" TargetMode="External"/><Relationship Id="rId1211" Type="http://schemas.openxmlformats.org/officeDocument/2006/relationships/hyperlink" Target="https://drive.google.com/file/d/14XaaFIRNscb8KJjqHbM5qX9szQZnwke5/view?usp=drivesdk" TargetMode="External"/><Relationship Id="rId1212" Type="http://schemas.openxmlformats.org/officeDocument/2006/relationships/hyperlink" Target="https://drive.google.com/file/d/1aSdkp1d8ARf35S24HaVON0WWWDK4WRSK/view?usp=drivesdk" TargetMode="External"/><Relationship Id="rId1202" Type="http://schemas.openxmlformats.org/officeDocument/2006/relationships/hyperlink" Target="https://drive.google.com/file/d/1CFEmhS9tEpcJtZsq-Xp6UFNZf3MybZ1z/view?usp=drivesdk" TargetMode="External"/><Relationship Id="rId1203" Type="http://schemas.openxmlformats.org/officeDocument/2006/relationships/hyperlink" Target="https://drive.google.com/file/d/1inggga0hMQZkxw0_C1qlqIkdvmFZKh1n/view?usp=drivesdk" TargetMode="External"/><Relationship Id="rId1204" Type="http://schemas.openxmlformats.org/officeDocument/2006/relationships/hyperlink" Target="https://drive.google.com/file/d/1Z83TMgC8F76c8qoCZ4ewAdecAtwiuVHe/view?usp=drivesdk" TargetMode="External"/><Relationship Id="rId1205" Type="http://schemas.openxmlformats.org/officeDocument/2006/relationships/hyperlink" Target="https://drive.google.com/file/d/1sYRFWMwHuL-e3GCAU2raj2KoyID07C7N/view?usp=drivesdk" TargetMode="External"/><Relationship Id="rId1206" Type="http://schemas.openxmlformats.org/officeDocument/2006/relationships/hyperlink" Target="https://drive.google.com/file/d/12fVLUBZP_XfA8UUKcqsHJkeO8t4aJ7Jv/view?usp=drivesdk" TargetMode="External"/><Relationship Id="rId1207" Type="http://schemas.openxmlformats.org/officeDocument/2006/relationships/hyperlink" Target="https://drive.google.com/file/d/1-EmFVafEUsFXk3Xq7TNe34EXUOOUj_nd/view?usp=drivesdk" TargetMode="External"/><Relationship Id="rId1208" Type="http://schemas.openxmlformats.org/officeDocument/2006/relationships/hyperlink" Target="https://drive.google.com/file/d/1MxOreHKGb5jx4Ekkl-t5OAbyXSxe9aK8/view?usp=drivesdk" TargetMode="External"/><Relationship Id="rId1209" Type="http://schemas.openxmlformats.org/officeDocument/2006/relationships/hyperlink" Target="https://drive.google.com/file/d/1Xq76ClV6kGuTeOK0CeTDfpeCBVbKYwN0/view?usp=drivesdk" TargetMode="External"/><Relationship Id="rId619" Type="http://schemas.openxmlformats.org/officeDocument/2006/relationships/hyperlink" Target="https://drive.google.com/file/d/10DBi4qrRVcAWCweJ-n6GiXGkasrSOtaz/view?usp=drivesdk" TargetMode="External"/><Relationship Id="rId618" Type="http://schemas.openxmlformats.org/officeDocument/2006/relationships/hyperlink" Target="https://drive.google.com/file/d/1-V5kMjLQQjtKlJwfktZiNMWkU8TUevh1/view?usp=drivesdk" TargetMode="External"/><Relationship Id="rId613" Type="http://schemas.openxmlformats.org/officeDocument/2006/relationships/hyperlink" Target="https://drive.google.com/file/d/14U3-gUoB_38zJbAObzG2r3NewyCB_m_r/view?usp=drivesdk" TargetMode="External"/><Relationship Id="rId855" Type="http://schemas.openxmlformats.org/officeDocument/2006/relationships/hyperlink" Target="https://drive.google.com/file/d/1aK9gkYtfB58KWzFuvmITaH_brtk_LGlj/view?usp=drivesdk" TargetMode="External"/><Relationship Id="rId612" Type="http://schemas.openxmlformats.org/officeDocument/2006/relationships/hyperlink" Target="https://drive.google.com/file/d/1X6gWfUyo9CnuhVxHcC-0sTk7XFjKycHq/view?usp=drivesdk" TargetMode="External"/><Relationship Id="rId854" Type="http://schemas.openxmlformats.org/officeDocument/2006/relationships/hyperlink" Target="https://drive.google.com/file/d/1m-tuZPO7IPlJ9QQmpYyCVtm1xI5UGfFc/view?usp=drivesdk" TargetMode="External"/><Relationship Id="rId611" Type="http://schemas.openxmlformats.org/officeDocument/2006/relationships/hyperlink" Target="https://drive.google.com/file/d/1I8SRm4JZsk5GeCB9RAPXoq3MpD0IN9mW/view?usp=drivesdk" TargetMode="External"/><Relationship Id="rId853" Type="http://schemas.openxmlformats.org/officeDocument/2006/relationships/hyperlink" Target="https://drive.google.com/file/d/1hFh2WLOqvmvlGa3cnrcdRYk65ANPbRGc/view?usp=drivesdk" TargetMode="External"/><Relationship Id="rId610" Type="http://schemas.openxmlformats.org/officeDocument/2006/relationships/hyperlink" Target="https://drive.google.com/file/d/1FxQjG_GiC9lilaPBMZLN641GG1hS4i2S/view?usp=drivesdk" TargetMode="External"/><Relationship Id="rId852" Type="http://schemas.openxmlformats.org/officeDocument/2006/relationships/hyperlink" Target="https://drive.google.com/file/d/1P8gA3Moy4qAAfDcQ34-yhpe2daKVuaUS/view?usp=drivesdk" TargetMode="External"/><Relationship Id="rId617" Type="http://schemas.openxmlformats.org/officeDocument/2006/relationships/hyperlink" Target="https://drive.google.com/file/d/1R0s_9AUVvi9v7gj0cpMqxM-29F6-Gdhv/view?usp=drivesdk" TargetMode="External"/><Relationship Id="rId859" Type="http://schemas.openxmlformats.org/officeDocument/2006/relationships/hyperlink" Target="https://drive.google.com/file/d/1rT4X34C__ymk09W9vrpxmppEY0nETtXE/view?usp=drivesdk" TargetMode="External"/><Relationship Id="rId616" Type="http://schemas.openxmlformats.org/officeDocument/2006/relationships/hyperlink" Target="https://drive.google.com/file/d/1S9pPHXHkmx2xDMsffz3Z0JfuhDd8npeO/view?usp=drivesdk" TargetMode="External"/><Relationship Id="rId858" Type="http://schemas.openxmlformats.org/officeDocument/2006/relationships/hyperlink" Target="https://drive.google.com/file/d/1eigqZMwQ4SHZIEBOMlavLnyeOMDrAwF3/view?usp=drivesdk" TargetMode="External"/><Relationship Id="rId615" Type="http://schemas.openxmlformats.org/officeDocument/2006/relationships/hyperlink" Target="https://drive.google.com/file/d/1yyjKMXhxY6fkJSiXHcNQt-Cu-6kNdM3z/view?usp=drivesdk" TargetMode="External"/><Relationship Id="rId857" Type="http://schemas.openxmlformats.org/officeDocument/2006/relationships/hyperlink" Target="https://drive.google.com/file/d/1ltR2AKe2wG9V0BIg2BvXmLewZZB8CSPR/view?usp=drivesdk" TargetMode="External"/><Relationship Id="rId614" Type="http://schemas.openxmlformats.org/officeDocument/2006/relationships/hyperlink" Target="https://drive.google.com/file/d/1HxWSRCgUETSt1cttnrBikc_z02zFq3tm/view?usp=drivesdk" TargetMode="External"/><Relationship Id="rId856" Type="http://schemas.openxmlformats.org/officeDocument/2006/relationships/hyperlink" Target="https://drive.google.com/file/d/1uJd9m_BfuAajOE6fiGGWWw-Hc5c9Ers4/view?usp=drivesdk" TargetMode="External"/><Relationship Id="rId851" Type="http://schemas.openxmlformats.org/officeDocument/2006/relationships/hyperlink" Target="https://drive.google.com/file/d/1M-hrgYW-81kvLpl0Z2ow_33dQVK3B3bK/view?usp=drivesdk" TargetMode="External"/><Relationship Id="rId850" Type="http://schemas.openxmlformats.org/officeDocument/2006/relationships/hyperlink" Target="https://drive.google.com/file/d/18gcvj_gC2MVsRWus1RMr_UavHW7Fh-5i/view?usp=drivesdk" TargetMode="External"/><Relationship Id="rId1200" Type="http://schemas.openxmlformats.org/officeDocument/2006/relationships/hyperlink" Target="https://drive.google.com/file/d/13X04JxP2XEqq2rxrXo4Vyu6rsk34OTHn/view?usp=drivesdk" TargetMode="External"/><Relationship Id="rId1201" Type="http://schemas.openxmlformats.org/officeDocument/2006/relationships/hyperlink" Target="https://drive.google.com/file/d/1cf845s3XxCWE0D1c-ocJe9BzhciL6h1G/view?usp=drivesdk" TargetMode="External"/><Relationship Id="rId1235" Type="http://schemas.openxmlformats.org/officeDocument/2006/relationships/hyperlink" Target="https://drive.google.com/file/d/1xY1_RAO9vaHLXbPhrG-5QBGvDyjglPks/view?usp=drivesdk" TargetMode="External"/><Relationship Id="rId1236" Type="http://schemas.openxmlformats.org/officeDocument/2006/relationships/hyperlink" Target="https://drive.google.com/file/d/1DThE8fELLdWkDXuOumFmvqKaOr5CMbLm/view?usp=drivesdk" TargetMode="External"/><Relationship Id="rId1237" Type="http://schemas.openxmlformats.org/officeDocument/2006/relationships/hyperlink" Target="https://drive.google.com/file/d/1u2AHZjEgRj0WlLyw8YdpjCDYn0IEy57_/view?usp=drivesdk" TargetMode="External"/><Relationship Id="rId1238" Type="http://schemas.openxmlformats.org/officeDocument/2006/relationships/hyperlink" Target="https://drive.google.com/file/d/1kbEr3H78koi0th7xR-iabMVbfn34CdHG/view?usp=drivesdk" TargetMode="External"/><Relationship Id="rId1239" Type="http://schemas.openxmlformats.org/officeDocument/2006/relationships/hyperlink" Target="https://drive.google.com/file/d/1jenZg44BpwSPdp3csgVWVnMrY_wS74he/view?usp=drivesdk" TargetMode="External"/><Relationship Id="rId409" Type="http://schemas.openxmlformats.org/officeDocument/2006/relationships/hyperlink" Target="https://drive.google.com/file/d/1VJXnFzDAGGBXnWW0EDpY90D0UyEoTSr9/view?usp=drivesdk" TargetMode="External"/><Relationship Id="rId404" Type="http://schemas.openxmlformats.org/officeDocument/2006/relationships/hyperlink" Target="https://drive.google.com/file/d/1rQFP6HVO292x7tUXXAl59TDzMuGCY9B_/view?usp=drivesdk" TargetMode="External"/><Relationship Id="rId646" Type="http://schemas.openxmlformats.org/officeDocument/2006/relationships/hyperlink" Target="https://drive.google.com/file/d/1m27rUHF1IkfqU3PXUAwV_ASQvC2T-Ymc/view?usp=drivesdk" TargetMode="External"/><Relationship Id="rId888" Type="http://schemas.openxmlformats.org/officeDocument/2006/relationships/hyperlink" Target="https://drive.google.com/file/d/1dkgQSduJY9wUnZxEEZ8Tu9CfPD8N9XVu/view?usp=drivesdk" TargetMode="External"/><Relationship Id="rId403" Type="http://schemas.openxmlformats.org/officeDocument/2006/relationships/hyperlink" Target="https://drive.google.com/file/d/174Wbe6MOhOFi-7jLWOyOaJ3jjMdvrmRW/view?usp=drivesdk" TargetMode="External"/><Relationship Id="rId645" Type="http://schemas.openxmlformats.org/officeDocument/2006/relationships/hyperlink" Target="https://drive.google.com/file/d/1BCT0edHgPa4ChDoJzelZqLe--OS1etHi/view?usp=drivesdk" TargetMode="External"/><Relationship Id="rId887" Type="http://schemas.openxmlformats.org/officeDocument/2006/relationships/hyperlink" Target="https://drive.google.com/file/d/1qO6j0QB9Z5F9kbyXQ9UOeSgKGXc4qm_9/view?usp=drivesdk" TargetMode="External"/><Relationship Id="rId402" Type="http://schemas.openxmlformats.org/officeDocument/2006/relationships/hyperlink" Target="https://drive.google.com/file/d/1fofPIG1hps7AVhMsJmY3JjApXp24Y49u/view?usp=drivesdk" TargetMode="External"/><Relationship Id="rId644" Type="http://schemas.openxmlformats.org/officeDocument/2006/relationships/hyperlink" Target="https://drive.google.com/file/d/1eXGhHmhVn3fbD0iigwSQ3lJTXODITpvg/view?usp=drivesdk" TargetMode="External"/><Relationship Id="rId886" Type="http://schemas.openxmlformats.org/officeDocument/2006/relationships/hyperlink" Target="https://drive.google.com/file/d/1GZw1D96ceSBXJDGRXSjAyBH2KfCV9LNq/view?usp=drivesdk" TargetMode="External"/><Relationship Id="rId401" Type="http://schemas.openxmlformats.org/officeDocument/2006/relationships/hyperlink" Target="https://drive.google.com/file/d/1yVtl2db8WtZohK2hm2clVbT8R-VbxADU/view?usp=drivesdk" TargetMode="External"/><Relationship Id="rId643" Type="http://schemas.openxmlformats.org/officeDocument/2006/relationships/hyperlink" Target="https://drive.google.com/file/d/1Z8op4lrljr3bHWpk4GyYA6iYV5HWZYIs/view?usp=drivesdk" TargetMode="External"/><Relationship Id="rId885" Type="http://schemas.openxmlformats.org/officeDocument/2006/relationships/hyperlink" Target="https://drive.google.com/file/d/1d4vQy17NlW-8nUms46bitq0K2DyZk6YU/view?usp=drivesdk" TargetMode="External"/><Relationship Id="rId408" Type="http://schemas.openxmlformats.org/officeDocument/2006/relationships/hyperlink" Target="https://drive.google.com/file/d/1EkLT7T_Pr8-vG5d0aGG6BQbLrO9k7yOO/view?usp=drivesdk" TargetMode="External"/><Relationship Id="rId407" Type="http://schemas.openxmlformats.org/officeDocument/2006/relationships/hyperlink" Target="https://drive.google.com/file/d/1CWxfGrNhwLJWCiMcRNDH7V596n6a0BEE/view?usp=drivesdk" TargetMode="External"/><Relationship Id="rId649" Type="http://schemas.openxmlformats.org/officeDocument/2006/relationships/hyperlink" Target="https://drive.google.com/file/d/1fLJ_KBsiK-R1oVTp1ye0o9az_ZHPo2sP/view?usp=drivesdk" TargetMode="External"/><Relationship Id="rId406" Type="http://schemas.openxmlformats.org/officeDocument/2006/relationships/hyperlink" Target="https://drive.google.com/file/d/1FxttsOhJ7eIPnjUw2eTjtMUggY5Uopek/view?usp=drivesdk" TargetMode="External"/><Relationship Id="rId648" Type="http://schemas.openxmlformats.org/officeDocument/2006/relationships/hyperlink" Target="https://drive.google.com/file/d/1wP3ztjznMdhYLC4f-75rGF4eL1Q1baJ2/view?usp=drivesdk" TargetMode="External"/><Relationship Id="rId405" Type="http://schemas.openxmlformats.org/officeDocument/2006/relationships/hyperlink" Target="https://drive.google.com/file/d/17gG3RhAM_ORVQ_aGBgRaPK3RXHmVyzWV/view?usp=drivesdk" TargetMode="External"/><Relationship Id="rId647" Type="http://schemas.openxmlformats.org/officeDocument/2006/relationships/hyperlink" Target="https://drive.google.com/file/d/1zAB7FrJxjEKNAXq45bYTmaoQioqvm5pY/view?usp=drivesdk" TargetMode="External"/><Relationship Id="rId889" Type="http://schemas.openxmlformats.org/officeDocument/2006/relationships/hyperlink" Target="https://drive.google.com/file/d/1cxzSNh8ILK763EaXzPp3BiRh2SLrXRn8/view?usp=drivesdk" TargetMode="External"/><Relationship Id="rId880" Type="http://schemas.openxmlformats.org/officeDocument/2006/relationships/hyperlink" Target="https://drive.google.com/file/d/1dMtGLovmPHvH7ayf9o_zinUU-u41yXAH/view?usp=drivesdk" TargetMode="External"/><Relationship Id="rId1230" Type="http://schemas.openxmlformats.org/officeDocument/2006/relationships/hyperlink" Target="https://drive.google.com/file/d/1FvhGXvPVSRyXdhZ3OVEEM0oG5yVxtfl6/view?usp=drivesdk" TargetMode="External"/><Relationship Id="rId400" Type="http://schemas.openxmlformats.org/officeDocument/2006/relationships/hyperlink" Target="https://drive.google.com/file/d/1bGduSD993ajgmRM5nKHoVIWWfAQjqOO-/view?usp=drivesdk" TargetMode="External"/><Relationship Id="rId642" Type="http://schemas.openxmlformats.org/officeDocument/2006/relationships/hyperlink" Target="https://drive.google.com/file/d/1QgEb-pKZ9y0QWHPkuKrX_G-kpM2s4hki/view?usp=drivesdk" TargetMode="External"/><Relationship Id="rId884" Type="http://schemas.openxmlformats.org/officeDocument/2006/relationships/hyperlink" Target="https://drive.google.com/file/d/1pBi6VM_HLNJ3GaQvcIxbikItAolq0TVj/view?usp=drivesdk" TargetMode="External"/><Relationship Id="rId1231" Type="http://schemas.openxmlformats.org/officeDocument/2006/relationships/hyperlink" Target="https://drive.google.com/file/d/1I5ho_O4uYc0Dd1kKTVBOz2r9Ft6CJWD1/view?usp=drivesdk" TargetMode="External"/><Relationship Id="rId641" Type="http://schemas.openxmlformats.org/officeDocument/2006/relationships/hyperlink" Target="https://drive.google.com/file/d/1EsPueOgCHV8Dh1chhOmi4RerOx0G2zWs/view?usp=drivesdk" TargetMode="External"/><Relationship Id="rId883" Type="http://schemas.openxmlformats.org/officeDocument/2006/relationships/hyperlink" Target="https://drive.google.com/file/d/1mLBgB03ocB5iATO0Y_nkkTJDm4kF_sKJ/view?usp=drivesdk" TargetMode="External"/><Relationship Id="rId1232" Type="http://schemas.openxmlformats.org/officeDocument/2006/relationships/hyperlink" Target="https://drive.google.com/file/d/11LZnKoiao062PPu4dIJIDiGPJHIVt_Ku/view?usp=drivesdk" TargetMode="External"/><Relationship Id="rId640" Type="http://schemas.openxmlformats.org/officeDocument/2006/relationships/hyperlink" Target="https://drive.google.com/file/d/1IeEF-KwoRj70KwALBFfOoMf321plIIfN/view?usp=drivesdk" TargetMode="External"/><Relationship Id="rId882" Type="http://schemas.openxmlformats.org/officeDocument/2006/relationships/hyperlink" Target="https://drive.google.com/file/d/1n5EDfHoj7CsjUEXYo6QsLsAsN7e1INku/view?usp=drivesdk" TargetMode="External"/><Relationship Id="rId1233" Type="http://schemas.openxmlformats.org/officeDocument/2006/relationships/hyperlink" Target="https://drive.google.com/file/d/155a6GRSj_4WT8LqkzNaZMXZxSgCBKEq8/view?usp=drivesdk" TargetMode="External"/><Relationship Id="rId881" Type="http://schemas.openxmlformats.org/officeDocument/2006/relationships/hyperlink" Target="https://drive.google.com/file/d/1TybzBjfsYNjNyn0_DvYNTVVzbGFdNWO-/view?usp=drivesdk" TargetMode="External"/><Relationship Id="rId1234" Type="http://schemas.openxmlformats.org/officeDocument/2006/relationships/hyperlink" Target="https://drive.google.com/file/d/1QrQnlkGaI2f3NmlCSFN2geb8YLDwxjP_/view?usp=drivesdk" TargetMode="External"/><Relationship Id="rId1224" Type="http://schemas.openxmlformats.org/officeDocument/2006/relationships/hyperlink" Target="https://drive.google.com/file/d/1xi0n7BOS-1-vYqO5ikcHQ41nqItgs21o/view?usp=drivesdk" TargetMode="External"/><Relationship Id="rId1225" Type="http://schemas.openxmlformats.org/officeDocument/2006/relationships/hyperlink" Target="https://drive.google.com/file/d/1-LOW33gdY0Tk58Y57i2MIkGR_STvMjx5/view?usp=drivesdk" TargetMode="External"/><Relationship Id="rId1226" Type="http://schemas.openxmlformats.org/officeDocument/2006/relationships/hyperlink" Target="https://drive.google.com/file/d/1KJxoHCaA9IUzBsaTPYZhXkoPgZHWpz1V/view?usp=drivesdk" TargetMode="External"/><Relationship Id="rId1227" Type="http://schemas.openxmlformats.org/officeDocument/2006/relationships/hyperlink" Target="https://drive.google.com/file/d/1hRzrGIsPfPmBwpUD87d3sbp22BWE-XF6/view?usp=drivesdk" TargetMode="External"/><Relationship Id="rId1228" Type="http://schemas.openxmlformats.org/officeDocument/2006/relationships/hyperlink" Target="https://drive.google.com/file/d/1KOzrEm9I8zzB_nlYGp62VTpdmKP2ZHEl/view?usp=drivesdk" TargetMode="External"/><Relationship Id="rId1229" Type="http://schemas.openxmlformats.org/officeDocument/2006/relationships/hyperlink" Target="https://drive.google.com/file/d/1Uh3wz1vmxX4BwMmzZyibmp75aZJdSjrs/view?usp=drivesdk" TargetMode="External"/><Relationship Id="rId635" Type="http://schemas.openxmlformats.org/officeDocument/2006/relationships/hyperlink" Target="https://drive.google.com/file/d/1NybX6qyIRGz5OcVw0yw-qc4QQCU-p_wr/view?usp=drivesdk" TargetMode="External"/><Relationship Id="rId877" Type="http://schemas.openxmlformats.org/officeDocument/2006/relationships/hyperlink" Target="https://drive.google.com/file/d/17wF9nJ0D6-mQyJuwvSuDlR2ssB7s4_gU/view?usp=drivesdk" TargetMode="External"/><Relationship Id="rId634" Type="http://schemas.openxmlformats.org/officeDocument/2006/relationships/hyperlink" Target="https://drive.google.com/file/d/1r3TrhY_nY4ErSyh5LvNzNnTCNv_U_S5X/view?usp=drivesdk" TargetMode="External"/><Relationship Id="rId876" Type="http://schemas.openxmlformats.org/officeDocument/2006/relationships/hyperlink" Target="https://drive.google.com/file/d/1oja8-Rz5PywX7Rxp56EqIh4FhphZ0YaH/view?usp=drivesdk" TargetMode="External"/><Relationship Id="rId633" Type="http://schemas.openxmlformats.org/officeDocument/2006/relationships/hyperlink" Target="https://drive.google.com/file/d/19bvNLnMhnBx4AtHLCSPSGHoVqcvs_BrV/view?usp=drivesdk" TargetMode="External"/><Relationship Id="rId875" Type="http://schemas.openxmlformats.org/officeDocument/2006/relationships/hyperlink" Target="https://drive.google.com/file/d/1QYCkjxmHHLNt03G5E-tfTLDOGLPrsvP-/view?usp=drivesdk" TargetMode="External"/><Relationship Id="rId632" Type="http://schemas.openxmlformats.org/officeDocument/2006/relationships/hyperlink" Target="https://drive.google.com/file/d/1sx6B-_0_fnPIkM8WBk-9co7hrBQFlX70/view?usp=drivesdk" TargetMode="External"/><Relationship Id="rId874" Type="http://schemas.openxmlformats.org/officeDocument/2006/relationships/hyperlink" Target="https://drive.google.com/file/d/1pC-TSXmAo4L31TAl6A1k0i7UzEoC4KSb/view?usp=drivesdk" TargetMode="External"/><Relationship Id="rId639" Type="http://schemas.openxmlformats.org/officeDocument/2006/relationships/hyperlink" Target="https://drive.google.com/file/d/1eqhBqLVDjXPHbqew_xmhBImXOplfdg1t/view?usp=drivesdk" TargetMode="External"/><Relationship Id="rId638" Type="http://schemas.openxmlformats.org/officeDocument/2006/relationships/hyperlink" Target="https://drive.google.com/file/d/1NM9hE7naIQw4Qe0LBH5P-s-qg2HwjHID/view?usp=drivesdk" TargetMode="External"/><Relationship Id="rId637" Type="http://schemas.openxmlformats.org/officeDocument/2006/relationships/hyperlink" Target="https://drive.google.com/file/d/17oJ6MO4-3i3CcV4CGXCs3uJfsZBjDxvW/view?usp=drivesdk" TargetMode="External"/><Relationship Id="rId879" Type="http://schemas.openxmlformats.org/officeDocument/2006/relationships/hyperlink" Target="https://drive.google.com/file/d/1o9bCHbVF9W6wl_JdWFzURkxzgf7srM7N/view?usp=drivesdk" TargetMode="External"/><Relationship Id="rId636" Type="http://schemas.openxmlformats.org/officeDocument/2006/relationships/hyperlink" Target="https://drive.google.com/file/d/1QXpsIPR1kMuTf1nhvcBlypXFRloz2FkR/view?usp=drivesdk" TargetMode="External"/><Relationship Id="rId878" Type="http://schemas.openxmlformats.org/officeDocument/2006/relationships/hyperlink" Target="https://drive.google.com/file/d/1JFyfSl9yJojaGLs_nsYK3S_ROjX1eXTO/view?usp=drivesdk" TargetMode="External"/><Relationship Id="rId631" Type="http://schemas.openxmlformats.org/officeDocument/2006/relationships/hyperlink" Target="https://drive.google.com/file/d/1wlTRhpNRbGu5OdO7CR6hgZNVy5bPpt-T/view?usp=drivesdk" TargetMode="External"/><Relationship Id="rId873" Type="http://schemas.openxmlformats.org/officeDocument/2006/relationships/hyperlink" Target="https://drive.google.com/file/d/1ExwF9GzCk9tWoMNL2x-v1QPvAJDPZxjQ/view?usp=drivesdk" TargetMode="External"/><Relationship Id="rId1220" Type="http://schemas.openxmlformats.org/officeDocument/2006/relationships/hyperlink" Target="https://drive.google.com/file/d/19Gkup9g-XH9Tr-twU1s7fUcvxwPc_hUJ/view?usp=drivesdk" TargetMode="External"/><Relationship Id="rId630" Type="http://schemas.openxmlformats.org/officeDocument/2006/relationships/hyperlink" Target="https://drive.google.com/file/d/1RvzDTNnwD_MdOZ9eWr7lAMKoyEPxOo9h/view?usp=drivesdk" TargetMode="External"/><Relationship Id="rId872" Type="http://schemas.openxmlformats.org/officeDocument/2006/relationships/hyperlink" Target="https://drive.google.com/file/d/1cIxxQTDFBxWSpfoAHWIhyRRnNUMLxIk3/view?usp=drivesdk" TargetMode="External"/><Relationship Id="rId1221" Type="http://schemas.openxmlformats.org/officeDocument/2006/relationships/hyperlink" Target="https://drive.google.com/file/d/1lX8yn9HmvtyFyRi6ArOti-5JdlHI-qAU/view?usp=drivesdk" TargetMode="External"/><Relationship Id="rId871" Type="http://schemas.openxmlformats.org/officeDocument/2006/relationships/hyperlink" Target="https://drive.google.com/file/d/1QIM7cyf5e48Ie29UzeDNwCf0YL4Ot6s5/view?usp=drivesdk" TargetMode="External"/><Relationship Id="rId1222" Type="http://schemas.openxmlformats.org/officeDocument/2006/relationships/hyperlink" Target="https://drive.google.com/file/d/1IXulvuVAFf201zF5UGDUcQHR98PAFwVr/view?usp=drivesdk" TargetMode="External"/><Relationship Id="rId870" Type="http://schemas.openxmlformats.org/officeDocument/2006/relationships/hyperlink" Target="https://drive.google.com/file/d/1ktv-iwTFShtDmpAMi2GPXXbgGjNq_Fat/view?usp=drivesdk" TargetMode="External"/><Relationship Id="rId1223" Type="http://schemas.openxmlformats.org/officeDocument/2006/relationships/hyperlink" Target="https://drive.google.com/file/d/1xMvqm5Hg1D4loZ_LVDZMfxHUWZ3MVTCg/view?usp=drivesdk" TargetMode="External"/><Relationship Id="rId829" Type="http://schemas.openxmlformats.org/officeDocument/2006/relationships/hyperlink" Target="https://drive.google.com/file/d/1OBLU7yF85hGH9-x7Z8mYCK3_X08YchgD/view?usp=drivesdk" TargetMode="External"/><Relationship Id="rId828" Type="http://schemas.openxmlformats.org/officeDocument/2006/relationships/hyperlink" Target="https://drive.google.com/file/d/1Wiv_faDUpPUMJipIQ5K0AOAltklA_Xzd/view?usp=drivesdk" TargetMode="External"/><Relationship Id="rId827" Type="http://schemas.openxmlformats.org/officeDocument/2006/relationships/hyperlink" Target="https://drive.google.com/file/d/1IrQS8jroID0qzE6rOnxoVOV0Ro6QG5aM/view?usp=drivesdk" TargetMode="External"/><Relationship Id="rId822" Type="http://schemas.openxmlformats.org/officeDocument/2006/relationships/hyperlink" Target="https://drive.google.com/file/d/1WoUUW2Y2fLq0rw5az4lEeA9eISevpPyu/view?usp=drivesdk" TargetMode="External"/><Relationship Id="rId821" Type="http://schemas.openxmlformats.org/officeDocument/2006/relationships/hyperlink" Target="https://drive.google.com/file/d/1u2cuYJw1wxtIaeKSTjMMB6x1UxAAzvyC/view?usp=drivesdk" TargetMode="External"/><Relationship Id="rId820" Type="http://schemas.openxmlformats.org/officeDocument/2006/relationships/hyperlink" Target="https://drive.google.com/file/d/1wTO_3OhiOt6T-NPBvKuw0YDU8m6gcZ0I/view?usp=drivesdk" TargetMode="External"/><Relationship Id="rId826" Type="http://schemas.openxmlformats.org/officeDocument/2006/relationships/hyperlink" Target="https://drive.google.com/file/d/1sZbc4SxXQNhtCjIfpVEjHix7Gf1GtDWZ/view?usp=drivesdk" TargetMode="External"/><Relationship Id="rId825" Type="http://schemas.openxmlformats.org/officeDocument/2006/relationships/hyperlink" Target="https://drive.google.com/file/d/1930XeGZwb2k89hOo-ugNZVwUhmh2t1vj/view?usp=drivesdk" TargetMode="External"/><Relationship Id="rId824" Type="http://schemas.openxmlformats.org/officeDocument/2006/relationships/hyperlink" Target="https://drive.google.com/file/d/1YiC503E7aApebHmFpctP_6jMYYMQOfec/view?usp=drivesdk" TargetMode="External"/><Relationship Id="rId823" Type="http://schemas.openxmlformats.org/officeDocument/2006/relationships/hyperlink" Target="https://drive.google.com/file/d/1yHTJQNH7xwaVDgh-NUPRaaSZikGonzC7/view?usp=drivesdk" TargetMode="External"/><Relationship Id="rId819" Type="http://schemas.openxmlformats.org/officeDocument/2006/relationships/hyperlink" Target="https://drive.google.com/file/d/1lY5hy9QIuYpEZ65qpwbl_zXSMkwYsQv0/view?usp=drivesdk" TargetMode="External"/><Relationship Id="rId818" Type="http://schemas.openxmlformats.org/officeDocument/2006/relationships/hyperlink" Target="https://drive.google.com/file/d/1_wM3J25gfPmJPUNTwwxT6F5mhTO2lKim/view?usp=drivesdk" TargetMode="External"/><Relationship Id="rId817" Type="http://schemas.openxmlformats.org/officeDocument/2006/relationships/hyperlink" Target="https://drive.google.com/file/d/1dG-v2DoRWPZ_gLPuOjhwnMds-R1HrZYK/view?usp=drivesdk" TargetMode="External"/><Relationship Id="rId816" Type="http://schemas.openxmlformats.org/officeDocument/2006/relationships/hyperlink" Target="https://drive.google.com/file/d/1I96rw_HWa08XMAVJGIq8jAV0v5sYmeHZ/view?usp=drivesdk" TargetMode="External"/><Relationship Id="rId811" Type="http://schemas.openxmlformats.org/officeDocument/2006/relationships/hyperlink" Target="https://drive.google.com/file/d/1L0CZf9GY2mIswHDqHWvwN10eZeqnt-SN/view?usp=drivesdk" TargetMode="External"/><Relationship Id="rId810" Type="http://schemas.openxmlformats.org/officeDocument/2006/relationships/hyperlink" Target="https://drive.google.com/file/d/1drnF4GSfDiihCB-ZcCVogFp1RjAFxaME/view?usp=drivesdk" TargetMode="External"/><Relationship Id="rId815" Type="http://schemas.openxmlformats.org/officeDocument/2006/relationships/hyperlink" Target="https://drive.google.com/file/d/1w1Fz_nAm6Xtrdje8SvBFO9ODRNEUP-AD/view?usp=drivesdk" TargetMode="External"/><Relationship Id="rId814" Type="http://schemas.openxmlformats.org/officeDocument/2006/relationships/hyperlink" Target="https://drive.google.com/file/d/1Y-Hmq1JLyoYuA2VVPS1LCrIVUY5H1Wvg/view?usp=drivesdk" TargetMode="External"/><Relationship Id="rId813" Type="http://schemas.openxmlformats.org/officeDocument/2006/relationships/hyperlink" Target="https://drive.google.com/file/d/1VDE3z0pQJ8P3bcuSmHItmG90dF-dojhc/view?usp=drivesdk" TargetMode="External"/><Relationship Id="rId812" Type="http://schemas.openxmlformats.org/officeDocument/2006/relationships/hyperlink" Target="https://drive.google.com/file/d/1MkhNH8IIM9u-xxf3nev_OFilbWkgeBKM/view?usp=drivesdk" TargetMode="External"/><Relationship Id="rId609" Type="http://schemas.openxmlformats.org/officeDocument/2006/relationships/hyperlink" Target="https://drive.google.com/file/d/1Ar73Hi1yRLVTfGMKXUp1xh_-AV8c4omx/view?usp=drivesdk" TargetMode="External"/><Relationship Id="rId608" Type="http://schemas.openxmlformats.org/officeDocument/2006/relationships/hyperlink" Target="https://drive.google.com/file/d/1E3y-nOe-HoOMcPmInezPNCKWLgqb1Jq7/view?usp=drivesdk" TargetMode="External"/><Relationship Id="rId607" Type="http://schemas.openxmlformats.org/officeDocument/2006/relationships/hyperlink" Target="https://drive.google.com/file/d/10KRMK_p70w0JX9Nwb3TSst_cHQRH2XLx/view?usp=drivesdk" TargetMode="External"/><Relationship Id="rId849" Type="http://schemas.openxmlformats.org/officeDocument/2006/relationships/hyperlink" Target="https://drive.google.com/file/d/105BWwOX7CYUei7OXv65WCv4wcUZrLRbV/view?usp=drivesdk" TargetMode="External"/><Relationship Id="rId602" Type="http://schemas.openxmlformats.org/officeDocument/2006/relationships/hyperlink" Target="https://drive.google.com/file/d/1nsFF8X2gIYqJRnyPU_g2-EiV7MGTMAk6/view?usp=drivesdk" TargetMode="External"/><Relationship Id="rId844" Type="http://schemas.openxmlformats.org/officeDocument/2006/relationships/hyperlink" Target="https://drive.google.com/file/d/1TpOShmxCtRXiYF4Xx9XoSUpaLs1VCu-4/view?usp=drivesdk" TargetMode="External"/><Relationship Id="rId601" Type="http://schemas.openxmlformats.org/officeDocument/2006/relationships/hyperlink" Target="https://drive.google.com/file/d/14TW83JObA4U3fCHrbDK8ajvYqAI7odqh/view?usp=drivesdk" TargetMode="External"/><Relationship Id="rId843" Type="http://schemas.openxmlformats.org/officeDocument/2006/relationships/hyperlink" Target="https://drive.google.com/file/d/11h3625pjGf10cuPUTtPvr1SqfXecXpGe/view?usp=drivesdk" TargetMode="External"/><Relationship Id="rId600" Type="http://schemas.openxmlformats.org/officeDocument/2006/relationships/hyperlink" Target="https://drive.google.com/file/d/1QbTATlCukCZK3d13L7Bc1cPwFqhV08sX/view?usp=drivesdk" TargetMode="External"/><Relationship Id="rId842" Type="http://schemas.openxmlformats.org/officeDocument/2006/relationships/hyperlink" Target="https://drive.google.com/file/d/13ABP3UlNPIzNK742S5bFq7QrZztJGV8C/view?usp=drivesdk" TargetMode="External"/><Relationship Id="rId841" Type="http://schemas.openxmlformats.org/officeDocument/2006/relationships/hyperlink" Target="https://drive.google.com/file/d/1pB0O3tgekyjca8nzWz0sLI0WCXwFaNx_/view?usp=drivesdk" TargetMode="External"/><Relationship Id="rId606" Type="http://schemas.openxmlformats.org/officeDocument/2006/relationships/hyperlink" Target="https://drive.google.com/file/d/18ieULr1xWEQjY2cC5IlFsbT0cn61eRQX/view?usp=drivesdk" TargetMode="External"/><Relationship Id="rId848" Type="http://schemas.openxmlformats.org/officeDocument/2006/relationships/hyperlink" Target="https://drive.google.com/file/d/1ILCFCRpdW5uDmisL1HCZQL6OBgkHkvUB/view?usp=drivesdk" TargetMode="External"/><Relationship Id="rId605" Type="http://schemas.openxmlformats.org/officeDocument/2006/relationships/hyperlink" Target="https://drive.google.com/file/d/1eZVD5VIMRXjj-o44sHUYgPPMkDAVYdYU/view?usp=drivesdk" TargetMode="External"/><Relationship Id="rId847" Type="http://schemas.openxmlformats.org/officeDocument/2006/relationships/hyperlink" Target="https://drive.google.com/file/d/1PIwNy79EtGjJ7LOxmjyT8iXBYSPrpbYY/view?usp=drivesdk" TargetMode="External"/><Relationship Id="rId604" Type="http://schemas.openxmlformats.org/officeDocument/2006/relationships/hyperlink" Target="https://drive.google.com/file/d/1fW7nkGvtA_5-QxAx-sQ649kGX0mpJhHe/view?usp=drivesdk" TargetMode="External"/><Relationship Id="rId846" Type="http://schemas.openxmlformats.org/officeDocument/2006/relationships/hyperlink" Target="https://drive.google.com/file/d/1UrTfzMqC4JRYGi60zmrqzuPTjaEOIixX/view?usp=drivesdk" TargetMode="External"/><Relationship Id="rId603" Type="http://schemas.openxmlformats.org/officeDocument/2006/relationships/hyperlink" Target="https://drive.google.com/file/d/1wa5MNk1ji0rfjraFHyzwTOjENsJCvhuZ/view?usp=drivesdk" TargetMode="External"/><Relationship Id="rId845" Type="http://schemas.openxmlformats.org/officeDocument/2006/relationships/hyperlink" Target="https://drive.google.com/file/d/1BB2juqafOWPzQJrI77GAHXzfqql1-J5p/view?usp=drivesdk" TargetMode="External"/><Relationship Id="rId840" Type="http://schemas.openxmlformats.org/officeDocument/2006/relationships/hyperlink" Target="https://drive.google.com/file/d/1qsw2r1GDTl4kK8WkobS-m9NqlwJrPj6s/view?usp=drivesdk" TargetMode="External"/><Relationship Id="rId839" Type="http://schemas.openxmlformats.org/officeDocument/2006/relationships/hyperlink" Target="https://drive.google.com/file/d/1p1Nl_ngsgWCETxoAsxHoXV1XaHAusybf/view?usp=drivesdk" TargetMode="External"/><Relationship Id="rId838" Type="http://schemas.openxmlformats.org/officeDocument/2006/relationships/hyperlink" Target="https://drive.google.com/file/d/1l055kXXwbWO_-htdM91leLa1yTNFvcJC/view?usp=drivesdk" TargetMode="External"/><Relationship Id="rId833" Type="http://schemas.openxmlformats.org/officeDocument/2006/relationships/hyperlink" Target="https://drive.google.com/file/d/1LL2ld2Fu6WC8z3qZHcPp4DZwtb0MQ-xk/view?usp=drivesdk" TargetMode="External"/><Relationship Id="rId832" Type="http://schemas.openxmlformats.org/officeDocument/2006/relationships/hyperlink" Target="https://drive.google.com/file/d/1tIF9cCf1Y4FUdQVoqpGWlaveqPFvi_WA/view?usp=drivesdk" TargetMode="External"/><Relationship Id="rId831" Type="http://schemas.openxmlformats.org/officeDocument/2006/relationships/hyperlink" Target="https://drive.google.com/file/d/1Sd6DAo60YoZpfeP9qgmSFagzC5t3LOtk/view?usp=drivesdk" TargetMode="External"/><Relationship Id="rId830" Type="http://schemas.openxmlformats.org/officeDocument/2006/relationships/hyperlink" Target="https://drive.google.com/file/d/1AJdP6Q9l1K95eq2Vwmb6Jd2MecVaTivD/view?usp=drivesdk" TargetMode="External"/><Relationship Id="rId837" Type="http://schemas.openxmlformats.org/officeDocument/2006/relationships/hyperlink" Target="https://drive.google.com/file/d/1OZ9v7Go2VYrJmIEquiDGxk9xU3-0TRxp/view?usp=drivesdk" TargetMode="External"/><Relationship Id="rId836" Type="http://schemas.openxmlformats.org/officeDocument/2006/relationships/hyperlink" Target="https://drive.google.com/file/d/1rFz6JPXCZsWAbdrNKO3KSyUuSTkIaV_5/view?usp=drivesdk" TargetMode="External"/><Relationship Id="rId835" Type="http://schemas.openxmlformats.org/officeDocument/2006/relationships/hyperlink" Target="https://drive.google.com/file/d/1Z_Hlv2z4ZmN5JJhP5rblZfdI0HLJSKpr/view?usp=drivesdk" TargetMode="External"/><Relationship Id="rId834" Type="http://schemas.openxmlformats.org/officeDocument/2006/relationships/hyperlink" Target="https://drive.google.com/file/d/1Vj09lH_vQ3BPYSSMPukL3AL7NaGS5-yE/view?usp=drivesdk" TargetMode="External"/><Relationship Id="rId1059" Type="http://schemas.openxmlformats.org/officeDocument/2006/relationships/hyperlink" Target="https://drive.google.com/file/d/1CoiCkGNvlbMdPR7PwSC56p52bEhkj1_D/view?usp=drivesdk" TargetMode="External"/><Relationship Id="rId228" Type="http://schemas.openxmlformats.org/officeDocument/2006/relationships/hyperlink" Target="https://drive.google.com/file/d/1i5x-M9Tzy3rqGivtyIufmAv7dClfKIHN/view?usp=drivesdk" TargetMode="External"/><Relationship Id="rId227" Type="http://schemas.openxmlformats.org/officeDocument/2006/relationships/hyperlink" Target="https://drive.google.com/file/d/1-q9J23qdC4EOAr5-ySEe0TEoiG1z0wtg/view?usp=drivesdk" TargetMode="External"/><Relationship Id="rId469" Type="http://schemas.openxmlformats.org/officeDocument/2006/relationships/hyperlink" Target="https://drive.google.com/file/d/1DBWOIqEgm2A9PHYIpv3gv6OXWaBp-72e/view?usp=drivesdk" TargetMode="External"/><Relationship Id="rId226" Type="http://schemas.openxmlformats.org/officeDocument/2006/relationships/hyperlink" Target="https://drive.google.com/file/d/1BXCFBncwCW3d6h2OcPVsxSndYjGTsJeP/view?usp=drivesdk" TargetMode="External"/><Relationship Id="rId468" Type="http://schemas.openxmlformats.org/officeDocument/2006/relationships/hyperlink" Target="https://drive.google.com/file/d/1faDvn0snXDbWj8Q77m3y0XLEmeZnuwZb/view?usp=drivesdk" TargetMode="External"/><Relationship Id="rId225" Type="http://schemas.openxmlformats.org/officeDocument/2006/relationships/hyperlink" Target="https://drive.google.com/file/d/1ngbxEVYfLYk_wwFJUcRiRpN-4GFOZSYR/view?usp=drivesdk" TargetMode="External"/><Relationship Id="rId467" Type="http://schemas.openxmlformats.org/officeDocument/2006/relationships/hyperlink" Target="https://drive.google.com/file/d/1nufJFXvYLRiYseKJRz9PQ6yeY4ORSnOv/view?usp=drivesdk" TargetMode="External"/><Relationship Id="rId1290" Type="http://schemas.openxmlformats.org/officeDocument/2006/relationships/hyperlink" Target="https://drive.google.com/file/d/1n2LpGEXWGi8CI0JVtYonH3xS02qHi2Iu/view?usp=drivesdk" TargetMode="External"/><Relationship Id="rId1291" Type="http://schemas.openxmlformats.org/officeDocument/2006/relationships/hyperlink" Target="https://drive.google.com/file/d/1jE6-4VMFHR0S106pQlZkYLNroXE1NvV0/view?usp=drivesdk" TargetMode="External"/><Relationship Id="rId229" Type="http://schemas.openxmlformats.org/officeDocument/2006/relationships/hyperlink" Target="https://drive.google.com/file/d/10kneF8HuKWEdqY5lxXXA9-gZKXPu24lF/view?usp=drivesdk" TargetMode="External"/><Relationship Id="rId1050" Type="http://schemas.openxmlformats.org/officeDocument/2006/relationships/hyperlink" Target="https://drive.google.com/file/d/1swAy8MCJFB6aVa-6jwEH0otPFb0YCdzU/view?usp=drivesdk" TargetMode="External"/><Relationship Id="rId1292" Type="http://schemas.openxmlformats.org/officeDocument/2006/relationships/hyperlink" Target="https://drive.google.com/file/d/1z1mkO00wSDsbqCnsmlKYx3RbKN1dvCXu/view?usp=drivesdk" TargetMode="External"/><Relationship Id="rId220" Type="http://schemas.openxmlformats.org/officeDocument/2006/relationships/hyperlink" Target="https://drive.google.com/file/d/12a_5U8Pqq9OaH1uxPChfKpTa8IroOV2E/view?usp=drivesdk" TargetMode="External"/><Relationship Id="rId462" Type="http://schemas.openxmlformats.org/officeDocument/2006/relationships/hyperlink" Target="https://drive.google.com/file/d/15sX8jpk4Btkx0D69tSX4kwI-WFWUyYuK/view?usp=drivesdk" TargetMode="External"/><Relationship Id="rId1051" Type="http://schemas.openxmlformats.org/officeDocument/2006/relationships/hyperlink" Target="https://drive.google.com/file/d/1sAYhV0lq6dJLxYaahBL3zJuJRItLKsh1/view?usp=drivesdk" TargetMode="External"/><Relationship Id="rId1293" Type="http://schemas.openxmlformats.org/officeDocument/2006/relationships/hyperlink" Target="https://drive.google.com/file/d/1G9r2xgkTjUZeCbzaKlX1BabQFQImA9ms/view?usp=drivesdk" TargetMode="External"/><Relationship Id="rId461" Type="http://schemas.openxmlformats.org/officeDocument/2006/relationships/hyperlink" Target="https://drive.google.com/file/d/1DvMoNMlJbx4vUVd1r6EAAylevJJnZ_JT/view?usp=drivesdk" TargetMode="External"/><Relationship Id="rId1052" Type="http://schemas.openxmlformats.org/officeDocument/2006/relationships/hyperlink" Target="https://drive.google.com/file/d/1qA1NMaoJKI1o5HVONYLoffNAtTNwyEfk/view?usp=drivesdk" TargetMode="External"/><Relationship Id="rId1294" Type="http://schemas.openxmlformats.org/officeDocument/2006/relationships/hyperlink" Target="https://drive.google.com/file/d/1xi_JdJMvRBSMpKACx30nNU51mrrDS7d7/view?usp=drivesdk" TargetMode="External"/><Relationship Id="rId460" Type="http://schemas.openxmlformats.org/officeDocument/2006/relationships/hyperlink" Target="https://drive.google.com/file/d/1WRzkvdZmxHcvot2wSpuiOpBwCxpV5_G9/view?usp=drivesdk" TargetMode="External"/><Relationship Id="rId1053" Type="http://schemas.openxmlformats.org/officeDocument/2006/relationships/hyperlink" Target="https://drive.google.com/file/d/1AICXM3btcbZ6jGloTRhPMu3z6LeSIVI2/view?usp=drivesdk" TargetMode="External"/><Relationship Id="rId1295" Type="http://schemas.openxmlformats.org/officeDocument/2006/relationships/hyperlink" Target="https://drive.google.com/file/d/1uAoK7XjG58SCXT7imwmxrjW6sFUl8-BZ/view?usp=drivesdk" TargetMode="External"/><Relationship Id="rId1054" Type="http://schemas.openxmlformats.org/officeDocument/2006/relationships/hyperlink" Target="https://drive.google.com/file/d/1Xu1fc4VJw6PoLrIkU-LbdFYmsQeUxT_r/view?usp=drivesdk" TargetMode="External"/><Relationship Id="rId1296" Type="http://schemas.openxmlformats.org/officeDocument/2006/relationships/hyperlink" Target="https://drive.google.com/file/d/1zm6x2R3UHlzaqddSAw6bSws8XM6K30_t/view?usp=drivesdk" TargetMode="External"/><Relationship Id="rId224" Type="http://schemas.openxmlformats.org/officeDocument/2006/relationships/hyperlink" Target="https://drive.google.com/file/d/12j1B8pl2THKiwHVLh8loLJdWr-d-4M60/view?usp=drivesdk" TargetMode="External"/><Relationship Id="rId466" Type="http://schemas.openxmlformats.org/officeDocument/2006/relationships/hyperlink" Target="https://drive.google.com/file/d/11CrYNzid0bJ9peRr4x7L5P7G6I2uK_oK/view?usp=drivesdk" TargetMode="External"/><Relationship Id="rId1055" Type="http://schemas.openxmlformats.org/officeDocument/2006/relationships/hyperlink" Target="https://drive.google.com/file/d/1QAAIgVDYsPLIG8z_UxUsp4OKl_lZZ-qZ/view?usp=drivesdk" TargetMode="External"/><Relationship Id="rId1297" Type="http://schemas.openxmlformats.org/officeDocument/2006/relationships/hyperlink" Target="https://drive.google.com/file/d/1buR_XQHrGgmolzGQnWXyMgIOMd5X18e6/view?usp=drivesdk" TargetMode="External"/><Relationship Id="rId223" Type="http://schemas.openxmlformats.org/officeDocument/2006/relationships/hyperlink" Target="https://drive.google.com/file/d/1pGozD1uSbTiSPD_nsznBxKGtY4nieSUl/view?usp=drivesdk" TargetMode="External"/><Relationship Id="rId465" Type="http://schemas.openxmlformats.org/officeDocument/2006/relationships/hyperlink" Target="https://drive.google.com/file/d/1jh5wFuB3QWcPn6lpTyHCc1z_mBK0DMkY/view?usp=drivesdk" TargetMode="External"/><Relationship Id="rId1056" Type="http://schemas.openxmlformats.org/officeDocument/2006/relationships/hyperlink" Target="https://drive.google.com/file/d/1WUkRzHtMPej4rkzdE7SDaMV0KpFyiiS9/view?usp=drivesdk" TargetMode="External"/><Relationship Id="rId1298" Type="http://schemas.openxmlformats.org/officeDocument/2006/relationships/hyperlink" Target="https://drive.google.com/file/d/1Ql_0mR6hPDQfhzvN73TB_trPvaDbGHZp/view?usp=drivesdk" TargetMode="External"/><Relationship Id="rId222" Type="http://schemas.openxmlformats.org/officeDocument/2006/relationships/hyperlink" Target="https://drive.google.com/file/d/1O2Z8bBgWXPw5EwcN2rxqeXF-OPeA2Ulk/view?usp=drivesdk" TargetMode="External"/><Relationship Id="rId464" Type="http://schemas.openxmlformats.org/officeDocument/2006/relationships/hyperlink" Target="https://drive.google.com/file/d/1_Da3K8xQTkorHg4VRNNo5qZB4djUgtnf/view?usp=drivesdk" TargetMode="External"/><Relationship Id="rId1057" Type="http://schemas.openxmlformats.org/officeDocument/2006/relationships/hyperlink" Target="https://drive.google.com/file/d/1ZREl2KcIWNMvVgrqDHU0N-BYQZ6Owlgh/view?usp=drivesdk" TargetMode="External"/><Relationship Id="rId1299" Type="http://schemas.openxmlformats.org/officeDocument/2006/relationships/hyperlink" Target="https://drive.google.com/file/d/1olNJAlyR1zUI0lx0g9ebHm5d7a3JaOAW/view?usp=drivesdk" TargetMode="External"/><Relationship Id="rId221" Type="http://schemas.openxmlformats.org/officeDocument/2006/relationships/hyperlink" Target="https://drive.google.com/file/d/1JleWbMEljJDYmYyQIU4q80-KQkhmNt9V/view?usp=drivesdk" TargetMode="External"/><Relationship Id="rId463" Type="http://schemas.openxmlformats.org/officeDocument/2006/relationships/hyperlink" Target="https://drive.google.com/file/d/1qxnX2b7ypMSMJjhn2PU2ORtCpqNsI-iM/view?usp=drivesdk" TargetMode="External"/><Relationship Id="rId1058" Type="http://schemas.openxmlformats.org/officeDocument/2006/relationships/hyperlink" Target="https://drive.google.com/file/d/1GbMP2e-WwtpYT1bpjBT92iAWB_O8KbB5/view?usp=drivesdk" TargetMode="External"/><Relationship Id="rId1048" Type="http://schemas.openxmlformats.org/officeDocument/2006/relationships/hyperlink" Target="https://drive.google.com/file/d/1IoJlpkxl_8DG6L9vTT8GWXuF8G1nC8Vx/view?usp=drivesdk" TargetMode="External"/><Relationship Id="rId1049" Type="http://schemas.openxmlformats.org/officeDocument/2006/relationships/hyperlink" Target="https://drive.google.com/file/d/13UA05pelGMtC3aX4M6BSz3ycb9Jy08Fy/view?usp=drivesdk" TargetMode="External"/><Relationship Id="rId217" Type="http://schemas.openxmlformats.org/officeDocument/2006/relationships/hyperlink" Target="https://drive.google.com/file/d/1GWYNy75LlFySCoJX4vnVRYVNdNsbt1xG/view?usp=drivesdk" TargetMode="External"/><Relationship Id="rId459" Type="http://schemas.openxmlformats.org/officeDocument/2006/relationships/hyperlink" Target="https://drive.google.com/file/d/1eaVZ2UArhkvmg-c_ocdPEGg4BTbrG-sY/view?usp=drivesdk" TargetMode="External"/><Relationship Id="rId216" Type="http://schemas.openxmlformats.org/officeDocument/2006/relationships/hyperlink" Target="https://drive.google.com/file/d/1NhC0ciAO2MuB3R5Om2XwGwNEMxw8FUv9/view?usp=drivesdk" TargetMode="External"/><Relationship Id="rId458" Type="http://schemas.openxmlformats.org/officeDocument/2006/relationships/hyperlink" Target="https://drive.google.com/file/d/1B3XGFQ3qMUzjPCmHcUoLj9bFRgN8Azsi/view?usp=drivesdk" TargetMode="External"/><Relationship Id="rId215" Type="http://schemas.openxmlformats.org/officeDocument/2006/relationships/hyperlink" Target="https://drive.google.com/file/d/1KFFYJXGB7qmVAl5F9jZnSyyHPOZUJ8jz/view?usp=drivesdk" TargetMode="External"/><Relationship Id="rId457" Type="http://schemas.openxmlformats.org/officeDocument/2006/relationships/hyperlink" Target="https://drive.google.com/file/d/1Yan-3YN2ukoJOtZc6k0kWiWa3w5ZwLcr/view?usp=drivesdk" TargetMode="External"/><Relationship Id="rId699" Type="http://schemas.openxmlformats.org/officeDocument/2006/relationships/hyperlink" Target="https://drive.google.com/file/d/1im-l2rbg2q_d0lzkEHGFMggeIeEMI0QL/view?usp=drivesdk" TargetMode="External"/><Relationship Id="rId214" Type="http://schemas.openxmlformats.org/officeDocument/2006/relationships/hyperlink" Target="https://drive.google.com/file/d/1s7yATKxgWn8NjCTvOkfDcqgfDTRv1cFS/view?usp=drivesdk" TargetMode="External"/><Relationship Id="rId456" Type="http://schemas.openxmlformats.org/officeDocument/2006/relationships/hyperlink" Target="https://drive.google.com/file/d/10dhcIUa9C5wSYnS1fXGibeAUMbyhOCAq/view?usp=drivesdk" TargetMode="External"/><Relationship Id="rId698" Type="http://schemas.openxmlformats.org/officeDocument/2006/relationships/hyperlink" Target="https://drive.google.com/file/d/1o_BKPuvkW1LpXB8gKrM23UncLmMAu5CP/view?usp=drivesdk" TargetMode="External"/><Relationship Id="rId219" Type="http://schemas.openxmlformats.org/officeDocument/2006/relationships/hyperlink" Target="https://drive.google.com/file/d/1GOnH8eYXFOd76me4BoQK89zqQ1e4EYJO/view?usp=drivesdk" TargetMode="External"/><Relationship Id="rId1280" Type="http://schemas.openxmlformats.org/officeDocument/2006/relationships/hyperlink" Target="https://drive.google.com/file/d/13xgBmeD-4Vu2mAaJEDB_fMxd1aPexXqM/view?usp=drivesdk" TargetMode="External"/><Relationship Id="rId218" Type="http://schemas.openxmlformats.org/officeDocument/2006/relationships/hyperlink" Target="https://drive.google.com/file/d/1IaQYZ2xPixQ-WIIZBdPsGdFozV1SzpUp/view?usp=drivesdk" TargetMode="External"/><Relationship Id="rId1281" Type="http://schemas.openxmlformats.org/officeDocument/2006/relationships/hyperlink" Target="https://drive.google.com/file/d/1rFC0BrB8dXUaZwpQirLKcp-4Emdo9UW-/view?usp=drivesdk" TargetMode="External"/><Relationship Id="rId451" Type="http://schemas.openxmlformats.org/officeDocument/2006/relationships/hyperlink" Target="https://drive.google.com/file/d/1XujfTic3Ka75ZGlbW12w23By7gJl4BBC/view?usp=drivesdk" TargetMode="External"/><Relationship Id="rId693" Type="http://schemas.openxmlformats.org/officeDocument/2006/relationships/hyperlink" Target="https://drive.google.com/file/d/19gKabIJ3E4UJB9-9O0Wc7CLt1_IQKiMq/view?usp=drivesdk" TargetMode="External"/><Relationship Id="rId1040" Type="http://schemas.openxmlformats.org/officeDocument/2006/relationships/hyperlink" Target="https://drive.google.com/file/d/1X3jLVFlYFZReVvBej0wueUg9XVVQnlaA/view?usp=drivesdk" TargetMode="External"/><Relationship Id="rId1282" Type="http://schemas.openxmlformats.org/officeDocument/2006/relationships/hyperlink" Target="https://drive.google.com/file/d/1xNsZKlVb3dJwk1FOsOJoEyjlXT1tsXjZ/view?usp=drivesdk" TargetMode="External"/><Relationship Id="rId450" Type="http://schemas.openxmlformats.org/officeDocument/2006/relationships/hyperlink" Target="https://drive.google.com/file/d/1ug75MGlhTrUJuLkLa7VYXg1gEu1hkv3c/view?usp=drivesdk" TargetMode="External"/><Relationship Id="rId692" Type="http://schemas.openxmlformats.org/officeDocument/2006/relationships/hyperlink" Target="https://drive.google.com/file/d/1EYByNsReaAjSXPo-qPGsTTDYERoIeowp/view?usp=drivesdk" TargetMode="External"/><Relationship Id="rId1041" Type="http://schemas.openxmlformats.org/officeDocument/2006/relationships/hyperlink" Target="https://drive.google.com/file/d/1AikkOU53qHS_sMmUNlL5jSlfPAIqGcOW/view?usp=drivesdk" TargetMode="External"/><Relationship Id="rId1283" Type="http://schemas.openxmlformats.org/officeDocument/2006/relationships/hyperlink" Target="https://drive.google.com/file/d/1HaEgV7GEK5ebtGZ4b9gS8FM-T6WEQbrf/view?usp=drivesdk" TargetMode="External"/><Relationship Id="rId691" Type="http://schemas.openxmlformats.org/officeDocument/2006/relationships/hyperlink" Target="https://drive.google.com/file/d/1wrLT1RWE3l4nIpavLij9tf6Bk4hY6sJj/view?usp=drivesdk" TargetMode="External"/><Relationship Id="rId1042" Type="http://schemas.openxmlformats.org/officeDocument/2006/relationships/hyperlink" Target="https://drive.google.com/file/d/1BSCSDRTR5xPw1O7Or-qjUwZ_rr9NeQnI/view?usp=drivesdk" TargetMode="External"/><Relationship Id="rId1284" Type="http://schemas.openxmlformats.org/officeDocument/2006/relationships/hyperlink" Target="https://drive.google.com/file/d/1qVtyqZKwKxHEzP32RHmZdQgnjgYsGVjl/view?usp=drivesdk" TargetMode="External"/><Relationship Id="rId690" Type="http://schemas.openxmlformats.org/officeDocument/2006/relationships/hyperlink" Target="https://drive.google.com/file/d/1dkMxKVpMjpfzrEWQD2yI8JvRElL5piqq/view?usp=drivesdk" TargetMode="External"/><Relationship Id="rId1043" Type="http://schemas.openxmlformats.org/officeDocument/2006/relationships/hyperlink" Target="https://drive.google.com/file/d/1qABkAa90ZWe46BcoV0zohbaay_k4dKUm/view?usp=drivesdk" TargetMode="External"/><Relationship Id="rId1285" Type="http://schemas.openxmlformats.org/officeDocument/2006/relationships/hyperlink" Target="https://drive.google.com/file/d/1xPainOlO8U05r0BCermbbyn-koKLGE42/view?usp=drivesdk" TargetMode="External"/><Relationship Id="rId213" Type="http://schemas.openxmlformats.org/officeDocument/2006/relationships/hyperlink" Target="https://drive.google.com/file/d/1XvBMXDg1NZTTdXqVJGkfMdxaG8eVvJGs/view?usp=drivesdk" TargetMode="External"/><Relationship Id="rId455" Type="http://schemas.openxmlformats.org/officeDocument/2006/relationships/hyperlink" Target="https://drive.google.com/file/d/1XmU_AbhREgXoPufWtDl56j_ay4QPYyMr/view?usp=drivesdk" TargetMode="External"/><Relationship Id="rId697" Type="http://schemas.openxmlformats.org/officeDocument/2006/relationships/hyperlink" Target="https://drive.google.com/file/d/1AhNUYBICzZsd_HQTMPGOBn82Fmjs3ru5/view?usp=drivesdk" TargetMode="External"/><Relationship Id="rId1044" Type="http://schemas.openxmlformats.org/officeDocument/2006/relationships/hyperlink" Target="https://drive.google.com/file/d/13Xwa9mcga9ZW0fnutuXj28qJYp3bLg4W/view?usp=drivesdk" TargetMode="External"/><Relationship Id="rId1286" Type="http://schemas.openxmlformats.org/officeDocument/2006/relationships/hyperlink" Target="https://drive.google.com/file/d/1EpmGQYCQGjq9eZhEC_kCHN17pCeKyKav/view?usp=drivesdk" TargetMode="External"/><Relationship Id="rId212" Type="http://schemas.openxmlformats.org/officeDocument/2006/relationships/hyperlink" Target="https://drive.google.com/file/d/1RqFDK0pd9FzT0v4DYmRrCCvr-c2dev86/view?usp=drivesdk" TargetMode="External"/><Relationship Id="rId454" Type="http://schemas.openxmlformats.org/officeDocument/2006/relationships/hyperlink" Target="https://drive.google.com/file/d/1GRlw9uJN_DpanyvcNB8mYx8QbtV4OujK/view?usp=drivesdk" TargetMode="External"/><Relationship Id="rId696" Type="http://schemas.openxmlformats.org/officeDocument/2006/relationships/hyperlink" Target="https://drive.google.com/file/d/1y_gFTGsCh5Rku7BRoesUkHjr6pRSzFBw/view?usp=drivesdk" TargetMode="External"/><Relationship Id="rId1045" Type="http://schemas.openxmlformats.org/officeDocument/2006/relationships/hyperlink" Target="https://drive.google.com/file/d/1-BWae57eKn40HbHn16gC6rgPv8oO7uXk/view?usp=drivesdk" TargetMode="External"/><Relationship Id="rId1287" Type="http://schemas.openxmlformats.org/officeDocument/2006/relationships/hyperlink" Target="https://drive.google.com/file/d/1A-rMKLNNa2ly19_BBPyV0FS2I2UirLip/view?usp=drivesdk" TargetMode="External"/><Relationship Id="rId211" Type="http://schemas.openxmlformats.org/officeDocument/2006/relationships/hyperlink" Target="https://drive.google.com/file/d/1BbewgHxaTP8SOv2vJ_dws6dQjlUwFN4L/view?usp=drivesdk" TargetMode="External"/><Relationship Id="rId453" Type="http://schemas.openxmlformats.org/officeDocument/2006/relationships/hyperlink" Target="https://drive.google.com/file/d/1AfifteHgDaHt4JzWzqb_GfkMojBqP1Ic/view?usp=drivesdk" TargetMode="External"/><Relationship Id="rId695" Type="http://schemas.openxmlformats.org/officeDocument/2006/relationships/hyperlink" Target="https://drive.google.com/file/d/19K2pE6DzMO1g-gJKs8H7SV6KhfbSFdpZ/view?usp=drivesdk" TargetMode="External"/><Relationship Id="rId1046" Type="http://schemas.openxmlformats.org/officeDocument/2006/relationships/hyperlink" Target="https://drive.google.com/file/d/1ffYRot5Y_8na7PU-8lZ5AWkDgngbOKlu/view?usp=drivesdk" TargetMode="External"/><Relationship Id="rId1288" Type="http://schemas.openxmlformats.org/officeDocument/2006/relationships/hyperlink" Target="https://drive.google.com/file/d/1s7f8iHYdIwDOUl_Fvzies_5sOZk666yz/view?usp=drivesdk" TargetMode="External"/><Relationship Id="rId210" Type="http://schemas.openxmlformats.org/officeDocument/2006/relationships/hyperlink" Target="https://drive.google.com/file/d/1cI18wVY9owMGU7Ej3hgTFwkKzGGkgDtM/view?usp=drivesdk" TargetMode="External"/><Relationship Id="rId452" Type="http://schemas.openxmlformats.org/officeDocument/2006/relationships/hyperlink" Target="https://drive.google.com/file/d/11b65UNIvexgf2TUl-13Syqk7UyjVgMRP/view?usp=drivesdk" TargetMode="External"/><Relationship Id="rId694" Type="http://schemas.openxmlformats.org/officeDocument/2006/relationships/hyperlink" Target="https://drive.google.com/file/d/1_0t0AorubOI-QjYT6JbhMUjFyrgbfWyO/view?usp=drivesdk" TargetMode="External"/><Relationship Id="rId1047" Type="http://schemas.openxmlformats.org/officeDocument/2006/relationships/hyperlink" Target="https://drive.google.com/file/d/1ncwbiVIbEPFk5YoMIKN5sRdQls9-RUXk/view?usp=drivesdk" TargetMode="External"/><Relationship Id="rId1289" Type="http://schemas.openxmlformats.org/officeDocument/2006/relationships/hyperlink" Target="https://drive.google.com/file/d/1KUncDcng9CCS7FozPVuk0Y-nTB6cQrH7/view?usp=drivesdk" TargetMode="External"/><Relationship Id="rId491" Type="http://schemas.openxmlformats.org/officeDocument/2006/relationships/hyperlink" Target="https://drive.google.com/file/d/1OgnNqcwdfxcizc1GRxgAs3cKGmFTkrwa/view?usp=drivesdk" TargetMode="External"/><Relationship Id="rId490" Type="http://schemas.openxmlformats.org/officeDocument/2006/relationships/hyperlink" Target="https://drive.google.com/file/d/1SSi9dOp6SWoIVJjkNwq_HiF0cd1T7tK6/view?usp=drivesdk" TargetMode="External"/><Relationship Id="rId249" Type="http://schemas.openxmlformats.org/officeDocument/2006/relationships/hyperlink" Target="https://drive.google.com/file/d/1lyXJ_k7nEwF63tw4cD8wmNKaiWkpdu2m/view?usp=drivesdk" TargetMode="External"/><Relationship Id="rId248" Type="http://schemas.openxmlformats.org/officeDocument/2006/relationships/hyperlink" Target="https://drive.google.com/file/d/1oNWvzMwVeG3O155Hrb6ykGf5thkZtIRk/view?usp=drivesdk" TargetMode="External"/><Relationship Id="rId247" Type="http://schemas.openxmlformats.org/officeDocument/2006/relationships/hyperlink" Target="https://drive.google.com/file/d/1w9UYrWbGm5eGvSyxvLpd1pS2h8n75IQv/view?usp=drivesdk" TargetMode="External"/><Relationship Id="rId489" Type="http://schemas.openxmlformats.org/officeDocument/2006/relationships/hyperlink" Target="https://drive.google.com/file/d/11jETUwIslEs-shrE6JBCCYKEnNfT4lIy/view?usp=drivesdk" TargetMode="External"/><Relationship Id="rId1070" Type="http://schemas.openxmlformats.org/officeDocument/2006/relationships/hyperlink" Target="https://drive.google.com/file/d/1Ee5t9AU5atAymE3UxtRM4TxNd7K9CpbV/view?usp=drivesdk" TargetMode="External"/><Relationship Id="rId1071" Type="http://schemas.openxmlformats.org/officeDocument/2006/relationships/hyperlink" Target="https://drive.google.com/file/d/1ocVhlQkqCCWcat8eKNy7ZiIxZ4GVSoUA/view?usp=drivesdk" TargetMode="External"/><Relationship Id="rId1072" Type="http://schemas.openxmlformats.org/officeDocument/2006/relationships/hyperlink" Target="https://drive.google.com/file/d/1PC4Le-dZn4tn510RYj4mtqlV-iNhMdxN/view?usp=drivesdk" TargetMode="External"/><Relationship Id="rId242" Type="http://schemas.openxmlformats.org/officeDocument/2006/relationships/hyperlink" Target="https://drive.google.com/file/d/1PIqnH9aQUfynUY2IqIsgSTr9O_aaku79/view?usp=drivesdk" TargetMode="External"/><Relationship Id="rId484" Type="http://schemas.openxmlformats.org/officeDocument/2006/relationships/hyperlink" Target="https://drive.google.com/file/d/1gazejt4reID2nW9hEZDWgGg2g22SqeFX/view?usp=drivesdk" TargetMode="External"/><Relationship Id="rId1073" Type="http://schemas.openxmlformats.org/officeDocument/2006/relationships/hyperlink" Target="https://drive.google.com/file/d/15bdvXCo_drO5-OlV0RW_qdzPtzidYx0x/view?usp=drivesdk" TargetMode="External"/><Relationship Id="rId241" Type="http://schemas.openxmlformats.org/officeDocument/2006/relationships/hyperlink" Target="https://drive.google.com/file/d/19ih4Xh5dhv5veq_MbUlmaL1B-lLzvXjY/view?usp=drivesdk" TargetMode="External"/><Relationship Id="rId483" Type="http://schemas.openxmlformats.org/officeDocument/2006/relationships/hyperlink" Target="https://drive.google.com/file/d/16Pdslxe7dJGBRFnO0XFi08azSVOmCk0H/view?usp=drivesdk" TargetMode="External"/><Relationship Id="rId1074" Type="http://schemas.openxmlformats.org/officeDocument/2006/relationships/hyperlink" Target="https://drive.google.com/file/d/1MV32HwQCxZyhBfO1jw7tWNgTZ50WnnWi/view?usp=drivesdk" TargetMode="External"/><Relationship Id="rId240" Type="http://schemas.openxmlformats.org/officeDocument/2006/relationships/hyperlink" Target="https://drive.google.com/file/d/17BePlK-V8l67Z5ZzoyAZpt4BqRh9uzHu/view?usp=drivesdk" TargetMode="External"/><Relationship Id="rId482" Type="http://schemas.openxmlformats.org/officeDocument/2006/relationships/hyperlink" Target="https://drive.google.com/file/d/1UjjEPuanCQLxmNR7FrSyp6HAMvYoMcvT/view?usp=drivesdk" TargetMode="External"/><Relationship Id="rId1075" Type="http://schemas.openxmlformats.org/officeDocument/2006/relationships/hyperlink" Target="https://drive.google.com/file/d/1TU_VFnfOXGr-nkzO3xix_n1laqr97Y7P/view?usp=drivesdk" TargetMode="External"/><Relationship Id="rId481" Type="http://schemas.openxmlformats.org/officeDocument/2006/relationships/hyperlink" Target="https://drive.google.com/file/d/1jf-tQDHTvyPbTKJprThStmdIISJkIvOs/view?usp=drivesdk" TargetMode="External"/><Relationship Id="rId1076" Type="http://schemas.openxmlformats.org/officeDocument/2006/relationships/hyperlink" Target="https://drive.google.com/file/d/1vtoxYVqPLf1DHDqhC1uAXMfw6DXFAPVh/view?usp=drivesdk" TargetMode="External"/><Relationship Id="rId246" Type="http://schemas.openxmlformats.org/officeDocument/2006/relationships/hyperlink" Target="https://drive.google.com/file/d/1oOMys4DVIrPIFunfiCGhJNcKuSQrWGIY/view?usp=drivesdk" TargetMode="External"/><Relationship Id="rId488" Type="http://schemas.openxmlformats.org/officeDocument/2006/relationships/hyperlink" Target="https://drive.google.com/file/d/1l39D6hWcUaP5MtN9wmfXezs6i0rHLErz/view?usp=drivesdk" TargetMode="External"/><Relationship Id="rId1077" Type="http://schemas.openxmlformats.org/officeDocument/2006/relationships/hyperlink" Target="https://drive.google.com/file/d/1bq62HxBe5_dSixW899_LtffPXQkxo_Sr/view?usp=drivesdk" TargetMode="External"/><Relationship Id="rId245" Type="http://schemas.openxmlformats.org/officeDocument/2006/relationships/hyperlink" Target="https://drive.google.com/file/d/1HNWRD2MUYO6wL3ppWBqiagd_8jii-BAJ/view?usp=drivesdk" TargetMode="External"/><Relationship Id="rId487" Type="http://schemas.openxmlformats.org/officeDocument/2006/relationships/hyperlink" Target="https://drive.google.com/file/d/1bMBogpPHu-w6_PkW_w2tdBep6xrLDz9S/view?usp=drivesdk" TargetMode="External"/><Relationship Id="rId1078" Type="http://schemas.openxmlformats.org/officeDocument/2006/relationships/hyperlink" Target="https://drive.google.com/file/d/1Y0i3DBvQbyGZ-pzx29N-CvSTJU3229Nb/view?usp=drivesdk" TargetMode="External"/><Relationship Id="rId244" Type="http://schemas.openxmlformats.org/officeDocument/2006/relationships/hyperlink" Target="https://drive.google.com/file/d/1Xo22GRw--eEityhuPRNtux-KzxBB_jz0/view?usp=drivesdk" TargetMode="External"/><Relationship Id="rId486" Type="http://schemas.openxmlformats.org/officeDocument/2006/relationships/hyperlink" Target="https://drive.google.com/file/d/1sVn5nfknJs3SVlK20hH9CP9MzZMO41A-/view?usp=drivesdk" TargetMode="External"/><Relationship Id="rId1079" Type="http://schemas.openxmlformats.org/officeDocument/2006/relationships/hyperlink" Target="https://drive.google.com/file/d/1mlVae5g6Dp-LDDuwH7PTDsS_5MM34hyu/view?usp=drivesdk" TargetMode="External"/><Relationship Id="rId243" Type="http://schemas.openxmlformats.org/officeDocument/2006/relationships/hyperlink" Target="https://drive.google.com/file/d/1PPRwGsrAi0h6CHafMD3zbTXh-fYBhydJ/view?usp=drivesdk" TargetMode="External"/><Relationship Id="rId485" Type="http://schemas.openxmlformats.org/officeDocument/2006/relationships/hyperlink" Target="https://drive.google.com/file/d/1uEWDpez-NpqtgWYWR0DNEyyLg72glI8y/view?usp=drivesdk" TargetMode="External"/><Relationship Id="rId480" Type="http://schemas.openxmlformats.org/officeDocument/2006/relationships/hyperlink" Target="https://drive.google.com/file/d/1JHYgoZPok_JhPeGqMK26rBv7ZkMKrDB7/view?usp=drivesdk" TargetMode="External"/><Relationship Id="rId239" Type="http://schemas.openxmlformats.org/officeDocument/2006/relationships/hyperlink" Target="https://drive.google.com/file/d/14sJhyasUmJ1cgHJKD2RM_b98LRX092vJ/view?usp=drivesdk" TargetMode="External"/><Relationship Id="rId238" Type="http://schemas.openxmlformats.org/officeDocument/2006/relationships/hyperlink" Target="https://drive.google.com/file/d/1e05HCstTN68SY_q_CKyFR1lJRIIg-Ndu/view?usp=drivesdk" TargetMode="External"/><Relationship Id="rId237" Type="http://schemas.openxmlformats.org/officeDocument/2006/relationships/hyperlink" Target="https://drive.google.com/file/d/1dZyXpzTwqF3loj51E-l2kFcVcSAXpEya/view?usp=drivesdk" TargetMode="External"/><Relationship Id="rId479" Type="http://schemas.openxmlformats.org/officeDocument/2006/relationships/hyperlink" Target="https://drive.google.com/file/d/1LzDdu1b-YSopP2ELdwOj8JZwxvDGd9WA/view?usp=drivesdk" TargetMode="External"/><Relationship Id="rId236" Type="http://schemas.openxmlformats.org/officeDocument/2006/relationships/hyperlink" Target="https://drive.google.com/file/d/1vW-hg0RrA4FefgjadwUVixKiSquyFDUd/view?usp=drivesdk" TargetMode="External"/><Relationship Id="rId478" Type="http://schemas.openxmlformats.org/officeDocument/2006/relationships/hyperlink" Target="https://drive.google.com/file/d/11I7Tc2Lb8plvATBG2Pm3nRRllcfh-MnG/view?usp=drivesdk" TargetMode="External"/><Relationship Id="rId1060" Type="http://schemas.openxmlformats.org/officeDocument/2006/relationships/hyperlink" Target="https://drive.google.com/file/d/1gcb5FLx7VyAjD22zmUoBNYkoCh2HMCmJ/view?usp=drivesdk" TargetMode="External"/><Relationship Id="rId1061" Type="http://schemas.openxmlformats.org/officeDocument/2006/relationships/hyperlink" Target="https://drive.google.com/file/d/1SCyyD_WspP4H8TMLDPqEYhWWgBiqrXmd/view?usp=drivesdk" TargetMode="External"/><Relationship Id="rId231" Type="http://schemas.openxmlformats.org/officeDocument/2006/relationships/hyperlink" Target="https://drive.google.com/file/d/1uIwwoVoYVtpB1yU72kAxmNPgDMwjaPAp/view?usp=drivesdk" TargetMode="External"/><Relationship Id="rId473" Type="http://schemas.openxmlformats.org/officeDocument/2006/relationships/hyperlink" Target="https://drive.google.com/file/d/1vrsFM4iCSCiqgR_QyFjUx0Xn26f9-YTD/view?usp=drivesdk" TargetMode="External"/><Relationship Id="rId1062" Type="http://schemas.openxmlformats.org/officeDocument/2006/relationships/hyperlink" Target="https://drive.google.com/file/d/1C-ZIygFCyhHHl6OH9hELza-qIJqn9oFb/view?usp=drivesdk" TargetMode="External"/><Relationship Id="rId230" Type="http://schemas.openxmlformats.org/officeDocument/2006/relationships/hyperlink" Target="https://drive.google.com/file/d/1LNzn1gj9EhXFiGGtw3hrR_K1_-M1QGdl/view?usp=drivesdk" TargetMode="External"/><Relationship Id="rId472" Type="http://schemas.openxmlformats.org/officeDocument/2006/relationships/hyperlink" Target="https://drive.google.com/file/d/124OkD4Wxyd2zgWja2h-Zzo61nem-5s-J/view?usp=drivesdk" TargetMode="External"/><Relationship Id="rId1063" Type="http://schemas.openxmlformats.org/officeDocument/2006/relationships/hyperlink" Target="https://drive.google.com/file/d/1VLCp-Zge5BDkwyRzYWEMBYhQtXV1qgcJ/view?usp=drivesdk" TargetMode="External"/><Relationship Id="rId471" Type="http://schemas.openxmlformats.org/officeDocument/2006/relationships/hyperlink" Target="https://drive.google.com/file/d/1JyNC9MsslXrU5JrQvsDNOcRCyvj2SFTn/view?usp=drivesdk" TargetMode="External"/><Relationship Id="rId1064" Type="http://schemas.openxmlformats.org/officeDocument/2006/relationships/hyperlink" Target="https://drive.google.com/file/d/1QTUtD_qk4rNdoWQaD1muPhaZehVGEzn3/view?usp=drivesdk" TargetMode="External"/><Relationship Id="rId470" Type="http://schemas.openxmlformats.org/officeDocument/2006/relationships/hyperlink" Target="https://drive.google.com/file/d/1GQN-0nQnvlqhits57_2cdJkVmbr_vAF1/view?usp=drivesdk" TargetMode="External"/><Relationship Id="rId1065" Type="http://schemas.openxmlformats.org/officeDocument/2006/relationships/hyperlink" Target="https://drive.google.com/file/d/1uYhsNZHWqVOYmWL0_VDesxsOJR7xBcEs/view?usp=drivesdk" TargetMode="External"/><Relationship Id="rId235" Type="http://schemas.openxmlformats.org/officeDocument/2006/relationships/hyperlink" Target="https://drive.google.com/file/d/166Xse8oZdjIx9uYa7X65iWMXkJJVx5xr/view?usp=drivesdk" TargetMode="External"/><Relationship Id="rId477" Type="http://schemas.openxmlformats.org/officeDocument/2006/relationships/hyperlink" Target="https://drive.google.com/file/d/1wji3aQXRlkdNPszoJg0_FF6BA6UEseB6/view?usp=drivesdk" TargetMode="External"/><Relationship Id="rId1066" Type="http://schemas.openxmlformats.org/officeDocument/2006/relationships/hyperlink" Target="https://drive.google.com/file/d/1pAD_gWC4BBp2UmyHOiUmRwkH9Kyem8ic/view?usp=drivesdk" TargetMode="External"/><Relationship Id="rId234" Type="http://schemas.openxmlformats.org/officeDocument/2006/relationships/hyperlink" Target="https://drive.google.com/file/d/1zHz7fnQiowBhUmq5mxBbGO17Veo4sZG7/view?usp=drivesdk" TargetMode="External"/><Relationship Id="rId476" Type="http://schemas.openxmlformats.org/officeDocument/2006/relationships/hyperlink" Target="https://drive.google.com/file/d/1DWJ1iZDUCj3HCxQqWYYFVig27sliLX5H/view?usp=drivesdk" TargetMode="External"/><Relationship Id="rId1067" Type="http://schemas.openxmlformats.org/officeDocument/2006/relationships/hyperlink" Target="https://drive.google.com/file/d/1Z-5F5RsEDVDtz1Gr_WssNuVIsQCWY8qF/view?usp=drivesdk" TargetMode="External"/><Relationship Id="rId233" Type="http://schemas.openxmlformats.org/officeDocument/2006/relationships/hyperlink" Target="https://drive.google.com/file/d/1TXLfMCKwd_G_eJvm4pTP0gQiMVQFy72a/view?usp=drivesdk" TargetMode="External"/><Relationship Id="rId475" Type="http://schemas.openxmlformats.org/officeDocument/2006/relationships/hyperlink" Target="https://drive.google.com/file/d/1KNWpzXg8QmDdwOBKPKcPdRu-eqEiDNBT/view?usp=drivesdk" TargetMode="External"/><Relationship Id="rId1068" Type="http://schemas.openxmlformats.org/officeDocument/2006/relationships/hyperlink" Target="https://drive.google.com/file/d/1EyJWeaaKZFOHhFf3leoVV0rVwUuiHjfJ/view?usp=drivesdk" TargetMode="External"/><Relationship Id="rId232" Type="http://schemas.openxmlformats.org/officeDocument/2006/relationships/hyperlink" Target="https://drive.google.com/file/d/1O6rakdBQ4yOaQQVEd4Cgct01ps-81CoT/view?usp=drivesdk" TargetMode="External"/><Relationship Id="rId474" Type="http://schemas.openxmlformats.org/officeDocument/2006/relationships/hyperlink" Target="https://drive.google.com/file/d/1nu4XR_ibcrT-H8_CGRt5y44LksLSvu-T/view?usp=drivesdk" TargetMode="External"/><Relationship Id="rId1069" Type="http://schemas.openxmlformats.org/officeDocument/2006/relationships/hyperlink" Target="https://drive.google.com/file/d/1jytBYglOnDxeBj5T3kYx1o1aCWoe-X1u/view?usp=drivesdk" TargetMode="External"/><Relationship Id="rId1015" Type="http://schemas.openxmlformats.org/officeDocument/2006/relationships/hyperlink" Target="https://drive.google.com/file/d/137chNIXTgJCcgO9cUdxo3H6ON9gv-wla/view?usp=drivesdk" TargetMode="External"/><Relationship Id="rId1257" Type="http://schemas.openxmlformats.org/officeDocument/2006/relationships/hyperlink" Target="https://drive.google.com/file/d/1hR76Bhe1Q6NOvra3BZONyldic2ibrhJh/view?usp=drivesdk" TargetMode="External"/><Relationship Id="rId1016" Type="http://schemas.openxmlformats.org/officeDocument/2006/relationships/hyperlink" Target="https://drive.google.com/file/d/1JWNhqfm49RzpuoUIlXDiMqBPZrm8dza2/view?usp=drivesdk" TargetMode="External"/><Relationship Id="rId1258" Type="http://schemas.openxmlformats.org/officeDocument/2006/relationships/hyperlink" Target="https://drive.google.com/file/d/1wck3JmkGKcMlYBmOyrWVT5M5D7femgaB/view?usp=drivesdk" TargetMode="External"/><Relationship Id="rId1017" Type="http://schemas.openxmlformats.org/officeDocument/2006/relationships/hyperlink" Target="https://drive.google.com/file/d/1t99oNfYgMj18uM8EIMObYpVLOaPj-jt9/view?usp=drivesdk" TargetMode="External"/><Relationship Id="rId1259" Type="http://schemas.openxmlformats.org/officeDocument/2006/relationships/hyperlink" Target="https://drive.google.com/file/d/1EpfCnqrLhTsnzRwjVP8LzF_BUCam3vAN/view?usp=drivesdk" TargetMode="External"/><Relationship Id="rId1018" Type="http://schemas.openxmlformats.org/officeDocument/2006/relationships/hyperlink" Target="https://drive.google.com/file/d/1fEB4k6eVka38Se_9_LtkfYxEtGTS_ry0/view?usp=drivesdk" TargetMode="External"/><Relationship Id="rId1019" Type="http://schemas.openxmlformats.org/officeDocument/2006/relationships/hyperlink" Target="https://drive.google.com/file/d/1LT6dEFHWqnr7I4ezyVTusAheXfj_bTRU/view?usp=drivesdk" TargetMode="External"/><Relationship Id="rId426" Type="http://schemas.openxmlformats.org/officeDocument/2006/relationships/hyperlink" Target="https://drive.google.com/file/d/1KeBZfEYOiEfkpfczcp-Qbl-qxMIy7aWq/view?usp=drivesdk" TargetMode="External"/><Relationship Id="rId668" Type="http://schemas.openxmlformats.org/officeDocument/2006/relationships/hyperlink" Target="https://drive.google.com/file/d/1Rx2LTM428-3-bxC5iRmIoC-7xqzk9SdG/view?usp=drivesdk" TargetMode="External"/><Relationship Id="rId425" Type="http://schemas.openxmlformats.org/officeDocument/2006/relationships/hyperlink" Target="https://drive.google.com/file/d/1saauvIdy7dtaHC4gLAvRpCQWGUUX-t-p/view?usp=drivesdk" TargetMode="External"/><Relationship Id="rId667" Type="http://schemas.openxmlformats.org/officeDocument/2006/relationships/hyperlink" Target="https://drive.google.com/file/d/1LC-S9xI3zKimJuy50njaRkqeoHWed6W5/view?usp=drivesdk" TargetMode="External"/><Relationship Id="rId424" Type="http://schemas.openxmlformats.org/officeDocument/2006/relationships/hyperlink" Target="https://drive.google.com/file/d/15yrbaHTj7Am9-YBQQA1RxVwKkh-zWg_i/view?usp=drivesdk" TargetMode="External"/><Relationship Id="rId666" Type="http://schemas.openxmlformats.org/officeDocument/2006/relationships/hyperlink" Target="https://drive.google.com/file/d/1y7w0xqbmD3iksLa32z_9U7PlarhAtkuY/view?usp=drivesdk" TargetMode="External"/><Relationship Id="rId423" Type="http://schemas.openxmlformats.org/officeDocument/2006/relationships/hyperlink" Target="https://drive.google.com/file/d/1fNm8iIthF0LsV91ycDE57MxsgIeYwA9O/view?usp=drivesdk" TargetMode="External"/><Relationship Id="rId665" Type="http://schemas.openxmlformats.org/officeDocument/2006/relationships/hyperlink" Target="https://drive.google.com/file/d/1-KS2mgkQZVku7mKSe3RB9qj4K6H_0LNs/view?usp=drivesdk" TargetMode="External"/><Relationship Id="rId429" Type="http://schemas.openxmlformats.org/officeDocument/2006/relationships/hyperlink" Target="https://drive.google.com/file/d/1n_QHiMCFpsWJUsxLBVCluZWIlDcjvEk-/view?usp=drivesdk" TargetMode="External"/><Relationship Id="rId428" Type="http://schemas.openxmlformats.org/officeDocument/2006/relationships/hyperlink" Target="https://drive.google.com/file/d/1XpSmdHiwOeMKgOuQrJLHct6LMhRRA2kc/view?usp=drivesdk" TargetMode="External"/><Relationship Id="rId427" Type="http://schemas.openxmlformats.org/officeDocument/2006/relationships/hyperlink" Target="https://drive.google.com/file/d/1r8lRWCGx-SZhCla5Gsbgq_SPfLo-zXYW/view?usp=drivesdk" TargetMode="External"/><Relationship Id="rId669" Type="http://schemas.openxmlformats.org/officeDocument/2006/relationships/hyperlink" Target="https://drive.google.com/file/d/1tJGICOCTa88uADPUNISs6cnttOD79CHi/view?usp=drivesdk" TargetMode="External"/><Relationship Id="rId660" Type="http://schemas.openxmlformats.org/officeDocument/2006/relationships/hyperlink" Target="https://drive.google.com/file/d/1Al3lOUHGFRzwm9Ai37mwEVXvgLc5R8An/view?usp=drivesdk" TargetMode="External"/><Relationship Id="rId1250" Type="http://schemas.openxmlformats.org/officeDocument/2006/relationships/hyperlink" Target="https://drive.google.com/file/d/1MLmwLSFpTn8UINmJijV7JgOKiJk8rDAO/view?usp=drivesdk" TargetMode="External"/><Relationship Id="rId1251" Type="http://schemas.openxmlformats.org/officeDocument/2006/relationships/hyperlink" Target="https://drive.google.com/file/d/1xzTCneMl8_e4j-AhpjFi_e3tDFpMTMhn/view?usp=drivesdk" TargetMode="External"/><Relationship Id="rId1010" Type="http://schemas.openxmlformats.org/officeDocument/2006/relationships/hyperlink" Target="https://drive.google.com/file/d/1oVaWBCtgpaqezY7ypVD5XXeQ9kz3gzAr/view?usp=drivesdk" TargetMode="External"/><Relationship Id="rId1252" Type="http://schemas.openxmlformats.org/officeDocument/2006/relationships/hyperlink" Target="https://drive.google.com/file/d/1V9wQS5MAdhk7tr5JXD8_vQfQ3XIcI6C9/view?usp=drivesdk" TargetMode="External"/><Relationship Id="rId422" Type="http://schemas.openxmlformats.org/officeDocument/2006/relationships/hyperlink" Target="https://drive.google.com/file/d/15Le6LZCRmYhzKvRPP7htOAfvZTeY-Dyx/view?usp=drivesdk" TargetMode="External"/><Relationship Id="rId664" Type="http://schemas.openxmlformats.org/officeDocument/2006/relationships/hyperlink" Target="https://drive.google.com/file/d/1RJgjTY1nkHjhjMF4oKddLdm8x27jrQ4z/view?usp=drivesdk" TargetMode="External"/><Relationship Id="rId1011" Type="http://schemas.openxmlformats.org/officeDocument/2006/relationships/hyperlink" Target="https://drive.google.com/file/d/1fkMpBK0BLmh3_YDstP4BE-PRne9T0AW2/view?usp=drivesdk" TargetMode="External"/><Relationship Id="rId1253" Type="http://schemas.openxmlformats.org/officeDocument/2006/relationships/hyperlink" Target="https://drive.google.com/file/d/1tDbbOiTJ5_-kTXB3n6O_I4xaHeGx2Fsc/view?usp=drivesdk" TargetMode="External"/><Relationship Id="rId421" Type="http://schemas.openxmlformats.org/officeDocument/2006/relationships/hyperlink" Target="https://drive.google.com/file/d/18_61c2sEq-B2UJxZO0VkexCDSPnz3uxM/view?usp=drivesdk" TargetMode="External"/><Relationship Id="rId663" Type="http://schemas.openxmlformats.org/officeDocument/2006/relationships/hyperlink" Target="https://drive.google.com/file/d/1RzqNcWzQJd4ulsGpdYlT0HGju8HCgYQf/view?usp=drivesdk" TargetMode="External"/><Relationship Id="rId1012" Type="http://schemas.openxmlformats.org/officeDocument/2006/relationships/hyperlink" Target="https://drive.google.com/file/d/16Cyk-q6B0kCCsaS34rZfXOIE3LZ4hL5E/view?usp=drivesdk" TargetMode="External"/><Relationship Id="rId1254" Type="http://schemas.openxmlformats.org/officeDocument/2006/relationships/hyperlink" Target="https://drive.google.com/file/d/12cVHVbGsR0KEPTsUcArt9eu8PPJgfWWo/view?usp=drivesdk" TargetMode="External"/><Relationship Id="rId420" Type="http://schemas.openxmlformats.org/officeDocument/2006/relationships/hyperlink" Target="https://drive.google.com/file/d/1didkJC_0EGoWSwi_BrNaIcXwb0wNvu8N/view?usp=drivesdk" TargetMode="External"/><Relationship Id="rId662" Type="http://schemas.openxmlformats.org/officeDocument/2006/relationships/hyperlink" Target="https://drive.google.com/file/d/1-N_4khuk9yONdmdRcO93exJaswC70ZzB/view?usp=drivesdk" TargetMode="External"/><Relationship Id="rId1013" Type="http://schemas.openxmlformats.org/officeDocument/2006/relationships/hyperlink" Target="https://drive.google.com/file/d/1UiXACf9v3xbD0kGtnAuJZQL0_z7Eug-6/view?usp=drivesdk" TargetMode="External"/><Relationship Id="rId1255" Type="http://schemas.openxmlformats.org/officeDocument/2006/relationships/hyperlink" Target="https://drive.google.com/file/d/1dVxGobnf7EaD7Cd70xKOy0jiM6WOG5_b/view?usp=drivesdk" TargetMode="External"/><Relationship Id="rId661" Type="http://schemas.openxmlformats.org/officeDocument/2006/relationships/hyperlink" Target="https://drive.google.com/file/d/129ztC3Rx9Cj_pnwes0uz4ucA-9f0EBYk/view?usp=drivesdk" TargetMode="External"/><Relationship Id="rId1014" Type="http://schemas.openxmlformats.org/officeDocument/2006/relationships/hyperlink" Target="https://drive.google.com/file/d/1ZKwV5SQaVyC6kVXtVpWehfczkX8d0DoK/view?usp=drivesdk" TargetMode="External"/><Relationship Id="rId1256" Type="http://schemas.openxmlformats.org/officeDocument/2006/relationships/hyperlink" Target="https://drive.google.com/file/d/1DYszIHCZtaG16mJfvYtl-81m06G6w5Th/view?usp=drivesdk" TargetMode="External"/><Relationship Id="rId1004" Type="http://schemas.openxmlformats.org/officeDocument/2006/relationships/hyperlink" Target="https://drive.google.com/file/d/1GiLrJ4FOa2flg7qZh7BPk1knMvmZRK5Q/view?usp=drivesdk" TargetMode="External"/><Relationship Id="rId1246" Type="http://schemas.openxmlformats.org/officeDocument/2006/relationships/hyperlink" Target="https://drive.google.com/file/d/15qI3aTE3VmRU_cRFWUNyUSr_LfK04O-X/view?usp=drivesdk" TargetMode="External"/><Relationship Id="rId1005" Type="http://schemas.openxmlformats.org/officeDocument/2006/relationships/hyperlink" Target="https://drive.google.com/file/d/1QbrWnnc2UFibp9fjRFzOzBHFWNkp3ooF/view?usp=drivesdk" TargetMode="External"/><Relationship Id="rId1247" Type="http://schemas.openxmlformats.org/officeDocument/2006/relationships/hyperlink" Target="https://drive.google.com/file/d/1lu3g-YMK7-WxLuP2xKZEl50yCe8wg-AU/view?usp=drivesdk" TargetMode="External"/><Relationship Id="rId1006" Type="http://schemas.openxmlformats.org/officeDocument/2006/relationships/hyperlink" Target="https://drive.google.com/file/d/15vzd-KaksDGWQovYoZU2koaEpjnB1X76/view?usp=drivesdk" TargetMode="External"/><Relationship Id="rId1248" Type="http://schemas.openxmlformats.org/officeDocument/2006/relationships/hyperlink" Target="https://drive.google.com/file/d/1fAZacasNtWJYQqfkPKGpP4XNrGa_qrkq/view?usp=drivesdk" TargetMode="External"/><Relationship Id="rId1007" Type="http://schemas.openxmlformats.org/officeDocument/2006/relationships/hyperlink" Target="https://drive.google.com/file/d/1x1qz1awvX6fjVUB-9odgvPiqcIflZe7U/view?usp=drivesdk" TargetMode="External"/><Relationship Id="rId1249" Type="http://schemas.openxmlformats.org/officeDocument/2006/relationships/hyperlink" Target="https://drive.google.com/file/d/134tzKd_zmSXq88vld9O_49joDFEuiMi4/view?usp=drivesdk" TargetMode="External"/><Relationship Id="rId1008" Type="http://schemas.openxmlformats.org/officeDocument/2006/relationships/hyperlink" Target="https://drive.google.com/file/d/1oDHEBnATUQ4wNVnNggyt3rciiFBBiXNK/view?usp=drivesdk" TargetMode="External"/><Relationship Id="rId1009" Type="http://schemas.openxmlformats.org/officeDocument/2006/relationships/hyperlink" Target="https://drive.google.com/file/d/1ZA8i4Wdf8kI4PJJ1--Z_yBh3jimHUBym/view?usp=drivesdk" TargetMode="External"/><Relationship Id="rId415" Type="http://schemas.openxmlformats.org/officeDocument/2006/relationships/hyperlink" Target="https://drive.google.com/file/d/1iMWNd8aTrnO-JzW3SeF54rqoB5ddaBGP/view?usp=drivesdk" TargetMode="External"/><Relationship Id="rId657" Type="http://schemas.openxmlformats.org/officeDocument/2006/relationships/hyperlink" Target="https://drive.google.com/file/d/1Lb_4VWiEwrTlEF5FxbjCijkISTS_qhnW/view?usp=drivesdk" TargetMode="External"/><Relationship Id="rId899" Type="http://schemas.openxmlformats.org/officeDocument/2006/relationships/hyperlink" Target="https://drive.google.com/file/d/1yB_Yb7YuJgV0hXgI80nebdCiB44Z373A/view?usp=drivesdk" TargetMode="External"/><Relationship Id="rId414" Type="http://schemas.openxmlformats.org/officeDocument/2006/relationships/hyperlink" Target="https://drive.google.com/file/d/1glowXBag9_jK6AxE3ufPPVbNJzLBX2sl/view?usp=drivesdk" TargetMode="External"/><Relationship Id="rId656" Type="http://schemas.openxmlformats.org/officeDocument/2006/relationships/hyperlink" Target="https://drive.google.com/file/d/1plT7Xip9oL27xr6WS_btKn1E3zOJ7U16/view?usp=drivesdk" TargetMode="External"/><Relationship Id="rId898" Type="http://schemas.openxmlformats.org/officeDocument/2006/relationships/hyperlink" Target="https://drive.google.com/file/d/1GsLff8yaajtfOAMu7siqop7FjZfL9nGj/view?usp=drivesdk" TargetMode="External"/><Relationship Id="rId413" Type="http://schemas.openxmlformats.org/officeDocument/2006/relationships/hyperlink" Target="https://drive.google.com/file/d/1LdMnV-siuRj3mTMuK_Hq1IVpc2iRxwDL/view?usp=drivesdk" TargetMode="External"/><Relationship Id="rId655" Type="http://schemas.openxmlformats.org/officeDocument/2006/relationships/hyperlink" Target="https://drive.google.com/file/d/1ae5f1z9AtHlXy5Njr-abN48HLKEqocza/view?usp=drivesdk" TargetMode="External"/><Relationship Id="rId897" Type="http://schemas.openxmlformats.org/officeDocument/2006/relationships/hyperlink" Target="https://drive.google.com/file/d/1bqxAGkXyInA2nPzfCxbMvLZI0IiJW780/view?usp=drivesdk" TargetMode="External"/><Relationship Id="rId412" Type="http://schemas.openxmlformats.org/officeDocument/2006/relationships/hyperlink" Target="https://drive.google.com/file/d/1F9lFnEXIYdK6cG516RY5F6SrxU8UX3fL/view?usp=drivesdk" TargetMode="External"/><Relationship Id="rId654" Type="http://schemas.openxmlformats.org/officeDocument/2006/relationships/hyperlink" Target="https://drive.google.com/file/d/1CJalXErOdTUHsF6sHgt3gmjHhCiyG8_j/view?usp=drivesdk" TargetMode="External"/><Relationship Id="rId896" Type="http://schemas.openxmlformats.org/officeDocument/2006/relationships/hyperlink" Target="https://drive.google.com/file/d/19i8WQ6zEig3iqQ_j6YHjVf9CmX1wFPzj/view?usp=drivesdk" TargetMode="External"/><Relationship Id="rId419" Type="http://schemas.openxmlformats.org/officeDocument/2006/relationships/hyperlink" Target="https://drive.google.com/file/d/1WrZR13cfeCgBGC6BX-pXssk_XwUzG0Fz/view?usp=drivesdk" TargetMode="External"/><Relationship Id="rId418" Type="http://schemas.openxmlformats.org/officeDocument/2006/relationships/hyperlink" Target="https://drive.google.com/file/d/1VgkOw3C5AKWeiV2Lb6enGwobaaKtsG1p/view?usp=drivesdk" TargetMode="External"/><Relationship Id="rId417" Type="http://schemas.openxmlformats.org/officeDocument/2006/relationships/hyperlink" Target="https://drive.google.com/file/d/1ltJARfn7Z-jyrwEG2NyHL5elj6EkcEIs/view?usp=drivesdk" TargetMode="External"/><Relationship Id="rId659" Type="http://schemas.openxmlformats.org/officeDocument/2006/relationships/hyperlink" Target="https://drive.google.com/file/d/1S-5Zg-ZrHjJCUQMdjooGF0s-SfboVp3R/view?usp=drivesdk" TargetMode="External"/><Relationship Id="rId416" Type="http://schemas.openxmlformats.org/officeDocument/2006/relationships/hyperlink" Target="https://drive.google.com/file/d/1TeT_ds9teVwG807Uj9F12pUo82ZxjRGU/view?usp=drivesdk" TargetMode="External"/><Relationship Id="rId658" Type="http://schemas.openxmlformats.org/officeDocument/2006/relationships/hyperlink" Target="https://drive.google.com/file/d/1rRuNjLjbPjGgPMp0hTjSDrWFp0BIjpJz/view?usp=drivesdk" TargetMode="External"/><Relationship Id="rId891" Type="http://schemas.openxmlformats.org/officeDocument/2006/relationships/hyperlink" Target="https://drive.google.com/file/d/16Amk4Hs3d9KQg0yzIbJf96vwoOYvrwZt/view?usp=drivesdk" TargetMode="External"/><Relationship Id="rId890" Type="http://schemas.openxmlformats.org/officeDocument/2006/relationships/hyperlink" Target="https://drive.google.com/file/d/1zSc2CTkh4VLdMhMe-SIi1efqP-8j0iot/view?usp=drivesdk" TargetMode="External"/><Relationship Id="rId1240" Type="http://schemas.openxmlformats.org/officeDocument/2006/relationships/hyperlink" Target="https://drive.google.com/file/d/1DAQvxERMKRX3UfpVVgshaGYll-syJNJI/view?usp=drivesdk" TargetMode="External"/><Relationship Id="rId1241" Type="http://schemas.openxmlformats.org/officeDocument/2006/relationships/hyperlink" Target="https://drive.google.com/file/d/1okR6RO16Es1Ac76hW1snW6qksTqdIRlB/view?usp=drivesdk" TargetMode="External"/><Relationship Id="rId411" Type="http://schemas.openxmlformats.org/officeDocument/2006/relationships/hyperlink" Target="https://drive.google.com/file/d/1Gi3Y3yjK6xrKk1mfIkoYh8vluLuYcE2E/view?usp=drivesdk" TargetMode="External"/><Relationship Id="rId653" Type="http://schemas.openxmlformats.org/officeDocument/2006/relationships/hyperlink" Target="https://drive.google.com/file/d/1t0ivAuWGhOL-bIdthuZ8hruEpsAu6-ke/view?usp=drivesdk" TargetMode="External"/><Relationship Id="rId895" Type="http://schemas.openxmlformats.org/officeDocument/2006/relationships/hyperlink" Target="https://drive.google.com/file/d/1leQ0v_EAt7R5FuFUAv-h2_HMI96lt58X/view?usp=drivesdk" TargetMode="External"/><Relationship Id="rId1000" Type="http://schemas.openxmlformats.org/officeDocument/2006/relationships/hyperlink" Target="https://drive.google.com/file/d/1fAvXJXvLIL63WbKPIYiBjADYBLzqyvFJ/view?usp=drivesdk" TargetMode="External"/><Relationship Id="rId1242" Type="http://schemas.openxmlformats.org/officeDocument/2006/relationships/hyperlink" Target="https://drive.google.com/file/d/1iIgZW0KzUwhDPWpp0ktINlnprMzHYUc_/view?usp=drivesdk" TargetMode="External"/><Relationship Id="rId410" Type="http://schemas.openxmlformats.org/officeDocument/2006/relationships/hyperlink" Target="https://drive.google.com/file/d/15WpnmJYyN2li6tuP1nWPAP2gCAvXuR6C/view?usp=drivesdk" TargetMode="External"/><Relationship Id="rId652" Type="http://schemas.openxmlformats.org/officeDocument/2006/relationships/hyperlink" Target="https://drive.google.com/file/d/1Nm3F5N0pbq8cs-7PoRdlBNuc727FAJen/view?usp=drivesdk" TargetMode="External"/><Relationship Id="rId894" Type="http://schemas.openxmlformats.org/officeDocument/2006/relationships/hyperlink" Target="https://drive.google.com/file/d/1gMtGuAIyLj-44nMcdrY2oQ0YC4KGVplb/view?usp=drivesdk" TargetMode="External"/><Relationship Id="rId1001" Type="http://schemas.openxmlformats.org/officeDocument/2006/relationships/hyperlink" Target="https://drive.google.com/file/d/1CdPWcwc52YkjESA-DwtyDJkneM4j7Wva/view?usp=drivesdk" TargetMode="External"/><Relationship Id="rId1243" Type="http://schemas.openxmlformats.org/officeDocument/2006/relationships/hyperlink" Target="https://drive.google.com/file/d/111euacnQHeNuzTUQDU9bUDT4X6TnBpFy/view?usp=drivesdk" TargetMode="External"/><Relationship Id="rId651" Type="http://schemas.openxmlformats.org/officeDocument/2006/relationships/hyperlink" Target="https://drive.google.com/file/d/1xIXcrghzKbHJVrhBVYMf-lCIkAIC7qUM/view?usp=drivesdk" TargetMode="External"/><Relationship Id="rId893" Type="http://schemas.openxmlformats.org/officeDocument/2006/relationships/hyperlink" Target="https://drive.google.com/file/d/1xvcKuCfYbDkfEif3bRJBMwveZJFSSxhX/view?usp=drivesdk" TargetMode="External"/><Relationship Id="rId1002" Type="http://schemas.openxmlformats.org/officeDocument/2006/relationships/hyperlink" Target="https://drive.google.com/file/d/1rQ_I187aKLxiZTwUDCOB2isRnCfSTQ34/view?usp=drivesdk" TargetMode="External"/><Relationship Id="rId1244" Type="http://schemas.openxmlformats.org/officeDocument/2006/relationships/hyperlink" Target="https://drive.google.com/file/d/1oqhetvZvtKcMV5E9K_MF_GI2OHbCcfSB/view?usp=drivesdk" TargetMode="External"/><Relationship Id="rId650" Type="http://schemas.openxmlformats.org/officeDocument/2006/relationships/hyperlink" Target="https://drive.google.com/file/d/1bN-bMKiKXitnTPNvKM4ITuDakzbFIJuu/view?usp=drivesdk" TargetMode="External"/><Relationship Id="rId892" Type="http://schemas.openxmlformats.org/officeDocument/2006/relationships/hyperlink" Target="https://drive.google.com/file/d/1r-dq4bJR4i-4LI8Kl3ouNfINjtL2pMIO/view?usp=drivesdk" TargetMode="External"/><Relationship Id="rId1003" Type="http://schemas.openxmlformats.org/officeDocument/2006/relationships/hyperlink" Target="https://drive.google.com/file/d/1nGeSm4hLneb6Fc1e0ez-XWeT5GYn-YOc/view?usp=drivesdk" TargetMode="External"/><Relationship Id="rId1245" Type="http://schemas.openxmlformats.org/officeDocument/2006/relationships/hyperlink" Target="https://drive.google.com/file/d/18BybA_uNNxanK1m7z263JKwTPCPB_GkB/view?usp=drivesdk" TargetMode="External"/><Relationship Id="rId1037" Type="http://schemas.openxmlformats.org/officeDocument/2006/relationships/hyperlink" Target="https://drive.google.com/file/d/1nucjwqmwrUNZMcwDR9Ekq0T4q-NVqJbP/view?usp=drivesdk" TargetMode="External"/><Relationship Id="rId1279" Type="http://schemas.openxmlformats.org/officeDocument/2006/relationships/hyperlink" Target="https://drive.google.com/file/d/1kBsJHw8yrv1orVKvvjrHTlVN_W1PBB1a/view?usp=drivesdk" TargetMode="External"/><Relationship Id="rId1038" Type="http://schemas.openxmlformats.org/officeDocument/2006/relationships/hyperlink" Target="https://drive.google.com/file/d/1sQO6PtbOfSRoTZ0DmaPdVJ0bdB6Z-cdR/view?usp=drivesdk" TargetMode="External"/><Relationship Id="rId1039" Type="http://schemas.openxmlformats.org/officeDocument/2006/relationships/hyperlink" Target="https://drive.google.com/file/d/1tPnUhkKAp3X7JR3jAGWvxA_RtkRoyIql/view?usp=drivesdk" TargetMode="External"/><Relationship Id="rId206" Type="http://schemas.openxmlformats.org/officeDocument/2006/relationships/hyperlink" Target="https://drive.google.com/file/d/1v4LCNQMzsgmx_cSvu16eIpX1tmTgQ7aj/view?usp=drivesdk" TargetMode="External"/><Relationship Id="rId448" Type="http://schemas.openxmlformats.org/officeDocument/2006/relationships/hyperlink" Target="https://drive.google.com/file/d/1CT1YH1Q42TVl9ugTksxC4lxdHsHxAhq5/view?usp=drivesdk" TargetMode="External"/><Relationship Id="rId205" Type="http://schemas.openxmlformats.org/officeDocument/2006/relationships/hyperlink" Target="https://drive.google.com/file/d/1zAUVthYe_LhOLSpJ0NONpQFx16_jL-Gc/view?usp=drivesdk" TargetMode="External"/><Relationship Id="rId447" Type="http://schemas.openxmlformats.org/officeDocument/2006/relationships/hyperlink" Target="https://drive.google.com/file/d/1-ql085kz00eHHTPZR4qG1ulb-IaTREss/view?usp=drivesdk" TargetMode="External"/><Relationship Id="rId689" Type="http://schemas.openxmlformats.org/officeDocument/2006/relationships/hyperlink" Target="https://drive.google.com/file/d/1kwRUqaQrZREZugza9HbYnAi05QwRFGJj/view?usp=drivesdk" TargetMode="External"/><Relationship Id="rId204" Type="http://schemas.openxmlformats.org/officeDocument/2006/relationships/hyperlink" Target="https://drive.google.com/file/d/15tVfz3uwP5dYr7wbrwroWsGJDHmRLMFy/view?usp=drivesdk" TargetMode="External"/><Relationship Id="rId446" Type="http://schemas.openxmlformats.org/officeDocument/2006/relationships/hyperlink" Target="https://drive.google.com/file/d/1fU5LjiMtLIhxy0Mgo5Q7BlwCW01F83fs/view?usp=drivesdk" TargetMode="External"/><Relationship Id="rId688" Type="http://schemas.openxmlformats.org/officeDocument/2006/relationships/hyperlink" Target="https://drive.google.com/file/d/1ttdRXZ_4Iu3DAv9Pn0NnviFnem5fCa-q/view?usp=drivesdk" TargetMode="External"/><Relationship Id="rId203" Type="http://schemas.openxmlformats.org/officeDocument/2006/relationships/hyperlink" Target="https://drive.google.com/file/d/1nGxK-S-aCJUkVXVORqMT2qvB2hT2eZib/view?usp=drivesdk" TargetMode="External"/><Relationship Id="rId445" Type="http://schemas.openxmlformats.org/officeDocument/2006/relationships/hyperlink" Target="https://drive.google.com/file/d/1Q7BS30K6OiLS4Jud_rTC8SkWtlor7qtl/view?usp=drivesdk" TargetMode="External"/><Relationship Id="rId687" Type="http://schemas.openxmlformats.org/officeDocument/2006/relationships/hyperlink" Target="https://drive.google.com/file/d/1-vwAIpx_Ah221r0FSYJc9Q7YEMJY-oGc/view?usp=drivesdk" TargetMode="External"/><Relationship Id="rId209" Type="http://schemas.openxmlformats.org/officeDocument/2006/relationships/hyperlink" Target="https://drive.google.com/file/d/1cFiY2tSp0ko68uCfniXtr5pLbpFoujib/view?usp=drivesdk" TargetMode="External"/><Relationship Id="rId208" Type="http://schemas.openxmlformats.org/officeDocument/2006/relationships/hyperlink" Target="https://drive.google.com/file/d/1ZDiQHeUJFeMGqhoQehWdNbhBaBGkhChT/view?usp=drivesdk" TargetMode="External"/><Relationship Id="rId207" Type="http://schemas.openxmlformats.org/officeDocument/2006/relationships/hyperlink" Target="https://drive.google.com/file/d/1dJuo2BYsXj6IY4t0ty24VZ5AjgNAWS08/view?usp=drivesdk" TargetMode="External"/><Relationship Id="rId449" Type="http://schemas.openxmlformats.org/officeDocument/2006/relationships/hyperlink" Target="https://drive.google.com/file/d/1pOzF5ka02eTS7v-dgfhtoLFBa2PAuKzv/view?usp=drivesdk" TargetMode="External"/><Relationship Id="rId1270" Type="http://schemas.openxmlformats.org/officeDocument/2006/relationships/hyperlink" Target="https://drive.google.com/file/d/1dLDz4OVdQ8ZWvw1-FIvhJUgyo_IRGwgk/view?usp=drivesdk" TargetMode="External"/><Relationship Id="rId440" Type="http://schemas.openxmlformats.org/officeDocument/2006/relationships/hyperlink" Target="https://drive.google.com/file/d/1aabaN6DnRJqCiVC2DAE0yZX4DGf8qy-A/view?usp=drivesdk" TargetMode="External"/><Relationship Id="rId682" Type="http://schemas.openxmlformats.org/officeDocument/2006/relationships/hyperlink" Target="https://drive.google.com/file/d/1UB9vinjT93jtp_TINFxC19esz-P9Y0w8/view?usp=drivesdk" TargetMode="External"/><Relationship Id="rId1271" Type="http://schemas.openxmlformats.org/officeDocument/2006/relationships/hyperlink" Target="https://drive.google.com/file/d/187IH5VlHQVG2s9771FxadR3UsXERxA7P/view?usp=drivesdk" TargetMode="External"/><Relationship Id="rId681" Type="http://schemas.openxmlformats.org/officeDocument/2006/relationships/hyperlink" Target="https://drive.google.com/file/d/1nKpruC0Jvt5yq92-CgljjuAJtaJW_m0G/view?usp=drivesdk" TargetMode="External"/><Relationship Id="rId1030" Type="http://schemas.openxmlformats.org/officeDocument/2006/relationships/hyperlink" Target="https://drive.google.com/file/d/1ES2G_UTcdND_3B2_rwpRvPRbeBLVdLXP/view?usp=drivesdk" TargetMode="External"/><Relationship Id="rId1272" Type="http://schemas.openxmlformats.org/officeDocument/2006/relationships/hyperlink" Target="https://drive.google.com/file/d/1zKIZmQGN1vh-S4AlW-PynrEpsYRjo16n/view?usp=drivesdk" TargetMode="External"/><Relationship Id="rId680" Type="http://schemas.openxmlformats.org/officeDocument/2006/relationships/hyperlink" Target="https://drive.google.com/file/d/1g572mjgSq81-a6Fvxw6LZ3HeZbaSQAbE/view?usp=drivesdk" TargetMode="External"/><Relationship Id="rId1031" Type="http://schemas.openxmlformats.org/officeDocument/2006/relationships/hyperlink" Target="https://drive.google.com/file/d/1mEyYDd0EL-60dLXEmj4Ad5jTSoIeKcTq/view?usp=drivesdk" TargetMode="External"/><Relationship Id="rId1273" Type="http://schemas.openxmlformats.org/officeDocument/2006/relationships/hyperlink" Target="https://drive.google.com/file/d/1AdEL_jsQ06s7xX5sA2tejFB0i-KYHSls/view?usp=drivesdk" TargetMode="External"/><Relationship Id="rId1032" Type="http://schemas.openxmlformats.org/officeDocument/2006/relationships/hyperlink" Target="https://drive.google.com/file/d/1GiE5cJJzXCImKc_dvl9GXuWLU27NXOve/view?usp=drivesdk" TargetMode="External"/><Relationship Id="rId1274" Type="http://schemas.openxmlformats.org/officeDocument/2006/relationships/hyperlink" Target="https://drive.google.com/file/d/1xc0SwJ_9Bv1HqDSbV6l0HCwH2JheY9nE/view?usp=drivesdk" TargetMode="External"/><Relationship Id="rId202" Type="http://schemas.openxmlformats.org/officeDocument/2006/relationships/hyperlink" Target="https://drive.google.com/file/d/1-q0RHsbMG7rpK8D7BFQJErDx3noSOX06/view?usp=drivesdk" TargetMode="External"/><Relationship Id="rId444" Type="http://schemas.openxmlformats.org/officeDocument/2006/relationships/hyperlink" Target="https://drive.google.com/file/d/1BOHYcFHkFHx7c0hzu6XwEeEub8k99gUX/view?usp=drivesdk" TargetMode="External"/><Relationship Id="rId686" Type="http://schemas.openxmlformats.org/officeDocument/2006/relationships/hyperlink" Target="https://drive.google.com/file/d/1h2sSZpmq7P3vRUbRMhfNMvkDaknIifU3/view?usp=drivesdk" TargetMode="External"/><Relationship Id="rId1033" Type="http://schemas.openxmlformats.org/officeDocument/2006/relationships/hyperlink" Target="https://drive.google.com/file/d/1XHZofesrlgeWgt5oZm4TpGakLDwd_0Zg/view?usp=drivesdk" TargetMode="External"/><Relationship Id="rId1275" Type="http://schemas.openxmlformats.org/officeDocument/2006/relationships/hyperlink" Target="https://drive.google.com/file/d/1nzdcY8OX1LeMF7hZFJgF50VuBVytyQLA/view?usp=drivesdk" TargetMode="External"/><Relationship Id="rId201" Type="http://schemas.openxmlformats.org/officeDocument/2006/relationships/hyperlink" Target="https://drive.google.com/file/d/1IOfxcLi01i2k3beKLl4ayKp97_BB6kI7/view?usp=drivesdk" TargetMode="External"/><Relationship Id="rId443" Type="http://schemas.openxmlformats.org/officeDocument/2006/relationships/hyperlink" Target="https://drive.google.com/file/d/1NgJk-7wG5ecjEsYPFtMUbUO5Wwepj2XN/view?usp=drivesdk" TargetMode="External"/><Relationship Id="rId685" Type="http://schemas.openxmlformats.org/officeDocument/2006/relationships/hyperlink" Target="https://drive.google.com/file/d/1qAmQeRKgmApvYcJdzMXccSdiulwxsLrB/view?usp=drivesdk" TargetMode="External"/><Relationship Id="rId1034" Type="http://schemas.openxmlformats.org/officeDocument/2006/relationships/hyperlink" Target="https://drive.google.com/file/d/1-3oi5opiAM8gZubNhKvOKMJjDkFpY2Sd/view?usp=drivesdk" TargetMode="External"/><Relationship Id="rId1276" Type="http://schemas.openxmlformats.org/officeDocument/2006/relationships/hyperlink" Target="https://drive.google.com/file/d/1RdUSu8vFwHi_R9idhV9eck3TMZU7-r5v/view?usp=drivesdk" TargetMode="External"/><Relationship Id="rId200" Type="http://schemas.openxmlformats.org/officeDocument/2006/relationships/hyperlink" Target="https://drive.google.com/file/d/1yII6dqhkkZVN57rdgPaICaOhgZBUmgP-/view?usp=drivesdk" TargetMode="External"/><Relationship Id="rId442" Type="http://schemas.openxmlformats.org/officeDocument/2006/relationships/hyperlink" Target="https://drive.google.com/file/d/1ff67FJ49ZvIAvD7P0y7yj3PHg1h11Esp/view?usp=drivesdk" TargetMode="External"/><Relationship Id="rId684" Type="http://schemas.openxmlformats.org/officeDocument/2006/relationships/hyperlink" Target="https://drive.google.com/file/d/1v2_QOkbViBcKpo9Gm2tl8hRxgwqqd8Vo/view?usp=drivesdk" TargetMode="External"/><Relationship Id="rId1035" Type="http://schemas.openxmlformats.org/officeDocument/2006/relationships/hyperlink" Target="https://drive.google.com/file/d/1ECDgsVUFKihoOztdsgefcjsSg5XcKfXG/view?usp=drivesdk" TargetMode="External"/><Relationship Id="rId1277" Type="http://schemas.openxmlformats.org/officeDocument/2006/relationships/hyperlink" Target="https://drive.google.com/file/d/12fOl5QgxgqiAtPoMYymyGpNnqeIvdPHm/view?usp=drivesdk" TargetMode="External"/><Relationship Id="rId441" Type="http://schemas.openxmlformats.org/officeDocument/2006/relationships/hyperlink" Target="https://drive.google.com/file/d/1X69DLFl2UYKPP2ryTpwnQDuh6p_scD0o/view?usp=drivesdk" TargetMode="External"/><Relationship Id="rId683" Type="http://schemas.openxmlformats.org/officeDocument/2006/relationships/hyperlink" Target="https://drive.google.com/file/d/1ytGuZ1ajmtHOFFhNBx161Sh8UAgtkOqY/view?usp=drivesdk" TargetMode="External"/><Relationship Id="rId1036" Type="http://schemas.openxmlformats.org/officeDocument/2006/relationships/hyperlink" Target="https://drive.google.com/file/d/19FDryLeOTAHgK5y5CEAtfTJH5QlJhoKF/view?usp=drivesdk" TargetMode="External"/><Relationship Id="rId1278" Type="http://schemas.openxmlformats.org/officeDocument/2006/relationships/hyperlink" Target="https://drive.google.com/file/d/1XY-f1VXbDYgxWHGJI-sZ-wajzSEr7nwL/view?usp=drivesdk" TargetMode="External"/><Relationship Id="rId1026" Type="http://schemas.openxmlformats.org/officeDocument/2006/relationships/hyperlink" Target="https://drive.google.com/file/d/1Ne5sJoZ4j1BrBysSW8qGYTuvBEWbB_1a/view?usp=drivesdk" TargetMode="External"/><Relationship Id="rId1268" Type="http://schemas.openxmlformats.org/officeDocument/2006/relationships/hyperlink" Target="https://drive.google.com/file/d/1fENL5y2TtN0wae2kzsq4nXSfQFDCNTsD/view?usp=drivesdk" TargetMode="External"/><Relationship Id="rId1027" Type="http://schemas.openxmlformats.org/officeDocument/2006/relationships/hyperlink" Target="https://drive.google.com/file/d/1QK6XZT1kgTcB0KkEQyJqXmKooiOq4KgT/view?usp=drivesdk" TargetMode="External"/><Relationship Id="rId1269" Type="http://schemas.openxmlformats.org/officeDocument/2006/relationships/hyperlink" Target="https://drive.google.com/file/d/178SOwwXVJ1Kfl5HrJUTmDKMQhcToBqEa/view?usp=drivesdk" TargetMode="External"/><Relationship Id="rId1028" Type="http://schemas.openxmlformats.org/officeDocument/2006/relationships/hyperlink" Target="https://drive.google.com/file/d/1q8_1CwHS10XwkBdEcpa8eiBoCSuV5DQl/view?usp=drivesdk" TargetMode="External"/><Relationship Id="rId1029" Type="http://schemas.openxmlformats.org/officeDocument/2006/relationships/hyperlink" Target="https://drive.google.com/file/d/1sGfu70Wcc4LjjcapmkfgTytFWPWvqynz/view?usp=drivesdk" TargetMode="External"/><Relationship Id="rId437" Type="http://schemas.openxmlformats.org/officeDocument/2006/relationships/hyperlink" Target="https://drive.google.com/file/d/1Jvh9GKRMvkeS257ZmqTHP6wq_c3Of2mW/view?usp=drivesdk" TargetMode="External"/><Relationship Id="rId679" Type="http://schemas.openxmlformats.org/officeDocument/2006/relationships/hyperlink" Target="https://drive.google.com/file/d/1E0ESWfiqIjkXRb1YhAYt2OnhvmkJPVxZ/view?usp=drivesdk" TargetMode="External"/><Relationship Id="rId436" Type="http://schemas.openxmlformats.org/officeDocument/2006/relationships/hyperlink" Target="https://drive.google.com/file/d/1OpwJBoALfwoVfEI5eFjaNTd50ptamYxo/view?usp=drivesdk" TargetMode="External"/><Relationship Id="rId678" Type="http://schemas.openxmlformats.org/officeDocument/2006/relationships/hyperlink" Target="https://drive.google.com/file/d/1lWk1oNh34YBzskZxkWriVbyfoFRumnrq/view?usp=drivesdk" TargetMode="External"/><Relationship Id="rId435" Type="http://schemas.openxmlformats.org/officeDocument/2006/relationships/hyperlink" Target="https://drive.google.com/file/d/1BtxNxCHJmtX3Zlujzk5odVs-AVXidFFq/view?usp=drivesdk" TargetMode="External"/><Relationship Id="rId677" Type="http://schemas.openxmlformats.org/officeDocument/2006/relationships/hyperlink" Target="https://drive.google.com/file/d/1CGdM0t9EQ_jo3zoXYaQW_QpqvoIeqcPL/view?usp=drivesdk" TargetMode="External"/><Relationship Id="rId434" Type="http://schemas.openxmlformats.org/officeDocument/2006/relationships/hyperlink" Target="https://drive.google.com/file/d/1ecMrvVuSncajGo63yod4XR7XV5jSrcBq/view?usp=drivesdk" TargetMode="External"/><Relationship Id="rId676" Type="http://schemas.openxmlformats.org/officeDocument/2006/relationships/hyperlink" Target="https://drive.google.com/file/d/1HxCqErIEc7XoHY5vyWE3J8OmcpCC9y6L/view?usp=drivesdk" TargetMode="External"/><Relationship Id="rId439" Type="http://schemas.openxmlformats.org/officeDocument/2006/relationships/hyperlink" Target="https://drive.google.com/file/d/18G35AkSX5yqC620G0_DX5Z8mYqzZy-6G/view?usp=drivesdk" TargetMode="External"/><Relationship Id="rId438" Type="http://schemas.openxmlformats.org/officeDocument/2006/relationships/hyperlink" Target="https://drive.google.com/file/d/17BtMPJMPwsKEQGJ_ncNwF3kK-Zx6Sq0k/view?usp=drivesdk" TargetMode="External"/><Relationship Id="rId671" Type="http://schemas.openxmlformats.org/officeDocument/2006/relationships/hyperlink" Target="https://drive.google.com/file/d/1LzD5NQcqO6qtEGY-tBH4DM-J0FYr0wGH/view?usp=drivesdk" TargetMode="External"/><Relationship Id="rId1260" Type="http://schemas.openxmlformats.org/officeDocument/2006/relationships/hyperlink" Target="https://drive.google.com/file/d/1bQUiVScrVVO7Q95HpVO9Cz8r01kdjOe4/view?usp=drivesdk" TargetMode="External"/><Relationship Id="rId670" Type="http://schemas.openxmlformats.org/officeDocument/2006/relationships/hyperlink" Target="https://drive.google.com/file/d/1ZpxWl2xKTvmJmtJN2OvNhgu1h7STxer2/view?usp=drivesdk" TargetMode="External"/><Relationship Id="rId1261" Type="http://schemas.openxmlformats.org/officeDocument/2006/relationships/hyperlink" Target="https://drive.google.com/file/d/1fNBMQP4ZR7XlM3xcxec_pBhHgV7FQFFk/view?usp=drivesdk" TargetMode="External"/><Relationship Id="rId1020" Type="http://schemas.openxmlformats.org/officeDocument/2006/relationships/hyperlink" Target="https://drive.google.com/file/d/1BXquPeTZbBmYc0rko1VraxnWOcFx0VFq/view?usp=drivesdk" TargetMode="External"/><Relationship Id="rId1262" Type="http://schemas.openxmlformats.org/officeDocument/2006/relationships/hyperlink" Target="https://drive.google.com/file/d/1XvyHTCrOAz4u8ryOWD0KQ8qRc_E6eapz/view?usp=drivesdk" TargetMode="External"/><Relationship Id="rId1021" Type="http://schemas.openxmlformats.org/officeDocument/2006/relationships/hyperlink" Target="https://drive.google.com/file/d/17TTn_HbcXI1sOIEYZRcgr3SSflz0iHoC/view?usp=drivesdk" TargetMode="External"/><Relationship Id="rId1263" Type="http://schemas.openxmlformats.org/officeDocument/2006/relationships/hyperlink" Target="https://drive.google.com/file/d/1DO8eAmcFEzhTgyxFREEcDS9VUL7Rx1QJ/view?usp=drivesdk" TargetMode="External"/><Relationship Id="rId433" Type="http://schemas.openxmlformats.org/officeDocument/2006/relationships/hyperlink" Target="https://drive.google.com/file/d/1c-RgmmsygzEN5-PFbjsdr7dD77lIguBi/view?usp=drivesdk" TargetMode="External"/><Relationship Id="rId675" Type="http://schemas.openxmlformats.org/officeDocument/2006/relationships/hyperlink" Target="https://drive.google.com/file/d/1m33iya4G-PnM-dXKpMxrdq7iww-vjjnU/view?usp=drivesdk" TargetMode="External"/><Relationship Id="rId1022" Type="http://schemas.openxmlformats.org/officeDocument/2006/relationships/hyperlink" Target="https://drive.google.com/file/d/1WG13MFHT_nxkWq-Rg60w28fCNsXc1C80/view?usp=drivesdk" TargetMode="External"/><Relationship Id="rId1264" Type="http://schemas.openxmlformats.org/officeDocument/2006/relationships/hyperlink" Target="https://drive.google.com/file/d/1N8j5EKgwdD8qlfJ3-5QMnZrSE_5vNror/view?usp=drivesdk" TargetMode="External"/><Relationship Id="rId432" Type="http://schemas.openxmlformats.org/officeDocument/2006/relationships/hyperlink" Target="https://drive.google.com/file/d/1WXm163kpKMFX7Q5TzvuxKdppkF5k6dXD/view?usp=drivesdk" TargetMode="External"/><Relationship Id="rId674" Type="http://schemas.openxmlformats.org/officeDocument/2006/relationships/hyperlink" Target="https://drive.google.com/file/d/1uFQsX-7WGtH0yZqzxwduQwhOsVglvUMt/view?usp=drivesdk" TargetMode="External"/><Relationship Id="rId1023" Type="http://schemas.openxmlformats.org/officeDocument/2006/relationships/hyperlink" Target="https://drive.google.com/file/d/1u-ECS1kyeXpBGbSyURiX4kDZy8w1Woy_/view?usp=drivesdk" TargetMode="External"/><Relationship Id="rId1265" Type="http://schemas.openxmlformats.org/officeDocument/2006/relationships/hyperlink" Target="https://drive.google.com/file/d/1gqnS9tE8DCohx0y9ekaKtg3tElx0oHqQ/view?usp=drivesdk" TargetMode="External"/><Relationship Id="rId431" Type="http://schemas.openxmlformats.org/officeDocument/2006/relationships/hyperlink" Target="https://drive.google.com/file/d/1qnKlHUlYf_6R7dGz8zGD-rEaOt5WfJXC/view?usp=drivesdk" TargetMode="External"/><Relationship Id="rId673" Type="http://schemas.openxmlformats.org/officeDocument/2006/relationships/hyperlink" Target="https://drive.google.com/file/d/1Io8QxzKvaMvB1Xz8T8nNMQ5bj05r-VUf/view?usp=drivesdk" TargetMode="External"/><Relationship Id="rId1024" Type="http://schemas.openxmlformats.org/officeDocument/2006/relationships/hyperlink" Target="https://drive.google.com/file/d/1NG1iETPbDQbl4VsEGjAKyJvz07QSqty6/view?usp=drivesdk" TargetMode="External"/><Relationship Id="rId1266" Type="http://schemas.openxmlformats.org/officeDocument/2006/relationships/hyperlink" Target="https://drive.google.com/file/d/11BWy5YC0z3uzqqJMj-4uAxvS-017KpIE/view?usp=drivesdk" TargetMode="External"/><Relationship Id="rId430" Type="http://schemas.openxmlformats.org/officeDocument/2006/relationships/hyperlink" Target="https://drive.google.com/file/d/1XvQ6a-xvBMg-hBwxabhukAokA5az_QX9/view?usp=drivesdk" TargetMode="External"/><Relationship Id="rId672" Type="http://schemas.openxmlformats.org/officeDocument/2006/relationships/hyperlink" Target="https://drive.google.com/file/d/1L63ZgXrw4ASRMRaPoaAsI8Fj5qHhRFzU/view?usp=drivesdk" TargetMode="External"/><Relationship Id="rId1025" Type="http://schemas.openxmlformats.org/officeDocument/2006/relationships/hyperlink" Target="https://drive.google.com/file/d/1Q6UnwNLWJJEDZ6J51anlLEHIMR34zmng/view?usp=drivesdk" TargetMode="External"/><Relationship Id="rId1267" Type="http://schemas.openxmlformats.org/officeDocument/2006/relationships/hyperlink" Target="https://drive.google.com/file/d/12XFkywjyCqUQOgDpuBARTecssYHN9_xP/view?usp=drivesdk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5" Type="http://schemas.openxmlformats.org/officeDocument/2006/relationships/table" Target="../tables/table16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19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5" Type="http://schemas.openxmlformats.org/officeDocument/2006/relationships/table" Target="../tables/table20.xml"/><Relationship Id="rId6" Type="http://schemas.openxmlformats.org/officeDocument/2006/relationships/table" Target="../tables/table21.xml"/><Relationship Id="rId7" Type="http://schemas.openxmlformats.org/officeDocument/2006/relationships/table" Target="../tables/table22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thierryvanoffe.com/numiel/GCP.png" TargetMode="External"/><Relationship Id="rId2" Type="http://schemas.openxmlformats.org/officeDocument/2006/relationships/hyperlink" Target="https://thierryvanoffe.com/numiel/calendar.png" TargetMode="External"/><Relationship Id="rId3" Type="http://schemas.openxmlformats.org/officeDocument/2006/relationships/hyperlink" Target="https://thierryvanoffe.com/numiel/CalendarGmailMeet.png" TargetMode="External"/><Relationship Id="rId4" Type="http://schemas.openxmlformats.org/officeDocument/2006/relationships/hyperlink" Target="https://thierryvanoffe.com/numiel/analytics.png" TargetMode="External"/><Relationship Id="rId9" Type="http://schemas.openxmlformats.org/officeDocument/2006/relationships/hyperlink" Target="https://thierryvanoffe.com/numiel/Classroom.png" TargetMode="External"/><Relationship Id="rId5" Type="http://schemas.openxmlformats.org/officeDocument/2006/relationships/hyperlink" Target="https://thierryvanoffe.com/numiel/AppSheet.png" TargetMode="External"/><Relationship Id="rId6" Type="http://schemas.openxmlformats.org/officeDocument/2006/relationships/hyperlink" Target="https://thierryvanoffe.com/numiel/cha.png" TargetMode="External"/><Relationship Id="rId7" Type="http://schemas.openxmlformats.org/officeDocument/2006/relationships/hyperlink" Target="https://thierryvanoffe.com/numiel/chrome.png" TargetMode="External"/><Relationship Id="rId8" Type="http://schemas.openxmlformats.org/officeDocument/2006/relationships/hyperlink" Target="https://thierryvanoffe.com/numiel/chrome.png" TargetMode="External"/><Relationship Id="rId31" Type="http://schemas.openxmlformats.org/officeDocument/2006/relationships/hyperlink" Target="https://thierryvanoffe.com/numiel/googlePhotos.png" TargetMode="External"/><Relationship Id="rId30" Type="http://schemas.openxmlformats.org/officeDocument/2006/relationships/hyperlink" Target="https://thierryvanoffe.com/numiel/looker.png" TargetMode="External"/><Relationship Id="rId33" Type="http://schemas.openxmlformats.org/officeDocument/2006/relationships/hyperlink" Target="https://thierryvanoffe.com/numiel/Sites.png" TargetMode="External"/><Relationship Id="rId32" Type="http://schemas.openxmlformats.org/officeDocument/2006/relationships/hyperlink" Target="https://thierryvanoffe.com/numiel/Sheets.png" TargetMode="External"/><Relationship Id="rId35" Type="http://schemas.openxmlformats.org/officeDocument/2006/relationships/hyperlink" Target="https://thierryvanoffe.com/numiel/tasks.png" TargetMode="External"/><Relationship Id="rId34" Type="http://schemas.openxmlformats.org/officeDocument/2006/relationships/hyperlink" Target="https://thierryvanoffe.com/numiel/Slides.png" TargetMode="External"/><Relationship Id="rId37" Type="http://schemas.openxmlformats.org/officeDocument/2006/relationships/hyperlink" Target="https://thierryvanoffe.com/numiel/youtube.png" TargetMode="External"/><Relationship Id="rId36" Type="http://schemas.openxmlformats.org/officeDocument/2006/relationships/hyperlink" Target="https://thierryvanoffe.com/numiel/youtube.png" TargetMode="External"/><Relationship Id="rId39" Type="http://schemas.openxmlformats.org/officeDocument/2006/relationships/drawing" Target="../drawings/drawing26.xml"/><Relationship Id="rId38" Type="http://schemas.openxmlformats.org/officeDocument/2006/relationships/hyperlink" Target="https://thierryvanoffe.com/numiel/BigQuery.png" TargetMode="External"/><Relationship Id="rId20" Type="http://schemas.openxmlformats.org/officeDocument/2006/relationships/hyperlink" Target="https://thierryvanoffe.com/numiel/Gplus.png" TargetMode="External"/><Relationship Id="rId22" Type="http://schemas.openxmlformats.org/officeDocument/2006/relationships/hyperlink" Target="https://thierryvanoffe.com/numiel/GWorkspace.png" TargetMode="External"/><Relationship Id="rId21" Type="http://schemas.openxmlformats.org/officeDocument/2006/relationships/hyperlink" Target="https://thierryvanoffe.com/numiel/GAS.png" TargetMode="External"/><Relationship Id="rId24" Type="http://schemas.openxmlformats.org/officeDocument/2006/relationships/hyperlink" Target="https://thierryvanoffe.com/numiel/GWorkspace.png" TargetMode="External"/><Relationship Id="rId23" Type="http://schemas.openxmlformats.org/officeDocument/2006/relationships/hyperlink" Target="https://thierryvanoffe.com/numiel/Groups.png" TargetMode="External"/><Relationship Id="rId26" Type="http://schemas.openxmlformats.org/officeDocument/2006/relationships/hyperlink" Target="https://thierryvanoffe.com/numiel/jamboard.png" TargetMode="External"/><Relationship Id="rId25" Type="http://schemas.openxmlformats.org/officeDocument/2006/relationships/hyperlink" Target="https://thierryvanoffe.com/numiel/Hangouts.png" TargetMode="External"/><Relationship Id="rId28" Type="http://schemas.openxmlformats.org/officeDocument/2006/relationships/hyperlink" Target="https://thierryvanoffe.com/numiel/kite.png" TargetMode="External"/><Relationship Id="rId27" Type="http://schemas.openxmlformats.org/officeDocument/2006/relationships/hyperlink" Target="https://thierryvanoffe.com/numiel/Keep.png" TargetMode="External"/><Relationship Id="rId29" Type="http://schemas.openxmlformats.org/officeDocument/2006/relationships/hyperlink" Target="https://thierryvanoffe.com/numiel/maps.png" TargetMode="External"/><Relationship Id="rId11" Type="http://schemas.openxmlformats.org/officeDocument/2006/relationships/hyperlink" Target="https://thierryvanoffe.com/numiel/contacts.png" TargetMode="External"/><Relationship Id="rId10" Type="http://schemas.openxmlformats.org/officeDocument/2006/relationships/hyperlink" Target="https://thierryvanoffe.com/numiel/Classroom.png" TargetMode="External"/><Relationship Id="rId13" Type="http://schemas.openxmlformats.org/officeDocument/2006/relationships/hyperlink" Target="https://thierryvanoffe.com/numiel/docs.png" TargetMode="External"/><Relationship Id="rId12" Type="http://schemas.openxmlformats.org/officeDocument/2006/relationships/hyperlink" Target="https://thierryvanoffe.com/numiel/looker.png" TargetMode="External"/><Relationship Id="rId15" Type="http://schemas.openxmlformats.org/officeDocument/2006/relationships/hyperlink" Target="https://thierryvanoffe.com/numiel/drive.png" TargetMode="External"/><Relationship Id="rId14" Type="http://schemas.openxmlformats.org/officeDocument/2006/relationships/hyperlink" Target="https://thierryvanoffe.com/numiel/draw.png" TargetMode="External"/><Relationship Id="rId17" Type="http://schemas.openxmlformats.org/officeDocument/2006/relationships/hyperlink" Target="https://thierryvanoffe.com/numiel/editors.png" TargetMode="External"/><Relationship Id="rId16" Type="http://schemas.openxmlformats.org/officeDocument/2006/relationships/hyperlink" Target="https://thierryvanoffe.com/numiel/duo.png" TargetMode="External"/><Relationship Id="rId19" Type="http://schemas.openxmlformats.org/officeDocument/2006/relationships/hyperlink" Target="https://thierryvanoffe.com/numiel/Gmail.png" TargetMode="External"/><Relationship Id="rId18" Type="http://schemas.openxmlformats.org/officeDocument/2006/relationships/hyperlink" Target="https://thierryvanoffe.com/numiel/Forms.png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W4C8Np65BILYKnV9nvf4UfpuBSLHz5c/view?usp=drivesdk" TargetMode="External"/><Relationship Id="rId2" Type="http://schemas.openxmlformats.org/officeDocument/2006/relationships/hyperlink" Target="https://drive.google.com/file/d/1ZW4C8Np65BILYKnV9nvf4UfpuBSLHz5c/view?usp=drivesdk" TargetMode="External"/><Relationship Id="rId3" Type="http://schemas.openxmlformats.org/officeDocument/2006/relationships/hyperlink" Target="https://docs.google.com/forms/d/e/1FAIpQLScUsD8xIa_FlYSVu5MCaiAHovywccsOzvwhdKqeTUll50-_nA/viewform?usp=pp_url&amp;entry.193822625=TECHNIQUE&amp;entry.2116080188=NE%20PAS%20SUPPRIMER%20%5BSES-1000%5D" TargetMode="External"/><Relationship Id="rId4" Type="http://schemas.openxmlformats.org/officeDocument/2006/relationships/drawing" Target="../drawings/drawing27.xml"/><Relationship Id="rId6" Type="http://schemas.openxmlformats.org/officeDocument/2006/relationships/table" Target="../tables/table23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4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5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26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2.xml"/><Relationship Id="rId4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4.25"/>
    <col customWidth="1" min="3" max="3" width="53.5"/>
    <col customWidth="1" min="4" max="4" width="9.88"/>
    <col customWidth="1" min="5" max="5" width="1.88"/>
  </cols>
  <sheetData>
    <row r="1" ht="16.5" customHeight="1">
      <c r="A1" s="1"/>
      <c r="B1" s="2"/>
      <c r="C1" s="3" t="s">
        <v>0</v>
      </c>
      <c r="D1" s="2"/>
      <c r="E1" s="4"/>
    </row>
    <row r="2">
      <c r="A2" s="5"/>
      <c r="B2" s="5"/>
      <c r="C2" s="6"/>
      <c r="D2" s="6"/>
      <c r="E2" s="6"/>
    </row>
    <row r="3" ht="75.75" customHeight="1">
      <c r="A3" s="5"/>
      <c r="B3" s="7"/>
      <c r="C3" s="8" t="s">
        <v>1</v>
      </c>
      <c r="D3" s="6"/>
      <c r="E3" s="6"/>
    </row>
    <row r="4" ht="15.75" customHeight="1">
      <c r="A4" s="5"/>
      <c r="B4" s="5"/>
      <c r="C4" s="6"/>
      <c r="D4" s="6"/>
      <c r="E4" s="6"/>
    </row>
    <row r="5" ht="4.5" customHeight="1">
      <c r="A5" s="5"/>
      <c r="B5" s="10"/>
      <c r="C5" s="12"/>
      <c r="D5" s="12"/>
      <c r="E5" s="6"/>
    </row>
    <row r="6" ht="7.5" customHeight="1">
      <c r="A6" s="5"/>
      <c r="B6" s="5"/>
      <c r="C6" s="6"/>
      <c r="D6" s="6"/>
      <c r="E6" s="6"/>
    </row>
    <row r="7" ht="24.0" customHeight="1">
      <c r="A7" s="5"/>
      <c r="B7" s="13" t="s">
        <v>3</v>
      </c>
      <c r="C7" s="14"/>
      <c r="D7" s="6"/>
      <c r="E7" s="6"/>
    </row>
    <row r="8" ht="28.5" customHeight="1">
      <c r="A8" s="15"/>
      <c r="B8" s="16" t="s">
        <v>4</v>
      </c>
      <c r="C8" s="17" t="s">
        <v>5</v>
      </c>
      <c r="D8" s="18"/>
      <c r="E8" s="18"/>
    </row>
    <row r="9" ht="3.75" customHeight="1">
      <c r="A9" s="5"/>
      <c r="B9" s="5"/>
      <c r="C9" s="6"/>
      <c r="D9" s="6"/>
      <c r="E9" s="6"/>
    </row>
    <row r="10" ht="28.5" customHeight="1">
      <c r="A10" s="15"/>
      <c r="B10" s="16" t="s">
        <v>6</v>
      </c>
      <c r="C10" s="17" t="s">
        <v>7</v>
      </c>
      <c r="D10" s="19"/>
      <c r="E10" s="19"/>
    </row>
    <row r="11" ht="11.25" customHeight="1">
      <c r="A11" s="5"/>
      <c r="B11" s="5"/>
      <c r="C11" s="6"/>
      <c r="D11" s="6"/>
      <c r="E11" s="6"/>
    </row>
    <row r="12" ht="26.25" customHeight="1">
      <c r="A12" s="5"/>
      <c r="B12" s="13" t="s">
        <v>8</v>
      </c>
      <c r="C12" s="14"/>
      <c r="D12" s="6"/>
      <c r="E12" s="6"/>
    </row>
    <row r="13" ht="28.5" customHeight="1">
      <c r="A13" s="15"/>
      <c r="B13" s="16" t="s">
        <v>10</v>
      </c>
      <c r="C13" s="17" t="s">
        <v>13</v>
      </c>
      <c r="D13" s="22" t="str">
        <f>IF(C13&lt;&gt;"",HYPERLINK("https://docs.google.com/document/d/"&amp;C13,"Ouvrir le document"),) </f>
        <v>Ouvrir le document</v>
      </c>
      <c r="E13" s="19"/>
    </row>
    <row r="14" ht="3.75" customHeight="1">
      <c r="A14" s="15"/>
      <c r="B14" s="16"/>
      <c r="C14" s="23"/>
      <c r="D14" s="19"/>
      <c r="E14" s="19"/>
    </row>
    <row r="15" ht="28.5" customHeight="1">
      <c r="A15" s="15"/>
      <c r="B15" s="16" t="s">
        <v>18</v>
      </c>
      <c r="C15" s="17"/>
      <c r="D15" s="22" t="str">
        <f>IF(C15&lt;&gt;"",HYPERLINK("https://drive.google.com/drive/folders/"&amp;C15,"Ouvrir le dossier"),)</f>
        <v/>
      </c>
      <c r="E15" s="19"/>
    </row>
    <row r="16" ht="3.75" customHeight="1">
      <c r="A16" s="15"/>
      <c r="B16" s="16"/>
      <c r="C16" s="25"/>
      <c r="D16" s="18"/>
      <c r="E16" s="18"/>
    </row>
    <row r="17" ht="28.5" customHeight="1">
      <c r="A17" s="15"/>
      <c r="B17" s="16" t="s">
        <v>19</v>
      </c>
      <c r="C17" s="17" t="s">
        <v>21</v>
      </c>
      <c r="D17" s="19"/>
      <c r="E17" s="19"/>
    </row>
    <row r="18" ht="3.75" customHeight="1">
      <c r="A18" s="15"/>
      <c r="B18" s="16"/>
      <c r="C18" s="23"/>
      <c r="D18" s="19"/>
      <c r="E18" s="19"/>
    </row>
    <row r="19" ht="28.5" customHeight="1">
      <c r="A19" s="15"/>
      <c r="B19" s="16" t="s">
        <v>26</v>
      </c>
      <c r="C19" s="30" t="s">
        <v>27</v>
      </c>
      <c r="D19" s="19"/>
      <c r="E19" s="19"/>
    </row>
    <row r="20" ht="3.75" customHeight="1">
      <c r="A20" s="31"/>
      <c r="B20" s="32"/>
      <c r="C20" s="25"/>
      <c r="D20" s="18"/>
      <c r="E20" s="18"/>
    </row>
    <row r="21" ht="28.5" customHeight="1">
      <c r="A21" s="15"/>
      <c r="B21" s="16" t="s">
        <v>30</v>
      </c>
      <c r="C21" s="33" t="s">
        <v>32</v>
      </c>
      <c r="D21" s="34"/>
      <c r="E21" s="34"/>
    </row>
    <row r="22" ht="3.75" customHeight="1">
      <c r="A22" s="15"/>
      <c r="B22" s="16"/>
      <c r="C22" s="35"/>
      <c r="D22" s="34"/>
      <c r="E22" s="34"/>
    </row>
    <row r="23" ht="28.5" customHeight="1">
      <c r="A23" s="15"/>
      <c r="B23" s="16" t="s">
        <v>34</v>
      </c>
      <c r="C23" s="33" t="s">
        <v>35</v>
      </c>
      <c r="D23" s="34"/>
      <c r="E23" s="34"/>
    </row>
    <row r="24" ht="3.75" customHeight="1">
      <c r="A24" s="15"/>
      <c r="B24" s="16"/>
      <c r="C24" s="35"/>
      <c r="D24" s="34"/>
      <c r="E24" s="34"/>
    </row>
    <row r="25" ht="28.5" customHeight="1">
      <c r="A25" s="15"/>
      <c r="B25" s="16" t="s">
        <v>38</v>
      </c>
      <c r="C25" s="33"/>
      <c r="D25" s="34"/>
      <c r="E25" s="34"/>
    </row>
    <row r="26" ht="3.75" customHeight="1">
      <c r="A26" s="15"/>
      <c r="B26" s="16"/>
      <c r="C26" s="35"/>
      <c r="D26" s="34"/>
      <c r="E26" s="34"/>
    </row>
    <row r="27" ht="28.5" customHeight="1">
      <c r="A27" s="15"/>
      <c r="B27" s="16" t="s">
        <v>40</v>
      </c>
      <c r="C27" s="33"/>
      <c r="D27" s="37" t="str">
        <f>IFERROR(__xludf.DUMMYFUNCTION("IMPORTRANGE(C27,""VALIDATION"")"),"#N/A")</f>
        <v>#N/A</v>
      </c>
      <c r="E27" s="39"/>
    </row>
    <row r="28" ht="11.25" customHeight="1">
      <c r="A28" s="15"/>
      <c r="B28" s="16"/>
      <c r="C28" s="34"/>
      <c r="D28" s="34"/>
      <c r="E28" s="34"/>
    </row>
    <row r="29">
      <c r="A29" s="15"/>
      <c r="B29" s="13" t="s">
        <v>42</v>
      </c>
      <c r="C29" s="14"/>
      <c r="D29" s="34"/>
      <c r="E29" s="34"/>
    </row>
    <row r="30">
      <c r="A30" s="15"/>
      <c r="B30" s="16" t="s">
        <v>45</v>
      </c>
      <c r="C30" s="42" t="s">
        <v>47</v>
      </c>
      <c r="D30" s="34"/>
      <c r="E30" s="34"/>
    </row>
    <row r="31" ht="28.5" customHeight="1">
      <c r="A31" s="15"/>
      <c r="B31" s="16" t="s">
        <v>50</v>
      </c>
      <c r="C31" s="43"/>
      <c r="D31" s="34"/>
      <c r="E31" s="34"/>
    </row>
    <row r="32" ht="28.5" customHeight="1">
      <c r="A32" s="15"/>
      <c r="B32" s="15"/>
      <c r="C32" s="43"/>
      <c r="D32" s="34"/>
      <c r="E32" s="34"/>
    </row>
    <row r="33" ht="28.5" customHeight="1">
      <c r="A33" s="15"/>
      <c r="B33" s="15"/>
      <c r="C33" s="43"/>
      <c r="D33" s="34"/>
      <c r="E33" s="34"/>
    </row>
    <row r="34" ht="28.5" customHeight="1">
      <c r="A34" s="15"/>
      <c r="B34" s="15"/>
      <c r="C34" s="43"/>
      <c r="D34" s="34"/>
      <c r="E34" s="34"/>
    </row>
    <row r="35" ht="28.5" customHeight="1">
      <c r="A35" s="15"/>
      <c r="B35" s="15"/>
      <c r="C35" s="43"/>
      <c r="D35" s="34"/>
      <c r="E35" s="34"/>
    </row>
  </sheetData>
  <mergeCells count="3">
    <mergeCell ref="B7:C7"/>
    <mergeCell ref="B12:C12"/>
    <mergeCell ref="B29:C29"/>
  </mergeCells>
  <hyperlinks>
    <hyperlink r:id="rId1" ref="C19"/>
    <hyperlink r:id="rId2" ref="C3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63"/>
    <col customWidth="1" min="2" max="2" width="34.5"/>
    <col customWidth="1" min="3" max="3" width="29.0"/>
    <col customWidth="1" min="4" max="5" width="7.88"/>
    <col customWidth="1" min="6" max="6" width="5.75"/>
    <col customWidth="1" min="7" max="8" width="13.0"/>
    <col customWidth="1" min="9" max="10" width="3.13"/>
    <col customWidth="1" min="11" max="11" width="66.38"/>
    <col customWidth="1" min="12" max="12" width="17.13"/>
    <col customWidth="1" min="13" max="13" width="3.38"/>
  </cols>
  <sheetData>
    <row r="1" ht="16.5" customHeight="1">
      <c r="A1" s="1"/>
      <c r="B1" s="2"/>
      <c r="C1" s="4"/>
      <c r="D1" s="4"/>
      <c r="E1" s="4"/>
      <c r="F1" s="4"/>
      <c r="G1" s="4"/>
      <c r="H1" s="4"/>
      <c r="I1" s="2"/>
      <c r="J1" s="2"/>
      <c r="K1" s="3" t="s">
        <v>80</v>
      </c>
      <c r="L1" s="2"/>
      <c r="M1" s="1"/>
    </row>
    <row r="2" ht="12.0" customHeight="1">
      <c r="A2" s="88"/>
      <c r="B2" s="88"/>
      <c r="C2" s="89"/>
      <c r="D2" s="89"/>
      <c r="E2" s="89"/>
      <c r="F2" s="89"/>
      <c r="G2" s="90"/>
      <c r="H2" s="90"/>
      <c r="I2" s="91"/>
      <c r="J2" s="91"/>
      <c r="K2" s="91"/>
      <c r="L2" s="91"/>
      <c r="M2" s="91"/>
    </row>
    <row r="3" ht="77.25" customHeight="1">
      <c r="A3" s="88"/>
      <c r="B3" s="7" t="str">
        <f>PARAMETRE_LOGO_CLIENT</f>
        <v/>
      </c>
      <c r="C3" s="92" t="s">
        <v>81</v>
      </c>
      <c r="D3" s="93" t="str">
        <f>HYPERLINK(PARAMETRE_URL_SITE,"LIEN VERS LE SITE 🔗")</f>
        <v>LIEN VERS LE SITE 🔗</v>
      </c>
      <c r="I3" s="91"/>
      <c r="J3" s="91"/>
      <c r="K3" s="91"/>
      <c r="L3" s="91"/>
      <c r="M3" s="91"/>
    </row>
    <row r="4" ht="6.75" customHeight="1">
      <c r="A4" s="88"/>
      <c r="G4" s="90"/>
      <c r="H4" s="90"/>
      <c r="I4" s="91"/>
      <c r="J4" s="91"/>
      <c r="K4" s="91"/>
      <c r="L4" s="91"/>
      <c r="M4" s="91"/>
    </row>
    <row r="5" ht="5.25" customHeight="1">
      <c r="A5" s="88"/>
      <c r="B5" s="94"/>
      <c r="J5" s="91"/>
      <c r="K5" s="95"/>
      <c r="L5" s="95"/>
      <c r="M5" s="91"/>
    </row>
    <row r="6" ht="10.5" customHeight="1">
      <c r="A6" s="88"/>
      <c r="G6" s="90"/>
      <c r="H6" s="90"/>
      <c r="I6" s="91"/>
      <c r="J6" s="91"/>
      <c r="K6" s="91"/>
      <c r="L6" s="91"/>
      <c r="M6" s="91"/>
    </row>
    <row r="7">
      <c r="A7" s="90"/>
      <c r="B7" s="96" t="s">
        <v>82</v>
      </c>
      <c r="C7" s="90"/>
      <c r="D7" s="90"/>
      <c r="E7" s="90"/>
      <c r="F7" s="90"/>
      <c r="G7" s="90"/>
      <c r="H7" s="90"/>
      <c r="I7" s="90"/>
      <c r="J7" s="90"/>
      <c r="K7" s="96" t="s">
        <v>83</v>
      </c>
      <c r="L7" s="90"/>
      <c r="M7" s="90"/>
    </row>
    <row r="8">
      <c r="A8" s="90"/>
      <c r="B8" s="90" t="s">
        <v>15</v>
      </c>
      <c r="C8" s="90" t="s">
        <v>14</v>
      </c>
      <c r="D8" s="90" t="s">
        <v>16</v>
      </c>
      <c r="E8" s="90" t="s">
        <v>17</v>
      </c>
      <c r="F8" s="90" t="s">
        <v>20</v>
      </c>
      <c r="G8" s="90" t="s">
        <v>25</v>
      </c>
      <c r="H8" s="90" t="s">
        <v>84</v>
      </c>
      <c r="I8" s="90"/>
      <c r="J8" s="90"/>
      <c r="K8" s="90"/>
      <c r="L8" s="90"/>
      <c r="M8" s="90"/>
    </row>
    <row r="9">
      <c r="A9" s="90"/>
      <c r="B9" s="97">
        <v>46224.0</v>
      </c>
      <c r="C9" s="90" t="s">
        <v>41</v>
      </c>
      <c r="D9" s="98">
        <v>0.4583333333333333</v>
      </c>
      <c r="E9" s="98">
        <v>0.5</v>
      </c>
      <c r="F9" s="90">
        <v>155.0</v>
      </c>
      <c r="G9" s="90">
        <v>0.0</v>
      </c>
      <c r="H9" s="90">
        <v>155.0</v>
      </c>
      <c r="I9" s="90"/>
      <c r="J9" s="90"/>
      <c r="K9" s="90"/>
      <c r="L9" s="90"/>
      <c r="M9" s="90"/>
    </row>
    <row r="10">
      <c r="A10" s="90"/>
      <c r="B10" s="97">
        <v>46226.0</v>
      </c>
      <c r="C10" s="90" t="s">
        <v>49</v>
      </c>
      <c r="D10" s="98">
        <v>0.375</v>
      </c>
      <c r="E10" s="98">
        <v>0.4791666666666667</v>
      </c>
      <c r="F10" s="90">
        <v>150.0</v>
      </c>
      <c r="G10" s="90">
        <v>0.0</v>
      </c>
      <c r="H10" s="90">
        <v>150.0</v>
      </c>
      <c r="I10" s="90"/>
      <c r="J10" s="90"/>
      <c r="K10" s="90"/>
      <c r="L10" s="90"/>
      <c r="M10" s="90"/>
    </row>
    <row r="11">
      <c r="A11" s="90"/>
      <c r="B11" s="90"/>
      <c r="C11" s="90"/>
      <c r="D11" s="98">
        <v>0.5833333333333334</v>
      </c>
      <c r="E11" s="98">
        <v>0.6458333333333334</v>
      </c>
      <c r="F11" s="90">
        <v>150.0</v>
      </c>
      <c r="G11" s="90">
        <v>0.0</v>
      </c>
      <c r="H11" s="90">
        <v>150.0</v>
      </c>
      <c r="I11" s="90"/>
      <c r="J11" s="90"/>
      <c r="K11" s="90"/>
      <c r="L11" s="90"/>
      <c r="M11" s="90"/>
    </row>
    <row r="12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</row>
    <row r="14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</row>
    <row r="15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</row>
    <row r="16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</row>
    <row r="17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</row>
    <row r="18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</row>
    <row r="19">
      <c r="G19" s="90"/>
      <c r="H19" s="90"/>
      <c r="I19" s="90"/>
      <c r="J19" s="90"/>
      <c r="K19" s="90"/>
      <c r="L19" s="90"/>
      <c r="M19" s="90"/>
    </row>
    <row r="20">
      <c r="G20" s="90"/>
      <c r="H20" s="90"/>
      <c r="I20" s="90"/>
      <c r="J20" s="90"/>
      <c r="K20" s="90"/>
      <c r="L20" s="90"/>
      <c r="M20" s="90"/>
    </row>
    <row r="21">
      <c r="G21" s="90"/>
      <c r="H21" s="90"/>
      <c r="I21" s="90"/>
      <c r="J21" s="90"/>
      <c r="K21" s="90"/>
      <c r="L21" s="90"/>
      <c r="M21" s="90"/>
    </row>
    <row r="22">
      <c r="G22" s="90"/>
      <c r="H22" s="90"/>
      <c r="I22" s="90"/>
      <c r="J22" s="90"/>
      <c r="K22" s="90"/>
      <c r="L22" s="90"/>
      <c r="M22" s="90"/>
    </row>
    <row r="23">
      <c r="G23" s="90"/>
      <c r="H23" s="90"/>
      <c r="I23" s="90"/>
      <c r="J23" s="90"/>
      <c r="K23" s="90"/>
      <c r="L23" s="90"/>
      <c r="M23" s="90"/>
    </row>
    <row r="24">
      <c r="G24" s="90"/>
      <c r="H24" s="90"/>
      <c r="I24" s="90"/>
      <c r="J24" s="90"/>
      <c r="K24" s="90"/>
      <c r="L24" s="90"/>
      <c r="M24" s="90"/>
    </row>
    <row r="25">
      <c r="G25" s="90"/>
      <c r="H25" s="90"/>
      <c r="I25" s="90"/>
      <c r="J25" s="90"/>
      <c r="K25" s="90"/>
      <c r="L25" s="90"/>
      <c r="M25" s="90"/>
    </row>
    <row r="26">
      <c r="G26" s="90"/>
      <c r="H26" s="90"/>
      <c r="I26" s="90"/>
      <c r="J26" s="90"/>
      <c r="K26" s="90"/>
      <c r="L26" s="90"/>
      <c r="M26" s="90"/>
    </row>
    <row r="27">
      <c r="G27" s="90"/>
      <c r="H27" s="90"/>
      <c r="I27" s="90"/>
      <c r="J27" s="90"/>
      <c r="K27" s="90"/>
      <c r="L27" s="90"/>
      <c r="M27" s="90"/>
    </row>
    <row r="28">
      <c r="G28" s="90"/>
      <c r="H28" s="90"/>
      <c r="I28" s="90"/>
      <c r="J28" s="90"/>
      <c r="K28" s="90"/>
      <c r="L28" s="90"/>
      <c r="M28" s="90"/>
    </row>
    <row r="29">
      <c r="G29" s="90"/>
      <c r="H29" s="90"/>
      <c r="I29" s="90"/>
      <c r="J29" s="90"/>
      <c r="K29" s="90"/>
      <c r="L29" s="90"/>
      <c r="M29" s="90"/>
    </row>
    <row r="30">
      <c r="G30" s="90"/>
      <c r="H30" s="90"/>
      <c r="I30" s="90"/>
      <c r="J30" s="90"/>
      <c r="K30" s="90"/>
      <c r="L30" s="90"/>
      <c r="M30" s="90"/>
    </row>
    <row r="31">
      <c r="G31" s="90"/>
      <c r="H31" s="90"/>
      <c r="I31" s="90"/>
      <c r="J31" s="90"/>
      <c r="K31" s="90"/>
      <c r="L31" s="90"/>
      <c r="M31" s="90"/>
    </row>
    <row r="32">
      <c r="G32" s="90"/>
      <c r="H32" s="90"/>
      <c r="I32" s="90"/>
      <c r="J32" s="90"/>
      <c r="K32" s="90"/>
      <c r="L32" s="90"/>
      <c r="M32" s="90"/>
    </row>
    <row r="33">
      <c r="G33" s="90"/>
      <c r="H33" s="90"/>
      <c r="I33" s="90"/>
      <c r="J33" s="90"/>
      <c r="K33" s="90"/>
      <c r="L33" s="90"/>
      <c r="M33" s="90"/>
    </row>
    <row r="34">
      <c r="G34" s="90"/>
      <c r="H34" s="90"/>
      <c r="I34" s="90"/>
      <c r="J34" s="90"/>
      <c r="K34" s="90"/>
      <c r="L34" s="90"/>
      <c r="M34" s="90"/>
    </row>
    <row r="35">
      <c r="G35" s="90"/>
      <c r="H35" s="90"/>
      <c r="I35" s="90"/>
      <c r="J35" s="90"/>
      <c r="K35" s="90"/>
      <c r="L35" s="90"/>
      <c r="M35" s="90"/>
    </row>
    <row r="36">
      <c r="G36" s="90"/>
      <c r="H36" s="90"/>
      <c r="I36" s="90"/>
      <c r="J36" s="90"/>
      <c r="K36" s="90"/>
      <c r="L36" s="90"/>
      <c r="M36" s="90"/>
    </row>
    <row r="37">
      <c r="G37" s="90"/>
      <c r="H37" s="90"/>
      <c r="I37" s="90"/>
      <c r="J37" s="90"/>
      <c r="K37" s="90"/>
      <c r="L37" s="90"/>
      <c r="M37" s="90"/>
    </row>
    <row r="38">
      <c r="G38" s="90"/>
      <c r="H38" s="90"/>
      <c r="I38" s="90"/>
      <c r="J38" s="90"/>
      <c r="K38" s="90"/>
      <c r="L38" s="90"/>
      <c r="M38" s="90"/>
    </row>
    <row r="39">
      <c r="G39" s="90"/>
      <c r="H39" s="90"/>
      <c r="I39" s="90"/>
      <c r="J39" s="90"/>
      <c r="K39" s="90"/>
      <c r="L39" s="90"/>
      <c r="M39" s="90"/>
    </row>
    <row r="40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</row>
    <row r="4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</row>
    <row r="42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</row>
    <row r="43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</row>
    <row r="44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</row>
    <row r="45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</row>
    <row r="46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</row>
    <row r="48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</row>
    <row r="49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</row>
    <row r="50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</row>
    <row r="5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</row>
    <row r="52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</row>
    <row r="53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</row>
    <row r="54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</row>
    <row r="55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</row>
    <row r="56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</row>
    <row r="57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</row>
    <row r="58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</row>
    <row r="59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</row>
    <row r="60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</row>
    <row r="6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</row>
    <row r="62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</row>
    <row r="63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</row>
    <row r="64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</row>
    <row r="65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</row>
    <row r="66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</row>
    <row r="68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</row>
    <row r="69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</row>
    <row r="70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</row>
    <row r="7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</row>
    <row r="72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</row>
    <row r="73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</row>
    <row r="74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</row>
    <row r="75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</row>
    <row r="76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</row>
    <row r="77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</row>
    <row r="78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</row>
    <row r="79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</row>
    <row r="80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</row>
    <row r="8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</row>
    <row r="82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</row>
    <row r="83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</row>
    <row r="84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</row>
    <row r="85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</row>
    <row r="86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</row>
    <row r="87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</row>
    <row r="89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</row>
    <row r="90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</row>
    <row r="9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</row>
    <row r="92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</row>
    <row r="93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</row>
    <row r="94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</row>
    <row r="95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</row>
    <row r="96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</row>
    <row r="97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</row>
    <row r="98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</row>
    <row r="99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</row>
    <row r="100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</row>
    <row r="10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</row>
    <row r="102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</row>
    <row r="103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</row>
    <row r="104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</row>
    <row r="105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</row>
    <row r="106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</row>
    <row r="107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</row>
    <row r="108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</row>
    <row r="109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</row>
    <row r="11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</row>
    <row r="11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</row>
    <row r="113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</row>
    <row r="114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</row>
    <row r="11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</row>
    <row r="116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</row>
    <row r="117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</row>
    <row r="118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</row>
    <row r="119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</row>
    <row r="120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</row>
    <row r="12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</row>
    <row r="122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</row>
    <row r="123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</row>
    <row r="124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</row>
    <row r="12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</row>
    <row r="126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</row>
    <row r="127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</row>
    <row r="128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</row>
    <row r="129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</row>
    <row r="130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</row>
    <row r="13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</row>
    <row r="132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</row>
    <row r="133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</row>
    <row r="134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</row>
    <row r="13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</row>
    <row r="136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</row>
    <row r="137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</row>
    <row r="138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</row>
    <row r="139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</row>
    <row r="140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</row>
    <row r="14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</row>
    <row r="142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</row>
    <row r="143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</row>
    <row r="144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</row>
    <row r="14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</row>
    <row r="146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</row>
    <row r="147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</row>
    <row r="148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</row>
    <row r="149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</row>
    <row r="150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</row>
    <row r="15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</row>
    <row r="15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</row>
    <row r="153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</row>
    <row r="154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</row>
    <row r="15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</row>
    <row r="156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</row>
    <row r="157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</row>
    <row r="158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</row>
    <row r="159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</row>
    <row r="160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</row>
    <row r="16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</row>
    <row r="16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</row>
    <row r="163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</row>
    <row r="164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</row>
    <row r="16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</row>
    <row r="166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</row>
    <row r="167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</row>
    <row r="168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</row>
    <row r="169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</row>
    <row r="170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</row>
    <row r="17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</row>
    <row r="172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</row>
    <row r="173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</row>
    <row r="174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</row>
    <row r="17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</row>
    <row r="176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</row>
    <row r="177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</row>
    <row r="178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</row>
    <row r="179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</row>
    <row r="180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</row>
    <row r="18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</row>
    <row r="182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</row>
    <row r="183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</row>
    <row r="184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</row>
    <row r="185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</row>
    <row r="186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</row>
    <row r="187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</row>
    <row r="188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</row>
    <row r="189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</row>
    <row r="190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</row>
    <row r="19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</row>
    <row r="192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</row>
    <row r="193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</row>
    <row r="194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</row>
    <row r="195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</row>
    <row r="196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</row>
    <row r="197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</row>
    <row r="198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</row>
    <row r="199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</row>
    <row r="200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</row>
    <row r="20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</row>
    <row r="20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</row>
    <row r="203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</row>
    <row r="204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</row>
    <row r="205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</row>
    <row r="206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</row>
    <row r="207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</row>
    <row r="208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</row>
    <row r="209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</row>
    <row r="210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</row>
    <row r="21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</row>
    <row r="212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</row>
    <row r="213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</row>
    <row r="214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</row>
    <row r="215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</row>
    <row r="216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</row>
    <row r="217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</row>
    <row r="218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</row>
    <row r="219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</row>
    <row r="220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</row>
    <row r="22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</row>
    <row r="222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</row>
    <row r="223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</row>
    <row r="224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</row>
    <row r="22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</row>
    <row r="226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</row>
    <row r="227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</row>
    <row r="228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</row>
    <row r="229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</row>
    <row r="230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</row>
    <row r="23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</row>
    <row r="23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</row>
    <row r="233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</row>
    <row r="234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</row>
    <row r="23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</row>
    <row r="236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</row>
    <row r="237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</row>
    <row r="238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</row>
    <row r="239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</row>
    <row r="240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</row>
    <row r="24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</row>
    <row r="242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</row>
    <row r="243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</row>
    <row r="244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</row>
    <row r="24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</row>
    <row r="246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</row>
    <row r="247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</row>
    <row r="248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</row>
    <row r="249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</row>
    <row r="250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</row>
    <row r="25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</row>
    <row r="252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</row>
    <row r="253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</row>
    <row r="254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</row>
    <row r="25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</row>
    <row r="256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</row>
    <row r="257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</row>
    <row r="258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</row>
    <row r="259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</row>
    <row r="260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</row>
    <row r="26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</row>
    <row r="262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</row>
    <row r="263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</row>
    <row r="264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</row>
    <row r="26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</row>
    <row r="266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</row>
    <row r="267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</row>
    <row r="268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</row>
    <row r="269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</row>
    <row r="270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</row>
    <row r="27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</row>
    <row r="27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</row>
    <row r="273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</row>
    <row r="274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</row>
    <row r="27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</row>
    <row r="276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</row>
    <row r="277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</row>
    <row r="278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</row>
    <row r="279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</row>
    <row r="280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</row>
    <row r="28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</row>
    <row r="282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</row>
    <row r="283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</row>
    <row r="284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</row>
    <row r="28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</row>
    <row r="286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</row>
    <row r="287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</row>
    <row r="288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</row>
    <row r="289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</row>
    <row r="290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</row>
    <row r="29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</row>
    <row r="292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</row>
    <row r="293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</row>
    <row r="294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</row>
    <row r="29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</row>
    <row r="296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</row>
    <row r="297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</row>
    <row r="298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</row>
    <row r="299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</row>
    <row r="300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</row>
    <row r="30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</row>
    <row r="302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</row>
    <row r="303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</row>
    <row r="304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</row>
    <row r="30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</row>
    <row r="306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</row>
    <row r="307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</row>
    <row r="308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</row>
    <row r="309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</row>
    <row r="310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</row>
    <row r="31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</row>
    <row r="312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</row>
    <row r="313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</row>
    <row r="314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</row>
    <row r="31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</row>
    <row r="316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</row>
    <row r="317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</row>
    <row r="318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</row>
    <row r="319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</row>
    <row r="320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</row>
    <row r="32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</row>
    <row r="322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</row>
    <row r="323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</row>
    <row r="324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</row>
    <row r="3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</row>
    <row r="326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</row>
    <row r="327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</row>
    <row r="328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</row>
    <row r="329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</row>
    <row r="330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</row>
    <row r="33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</row>
    <row r="332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</row>
    <row r="333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</row>
    <row r="334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</row>
    <row r="33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</row>
    <row r="336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</row>
    <row r="337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</row>
    <row r="338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</row>
    <row r="339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</row>
    <row r="340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</row>
    <row r="34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</row>
    <row r="342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</row>
    <row r="343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</row>
    <row r="344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</row>
    <row r="34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</row>
    <row r="346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</row>
    <row r="347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</row>
    <row r="348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</row>
    <row r="349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</row>
    <row r="350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</row>
    <row r="35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</row>
    <row r="35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</row>
    <row r="353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</row>
    <row r="354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</row>
    <row r="35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</row>
    <row r="356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</row>
    <row r="357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</row>
    <row r="358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</row>
    <row r="359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</row>
    <row r="360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</row>
    <row r="36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</row>
    <row r="36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</row>
    <row r="363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</row>
    <row r="364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</row>
    <row r="36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</row>
    <row r="366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</row>
    <row r="367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</row>
    <row r="368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</row>
    <row r="369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</row>
    <row r="370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</row>
    <row r="37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</row>
    <row r="372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</row>
    <row r="373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</row>
    <row r="374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</row>
    <row r="37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</row>
    <row r="376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</row>
    <row r="377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</row>
    <row r="378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</row>
    <row r="379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</row>
    <row r="380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</row>
    <row r="38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</row>
    <row r="38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</row>
    <row r="383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</row>
    <row r="384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</row>
    <row r="38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</row>
    <row r="386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</row>
    <row r="387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</row>
    <row r="388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</row>
    <row r="389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</row>
    <row r="390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</row>
    <row r="39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</row>
    <row r="392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</row>
    <row r="393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</row>
    <row r="394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</row>
    <row r="39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</row>
    <row r="396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</row>
    <row r="397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</row>
    <row r="398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</row>
    <row r="399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</row>
    <row r="400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</row>
    <row r="40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</row>
    <row r="402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</row>
    <row r="403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</row>
    <row r="404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</row>
    <row r="40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</row>
    <row r="406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</row>
    <row r="407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</row>
    <row r="408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</row>
    <row r="409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</row>
    <row r="410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</row>
    <row r="41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</row>
    <row r="412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</row>
    <row r="413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</row>
    <row r="414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</row>
    <row r="41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</row>
    <row r="416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</row>
    <row r="417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</row>
    <row r="418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</row>
    <row r="419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</row>
    <row r="420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</row>
    <row r="42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</row>
    <row r="422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</row>
    <row r="423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</row>
    <row r="424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</row>
    <row r="4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</row>
    <row r="426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</row>
    <row r="427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</row>
    <row r="428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</row>
    <row r="429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</row>
    <row r="430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</row>
    <row r="43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</row>
    <row r="432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</row>
    <row r="433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</row>
    <row r="434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</row>
    <row r="43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</row>
    <row r="436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</row>
    <row r="437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</row>
    <row r="438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</row>
    <row r="439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</row>
    <row r="440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</row>
    <row r="44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</row>
    <row r="442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</row>
    <row r="443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</row>
    <row r="444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</row>
    <row r="44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</row>
    <row r="446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</row>
    <row r="447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</row>
    <row r="448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</row>
    <row r="449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</row>
    <row r="450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</row>
    <row r="45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</row>
    <row r="452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</row>
    <row r="453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</row>
    <row r="454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</row>
    <row r="45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</row>
    <row r="456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</row>
    <row r="457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</row>
    <row r="458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</row>
    <row r="459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</row>
    <row r="460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</row>
    <row r="46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</row>
    <row r="462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</row>
    <row r="463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</row>
    <row r="464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</row>
    <row r="46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</row>
    <row r="466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</row>
    <row r="467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</row>
    <row r="468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</row>
    <row r="469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</row>
    <row r="470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</row>
    <row r="47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</row>
    <row r="472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</row>
    <row r="473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</row>
    <row r="474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</row>
    <row r="47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</row>
    <row r="476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</row>
    <row r="477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</row>
    <row r="478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</row>
    <row r="479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</row>
    <row r="480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</row>
    <row r="48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</row>
    <row r="482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</row>
    <row r="483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</row>
    <row r="484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</row>
    <row r="48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</row>
    <row r="486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</row>
    <row r="487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</row>
    <row r="488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</row>
    <row r="489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</row>
    <row r="490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</row>
    <row r="49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</row>
    <row r="492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</row>
    <row r="493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</row>
    <row r="494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</row>
    <row r="49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</row>
    <row r="496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</row>
    <row r="497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</row>
    <row r="498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</row>
    <row r="499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</row>
    <row r="500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</row>
    <row r="50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</row>
    <row r="50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</row>
    <row r="503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</row>
    <row r="504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</row>
    <row r="50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</row>
    <row r="506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</row>
    <row r="507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</row>
    <row r="508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</row>
    <row r="509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</row>
    <row r="510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</row>
    <row r="51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</row>
    <row r="512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</row>
    <row r="513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</row>
    <row r="514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</row>
    <row r="51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</row>
    <row r="516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</row>
    <row r="517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</row>
    <row r="518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</row>
    <row r="519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</row>
    <row r="520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</row>
    <row r="52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</row>
    <row r="522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</row>
    <row r="523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</row>
    <row r="524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</row>
    <row r="5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</row>
    <row r="526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</row>
    <row r="527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</row>
    <row r="528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</row>
  </sheetData>
  <autoFilter ref="$B$7:$H$9"/>
  <mergeCells count="2">
    <mergeCell ref="D3:H3"/>
    <mergeCell ref="B5:I5"/>
  </mergeCells>
  <conditionalFormatting sqref="G1:G528">
    <cfRule type="cellIs" dxfId="11" priority="1" operator="lessThan">
      <formula>7</formula>
    </cfRule>
  </conditionalFormatting>
  <conditionalFormatting sqref="G1:G528">
    <cfRule type="cellIs" dxfId="12" priority="2" operator="greaterThanOrEqual">
      <formula>7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hidden="1" min="1" max="1" width="3.63"/>
    <col customWidth="1" min="3" max="3" width="21.5"/>
    <col customWidth="1" min="4" max="4" width="16.63"/>
    <col customWidth="1" min="5" max="6" width="6.75"/>
    <col customWidth="1" min="7" max="7" width="7.0"/>
    <col customWidth="1" min="8" max="8" width="6.0"/>
    <col customWidth="1" min="9" max="9" width="18.5"/>
    <col customWidth="1" min="10" max="15" width="10.75"/>
    <col customWidth="1" min="16" max="17" width="16.5"/>
    <col customWidth="1" min="18" max="26" width="10.75"/>
  </cols>
  <sheetData>
    <row r="1">
      <c r="A1" s="9" t="s">
        <v>2</v>
      </c>
      <c r="B1" s="21" t="str">
        <f t="array" ref="B1:B100">IF(C:C&lt;&gt;"",IF(C:C=C1,"ID SESSION","SES-"&amp;text(A:A,"0000")),)</f>
        <v>ID SESSION</v>
      </c>
      <c r="C1" s="9" t="s">
        <v>14</v>
      </c>
      <c r="D1" s="9" t="s">
        <v>15</v>
      </c>
      <c r="E1" s="9" t="s">
        <v>16</v>
      </c>
      <c r="F1" s="9" t="s">
        <v>17</v>
      </c>
      <c r="G1" s="27" t="str">
        <f t="array" ref="G1:G100">IF(B:B&lt;&gt;"",IF(B:B=B1,"DUREE",TEXT(F:F-E:E,"H:MM")),)</f>
        <v>DUREE</v>
      </c>
      <c r="H1" s="28" t="s">
        <v>20</v>
      </c>
      <c r="I1" s="9" t="s">
        <v>22</v>
      </c>
      <c r="J1" s="9" t="s">
        <v>23</v>
      </c>
      <c r="K1" s="9" t="s">
        <v>24</v>
      </c>
      <c r="L1" s="9" t="s">
        <v>25</v>
      </c>
      <c r="M1" s="9" t="str">
        <f t="array" ref="M1:M100">IF(B:B&lt;&gt;"",IF(B:B=B1,"PLACES RESTANTES",H:H-L:L),)</f>
        <v>PLACES RESTANTES</v>
      </c>
      <c r="N1" s="9" t="str">
        <f>IFERROR(__xludf.DUMMYFUNCTION("ArrayFormula(IF(C:C&lt;&gt;"""",IF(C:C=C1,""MODULE ID"",IFNA(REGEXREPLACE(REGEXEXTRACT(C:C,""\[.*\]""),""\[|\]"",""""))),))"),"MODULE ID")</f>
        <v>MODULE ID</v>
      </c>
      <c r="O1" s="9" t="str">
        <f t="array" ref="O1:O100">IF(N:N&lt;&gt;"",IF(N:N=N1,"MODULE TITRE",IFNA(VLOOKUP(N:N,FORMATIONS!B:C,2,),"")),)</f>
        <v>MODULE TITRE</v>
      </c>
      <c r="P1" s="9" t="str">
        <f t="array" ref="P1:P100">IF(N:N&lt;&gt;"",IF(N:N=N1,"MODULE COMPETENCES",IFNA(VLOOKUP(N:N,FORMATIONS!B:G,6,),"")),)</f>
        <v>MODULE COMPETENCES</v>
      </c>
      <c r="Q1" s="45" t="str">
        <f t="array" ref="Q1:Q100">IF(N:N&lt;&gt;"",IF(N:N=N1,"Appli",IFNA(VLOOKUP(N:N,FORMATIONS!B:D,3,),"")),)</f>
        <v>Appli</v>
      </c>
      <c r="R1" s="9" t="str">
        <f t="array" ref="R1:R100">IF(N:N&lt;&gt;"",IF(N:N=N1,"APPLI URL IMAGE",IFNA(VLOOKUP(N:N,FORMATIONS!B:F,5,),"")),)</f>
        <v>APPLI URL IMAGE</v>
      </c>
      <c r="S1" s="9" t="str">
        <f t="array" ref="S1:S100">IF(N:N&lt;&gt;"",IF(N:N=N1,"APLI COULEUR",IFNA(VLOOKUP(Q:Q, 'IMPORT APPLIS'!A:C,3,),"")),)</f>
        <v>APLI COULEUR</v>
      </c>
      <c r="T1" s="9" t="str">
        <f t="array" ref="T1:T100">IF(B:B&lt;&gt;"",IF(B:B=B1,"LIEN INSCRIPTION","https://docs.google.com/forms/d/e/"&amp;PARAMETRE_ID_FORMS_INSCRIPTION&amp;"/viewform?usp=pp_url&amp;entry.1709222927="&amp;O:O&amp;" "&amp;TEXT(D:D,"dddd dd mmmm yyyy")&amp;" ["&amp;B:B&amp;"]"),)</f>
        <v>LIEN INSCRIPTION</v>
      </c>
      <c r="U1" s="9" t="str">
        <f t="array" ref="U1:U100">IF(N:N&lt;&gt;"",IF(N:N=N1,"MODULE COMPETENCES",IFNA(VLOOKUP(N:N,FORMATIONS!B:E,4,),"")),)</f>
        <v>MODULE COMPETENCES</v>
      </c>
      <c r="V1" s="9"/>
      <c r="W1" s="9"/>
      <c r="X1" s="9" t="str">
        <f>IFERROR(__xludf.DUMMYFUNCTION("ArrayFormula(IF(I:I&lt;&gt;"""",IF(I:I=I1,""LIEU NOM"",IFNA(VLOOKUP(regexreplace(REGEXEXTRACT(I:I,""\[.*\]""),""\[|\]"",""""),LIEUX!B:C,2,))),))"),"LIEU NOM")</f>
        <v>LIEU NOM</v>
      </c>
      <c r="Y1" s="9" t="str">
        <f t="array" ref="Y1:Y100">IF(B:B&lt;&gt;"",IF(B:B=B1,"LIEN DESINSCRIPTION",HYPERLINK("https://docs.google.com/forms/d/e/1FAIpQLSdmeQMPzCl85UWSmWM6LueOMRFYiRJX2kBSe_mxX7hCk60fPA/viewform?usp=pp_url&amp;entry.2116080188="&amp;O:O&amp;" "&amp;TEXT(D:D,"dddd dd mmmm yyyy")&amp;" ["&amp;B:B&amp;"]")),)</f>
        <v>LIEN DESINSCRIPTION</v>
      </c>
      <c r="Z1" s="9"/>
    </row>
    <row r="2">
      <c r="A2" s="11">
        <v>1.0</v>
      </c>
      <c r="B2" s="59" t="s">
        <v>52</v>
      </c>
      <c r="C2" s="11" t="s">
        <v>41</v>
      </c>
      <c r="D2" s="60">
        <v>46224.0</v>
      </c>
      <c r="E2" s="61">
        <v>0.4583333333333333</v>
      </c>
      <c r="F2" s="61">
        <v>0.5</v>
      </c>
      <c r="G2" s="62" t="s">
        <v>53</v>
      </c>
      <c r="H2" s="36">
        <v>155.0</v>
      </c>
      <c r="I2" s="11" t="s">
        <v>54</v>
      </c>
      <c r="J2" s="9"/>
      <c r="K2" s="11" t="b">
        <v>1</v>
      </c>
      <c r="L2" s="11">
        <f>IF(B2&lt;&gt;"",IFNA(COUNTIF(INSCRIPTIONS!B:B,"="&amp;B2),"") - IFNA(COUNTIF('DESINSCRIPTION FORM'!G:G, "="&amp;B2),""),)</f>
        <v>0</v>
      </c>
      <c r="M2" s="11">
        <v>155.0</v>
      </c>
      <c r="N2" s="11" t="str">
        <f>IFERROR(__xludf.DUMMYFUNCTION("""COMPUTED_VALUE"""),"FOR-001")</f>
        <v>FOR-001</v>
      </c>
      <c r="O2" s="11" t="s">
        <v>33</v>
      </c>
      <c r="P2" s="40"/>
      <c r="Q2" s="63" t="s">
        <v>36</v>
      </c>
      <c r="R2" s="64" t="s">
        <v>39</v>
      </c>
      <c r="S2" s="11" t="s">
        <v>55</v>
      </c>
      <c r="T2" s="65" t="s">
        <v>56</v>
      </c>
      <c r="U2" s="11" t="s">
        <v>37</v>
      </c>
      <c r="V2" s="11"/>
      <c r="W2" s="11"/>
      <c r="X2" s="11" t="str">
        <f>IFERROR(__xludf.DUMMYFUNCTION("""COMPUTED_VALUE"""),"DISTANCIEL")</f>
        <v>DISTANCIEL</v>
      </c>
      <c r="Y2" s="64" t="s">
        <v>57</v>
      </c>
      <c r="Z2" s="11"/>
    </row>
    <row r="3">
      <c r="A3" s="11">
        <v>2.0</v>
      </c>
      <c r="B3" s="59" t="s">
        <v>58</v>
      </c>
      <c r="C3" s="11" t="s">
        <v>49</v>
      </c>
      <c r="D3" s="60">
        <v>46226.0</v>
      </c>
      <c r="E3" s="61">
        <v>0.375</v>
      </c>
      <c r="F3" s="61">
        <v>0.4791666666666667</v>
      </c>
      <c r="G3" s="62" t="s">
        <v>59</v>
      </c>
      <c r="H3" s="36">
        <v>150.0</v>
      </c>
      <c r="I3" s="11" t="s">
        <v>54</v>
      </c>
      <c r="J3" s="9" t="s">
        <v>60</v>
      </c>
      <c r="K3" s="11" t="b">
        <v>1</v>
      </c>
      <c r="L3" s="11">
        <f>IF(B3&lt;&gt;"",IFNA(COUNTIF(INSCRIPTIONS!B:B,"="&amp;B3),"") - IFNA(COUNTIF('DESINSCRIPTION FORM'!G:G, "="&amp;B3),""),)</f>
        <v>0</v>
      </c>
      <c r="M3" s="11">
        <v>150.0</v>
      </c>
      <c r="N3" s="11" t="str">
        <f>IFERROR(__xludf.DUMMYFUNCTION("""COMPUTED_VALUE"""),"FOR-002")</f>
        <v>FOR-002</v>
      </c>
      <c r="O3" s="11" t="s">
        <v>44</v>
      </c>
      <c r="P3" s="40"/>
      <c r="Q3" s="63" t="s">
        <v>46</v>
      </c>
      <c r="R3" s="11"/>
      <c r="S3" s="11"/>
      <c r="T3" s="65" t="s">
        <v>61</v>
      </c>
      <c r="U3" s="11" t="s">
        <v>48</v>
      </c>
      <c r="V3" s="11"/>
      <c r="W3" s="11"/>
      <c r="X3" s="11" t="str">
        <f>IFERROR(__xludf.DUMMYFUNCTION("""COMPUTED_VALUE"""),"DISTANCIEL")</f>
        <v>DISTANCIEL</v>
      </c>
      <c r="Y3" s="64" t="s">
        <v>62</v>
      </c>
      <c r="Z3" s="11"/>
    </row>
    <row r="4">
      <c r="A4" s="11">
        <v>3.0</v>
      </c>
      <c r="B4" s="59" t="s">
        <v>63</v>
      </c>
      <c r="C4" s="11" t="s">
        <v>49</v>
      </c>
      <c r="D4" s="60">
        <v>46226.0</v>
      </c>
      <c r="E4" s="61">
        <v>0.5833333333333334</v>
      </c>
      <c r="F4" s="61">
        <v>0.6458333333333334</v>
      </c>
      <c r="G4" s="62" t="s">
        <v>65</v>
      </c>
      <c r="H4" s="36">
        <v>150.0</v>
      </c>
      <c r="I4" s="11" t="s">
        <v>54</v>
      </c>
      <c r="J4" s="9" t="s">
        <v>66</v>
      </c>
      <c r="K4" s="11" t="b">
        <v>1</v>
      </c>
      <c r="L4" s="11">
        <f>IF(B4&lt;&gt;"",IFNA(COUNTIF(INSCRIPTIONS!B:B,"="&amp;B4),"") - IFNA(COUNTIF('DESINSCRIPTION FORM'!G:G, "="&amp;B4),""),)</f>
        <v>0</v>
      </c>
      <c r="M4" s="11">
        <v>150.0</v>
      </c>
      <c r="N4" s="11" t="str">
        <f>IFERROR(__xludf.DUMMYFUNCTION("""COMPUTED_VALUE"""),"FOR-002")</f>
        <v>FOR-002</v>
      </c>
      <c r="O4" s="11" t="s">
        <v>44</v>
      </c>
      <c r="P4" s="40"/>
      <c r="Q4" s="63" t="s">
        <v>46</v>
      </c>
      <c r="R4" s="11"/>
      <c r="S4" s="11"/>
      <c r="T4" s="65" t="s">
        <v>75</v>
      </c>
      <c r="U4" s="11" t="s">
        <v>48</v>
      </c>
      <c r="V4" s="11"/>
      <c r="W4" s="11"/>
      <c r="X4" s="11" t="str">
        <f>IFERROR(__xludf.DUMMYFUNCTION("""COMPUTED_VALUE"""),"DISTANCIEL")</f>
        <v>DISTANCIEL</v>
      </c>
      <c r="Y4" s="64" t="s">
        <v>77</v>
      </c>
      <c r="Z4" s="11"/>
    </row>
    <row r="5">
      <c r="A5" s="11">
        <v>4.0</v>
      </c>
      <c r="B5" s="59"/>
      <c r="C5" s="11"/>
      <c r="D5" s="60"/>
      <c r="E5" s="61"/>
      <c r="F5" s="61"/>
      <c r="G5" s="62"/>
      <c r="H5" s="36"/>
      <c r="I5" s="11"/>
      <c r="J5" s="9"/>
      <c r="K5" s="11" t="b">
        <v>0</v>
      </c>
      <c r="L5" s="11" t="str">
        <f>IF(B5&lt;&gt;"",IFNA(COUNTIF(INSCRIPTIONS!B:B,"="&amp;B5),"") - IFNA(COUNTIF('DESINSCRIPTION FORM'!G:G, "="&amp;B5),""),)</f>
        <v/>
      </c>
      <c r="M5" s="11"/>
      <c r="N5" s="11"/>
      <c r="O5" s="11"/>
      <c r="P5" s="40"/>
      <c r="Q5" s="63"/>
      <c r="R5" s="11"/>
      <c r="S5" s="11"/>
      <c r="T5" s="65"/>
      <c r="U5" s="11"/>
      <c r="V5" s="11"/>
      <c r="W5" s="11"/>
      <c r="X5" s="11"/>
      <c r="Y5" s="11"/>
      <c r="Z5" s="11"/>
    </row>
    <row r="6">
      <c r="A6" s="11">
        <v>5.0</v>
      </c>
      <c r="B6" s="59"/>
      <c r="C6" s="11"/>
      <c r="D6" s="60"/>
      <c r="E6" s="61"/>
      <c r="F6" s="61"/>
      <c r="G6" s="62"/>
      <c r="H6" s="36"/>
      <c r="I6" s="11"/>
      <c r="J6" s="9"/>
      <c r="K6" s="11" t="b">
        <v>0</v>
      </c>
      <c r="L6" s="11" t="str">
        <f>IF(B6&lt;&gt;"",IFNA(COUNTIF(INSCRIPTIONS!B:B,"="&amp;B6),"") - IFNA(COUNTIF('DESINSCRIPTION FORM'!G:G, "="&amp;B6),""),)</f>
        <v/>
      </c>
      <c r="M6" s="11"/>
      <c r="N6" s="11"/>
      <c r="O6" s="11"/>
      <c r="P6" s="40"/>
      <c r="Q6" s="63"/>
      <c r="R6" s="11"/>
      <c r="S6" s="11"/>
      <c r="T6" s="65"/>
      <c r="U6" s="11"/>
      <c r="V6" s="11"/>
      <c r="W6" s="11"/>
      <c r="X6" s="11"/>
      <c r="Y6" s="11"/>
      <c r="Z6" s="11"/>
    </row>
    <row r="7">
      <c r="A7" s="11">
        <v>6.0</v>
      </c>
      <c r="B7" s="59"/>
      <c r="C7" s="11"/>
      <c r="D7" s="60"/>
      <c r="E7" s="61"/>
      <c r="F7" s="61"/>
      <c r="G7" s="62"/>
      <c r="H7" s="36"/>
      <c r="I7" s="11"/>
      <c r="J7" s="9"/>
      <c r="K7" s="11" t="b">
        <v>0</v>
      </c>
      <c r="L7" s="11" t="str">
        <f>IF(B7&lt;&gt;"",IFNA(COUNTIF(INSCRIPTIONS!B:B,"="&amp;B7),"") - IFNA(COUNTIF('DESINSCRIPTION FORM'!G:G, "="&amp;B7),""),)</f>
        <v/>
      </c>
      <c r="M7" s="11"/>
      <c r="N7" s="11"/>
      <c r="O7" s="11"/>
      <c r="P7" s="40"/>
      <c r="Q7" s="63"/>
      <c r="R7" s="11"/>
      <c r="S7" s="11"/>
      <c r="T7" s="65"/>
      <c r="U7" s="11"/>
      <c r="V7" s="11"/>
      <c r="W7" s="11"/>
      <c r="X7" s="11"/>
      <c r="Y7" s="11"/>
      <c r="Z7" s="11"/>
    </row>
    <row r="8">
      <c r="A8" s="11">
        <v>7.0</v>
      </c>
      <c r="B8" s="59"/>
      <c r="C8" s="11"/>
      <c r="D8" s="60"/>
      <c r="E8" s="61"/>
      <c r="F8" s="61"/>
      <c r="G8" s="62"/>
      <c r="H8" s="36"/>
      <c r="I8" s="11"/>
      <c r="J8" s="9"/>
      <c r="K8" s="11" t="b">
        <v>0</v>
      </c>
      <c r="L8" s="11" t="str">
        <f>IF(B8&lt;&gt;"",IFNA(COUNTIF(INSCRIPTIONS!B:B,"="&amp;B8),"") - IFNA(COUNTIF('DESINSCRIPTION FORM'!G:G, "="&amp;B8),""),)</f>
        <v/>
      </c>
      <c r="M8" s="11"/>
      <c r="N8" s="11"/>
      <c r="O8" s="11"/>
      <c r="P8" s="40"/>
      <c r="Q8" s="63"/>
      <c r="R8" s="11"/>
      <c r="S8" s="11"/>
      <c r="T8" s="65"/>
      <c r="U8" s="11"/>
      <c r="V8" s="11"/>
      <c r="W8" s="11"/>
      <c r="X8" s="11"/>
      <c r="Y8" s="11"/>
      <c r="Z8" s="11"/>
    </row>
    <row r="9">
      <c r="A9" s="11">
        <v>8.0</v>
      </c>
      <c r="B9" s="59"/>
      <c r="C9" s="11"/>
      <c r="D9" s="60"/>
      <c r="E9" s="61"/>
      <c r="F9" s="61"/>
      <c r="G9" s="62"/>
      <c r="H9" s="36"/>
      <c r="I9" s="11"/>
      <c r="J9" s="9"/>
      <c r="K9" s="11" t="b">
        <v>0</v>
      </c>
      <c r="L9" s="11" t="str">
        <f>IF(B9&lt;&gt;"",IFNA(COUNTIF(INSCRIPTIONS!B:B,"="&amp;B9),"") - IFNA(COUNTIF('DESINSCRIPTION FORM'!G:G, "="&amp;B9),""),)</f>
        <v/>
      </c>
      <c r="M9" s="11"/>
      <c r="N9" s="11"/>
      <c r="O9" s="11"/>
      <c r="P9" s="40"/>
      <c r="Q9" s="63"/>
      <c r="R9" s="11"/>
      <c r="S9" s="11"/>
      <c r="T9" s="65"/>
      <c r="U9" s="11"/>
      <c r="V9" s="11"/>
      <c r="W9" s="11"/>
      <c r="X9" s="11"/>
      <c r="Y9" s="11"/>
      <c r="Z9" s="11"/>
    </row>
    <row r="10">
      <c r="A10" s="11">
        <v>9.0</v>
      </c>
      <c r="B10" s="59"/>
      <c r="C10" s="11"/>
      <c r="D10" s="60"/>
      <c r="E10" s="61"/>
      <c r="F10" s="61"/>
      <c r="G10" s="73"/>
      <c r="H10" s="36"/>
      <c r="I10" s="11"/>
      <c r="J10" s="9"/>
      <c r="K10" s="11" t="b">
        <v>0</v>
      </c>
      <c r="L10" s="11" t="str">
        <f>IF(B10&lt;&gt;"",IFNA(COUNTIF(INSCRIPTIONS!B:B,"="&amp;B10),"") - IFNA(COUNTIF('DESINSCRIPTION FORM'!G:G, "="&amp;B10),""),)</f>
        <v/>
      </c>
      <c r="M10" s="11"/>
      <c r="N10" s="11"/>
      <c r="O10" s="11"/>
      <c r="P10" s="40"/>
      <c r="Q10" s="63"/>
      <c r="R10" s="11"/>
      <c r="S10" s="11"/>
      <c r="T10" s="65"/>
      <c r="U10" s="11"/>
      <c r="V10" s="11"/>
      <c r="W10" s="11"/>
      <c r="X10" s="11"/>
      <c r="Y10" s="11"/>
      <c r="Z10" s="11"/>
    </row>
    <row r="11">
      <c r="A11" s="11">
        <v>10.0</v>
      </c>
      <c r="B11" s="59"/>
      <c r="C11" s="11"/>
      <c r="D11" s="60"/>
      <c r="E11" s="74"/>
      <c r="F11" s="75"/>
      <c r="G11" s="73"/>
      <c r="H11" s="36"/>
      <c r="I11" s="11"/>
      <c r="J11" s="9"/>
      <c r="K11" s="11" t="b">
        <v>0</v>
      </c>
      <c r="L11" s="11" t="str">
        <f>IF(B11&lt;&gt;"",IFNA(COUNTIF(INSCRIPTIONS!B:B,"="&amp;B11),"") - IFNA(COUNTIF('DESINSCRIPTION FORM'!G:G, "="&amp;B11),""),)</f>
        <v/>
      </c>
      <c r="M11" s="11"/>
      <c r="N11" s="11"/>
      <c r="O11" s="11"/>
      <c r="P11" s="40"/>
      <c r="Q11" s="63"/>
      <c r="R11" s="11"/>
      <c r="S11" s="11"/>
      <c r="T11" s="65"/>
      <c r="U11" s="11"/>
      <c r="V11" s="11"/>
      <c r="W11" s="11"/>
      <c r="X11" s="11"/>
      <c r="Y11" s="11"/>
      <c r="Z11" s="11"/>
    </row>
    <row r="12">
      <c r="A12" s="11">
        <v>11.0</v>
      </c>
      <c r="B12" s="59"/>
      <c r="C12" s="11"/>
      <c r="D12" s="60"/>
      <c r="E12" s="61"/>
      <c r="F12" s="75"/>
      <c r="G12" s="73"/>
      <c r="H12" s="36"/>
      <c r="I12" s="11"/>
      <c r="J12" s="9"/>
      <c r="K12" s="11" t="b">
        <v>0</v>
      </c>
      <c r="L12" s="11" t="str">
        <f>IF(B12&lt;&gt;"",IFNA(COUNTIF(INSCRIPTIONS!B:B,"="&amp;B12),"") - IFNA(COUNTIF('DESINSCRIPTION FORM'!G:G, "="&amp;B12),""),)</f>
        <v/>
      </c>
      <c r="M12" s="11"/>
      <c r="N12" s="11"/>
      <c r="O12" s="11"/>
      <c r="P12" s="40"/>
      <c r="Q12" s="63"/>
      <c r="R12" s="11"/>
      <c r="S12" s="11"/>
      <c r="T12" s="65"/>
      <c r="U12" s="11"/>
      <c r="V12" s="11"/>
      <c r="W12" s="11"/>
      <c r="X12" s="11"/>
      <c r="Y12" s="11"/>
      <c r="Z12" s="11"/>
    </row>
    <row r="13">
      <c r="A13" s="11">
        <v>12.0</v>
      </c>
      <c r="B13" s="59"/>
      <c r="C13" s="11"/>
      <c r="D13" s="60"/>
      <c r="E13" s="74"/>
      <c r="F13" s="75"/>
      <c r="G13" s="73"/>
      <c r="H13" s="36"/>
      <c r="I13" s="11"/>
      <c r="J13" s="9"/>
      <c r="K13" s="11" t="b">
        <v>0</v>
      </c>
      <c r="L13" s="11" t="str">
        <f>IF(B13&lt;&gt;"",IFNA(COUNTIF(INSCRIPTIONS!B:B,"="&amp;B13),"") - IFNA(COUNTIF('DESINSCRIPTION FORM'!G:G, "="&amp;B13),""),)</f>
        <v/>
      </c>
      <c r="M13" s="11"/>
      <c r="N13" s="11"/>
      <c r="O13" s="11"/>
      <c r="P13" s="40"/>
      <c r="Q13" s="63"/>
      <c r="R13" s="11"/>
      <c r="S13" s="11"/>
      <c r="T13" s="65"/>
      <c r="U13" s="11"/>
      <c r="V13" s="11"/>
      <c r="W13" s="11"/>
      <c r="X13" s="11"/>
      <c r="Y13" s="11"/>
      <c r="Z13" s="11"/>
    </row>
    <row r="14">
      <c r="A14" s="11">
        <v>14.0</v>
      </c>
      <c r="B14" s="59"/>
      <c r="C14" s="11"/>
      <c r="D14" s="60"/>
      <c r="E14" s="74"/>
      <c r="F14" s="75"/>
      <c r="G14" s="73"/>
      <c r="H14" s="36"/>
      <c r="I14" s="11"/>
      <c r="J14" s="9"/>
      <c r="K14" s="11" t="b">
        <v>0</v>
      </c>
      <c r="L14" s="11" t="str">
        <f>IF(B14&lt;&gt;"",IFNA(COUNTIF(INSCRIPTIONS!B:B,"="&amp;B14),"") - IFNA(COUNTIF('DESINSCRIPTION FORM'!G:G, "="&amp;B14),""),)</f>
        <v/>
      </c>
      <c r="M14" s="11"/>
      <c r="N14" s="11"/>
      <c r="O14" s="11"/>
      <c r="P14" s="40"/>
      <c r="Q14" s="63"/>
      <c r="R14" s="11"/>
      <c r="S14" s="11"/>
      <c r="T14" s="65"/>
      <c r="U14" s="11"/>
      <c r="V14" s="11"/>
      <c r="W14" s="11"/>
      <c r="X14" s="11"/>
      <c r="Y14" s="11"/>
      <c r="Z14" s="11"/>
    </row>
    <row r="15">
      <c r="A15" s="11">
        <v>15.0</v>
      </c>
      <c r="B15" s="59"/>
      <c r="C15" s="11"/>
      <c r="D15" s="60"/>
      <c r="E15" s="61"/>
      <c r="F15" s="75"/>
      <c r="G15" s="73"/>
      <c r="H15" s="36"/>
      <c r="I15" s="11"/>
      <c r="J15" s="9"/>
      <c r="K15" s="11" t="b">
        <v>0</v>
      </c>
      <c r="L15" s="11" t="str">
        <f>IF(B15&lt;&gt;"",IFNA(COUNTIF(INSCRIPTIONS!B:B,"="&amp;B15),"") - IFNA(COUNTIF('DESINSCRIPTION FORM'!G:G, "="&amp;B15),""),)</f>
        <v/>
      </c>
      <c r="M15" s="11"/>
      <c r="N15" s="11"/>
      <c r="O15" s="11"/>
      <c r="P15" s="40"/>
      <c r="Q15" s="63"/>
      <c r="R15" s="11"/>
      <c r="S15" s="11"/>
      <c r="T15" s="65"/>
      <c r="U15" s="11"/>
      <c r="V15" s="11"/>
      <c r="W15" s="11"/>
      <c r="X15" s="11"/>
      <c r="Y15" s="11"/>
      <c r="Z15" s="11"/>
    </row>
    <row r="16">
      <c r="A16" s="11">
        <v>16.0</v>
      </c>
      <c r="B16" s="59"/>
      <c r="C16" s="11"/>
      <c r="D16" s="60"/>
      <c r="E16" s="74"/>
      <c r="F16" s="75"/>
      <c r="G16" s="73"/>
      <c r="H16" s="36"/>
      <c r="I16" s="11"/>
      <c r="J16" s="9"/>
      <c r="K16" s="11" t="b">
        <v>0</v>
      </c>
      <c r="L16" s="11" t="str">
        <f>IF(B16&lt;&gt;"",IFNA(COUNTIF(INSCRIPTIONS!B:B,"="&amp;B16),"") - IFNA(COUNTIF('DESINSCRIPTION FORM'!G:G, "="&amp;B16),""),)</f>
        <v/>
      </c>
      <c r="M16" s="11"/>
      <c r="N16" s="11"/>
      <c r="O16" s="11"/>
      <c r="P16" s="40"/>
      <c r="Q16" s="63"/>
      <c r="R16" s="11"/>
      <c r="S16" s="11"/>
      <c r="T16" s="65"/>
      <c r="U16" s="11"/>
      <c r="V16" s="11"/>
      <c r="W16" s="11"/>
      <c r="X16" s="11"/>
      <c r="Y16" s="11"/>
      <c r="Z16" s="11"/>
    </row>
    <row r="17">
      <c r="A17" s="11">
        <v>17.0</v>
      </c>
      <c r="B17" s="59"/>
      <c r="C17" s="11"/>
      <c r="D17" s="60"/>
      <c r="E17" s="61"/>
      <c r="F17" s="75"/>
      <c r="G17" s="73"/>
      <c r="H17" s="36"/>
      <c r="I17" s="11"/>
      <c r="J17" s="9"/>
      <c r="K17" s="11" t="b">
        <v>0</v>
      </c>
      <c r="L17" s="11" t="str">
        <f>IF(B17&lt;&gt;"",IFNA(COUNTIF(INSCRIPTIONS!B:B,"="&amp;B17),"") - IFNA(COUNTIF('DESINSCRIPTION FORM'!G:G, "="&amp;B17),""),)</f>
        <v/>
      </c>
      <c r="M17" s="11"/>
      <c r="N17" s="11"/>
      <c r="O17" s="11"/>
      <c r="P17" s="40"/>
      <c r="Q17" s="63"/>
      <c r="R17" s="11"/>
      <c r="S17" s="11"/>
      <c r="T17" s="65"/>
      <c r="U17" s="11"/>
      <c r="V17" s="11"/>
      <c r="W17" s="11"/>
      <c r="X17" s="11"/>
      <c r="Y17" s="11"/>
      <c r="Z17" s="11"/>
    </row>
    <row r="18">
      <c r="A18" s="11">
        <v>18.0</v>
      </c>
      <c r="B18" s="59"/>
      <c r="C18" s="11"/>
      <c r="D18" s="60"/>
      <c r="E18" s="74"/>
      <c r="F18" s="75"/>
      <c r="G18" s="73"/>
      <c r="H18" s="36"/>
      <c r="I18" s="11"/>
      <c r="J18" s="9"/>
      <c r="K18" s="11" t="b">
        <v>0</v>
      </c>
      <c r="L18" s="11" t="str">
        <f>IF(B18&lt;&gt;"",IFNA(COUNTIF(INSCRIPTIONS!B:B,"="&amp;B18),"") - IFNA(COUNTIF('DESINSCRIPTION FORM'!G:G, "="&amp;B18),""),)</f>
        <v/>
      </c>
      <c r="M18" s="11"/>
      <c r="N18" s="11"/>
      <c r="O18" s="11"/>
      <c r="P18" s="40"/>
      <c r="Q18" s="63"/>
      <c r="R18" s="11"/>
      <c r="S18" s="11"/>
      <c r="T18" s="65"/>
      <c r="U18" s="11"/>
      <c r="V18" s="11"/>
      <c r="W18" s="11"/>
      <c r="X18" s="11"/>
      <c r="Y18" s="11"/>
      <c r="Z18" s="11"/>
    </row>
    <row r="19">
      <c r="A19" s="11">
        <v>19.0</v>
      </c>
      <c r="B19" s="59"/>
      <c r="C19" s="11"/>
      <c r="D19" s="60"/>
      <c r="E19" s="74"/>
      <c r="F19" s="75"/>
      <c r="G19" s="73"/>
      <c r="H19" s="36"/>
      <c r="I19" s="11"/>
      <c r="J19" s="9"/>
      <c r="K19" s="11" t="b">
        <v>0</v>
      </c>
      <c r="L19" s="11" t="str">
        <f>IF(B19&lt;&gt;"",IFNA(COUNTIF(INSCRIPTIONS!B:B,"="&amp;B19),"") - IFNA(COUNTIF('DESINSCRIPTION FORM'!G:G, "="&amp;B19),""),)</f>
        <v/>
      </c>
      <c r="M19" s="11"/>
      <c r="N19" s="11"/>
      <c r="O19" s="11"/>
      <c r="P19" s="40"/>
      <c r="Q19" s="63"/>
      <c r="R19" s="11"/>
      <c r="S19" s="11"/>
      <c r="T19" s="65"/>
      <c r="U19" s="11"/>
      <c r="V19" s="11"/>
      <c r="W19" s="11"/>
      <c r="X19" s="11"/>
      <c r="Y19" s="11"/>
      <c r="Z19" s="11"/>
    </row>
    <row r="20">
      <c r="A20" s="11">
        <v>20.0</v>
      </c>
      <c r="B20" s="59"/>
      <c r="C20" s="11"/>
      <c r="D20" s="60"/>
      <c r="E20" s="61"/>
      <c r="F20" s="75"/>
      <c r="G20" s="73"/>
      <c r="H20" s="36"/>
      <c r="I20" s="11"/>
      <c r="J20" s="9"/>
      <c r="K20" s="11" t="b">
        <v>0</v>
      </c>
      <c r="L20" s="11" t="str">
        <f>IF(B20&lt;&gt;"",IFNA(COUNTIF(INSCRIPTIONS!B:B,"="&amp;B20),"") - IFNA(COUNTIF('DESINSCRIPTION FORM'!G:G, "="&amp;B20),""),)</f>
        <v/>
      </c>
      <c r="M20" s="11"/>
      <c r="N20" s="11"/>
      <c r="O20" s="11"/>
      <c r="P20" s="40"/>
      <c r="Q20" s="63"/>
      <c r="R20" s="11"/>
      <c r="S20" s="11"/>
      <c r="T20" s="65"/>
      <c r="U20" s="11"/>
      <c r="V20" s="11"/>
      <c r="W20" s="11"/>
      <c r="X20" s="11"/>
      <c r="Y20" s="11"/>
      <c r="Z20" s="11"/>
    </row>
    <row r="21">
      <c r="A21" s="11">
        <v>21.0</v>
      </c>
      <c r="B21" s="59"/>
      <c r="C21" s="11"/>
      <c r="D21" s="60"/>
      <c r="E21" s="61"/>
      <c r="F21" s="75"/>
      <c r="G21" s="73"/>
      <c r="H21" s="36"/>
      <c r="I21" s="11"/>
      <c r="J21" s="9"/>
      <c r="K21" s="11" t="b">
        <v>0</v>
      </c>
      <c r="L21" s="11" t="str">
        <f>IF(B21&lt;&gt;"",IFNA(COUNTIF(INSCRIPTIONS!B:B,"="&amp;B21),"") - IFNA(COUNTIF('DESINSCRIPTION FORM'!G:G, "="&amp;B21),""),)</f>
        <v/>
      </c>
      <c r="M21" s="11"/>
      <c r="N21" s="11"/>
      <c r="O21" s="11"/>
      <c r="P21" s="40"/>
      <c r="Q21" s="63"/>
      <c r="R21" s="11"/>
      <c r="S21" s="11"/>
      <c r="T21" s="65"/>
      <c r="U21" s="11"/>
      <c r="V21" s="11"/>
      <c r="W21" s="11"/>
      <c r="X21" s="11"/>
      <c r="Y21" s="11"/>
      <c r="Z21" s="11"/>
    </row>
    <row r="22" hidden="1">
      <c r="A22" s="11">
        <v>22.0</v>
      </c>
      <c r="B22" s="59"/>
      <c r="C22" s="11"/>
      <c r="D22" s="60"/>
      <c r="E22" s="75"/>
      <c r="F22" s="75"/>
      <c r="G22" s="73"/>
      <c r="H22" s="36"/>
      <c r="I22" s="11"/>
      <c r="J22" s="9"/>
      <c r="K22" s="11" t="b">
        <v>0</v>
      </c>
      <c r="L22" s="11" t="str">
        <f>IF(B22&lt;&gt;"",IFNA(COUNTIF(INSCRIPTIONS!B:B,"="&amp;B22),"") - IFNA(COUNTIF('DESINSCRIPTION FORM'!G:G, "="&amp;B22),""),)</f>
        <v/>
      </c>
      <c r="M22" s="11"/>
      <c r="N22" s="11"/>
      <c r="O22" s="11"/>
      <c r="P22" s="40"/>
      <c r="Q22" s="63"/>
      <c r="R22" s="11"/>
      <c r="S22" s="11"/>
      <c r="T22" s="65"/>
      <c r="U22" s="11"/>
      <c r="V22" s="11"/>
      <c r="W22" s="11"/>
      <c r="X22" s="11"/>
      <c r="Y22" s="11"/>
      <c r="Z22" s="11"/>
    </row>
    <row r="23">
      <c r="A23" s="11">
        <v>23.0</v>
      </c>
      <c r="B23" s="59"/>
      <c r="C23" s="11"/>
      <c r="D23" s="60"/>
      <c r="E23" s="74"/>
      <c r="F23" s="75"/>
      <c r="G23" s="73"/>
      <c r="H23" s="36"/>
      <c r="I23" s="11"/>
      <c r="J23" s="9"/>
      <c r="K23" s="11" t="b">
        <v>0</v>
      </c>
      <c r="L23" s="11" t="str">
        <f>IF(B23&lt;&gt;"",IFNA(COUNTIF(INSCRIPTIONS!B:B,"="&amp;B23),"") - IFNA(COUNTIF('DESINSCRIPTION FORM'!G:G, "="&amp;B23),""),)</f>
        <v/>
      </c>
      <c r="M23" s="11"/>
      <c r="N23" s="11"/>
      <c r="O23" s="11"/>
      <c r="P23" s="40"/>
      <c r="Q23" s="63"/>
      <c r="R23" s="11"/>
      <c r="S23" s="11"/>
      <c r="T23" s="65"/>
      <c r="U23" s="11"/>
      <c r="V23" s="11"/>
      <c r="W23" s="11"/>
      <c r="X23" s="11"/>
      <c r="Y23" s="11"/>
      <c r="Z23" s="11"/>
    </row>
    <row r="24">
      <c r="A24" s="11">
        <v>24.0</v>
      </c>
      <c r="B24" s="59"/>
      <c r="C24" s="11"/>
      <c r="D24" s="60"/>
      <c r="E24" s="61"/>
      <c r="F24" s="75"/>
      <c r="G24" s="87"/>
      <c r="H24" s="36"/>
      <c r="I24" s="11"/>
      <c r="J24" s="9"/>
      <c r="K24" s="11" t="b">
        <v>0</v>
      </c>
      <c r="L24" s="11" t="str">
        <f>IF(B24&lt;&gt;"",IFNA(COUNTIF(INSCRIPTIONS!B:B,"="&amp;B24),"") - IFNA(COUNTIF('DESINSCRIPTION FORM'!G:G, "="&amp;B24),""),)</f>
        <v/>
      </c>
      <c r="M24" s="11"/>
      <c r="N24" s="11"/>
      <c r="O24" s="11"/>
      <c r="P24" s="40"/>
      <c r="Q24" s="63"/>
      <c r="R24" s="11"/>
      <c r="S24" s="11"/>
      <c r="T24" s="65"/>
      <c r="U24" s="11"/>
      <c r="V24" s="11"/>
      <c r="W24" s="11"/>
      <c r="X24" s="11"/>
      <c r="Y24" s="11"/>
      <c r="Z24" s="11"/>
    </row>
    <row r="25">
      <c r="A25" s="11">
        <v>25.0</v>
      </c>
      <c r="B25" s="59"/>
      <c r="C25" s="11"/>
      <c r="D25" s="60"/>
      <c r="E25" s="61"/>
      <c r="F25" s="75"/>
      <c r="G25" s="87"/>
      <c r="H25" s="36"/>
      <c r="I25" s="11"/>
      <c r="J25" s="9"/>
      <c r="K25" s="11" t="b">
        <v>0</v>
      </c>
      <c r="L25" s="11" t="str">
        <f>IF(B25&lt;&gt;"",IFNA(COUNTIF(INSCRIPTIONS!B:B,"="&amp;B25),"") - IFNA(COUNTIF('DESINSCRIPTION FORM'!G:G, "="&amp;B25),""),)</f>
        <v/>
      </c>
      <c r="M25" s="11"/>
      <c r="N25" s="11"/>
      <c r="O25" s="11"/>
      <c r="P25" s="40"/>
      <c r="Q25" s="63"/>
      <c r="R25" s="11"/>
      <c r="S25" s="11"/>
      <c r="T25" s="65"/>
      <c r="U25" s="11"/>
      <c r="V25" s="11"/>
      <c r="W25" s="11"/>
      <c r="X25" s="11"/>
      <c r="Y25" s="11"/>
      <c r="Z25" s="11"/>
    </row>
    <row r="26">
      <c r="A26" s="11">
        <v>26.0</v>
      </c>
      <c r="B26" s="59"/>
      <c r="C26" s="11"/>
      <c r="D26" s="60"/>
      <c r="E26" s="74"/>
      <c r="F26" s="75"/>
      <c r="G26" s="73"/>
      <c r="H26" s="36"/>
      <c r="I26" s="11"/>
      <c r="J26" s="9"/>
      <c r="K26" s="11" t="b">
        <v>0</v>
      </c>
      <c r="L26" s="11" t="str">
        <f>IF(B26&lt;&gt;"",IFNA(COUNTIF(INSCRIPTIONS!B:B,"="&amp;B26),"") - IFNA(COUNTIF('DESINSCRIPTION FORM'!G:G, "="&amp;B26),""),)</f>
        <v/>
      </c>
      <c r="M26" s="11"/>
      <c r="N26" s="11"/>
      <c r="O26" s="11"/>
      <c r="P26" s="40"/>
      <c r="Q26" s="63"/>
      <c r="R26" s="11"/>
      <c r="S26" s="11"/>
      <c r="T26" s="65"/>
      <c r="U26" s="11"/>
      <c r="V26" s="11"/>
      <c r="W26" s="11"/>
      <c r="X26" s="11"/>
      <c r="Y26" s="11"/>
      <c r="Z26" s="11"/>
    </row>
    <row r="27">
      <c r="A27" s="11">
        <v>27.0</v>
      </c>
      <c r="B27" s="59"/>
      <c r="C27" s="11"/>
      <c r="D27" s="60"/>
      <c r="E27" s="74"/>
      <c r="F27" s="75"/>
      <c r="G27" s="73"/>
      <c r="H27" s="36"/>
      <c r="I27" s="11"/>
      <c r="J27" s="9"/>
      <c r="K27" s="11" t="b">
        <v>0</v>
      </c>
      <c r="L27" s="11" t="str">
        <f>IF(B27&lt;&gt;"",IFNA(COUNTIF(INSCRIPTIONS!B:B,"="&amp;B27),"") - IFNA(COUNTIF('DESINSCRIPTION FORM'!G:G, "="&amp;B27),""),)</f>
        <v/>
      </c>
      <c r="M27" s="11"/>
      <c r="N27" s="11"/>
      <c r="O27" s="11"/>
      <c r="P27" s="40"/>
      <c r="Q27" s="63"/>
      <c r="R27" s="11"/>
      <c r="S27" s="11"/>
      <c r="T27" s="65"/>
      <c r="U27" s="11"/>
      <c r="V27" s="11"/>
      <c r="W27" s="11"/>
      <c r="X27" s="11"/>
      <c r="Y27" s="11"/>
      <c r="Z27" s="11"/>
    </row>
    <row r="28">
      <c r="A28" s="11">
        <v>28.0</v>
      </c>
      <c r="B28" s="59"/>
      <c r="C28" s="11"/>
      <c r="D28" s="60"/>
      <c r="E28" s="74"/>
      <c r="F28" s="75"/>
      <c r="G28" s="73"/>
      <c r="H28" s="36"/>
      <c r="I28" s="11"/>
      <c r="J28" s="9"/>
      <c r="K28" s="11" t="b">
        <v>0</v>
      </c>
      <c r="L28" s="11" t="str">
        <f>IF(B28&lt;&gt;"",IFNA(COUNTIF(INSCRIPTIONS!B:B,"="&amp;B28),"") - IFNA(COUNTIF('DESINSCRIPTION FORM'!G:G, "="&amp;B28),""),)</f>
        <v/>
      </c>
      <c r="M28" s="11"/>
      <c r="N28" s="11"/>
      <c r="O28" s="11"/>
      <c r="P28" s="40"/>
      <c r="Q28" s="63"/>
      <c r="R28" s="11"/>
      <c r="S28" s="11"/>
      <c r="T28" s="65"/>
      <c r="U28" s="11"/>
      <c r="V28" s="11"/>
      <c r="W28" s="11"/>
      <c r="X28" s="11"/>
      <c r="Y28" s="11"/>
      <c r="Z28" s="11"/>
    </row>
    <row r="29">
      <c r="A29" s="11">
        <v>29.0</v>
      </c>
      <c r="B29" s="59"/>
      <c r="C29" s="11"/>
      <c r="D29" s="60"/>
      <c r="E29" s="75"/>
      <c r="F29" s="75"/>
      <c r="G29" s="73"/>
      <c r="H29" s="36"/>
      <c r="I29" s="11"/>
      <c r="J29" s="9"/>
      <c r="K29" s="11" t="b">
        <v>0</v>
      </c>
      <c r="L29" s="11" t="str">
        <f>IF(B29&lt;&gt;"",IFNA(COUNTIF(INSCRIPTIONS!B:B,"="&amp;B29),"") - IFNA(COUNTIF('DESINSCRIPTION FORM'!G:G, "="&amp;B29),""),)</f>
        <v/>
      </c>
      <c r="M29" s="11"/>
      <c r="N29" s="11"/>
      <c r="O29" s="11"/>
      <c r="P29" s="40"/>
      <c r="Q29" s="63"/>
      <c r="R29" s="11"/>
      <c r="S29" s="11"/>
      <c r="T29" s="65"/>
      <c r="U29" s="11"/>
      <c r="V29" s="11"/>
      <c r="W29" s="11"/>
      <c r="X29" s="11"/>
      <c r="Y29" s="11"/>
      <c r="Z29" s="11"/>
    </row>
    <row r="30">
      <c r="A30" s="11">
        <v>30.0</v>
      </c>
      <c r="B30" s="59"/>
      <c r="C30" s="11"/>
      <c r="D30" s="60"/>
      <c r="E30" s="61"/>
      <c r="F30" s="75"/>
      <c r="G30" s="73"/>
      <c r="H30" s="36"/>
      <c r="I30" s="11"/>
      <c r="J30" s="9"/>
      <c r="K30" s="11" t="b">
        <v>0</v>
      </c>
      <c r="L30" s="11" t="str">
        <f>IF(B30&lt;&gt;"",IFNA(COUNTIF(INSCRIPTIONS!B:B,"="&amp;B30),"") - IFNA(COUNTIF('DESINSCRIPTION FORM'!G:G, "="&amp;B30),""),)</f>
        <v/>
      </c>
      <c r="M30" s="11"/>
      <c r="N30" s="11"/>
      <c r="O30" s="11"/>
      <c r="P30" s="40"/>
      <c r="Q30" s="63"/>
      <c r="R30" s="11"/>
      <c r="S30" s="11"/>
      <c r="T30" s="65"/>
      <c r="U30" s="11"/>
      <c r="V30" s="11"/>
      <c r="W30" s="11"/>
      <c r="X30" s="11"/>
      <c r="Y30" s="11"/>
      <c r="Z30" s="11"/>
    </row>
    <row r="31">
      <c r="A31" s="11">
        <v>31.0</v>
      </c>
      <c r="B31" s="59"/>
      <c r="C31" s="11"/>
      <c r="D31" s="60"/>
      <c r="E31" s="75"/>
      <c r="F31" s="75"/>
      <c r="G31" s="73"/>
      <c r="H31" s="36"/>
      <c r="I31" s="11"/>
      <c r="J31" s="9"/>
      <c r="K31" s="11" t="b">
        <v>0</v>
      </c>
      <c r="L31" s="11" t="str">
        <f>IF(B31&lt;&gt;"",IFNA(COUNTIF(INSCRIPTIONS!B:B,"="&amp;B31),"") - IFNA(COUNTIF('DESINSCRIPTION FORM'!G:G, "="&amp;B31),""),)</f>
        <v/>
      </c>
      <c r="M31" s="11"/>
      <c r="N31" s="11"/>
      <c r="O31" s="11"/>
      <c r="P31" s="40"/>
      <c r="Q31" s="63"/>
      <c r="R31" s="11"/>
      <c r="S31" s="11"/>
      <c r="T31" s="65"/>
      <c r="U31" s="11"/>
      <c r="V31" s="11"/>
      <c r="W31" s="11"/>
      <c r="X31" s="11"/>
      <c r="Y31" s="11"/>
      <c r="Z31" s="11"/>
    </row>
    <row r="32">
      <c r="A32" s="11">
        <v>32.0</v>
      </c>
      <c r="B32" s="59"/>
      <c r="C32" s="11"/>
      <c r="D32" s="60"/>
      <c r="E32" s="75"/>
      <c r="F32" s="75"/>
      <c r="G32" s="73"/>
      <c r="H32" s="36"/>
      <c r="I32" s="11"/>
      <c r="J32" s="9"/>
      <c r="K32" s="11" t="b">
        <v>0</v>
      </c>
      <c r="L32" s="11" t="str">
        <f>IF(B32&lt;&gt;"",IFNA(COUNTIF(INSCRIPTIONS!B:B,"="&amp;B32),"") - IFNA(COUNTIF('DESINSCRIPTION FORM'!G:G, "="&amp;B32),""),)</f>
        <v/>
      </c>
      <c r="M32" s="11"/>
      <c r="N32" s="11"/>
      <c r="O32" s="11"/>
      <c r="P32" s="40"/>
      <c r="Q32" s="63"/>
      <c r="R32" s="11"/>
      <c r="S32" s="11"/>
      <c r="T32" s="65"/>
      <c r="U32" s="11"/>
      <c r="V32" s="11"/>
      <c r="W32" s="11"/>
      <c r="X32" s="11"/>
      <c r="Y32" s="11"/>
      <c r="Z32" s="11"/>
    </row>
    <row r="33">
      <c r="A33" s="11">
        <v>33.0</v>
      </c>
      <c r="B33" s="59"/>
      <c r="C33" s="11"/>
      <c r="D33" s="60"/>
      <c r="E33" s="75"/>
      <c r="F33" s="75"/>
      <c r="G33" s="73"/>
      <c r="H33" s="36"/>
      <c r="I33" s="11"/>
      <c r="J33" s="9"/>
      <c r="K33" s="11" t="b">
        <v>0</v>
      </c>
      <c r="L33" s="11" t="str">
        <f>IF(B33&lt;&gt;"",IFNA(COUNTIF(INSCRIPTIONS!B:B,"="&amp;B33),"") - IFNA(COUNTIF('DESINSCRIPTION FORM'!G:G, "="&amp;B33),""),)</f>
        <v/>
      </c>
      <c r="M33" s="11"/>
      <c r="N33" s="11"/>
      <c r="O33" s="11"/>
      <c r="P33" s="40"/>
      <c r="Q33" s="63"/>
      <c r="R33" s="11"/>
      <c r="S33" s="11"/>
      <c r="T33" s="65"/>
      <c r="U33" s="11"/>
      <c r="V33" s="11"/>
      <c r="W33" s="11"/>
      <c r="X33" s="11"/>
      <c r="Y33" s="11"/>
      <c r="Z33" s="11"/>
    </row>
    <row r="34">
      <c r="A34" s="11">
        <v>34.0</v>
      </c>
      <c r="B34" s="59"/>
      <c r="C34" s="11"/>
      <c r="D34" s="60"/>
      <c r="E34" s="75"/>
      <c r="F34" s="75"/>
      <c r="G34" s="73"/>
      <c r="H34" s="36"/>
      <c r="I34" s="11"/>
      <c r="J34" s="9"/>
      <c r="K34" s="11" t="b">
        <v>0</v>
      </c>
      <c r="L34" s="11" t="str">
        <f>IF(B34&lt;&gt;"",IFNA(COUNTIF(INSCRIPTIONS!B:B,"="&amp;B34),"") - IFNA(COUNTIF('DESINSCRIPTION FORM'!G:G, "="&amp;B34),""),)</f>
        <v/>
      </c>
      <c r="M34" s="11"/>
      <c r="N34" s="11"/>
      <c r="O34" s="11"/>
      <c r="P34" s="40"/>
      <c r="Q34" s="63"/>
      <c r="R34" s="11"/>
      <c r="S34" s="11"/>
      <c r="T34" s="65"/>
      <c r="U34" s="11"/>
      <c r="V34" s="11"/>
      <c r="W34" s="11"/>
      <c r="X34" s="11"/>
      <c r="Y34" s="11"/>
      <c r="Z34" s="11"/>
    </row>
    <row r="35">
      <c r="A35" s="11">
        <v>35.0</v>
      </c>
      <c r="B35" s="59"/>
      <c r="C35" s="11"/>
      <c r="D35" s="60"/>
      <c r="E35" s="75"/>
      <c r="F35" s="75"/>
      <c r="G35" s="73"/>
      <c r="H35" s="36"/>
      <c r="I35" s="11"/>
      <c r="J35" s="9"/>
      <c r="K35" s="11" t="b">
        <v>0</v>
      </c>
      <c r="L35" s="11" t="str">
        <f>IF(B35&lt;&gt;"",IFNA(COUNTIF(INSCRIPTIONS!B:B,"="&amp;B35),"") - IFNA(COUNTIF('DESINSCRIPTION FORM'!G:G, "="&amp;B35),""),)</f>
        <v/>
      </c>
      <c r="M35" s="11"/>
      <c r="N35" s="11"/>
      <c r="O35" s="11"/>
      <c r="P35" s="40"/>
      <c r="Q35" s="63"/>
      <c r="R35" s="11"/>
      <c r="S35" s="11"/>
      <c r="T35" s="65"/>
      <c r="U35" s="11"/>
      <c r="V35" s="11"/>
      <c r="W35" s="11"/>
      <c r="X35" s="11"/>
      <c r="Y35" s="11"/>
      <c r="Z35" s="11"/>
    </row>
    <row r="36">
      <c r="A36" s="11">
        <v>36.0</v>
      </c>
      <c r="B36" s="59"/>
      <c r="C36" s="11"/>
      <c r="D36" s="60"/>
      <c r="E36" s="75"/>
      <c r="F36" s="75"/>
      <c r="G36" s="73"/>
      <c r="H36" s="36"/>
      <c r="I36" s="11"/>
      <c r="J36" s="9"/>
      <c r="K36" s="11" t="b">
        <v>0</v>
      </c>
      <c r="L36" s="11" t="str">
        <f>IF(B36&lt;&gt;"",IFNA(COUNTIF(INSCRIPTIONS!B:B,"="&amp;B36),"") - IFNA(COUNTIF('DESINSCRIPTION FORM'!G:G, "="&amp;B36),""),)</f>
        <v/>
      </c>
      <c r="M36" s="11"/>
      <c r="N36" s="11"/>
      <c r="O36" s="11"/>
      <c r="P36" s="40"/>
      <c r="Q36" s="63"/>
      <c r="R36" s="11"/>
      <c r="S36" s="11"/>
      <c r="T36" s="65"/>
      <c r="U36" s="11"/>
      <c r="V36" s="11"/>
      <c r="W36" s="11"/>
      <c r="X36" s="11"/>
      <c r="Y36" s="11"/>
      <c r="Z36" s="11"/>
    </row>
    <row r="37">
      <c r="A37" s="11">
        <v>37.0</v>
      </c>
      <c r="B37" s="59"/>
      <c r="C37" s="11"/>
      <c r="D37" s="60"/>
      <c r="E37" s="75"/>
      <c r="F37" s="75"/>
      <c r="G37" s="73"/>
      <c r="H37" s="36"/>
      <c r="I37" s="11"/>
      <c r="J37" s="9"/>
      <c r="K37" s="11" t="b">
        <v>0</v>
      </c>
      <c r="L37" s="11" t="str">
        <f>IF(B37&lt;&gt;"",IFNA(COUNTIF(INSCRIPTIONS!B:B,"="&amp;B37),"") - IFNA(COUNTIF('DESINSCRIPTION FORM'!G:G, "="&amp;B37),""),)</f>
        <v/>
      </c>
      <c r="M37" s="11"/>
      <c r="N37" s="11"/>
      <c r="O37" s="11"/>
      <c r="P37" s="40"/>
      <c r="Q37" s="63"/>
      <c r="R37" s="11"/>
      <c r="S37" s="11"/>
      <c r="T37" s="65"/>
      <c r="U37" s="11"/>
      <c r="V37" s="11"/>
      <c r="W37" s="11"/>
      <c r="X37" s="11"/>
      <c r="Y37" s="11"/>
      <c r="Z37" s="11"/>
    </row>
    <row r="38">
      <c r="A38" s="11">
        <v>38.0</v>
      </c>
      <c r="B38" s="59"/>
      <c r="C38" s="11"/>
      <c r="D38" s="60"/>
      <c r="E38" s="75"/>
      <c r="F38" s="75"/>
      <c r="G38" s="73"/>
      <c r="H38" s="36"/>
      <c r="I38" s="11"/>
      <c r="J38" s="9"/>
      <c r="K38" s="11" t="b">
        <v>0</v>
      </c>
      <c r="L38" s="11" t="str">
        <f>IF(B38&lt;&gt;"",IFNA(COUNTIF(INSCRIPTIONS!B:B,"="&amp;B38),"") - IFNA(COUNTIF('DESINSCRIPTION FORM'!G:G, "="&amp;B38),""),)</f>
        <v/>
      </c>
      <c r="M38" s="11"/>
      <c r="N38" s="11"/>
      <c r="O38" s="11"/>
      <c r="P38" s="40"/>
      <c r="Q38" s="63"/>
      <c r="R38" s="11"/>
      <c r="S38" s="11"/>
      <c r="T38" s="65"/>
      <c r="U38" s="11"/>
      <c r="V38" s="11"/>
      <c r="W38" s="11"/>
      <c r="X38" s="11"/>
      <c r="Y38" s="11"/>
      <c r="Z38" s="11"/>
    </row>
    <row r="39">
      <c r="A39" s="11">
        <v>39.0</v>
      </c>
      <c r="B39" s="59"/>
      <c r="C39" s="11"/>
      <c r="D39" s="60"/>
      <c r="E39" s="75"/>
      <c r="F39" s="75"/>
      <c r="G39" s="73"/>
      <c r="H39" s="36"/>
      <c r="I39" s="11"/>
      <c r="J39" s="9"/>
      <c r="K39" s="11" t="b">
        <v>0</v>
      </c>
      <c r="L39" s="11" t="str">
        <f>IF(B39&lt;&gt;"",IFNA(COUNTIF(INSCRIPTIONS!B:B,"="&amp;B39),"") - IFNA(COUNTIF('DESINSCRIPTION FORM'!G:G, "="&amp;B39),""),)</f>
        <v/>
      </c>
      <c r="M39" s="11"/>
      <c r="N39" s="11"/>
      <c r="O39" s="11"/>
      <c r="P39" s="40"/>
      <c r="Q39" s="63"/>
      <c r="R39" s="11"/>
      <c r="S39" s="11"/>
      <c r="T39" s="65"/>
      <c r="U39" s="11"/>
      <c r="V39" s="11"/>
      <c r="W39" s="11"/>
      <c r="X39" s="11"/>
      <c r="Y39" s="11"/>
      <c r="Z39" s="11"/>
    </row>
    <row r="40">
      <c r="A40" s="11">
        <v>40.0</v>
      </c>
      <c r="B40" s="59"/>
      <c r="C40" s="11"/>
      <c r="D40" s="60"/>
      <c r="E40" s="75"/>
      <c r="F40" s="75"/>
      <c r="G40" s="73"/>
      <c r="H40" s="36"/>
      <c r="I40" s="11"/>
      <c r="J40" s="9"/>
      <c r="K40" s="11" t="b">
        <v>0</v>
      </c>
      <c r="L40" s="11" t="str">
        <f>IF(B40&lt;&gt;"",IFNA(COUNTIF(INSCRIPTIONS!B:B,"="&amp;B40),"") - IFNA(COUNTIF('DESINSCRIPTION FORM'!G:G, "="&amp;B40),""),)</f>
        <v/>
      </c>
      <c r="M40" s="11"/>
      <c r="N40" s="11"/>
      <c r="O40" s="11"/>
      <c r="P40" s="40"/>
      <c r="Q40" s="63"/>
      <c r="R40" s="11"/>
      <c r="S40" s="11"/>
      <c r="T40" s="65"/>
      <c r="U40" s="11"/>
      <c r="V40" s="11"/>
      <c r="W40" s="11"/>
      <c r="X40" s="11"/>
      <c r="Y40" s="11"/>
      <c r="Z40" s="11"/>
    </row>
    <row r="41">
      <c r="A41" s="11">
        <v>41.0</v>
      </c>
      <c r="B41" s="59"/>
      <c r="C41" s="11"/>
      <c r="D41" s="60"/>
      <c r="E41" s="75"/>
      <c r="F41" s="75"/>
      <c r="G41" s="73"/>
      <c r="H41" s="36"/>
      <c r="I41" s="11"/>
      <c r="J41" s="9"/>
      <c r="K41" s="11" t="b">
        <v>0</v>
      </c>
      <c r="L41" s="11" t="str">
        <f>IF(B41&lt;&gt;"",IFNA(COUNTIF(INSCRIPTIONS!B:B,"="&amp;B41),"") - IFNA(COUNTIF('DESINSCRIPTION FORM'!G:G, "="&amp;B41),""),)</f>
        <v/>
      </c>
      <c r="M41" s="11"/>
      <c r="N41" s="11"/>
      <c r="O41" s="11"/>
      <c r="P41" s="40"/>
      <c r="Q41" s="63"/>
      <c r="R41" s="11"/>
      <c r="S41" s="11"/>
      <c r="T41" s="65"/>
      <c r="U41" s="11"/>
      <c r="V41" s="11"/>
      <c r="W41" s="11"/>
      <c r="X41" s="11"/>
      <c r="Y41" s="11"/>
      <c r="Z41" s="11"/>
    </row>
    <row r="42">
      <c r="A42" s="11">
        <v>42.0</v>
      </c>
      <c r="B42" s="59"/>
      <c r="C42" s="11"/>
      <c r="D42" s="60"/>
      <c r="E42" s="75"/>
      <c r="F42" s="75"/>
      <c r="G42" s="73"/>
      <c r="H42" s="36"/>
      <c r="I42" s="11"/>
      <c r="J42" s="9"/>
      <c r="K42" s="11" t="b">
        <v>0</v>
      </c>
      <c r="L42" s="11" t="str">
        <f>IF(B42&lt;&gt;"",IFNA(COUNTIF(INSCRIPTIONS!B:B,"="&amp;B42),"") - IFNA(COUNTIF('DESINSCRIPTION FORM'!G:G, "="&amp;B42),""),)</f>
        <v/>
      </c>
      <c r="M42" s="11"/>
      <c r="N42" s="11"/>
      <c r="O42" s="11"/>
      <c r="P42" s="40"/>
      <c r="Q42" s="63"/>
      <c r="R42" s="11"/>
      <c r="S42" s="11"/>
      <c r="T42" s="65"/>
      <c r="U42" s="11"/>
      <c r="V42" s="11"/>
      <c r="W42" s="11"/>
      <c r="X42" s="11"/>
      <c r="Y42" s="11"/>
      <c r="Z42" s="11"/>
    </row>
    <row r="43">
      <c r="A43" s="11">
        <v>43.0</v>
      </c>
      <c r="B43" s="59"/>
      <c r="C43" s="11"/>
      <c r="D43" s="60"/>
      <c r="E43" s="75"/>
      <c r="F43" s="75"/>
      <c r="G43" s="73"/>
      <c r="H43" s="36"/>
      <c r="I43" s="11"/>
      <c r="J43" s="9"/>
      <c r="K43" s="11" t="b">
        <v>0</v>
      </c>
      <c r="L43" s="11" t="str">
        <f>IF(B43&lt;&gt;"",IFNA(COUNTIF(INSCRIPTIONS!B:B,"="&amp;B43),"") - IFNA(COUNTIF('DESINSCRIPTION FORM'!G:G, "="&amp;B43),""),)</f>
        <v/>
      </c>
      <c r="M43" s="11"/>
      <c r="N43" s="11"/>
      <c r="O43" s="11"/>
      <c r="P43" s="40"/>
      <c r="Q43" s="63"/>
      <c r="R43" s="11"/>
      <c r="S43" s="11"/>
      <c r="T43" s="65"/>
      <c r="U43" s="11"/>
      <c r="V43" s="11"/>
      <c r="W43" s="11"/>
      <c r="X43" s="11"/>
      <c r="Y43" s="11"/>
      <c r="Z43" s="11"/>
    </row>
    <row r="44">
      <c r="A44" s="11">
        <v>44.0</v>
      </c>
      <c r="B44" s="59"/>
      <c r="C44" s="11"/>
      <c r="D44" s="60"/>
      <c r="E44" s="75"/>
      <c r="F44" s="75"/>
      <c r="G44" s="73"/>
      <c r="H44" s="36"/>
      <c r="I44" s="11"/>
      <c r="J44" s="9"/>
      <c r="K44" s="11" t="b">
        <v>0</v>
      </c>
      <c r="L44" s="11" t="str">
        <f>IF(B44&lt;&gt;"",IFNA(COUNTIF(INSCRIPTIONS!B:B,"="&amp;B44),"") - IFNA(COUNTIF('DESINSCRIPTION FORM'!G:G, "="&amp;B44),""),)</f>
        <v/>
      </c>
      <c r="M44" s="11"/>
      <c r="N44" s="11"/>
      <c r="O44" s="11"/>
      <c r="P44" s="40"/>
      <c r="Q44" s="63"/>
      <c r="R44" s="11"/>
      <c r="S44" s="11"/>
      <c r="T44" s="65"/>
      <c r="U44" s="11"/>
      <c r="V44" s="11"/>
      <c r="W44" s="11"/>
      <c r="X44" s="11"/>
      <c r="Y44" s="11"/>
      <c r="Z44" s="11"/>
    </row>
    <row r="45">
      <c r="A45" s="11">
        <v>45.0</v>
      </c>
      <c r="B45" s="59"/>
      <c r="C45" s="11"/>
      <c r="D45" s="60"/>
      <c r="E45" s="75"/>
      <c r="F45" s="75"/>
      <c r="G45" s="73"/>
      <c r="H45" s="36"/>
      <c r="I45" s="11"/>
      <c r="J45" s="9"/>
      <c r="K45" s="11" t="b">
        <v>0</v>
      </c>
      <c r="L45" s="11" t="str">
        <f>IF(B45&lt;&gt;"",IFNA(COUNTIF(INSCRIPTIONS!B:B,"="&amp;B45),"") - IFNA(COUNTIF('DESINSCRIPTION FORM'!G:G, "="&amp;B45),""),)</f>
        <v/>
      </c>
      <c r="M45" s="11"/>
      <c r="N45" s="11"/>
      <c r="O45" s="11"/>
      <c r="P45" s="40"/>
      <c r="Q45" s="63"/>
      <c r="R45" s="11"/>
      <c r="S45" s="11"/>
      <c r="T45" s="65"/>
      <c r="U45" s="11"/>
      <c r="V45" s="11"/>
      <c r="W45" s="11"/>
      <c r="X45" s="11"/>
      <c r="Y45" s="11"/>
      <c r="Z45" s="11"/>
    </row>
    <row r="46">
      <c r="A46" s="11">
        <v>46.0</v>
      </c>
      <c r="B46" s="59"/>
      <c r="C46" s="11"/>
      <c r="D46" s="60"/>
      <c r="E46" s="75"/>
      <c r="F46" s="75"/>
      <c r="G46" s="73"/>
      <c r="H46" s="36"/>
      <c r="I46" s="11"/>
      <c r="J46" s="9"/>
      <c r="K46" s="11" t="b">
        <v>0</v>
      </c>
      <c r="L46" s="11" t="str">
        <f>IF(B46&lt;&gt;"",IFNA(COUNTIF(INSCRIPTIONS!B:B,"="&amp;B46),"") - IFNA(COUNTIF('DESINSCRIPTION FORM'!G:G, "="&amp;B46),""),)</f>
        <v/>
      </c>
      <c r="M46" s="11"/>
      <c r="N46" s="11"/>
      <c r="O46" s="11"/>
      <c r="P46" s="40"/>
      <c r="Q46" s="63"/>
      <c r="R46" s="11"/>
      <c r="S46" s="11"/>
      <c r="T46" s="65"/>
      <c r="U46" s="11"/>
      <c r="V46" s="11"/>
      <c r="W46" s="11"/>
      <c r="X46" s="11"/>
      <c r="Y46" s="11"/>
      <c r="Z46" s="11"/>
    </row>
    <row r="47">
      <c r="A47" s="11">
        <v>47.0</v>
      </c>
      <c r="B47" s="59"/>
      <c r="C47" s="11"/>
      <c r="D47" s="60"/>
      <c r="E47" s="75"/>
      <c r="F47" s="75"/>
      <c r="G47" s="73"/>
      <c r="H47" s="36"/>
      <c r="I47" s="11"/>
      <c r="J47" s="9"/>
      <c r="K47" s="11" t="b">
        <v>0</v>
      </c>
      <c r="L47" s="11" t="str">
        <f>IF(B47&lt;&gt;"",IFNA(COUNTIF(INSCRIPTIONS!B:B,"="&amp;B47),"") - IFNA(COUNTIF('DESINSCRIPTION FORM'!G:G, "="&amp;B47),""),)</f>
        <v/>
      </c>
      <c r="M47" s="11"/>
      <c r="N47" s="11"/>
      <c r="O47" s="11"/>
      <c r="P47" s="40"/>
      <c r="Q47" s="63"/>
      <c r="R47" s="11"/>
      <c r="S47" s="11"/>
      <c r="T47" s="65"/>
      <c r="U47" s="11"/>
      <c r="V47" s="11"/>
      <c r="W47" s="11"/>
      <c r="X47" s="11"/>
      <c r="Y47" s="11"/>
      <c r="Z47" s="11"/>
    </row>
    <row r="48">
      <c r="A48" s="11">
        <v>48.0</v>
      </c>
      <c r="B48" s="59"/>
      <c r="C48" s="11"/>
      <c r="D48" s="60"/>
      <c r="E48" s="61"/>
      <c r="F48" s="61"/>
      <c r="G48" s="87"/>
      <c r="H48" s="36"/>
      <c r="I48" s="11"/>
      <c r="J48" s="9"/>
      <c r="K48" s="11" t="b">
        <v>0</v>
      </c>
      <c r="L48" s="11" t="str">
        <f>IF(B48&lt;&gt;"",IFNA(COUNTIF(INSCRIPTIONS!B:B,"="&amp;B48),"") - IFNA(COUNTIF('DESINSCRIPTION FORM'!G:G, "="&amp;B48),""),)</f>
        <v/>
      </c>
      <c r="M48" s="11"/>
      <c r="N48" s="11"/>
      <c r="O48" s="11"/>
      <c r="P48" s="40"/>
      <c r="Q48" s="63"/>
      <c r="R48" s="11"/>
      <c r="S48" s="11"/>
      <c r="T48" s="65"/>
      <c r="U48" s="11"/>
      <c r="V48" s="11"/>
      <c r="W48" s="11"/>
      <c r="X48" s="11"/>
      <c r="Y48" s="11"/>
      <c r="Z48" s="11"/>
    </row>
    <row r="49">
      <c r="A49" s="11">
        <v>49.0</v>
      </c>
      <c r="B49" s="59"/>
      <c r="C49" s="11"/>
      <c r="D49" s="60"/>
      <c r="E49" s="61"/>
      <c r="F49" s="61"/>
      <c r="G49" s="73"/>
      <c r="H49" s="36"/>
      <c r="I49" s="11"/>
      <c r="J49" s="9"/>
      <c r="K49" s="11" t="b">
        <v>0</v>
      </c>
      <c r="L49" s="11" t="str">
        <f>IF(B49&lt;&gt;"",IFNA(COUNTIF(INSCRIPTIONS!B:B,"="&amp;B49),"") - IFNA(COUNTIF('DESINSCRIPTION FORM'!G:G, "="&amp;B49),""),)</f>
        <v/>
      </c>
      <c r="M49" s="11"/>
      <c r="N49" s="11"/>
      <c r="O49" s="11"/>
      <c r="P49" s="40"/>
      <c r="Q49" s="63"/>
      <c r="R49" s="11"/>
      <c r="S49" s="11"/>
      <c r="T49" s="65"/>
      <c r="U49" s="11"/>
      <c r="V49" s="11"/>
      <c r="W49" s="11"/>
      <c r="X49" s="11"/>
      <c r="Y49" s="11"/>
      <c r="Z49" s="11"/>
    </row>
    <row r="50">
      <c r="A50" s="11">
        <v>50.0</v>
      </c>
      <c r="B50" s="59"/>
      <c r="C50" s="11"/>
      <c r="D50" s="60"/>
      <c r="E50" s="61"/>
      <c r="F50" s="61"/>
      <c r="G50" s="73"/>
      <c r="H50" s="36"/>
      <c r="I50" s="11"/>
      <c r="J50" s="9"/>
      <c r="K50" s="11" t="b">
        <v>0</v>
      </c>
      <c r="L50" s="11" t="str">
        <f>IF(B50&lt;&gt;"",IFNA(COUNTIF(INSCRIPTIONS!B:B,"="&amp;B50),"") - IFNA(COUNTIF('DESINSCRIPTION FORM'!G:G, "="&amp;B50),""),)</f>
        <v/>
      </c>
      <c r="M50" s="11"/>
      <c r="N50" s="11"/>
      <c r="O50" s="11"/>
      <c r="P50" s="40"/>
      <c r="Q50" s="63"/>
      <c r="R50" s="11"/>
      <c r="S50" s="11"/>
      <c r="T50" s="65"/>
      <c r="U50" s="11"/>
      <c r="V50" s="11"/>
      <c r="W50" s="11"/>
      <c r="X50" s="11"/>
      <c r="Y50" s="11"/>
      <c r="Z50" s="11"/>
    </row>
    <row r="51">
      <c r="A51" s="11">
        <v>51.0</v>
      </c>
      <c r="B51" s="59"/>
      <c r="C51" s="11"/>
      <c r="D51" s="60"/>
      <c r="E51" s="61"/>
      <c r="F51" s="61"/>
      <c r="G51" s="73"/>
      <c r="H51" s="36"/>
      <c r="I51" s="11"/>
      <c r="J51" s="9"/>
      <c r="K51" s="11" t="b">
        <v>0</v>
      </c>
      <c r="L51" s="11" t="str">
        <f>IF(B51&lt;&gt;"",IFNA(COUNTIF(INSCRIPTIONS!B:B,"="&amp;B51),"") - IFNA(COUNTIF('DESINSCRIPTION FORM'!G:G, "="&amp;B51),""),)</f>
        <v/>
      </c>
      <c r="M51" s="11"/>
      <c r="N51" s="11"/>
      <c r="O51" s="11"/>
      <c r="P51" s="40"/>
      <c r="Q51" s="63"/>
      <c r="R51" s="11"/>
      <c r="S51" s="11"/>
      <c r="T51" s="65"/>
      <c r="U51" s="11"/>
      <c r="V51" s="11"/>
      <c r="W51" s="11"/>
      <c r="X51" s="11"/>
      <c r="Y51" s="11"/>
      <c r="Z51" s="11"/>
    </row>
    <row r="52">
      <c r="A52" s="11">
        <v>52.0</v>
      </c>
      <c r="B52" s="59"/>
      <c r="C52" s="11"/>
      <c r="D52" s="60"/>
      <c r="E52" s="61"/>
      <c r="F52" s="61"/>
      <c r="G52" s="73"/>
      <c r="H52" s="36"/>
      <c r="I52" s="11"/>
      <c r="J52" s="9"/>
      <c r="K52" s="11" t="b">
        <v>0</v>
      </c>
      <c r="L52" s="11" t="str">
        <f>IF(B52&lt;&gt;"",IFNA(COUNTIF(INSCRIPTIONS!B:B,"="&amp;B52),"") - IFNA(COUNTIF('DESINSCRIPTION FORM'!G:G, "="&amp;B52),""),)</f>
        <v/>
      </c>
      <c r="M52" s="11"/>
      <c r="N52" s="11"/>
      <c r="O52" s="11"/>
      <c r="P52" s="40"/>
      <c r="Q52" s="63"/>
      <c r="R52" s="11"/>
      <c r="S52" s="11"/>
      <c r="T52" s="65"/>
      <c r="U52" s="11"/>
      <c r="V52" s="11"/>
      <c r="W52" s="11"/>
      <c r="X52" s="11"/>
      <c r="Y52" s="11"/>
      <c r="Z52" s="11"/>
    </row>
    <row r="53">
      <c r="A53" s="11">
        <v>53.0</v>
      </c>
      <c r="B53" s="59"/>
      <c r="C53" s="11"/>
      <c r="D53" s="60"/>
      <c r="E53" s="75"/>
      <c r="F53" s="75"/>
      <c r="G53" s="73"/>
      <c r="H53" s="36"/>
      <c r="I53" s="11"/>
      <c r="J53" s="9"/>
      <c r="K53" s="11" t="b">
        <v>0</v>
      </c>
      <c r="L53" s="11" t="str">
        <f>IF(B53&lt;&gt;"",IFNA(COUNTIF(INSCRIPTIONS!B:B,"="&amp;B53),"") - IFNA(COUNTIF('DESINSCRIPTION FORM'!G:G, "="&amp;B53),""),)</f>
        <v/>
      </c>
      <c r="M53" s="11"/>
      <c r="N53" s="11"/>
      <c r="O53" s="11"/>
      <c r="P53" s="40"/>
      <c r="Q53" s="63"/>
      <c r="R53" s="11"/>
      <c r="S53" s="11"/>
      <c r="T53" s="65"/>
      <c r="U53" s="11"/>
      <c r="V53" s="11"/>
      <c r="W53" s="11"/>
      <c r="X53" s="11"/>
      <c r="Y53" s="11"/>
      <c r="Z53" s="11"/>
    </row>
    <row r="54">
      <c r="A54" s="11">
        <v>53.0</v>
      </c>
      <c r="B54" s="59"/>
      <c r="C54" s="11"/>
      <c r="D54" s="60"/>
      <c r="E54" s="75"/>
      <c r="F54" s="75"/>
      <c r="G54" s="73"/>
      <c r="H54" s="36"/>
      <c r="I54" s="11"/>
      <c r="J54" s="9"/>
      <c r="K54" s="11" t="b">
        <v>0</v>
      </c>
      <c r="L54" s="11" t="str">
        <f>IF(B54&lt;&gt;"",IFNA(COUNTIF(INSCRIPTIONS!B:B,"="&amp;B54),"") - IFNA(COUNTIF('DESINSCRIPTION FORM'!G:G, "="&amp;B54),""),)</f>
        <v/>
      </c>
      <c r="M54" s="11"/>
      <c r="N54" s="11"/>
      <c r="O54" s="11"/>
      <c r="P54" s="40"/>
      <c r="Q54" s="63"/>
      <c r="R54" s="11"/>
      <c r="S54" s="11"/>
      <c r="T54" s="65"/>
      <c r="U54" s="11"/>
      <c r="V54" s="11"/>
      <c r="W54" s="11"/>
      <c r="X54" s="11"/>
      <c r="Y54" s="11"/>
      <c r="Z54" s="11"/>
    </row>
    <row r="55">
      <c r="A55" s="11">
        <v>53.0</v>
      </c>
      <c r="B55" s="59"/>
      <c r="C55" s="11"/>
      <c r="D55" s="60"/>
      <c r="E55" s="75"/>
      <c r="F55" s="75"/>
      <c r="G55" s="73"/>
      <c r="H55" s="36"/>
      <c r="I55" s="11"/>
      <c r="J55" s="9"/>
      <c r="K55" s="11" t="b">
        <v>0</v>
      </c>
      <c r="L55" s="11" t="str">
        <f>IF(B55&lt;&gt;"",IFNA(COUNTIF(INSCRIPTIONS!B:B,"="&amp;B55),"") - IFNA(COUNTIF('DESINSCRIPTION FORM'!G:G, "="&amp;B55),""),)</f>
        <v/>
      </c>
      <c r="M55" s="11"/>
      <c r="N55" s="11"/>
      <c r="O55" s="11"/>
      <c r="P55" s="40"/>
      <c r="Q55" s="63"/>
      <c r="R55" s="11"/>
      <c r="S55" s="11"/>
      <c r="T55" s="65"/>
      <c r="U55" s="11"/>
      <c r="V55" s="11"/>
      <c r="W55" s="11"/>
      <c r="X55" s="11"/>
      <c r="Y55" s="11"/>
      <c r="Z55" s="11"/>
    </row>
    <row r="56">
      <c r="A56" s="11">
        <v>53.0</v>
      </c>
      <c r="B56" s="59"/>
      <c r="C56" s="11"/>
      <c r="D56" s="60"/>
      <c r="E56" s="75"/>
      <c r="F56" s="75"/>
      <c r="G56" s="73"/>
      <c r="H56" s="36"/>
      <c r="I56" s="11"/>
      <c r="J56" s="9"/>
      <c r="K56" s="11" t="b">
        <v>0</v>
      </c>
      <c r="L56" s="11" t="str">
        <f>IF(B56&lt;&gt;"",IFNA(COUNTIF(INSCRIPTIONS!B:B,"="&amp;B56),"") - IFNA(COUNTIF('DESINSCRIPTION FORM'!G:G, "="&amp;B56),""),)</f>
        <v/>
      </c>
      <c r="M56" s="11"/>
      <c r="N56" s="11"/>
      <c r="O56" s="11"/>
      <c r="P56" s="40"/>
      <c r="Q56" s="63"/>
      <c r="R56" s="11"/>
      <c r="S56" s="11"/>
      <c r="T56" s="65"/>
      <c r="U56" s="11"/>
      <c r="V56" s="11"/>
      <c r="W56" s="11"/>
      <c r="X56" s="11"/>
      <c r="Y56" s="11"/>
      <c r="Z56" s="11"/>
    </row>
    <row r="57">
      <c r="A57" s="11">
        <v>53.0</v>
      </c>
      <c r="B57" s="59"/>
      <c r="C57" s="11"/>
      <c r="D57" s="60"/>
      <c r="E57" s="75"/>
      <c r="F57" s="75"/>
      <c r="G57" s="73"/>
      <c r="H57" s="36"/>
      <c r="I57" s="11"/>
      <c r="J57" s="9"/>
      <c r="K57" s="11" t="b">
        <v>0</v>
      </c>
      <c r="L57" s="11" t="str">
        <f>IF(B57&lt;&gt;"",IFNA(COUNTIF(INSCRIPTIONS!B:B,"="&amp;B57),"") - IFNA(COUNTIF('DESINSCRIPTION FORM'!G:G, "="&amp;B57),""),)</f>
        <v/>
      </c>
      <c r="M57" s="11"/>
      <c r="N57" s="11"/>
      <c r="O57" s="11"/>
      <c r="P57" s="40"/>
      <c r="Q57" s="63"/>
      <c r="R57" s="11"/>
      <c r="S57" s="11"/>
      <c r="T57" s="65"/>
      <c r="U57" s="11"/>
      <c r="V57" s="11"/>
      <c r="W57" s="11"/>
      <c r="X57" s="11"/>
      <c r="Y57" s="11"/>
      <c r="Z57" s="11"/>
    </row>
    <row r="58">
      <c r="A58" s="11">
        <v>53.0</v>
      </c>
      <c r="B58" s="59"/>
      <c r="C58" s="11"/>
      <c r="D58" s="60"/>
      <c r="E58" s="75"/>
      <c r="F58" s="75"/>
      <c r="G58" s="73"/>
      <c r="H58" s="36"/>
      <c r="I58" s="11"/>
      <c r="J58" s="9"/>
      <c r="K58" s="11" t="b">
        <v>0</v>
      </c>
      <c r="L58" s="11" t="str">
        <f>IF(B58&lt;&gt;"",IFNA(COUNTIF(INSCRIPTIONS!B:B,"="&amp;B58),"") - IFNA(COUNTIF('DESINSCRIPTION FORM'!G:G, "="&amp;B58),""),)</f>
        <v/>
      </c>
      <c r="M58" s="11"/>
      <c r="N58" s="11"/>
      <c r="O58" s="11"/>
      <c r="P58" s="40"/>
      <c r="Q58" s="63"/>
      <c r="R58" s="11"/>
      <c r="S58" s="11"/>
      <c r="T58" s="65"/>
      <c r="U58" s="11"/>
      <c r="V58" s="11"/>
      <c r="W58" s="11"/>
      <c r="X58" s="11"/>
      <c r="Y58" s="11"/>
      <c r="Z58" s="11"/>
    </row>
    <row r="59">
      <c r="A59" s="11">
        <v>53.0</v>
      </c>
      <c r="B59" s="59"/>
      <c r="C59" s="11"/>
      <c r="D59" s="60"/>
      <c r="E59" s="75"/>
      <c r="F59" s="75"/>
      <c r="G59" s="73"/>
      <c r="H59" s="36"/>
      <c r="I59" s="11"/>
      <c r="J59" s="9"/>
      <c r="K59" s="11" t="b">
        <v>0</v>
      </c>
      <c r="L59" s="11" t="str">
        <f>IF(B59&lt;&gt;"",IFNA(COUNTIF(INSCRIPTIONS!B:B,"="&amp;B59),"") - IFNA(COUNTIF('DESINSCRIPTION FORM'!G:G, "="&amp;B59),""),)</f>
        <v/>
      </c>
      <c r="M59" s="11"/>
      <c r="N59" s="11"/>
      <c r="O59" s="11"/>
      <c r="P59" s="40"/>
      <c r="Q59" s="63"/>
      <c r="R59" s="11"/>
      <c r="S59" s="11"/>
      <c r="T59" s="65"/>
      <c r="U59" s="11"/>
      <c r="V59" s="11"/>
      <c r="W59" s="11"/>
      <c r="X59" s="11"/>
      <c r="Y59" s="11"/>
      <c r="Z59" s="11"/>
    </row>
    <row r="60">
      <c r="A60" s="11">
        <v>55.0</v>
      </c>
      <c r="B60" s="59"/>
      <c r="C60" s="44"/>
      <c r="D60" s="99"/>
      <c r="E60" s="100"/>
      <c r="F60" s="100"/>
      <c r="G60" s="73"/>
      <c r="H60" s="26"/>
      <c r="I60" s="11"/>
      <c r="J60" s="29"/>
      <c r="K60" s="11" t="b">
        <v>0</v>
      </c>
      <c r="L60" s="11" t="str">
        <f>IF(B60&lt;&gt;"",IFNA(COUNTIF(INSCRIPTIONS!B:B,"="&amp;B60),"") - IFNA(COUNTIF('DESINSCRIPTION FORM'!G:G, "="&amp;B60),""),)</f>
        <v/>
      </c>
      <c r="M60" s="11"/>
      <c r="N60" s="11"/>
      <c r="O60" s="11"/>
      <c r="P60" s="40"/>
      <c r="Q60" s="63"/>
      <c r="R60" s="11"/>
      <c r="S60" s="11"/>
      <c r="T60" s="65"/>
      <c r="U60" s="11"/>
      <c r="V60" s="11"/>
      <c r="W60" s="11"/>
      <c r="X60" s="11"/>
      <c r="Y60" s="11"/>
      <c r="Z60" s="11"/>
    </row>
    <row r="61">
      <c r="A61" s="11">
        <v>55.0</v>
      </c>
      <c r="B61" s="59"/>
      <c r="C61" s="44"/>
      <c r="D61" s="99"/>
      <c r="E61" s="100"/>
      <c r="F61" s="100"/>
      <c r="G61" s="73"/>
      <c r="H61" s="26"/>
      <c r="I61" s="11"/>
      <c r="J61" s="29"/>
      <c r="K61" s="11" t="b">
        <v>0</v>
      </c>
      <c r="L61" s="11" t="str">
        <f>IF(B61&lt;&gt;"",IFNA(COUNTIF(INSCRIPTIONS!B:B,"="&amp;B61),"") - IFNA(COUNTIF('DESINSCRIPTION FORM'!G:G, "="&amp;B61),""),)</f>
        <v/>
      </c>
      <c r="M61" s="11"/>
      <c r="N61" s="11"/>
      <c r="O61" s="11"/>
      <c r="P61" s="40"/>
      <c r="Q61" s="63"/>
      <c r="R61" s="11"/>
      <c r="S61" s="11"/>
      <c r="T61" s="65"/>
      <c r="U61" s="11"/>
      <c r="V61" s="11"/>
      <c r="W61" s="11"/>
      <c r="X61" s="11"/>
      <c r="Y61" s="11"/>
      <c r="Z61" s="11"/>
    </row>
    <row r="62">
      <c r="A62" s="11">
        <v>62.0</v>
      </c>
      <c r="B62" s="59"/>
      <c r="C62" s="44"/>
      <c r="D62" s="99"/>
      <c r="E62" s="100"/>
      <c r="F62" s="100"/>
      <c r="G62" s="73"/>
      <c r="H62" s="26"/>
      <c r="I62" s="11"/>
      <c r="J62" s="29"/>
      <c r="K62" s="11" t="b">
        <v>0</v>
      </c>
      <c r="L62" s="11" t="str">
        <f>IF(B62&lt;&gt;"",IFNA(COUNTIF(INSCRIPTIONS!B:B,"="&amp;B62),"") - IFNA(COUNTIF('DESINSCRIPTION FORM'!G:G, "="&amp;B62),""),)</f>
        <v/>
      </c>
      <c r="M62" s="11"/>
      <c r="N62" s="11"/>
      <c r="O62" s="11"/>
      <c r="P62" s="40"/>
      <c r="Q62" s="63"/>
      <c r="R62" s="11"/>
      <c r="S62" s="11"/>
      <c r="T62" s="65"/>
      <c r="U62" s="11"/>
      <c r="V62" s="11"/>
      <c r="W62" s="11"/>
      <c r="X62" s="11"/>
      <c r="Y62" s="11"/>
      <c r="Z62" s="11"/>
    </row>
    <row r="63">
      <c r="A63" s="11">
        <v>63.0</v>
      </c>
      <c r="B63" s="59"/>
      <c r="C63" s="44"/>
      <c r="D63" s="99"/>
      <c r="E63" s="100"/>
      <c r="F63" s="100"/>
      <c r="G63" s="73"/>
      <c r="H63" s="26"/>
      <c r="I63" s="11"/>
      <c r="J63" s="29"/>
      <c r="K63" s="11" t="b">
        <v>0</v>
      </c>
      <c r="L63" s="11" t="str">
        <f>IF(B63&lt;&gt;"",IFNA(COUNTIF(INSCRIPTIONS!B:B,"="&amp;B63),"") - IFNA(COUNTIF('DESINSCRIPTION FORM'!G:G, "="&amp;B63),""),)</f>
        <v/>
      </c>
      <c r="M63" s="11"/>
      <c r="N63" s="11"/>
      <c r="O63" s="11"/>
      <c r="P63" s="40"/>
      <c r="Q63" s="63"/>
      <c r="R63" s="11"/>
      <c r="S63" s="11"/>
      <c r="T63" s="65"/>
      <c r="U63" s="11"/>
      <c r="V63" s="11"/>
      <c r="W63" s="11"/>
      <c r="X63" s="11"/>
      <c r="Y63" s="11"/>
      <c r="Z63" s="11"/>
    </row>
    <row r="64">
      <c r="A64" s="11">
        <v>64.0</v>
      </c>
      <c r="B64" s="59"/>
      <c r="C64" s="44"/>
      <c r="D64" s="99"/>
      <c r="E64" s="100"/>
      <c r="F64" s="100"/>
      <c r="G64" s="73"/>
      <c r="H64" s="26"/>
      <c r="I64" s="11"/>
      <c r="J64" s="29"/>
      <c r="K64" s="11" t="b">
        <v>0</v>
      </c>
      <c r="L64" s="11" t="str">
        <f>IF(B64&lt;&gt;"",IFNA(COUNTIF(INSCRIPTIONS!B:B,"="&amp;B64),"") - IFNA(COUNTIF('DESINSCRIPTION FORM'!G:G, "="&amp;B64),""),)</f>
        <v/>
      </c>
      <c r="M64" s="11"/>
      <c r="N64" s="11"/>
      <c r="O64" s="11"/>
      <c r="P64" s="40"/>
      <c r="Q64" s="63"/>
      <c r="R64" s="11"/>
      <c r="S64" s="11"/>
      <c r="T64" s="65"/>
      <c r="U64" s="11"/>
      <c r="V64" s="11"/>
      <c r="W64" s="11"/>
      <c r="X64" s="11"/>
      <c r="Y64" s="11"/>
      <c r="Z64" s="11"/>
    </row>
    <row r="65">
      <c r="A65" s="11">
        <v>65.0</v>
      </c>
      <c r="B65" s="59"/>
      <c r="C65" s="44"/>
      <c r="D65" s="99"/>
      <c r="E65" s="100"/>
      <c r="F65" s="100"/>
      <c r="G65" s="73"/>
      <c r="H65" s="26"/>
      <c r="I65" s="11"/>
      <c r="J65" s="29"/>
      <c r="K65" s="11" t="b">
        <v>0</v>
      </c>
      <c r="L65" s="11" t="str">
        <f>IF(B65&lt;&gt;"",IFNA(COUNTIF(INSCRIPTIONS!B:B,"="&amp;B65),"") - IFNA(COUNTIF('DESINSCRIPTION FORM'!G:G, "="&amp;B65),""),)</f>
        <v/>
      </c>
      <c r="M65" s="11"/>
      <c r="N65" s="11"/>
      <c r="O65" s="11"/>
      <c r="P65" s="40"/>
      <c r="Q65" s="63"/>
      <c r="R65" s="11"/>
      <c r="S65" s="11"/>
      <c r="T65" s="65"/>
      <c r="U65" s="11"/>
      <c r="V65" s="11"/>
      <c r="W65" s="11"/>
      <c r="X65" s="11"/>
      <c r="Y65" s="11"/>
      <c r="Z65" s="11"/>
    </row>
    <row r="66">
      <c r="A66" s="11">
        <v>66.0</v>
      </c>
      <c r="B66" s="59"/>
      <c r="C66" s="44"/>
      <c r="D66" s="99"/>
      <c r="E66" s="100"/>
      <c r="F66" s="100"/>
      <c r="G66" s="73"/>
      <c r="H66" s="26"/>
      <c r="I66" s="11"/>
      <c r="J66" s="29"/>
      <c r="K66" s="11" t="b">
        <v>0</v>
      </c>
      <c r="L66" s="11" t="str">
        <f>IF(B66&lt;&gt;"",IFNA(COUNTIF(INSCRIPTIONS!B:B,"="&amp;B66),"") - IFNA(COUNTIF('DESINSCRIPTION FORM'!G:G, "="&amp;B66),""),)</f>
        <v/>
      </c>
      <c r="M66" s="11"/>
      <c r="N66" s="11"/>
      <c r="O66" s="11"/>
      <c r="P66" s="40"/>
      <c r="Q66" s="63"/>
      <c r="R66" s="11"/>
      <c r="S66" s="11"/>
      <c r="T66" s="65"/>
      <c r="U66" s="11"/>
      <c r="V66" s="11"/>
      <c r="W66" s="11"/>
      <c r="X66" s="11"/>
      <c r="Y66" s="11"/>
      <c r="Z66" s="11"/>
    </row>
    <row r="67">
      <c r="A67" s="11">
        <v>67.0</v>
      </c>
      <c r="B67" s="59"/>
      <c r="C67" s="44"/>
      <c r="D67" s="99"/>
      <c r="E67" s="100"/>
      <c r="F67" s="100"/>
      <c r="G67" s="73"/>
      <c r="H67" s="26"/>
      <c r="I67" s="11"/>
      <c r="J67" s="29"/>
      <c r="K67" s="11" t="b">
        <v>0</v>
      </c>
      <c r="L67" s="11" t="str">
        <f>IF(B67&lt;&gt;"",IFNA(COUNTIF(INSCRIPTIONS!B:B,"="&amp;B67),"") - IFNA(COUNTIF('DESINSCRIPTION FORM'!G:G, "="&amp;B67),""),)</f>
        <v/>
      </c>
      <c r="M67" s="11"/>
      <c r="N67" s="11"/>
      <c r="O67" s="11"/>
      <c r="P67" s="40"/>
      <c r="Q67" s="63"/>
      <c r="R67" s="11"/>
      <c r="S67" s="11"/>
      <c r="T67" s="65"/>
      <c r="U67" s="11"/>
      <c r="V67" s="11"/>
      <c r="W67" s="11"/>
      <c r="X67" s="11"/>
      <c r="Y67" s="11"/>
      <c r="Z67" s="11"/>
    </row>
    <row r="68">
      <c r="A68" s="11">
        <v>68.0</v>
      </c>
      <c r="B68" s="59"/>
      <c r="C68" s="44"/>
      <c r="D68" s="99"/>
      <c r="E68" s="100"/>
      <c r="F68" s="100"/>
      <c r="G68" s="73"/>
      <c r="H68" s="26"/>
      <c r="I68" s="11"/>
      <c r="J68" s="29"/>
      <c r="K68" s="11" t="b">
        <v>0</v>
      </c>
      <c r="L68" s="11" t="str">
        <f>IF(B68&lt;&gt;"",IFNA(COUNTIF(INSCRIPTIONS!B:B,"="&amp;B68),"") - IFNA(COUNTIF('DESINSCRIPTION FORM'!G:G, "="&amp;B68),""),)</f>
        <v/>
      </c>
      <c r="M68" s="11"/>
      <c r="N68" s="11"/>
      <c r="O68" s="11"/>
      <c r="P68" s="40"/>
      <c r="Q68" s="63"/>
      <c r="R68" s="11"/>
      <c r="S68" s="11"/>
      <c r="T68" s="65"/>
      <c r="U68" s="11"/>
      <c r="V68" s="11"/>
      <c r="W68" s="11"/>
      <c r="X68" s="11"/>
      <c r="Y68" s="11"/>
      <c r="Z68" s="11"/>
    </row>
    <row r="69">
      <c r="A69" s="11">
        <v>69.0</v>
      </c>
      <c r="B69" s="59"/>
      <c r="C69" s="44"/>
      <c r="D69" s="99"/>
      <c r="E69" s="100"/>
      <c r="F69" s="100"/>
      <c r="G69" s="73"/>
      <c r="H69" s="26"/>
      <c r="I69" s="11"/>
      <c r="J69" s="29"/>
      <c r="K69" s="11" t="b">
        <v>0</v>
      </c>
      <c r="L69" s="11" t="str">
        <f>IF(B69&lt;&gt;"",IFNA(COUNTIF(INSCRIPTIONS!B:B,"="&amp;B69),"") - IFNA(COUNTIF('DESINSCRIPTION FORM'!G:G, "="&amp;B69),""),)</f>
        <v/>
      </c>
      <c r="M69" s="11"/>
      <c r="N69" s="11"/>
      <c r="O69" s="11"/>
      <c r="P69" s="40"/>
      <c r="Q69" s="63"/>
      <c r="R69" s="11"/>
      <c r="S69" s="11"/>
      <c r="T69" s="65"/>
      <c r="U69" s="11"/>
      <c r="V69" s="11"/>
      <c r="W69" s="11"/>
      <c r="X69" s="11"/>
      <c r="Y69" s="11"/>
      <c r="Z69" s="11"/>
    </row>
    <row r="70">
      <c r="A70" s="11">
        <v>70.0</v>
      </c>
      <c r="B70" s="59"/>
      <c r="C70" s="44"/>
      <c r="D70" s="99"/>
      <c r="E70" s="100"/>
      <c r="F70" s="100"/>
      <c r="G70" s="73"/>
      <c r="H70" s="26"/>
      <c r="I70" s="11"/>
      <c r="J70" s="29"/>
      <c r="K70" s="11" t="b">
        <v>0</v>
      </c>
      <c r="L70" s="11" t="str">
        <f>IF(B70&lt;&gt;"",IFNA(COUNTIF(INSCRIPTIONS!B:B,"="&amp;B70),"") - IFNA(COUNTIF('DESINSCRIPTION FORM'!G:G, "="&amp;B70),""),)</f>
        <v/>
      </c>
      <c r="M70" s="11"/>
      <c r="N70" s="11"/>
      <c r="O70" s="11"/>
      <c r="P70" s="40"/>
      <c r="Q70" s="63"/>
      <c r="R70" s="11"/>
      <c r="S70" s="11"/>
      <c r="T70" s="65"/>
      <c r="U70" s="11"/>
      <c r="V70" s="11"/>
      <c r="W70" s="11"/>
      <c r="X70" s="11"/>
      <c r="Y70" s="11"/>
      <c r="Z70" s="11"/>
    </row>
    <row r="71">
      <c r="A71" s="11">
        <v>71.0</v>
      </c>
      <c r="B71" s="59"/>
      <c r="C71" s="44"/>
      <c r="D71" s="99"/>
      <c r="E71" s="100"/>
      <c r="F71" s="100"/>
      <c r="G71" s="73"/>
      <c r="H71" s="26"/>
      <c r="I71" s="11"/>
      <c r="J71" s="29"/>
      <c r="K71" s="11" t="b">
        <v>0</v>
      </c>
      <c r="L71" s="11" t="str">
        <f>IF(B71&lt;&gt;"",IFNA(COUNTIF(INSCRIPTIONS!B:B,"="&amp;B71),"") - IFNA(COUNTIF('DESINSCRIPTION FORM'!G:G, "="&amp;B71),""),)</f>
        <v/>
      </c>
      <c r="M71" s="11"/>
      <c r="N71" s="11"/>
      <c r="O71" s="11"/>
      <c r="P71" s="40"/>
      <c r="Q71" s="63"/>
      <c r="R71" s="11"/>
      <c r="S71" s="11"/>
      <c r="T71" s="65"/>
      <c r="U71" s="11"/>
      <c r="V71" s="11"/>
      <c r="W71" s="11"/>
      <c r="X71" s="11"/>
      <c r="Y71" s="11"/>
      <c r="Z71" s="11"/>
    </row>
    <row r="72">
      <c r="A72" s="11">
        <v>72.0</v>
      </c>
      <c r="B72" s="59"/>
      <c r="C72" s="44"/>
      <c r="D72" s="99"/>
      <c r="E72" s="100"/>
      <c r="F72" s="100"/>
      <c r="G72" s="73"/>
      <c r="H72" s="26"/>
      <c r="I72" s="11"/>
      <c r="J72" s="29"/>
      <c r="K72" s="11" t="b">
        <v>0</v>
      </c>
      <c r="L72" s="11" t="str">
        <f>IF(B72&lt;&gt;"",IFNA(COUNTIF(INSCRIPTIONS!B:B,"="&amp;B72),"") - IFNA(COUNTIF('DESINSCRIPTION FORM'!G:G, "="&amp;B72),""),)</f>
        <v/>
      </c>
      <c r="M72" s="11"/>
      <c r="N72" s="11"/>
      <c r="O72" s="11"/>
      <c r="P72" s="40"/>
      <c r="Q72" s="63"/>
      <c r="R72" s="11"/>
      <c r="S72" s="11"/>
      <c r="T72" s="65"/>
      <c r="U72" s="11"/>
      <c r="V72" s="11"/>
      <c r="W72" s="11"/>
      <c r="X72" s="11"/>
      <c r="Y72" s="11"/>
      <c r="Z72" s="11"/>
    </row>
    <row r="73">
      <c r="A73" s="11">
        <v>73.0</v>
      </c>
      <c r="B73" s="59"/>
      <c r="C73" s="44"/>
      <c r="D73" s="99"/>
      <c r="E73" s="100"/>
      <c r="F73" s="100"/>
      <c r="G73" s="73"/>
      <c r="H73" s="26"/>
      <c r="I73" s="11"/>
      <c r="J73" s="29"/>
      <c r="K73" s="11" t="b">
        <v>0</v>
      </c>
      <c r="L73" s="11" t="str">
        <f>IF(B73&lt;&gt;"",IFNA(COUNTIF(INSCRIPTIONS!B:B,"="&amp;B73),"") - IFNA(COUNTIF('DESINSCRIPTION FORM'!G:G, "="&amp;B73),""),)</f>
        <v/>
      </c>
      <c r="M73" s="11"/>
      <c r="N73" s="11"/>
      <c r="O73" s="11"/>
      <c r="P73" s="40"/>
      <c r="Q73" s="63"/>
      <c r="R73" s="11"/>
      <c r="S73" s="11"/>
      <c r="T73" s="65"/>
      <c r="U73" s="11"/>
      <c r="V73" s="11"/>
      <c r="W73" s="11"/>
      <c r="X73" s="11"/>
      <c r="Y73" s="11"/>
      <c r="Z73" s="11"/>
    </row>
    <row r="74">
      <c r="A74" s="11">
        <v>74.0</v>
      </c>
      <c r="B74" s="59"/>
      <c r="C74" s="44"/>
      <c r="D74" s="99"/>
      <c r="E74" s="100"/>
      <c r="F74" s="100"/>
      <c r="G74" s="73"/>
      <c r="H74" s="26"/>
      <c r="I74" s="11"/>
      <c r="J74" s="29"/>
      <c r="K74" s="11" t="b">
        <v>0</v>
      </c>
      <c r="L74" s="11" t="str">
        <f>IF(B74&lt;&gt;"",IFNA(COUNTIF(INSCRIPTIONS!B:B,"="&amp;B74),"") - IFNA(COUNTIF('DESINSCRIPTION FORM'!G:G, "="&amp;B74),""),)</f>
        <v/>
      </c>
      <c r="M74" s="11"/>
      <c r="N74" s="11"/>
      <c r="O74" s="11"/>
      <c r="P74" s="40"/>
      <c r="Q74" s="63"/>
      <c r="R74" s="11"/>
      <c r="S74" s="11"/>
      <c r="T74" s="65"/>
      <c r="U74" s="11"/>
      <c r="V74" s="11"/>
      <c r="W74" s="11"/>
      <c r="X74" s="11"/>
      <c r="Y74" s="11"/>
      <c r="Z74" s="11"/>
    </row>
    <row r="75">
      <c r="A75" s="11">
        <v>75.0</v>
      </c>
      <c r="B75" s="59"/>
      <c r="C75" s="44"/>
      <c r="D75" s="99"/>
      <c r="E75" s="100"/>
      <c r="F75" s="100"/>
      <c r="G75" s="73"/>
      <c r="H75" s="26"/>
      <c r="I75" s="11"/>
      <c r="J75" s="29"/>
      <c r="K75" s="11" t="b">
        <v>0</v>
      </c>
      <c r="L75" s="11" t="str">
        <f>IF(B75&lt;&gt;"",IFNA(COUNTIF(INSCRIPTIONS!B:B,"="&amp;B75),"") - IFNA(COUNTIF('DESINSCRIPTION FORM'!G:G, "="&amp;B75),""),)</f>
        <v/>
      </c>
      <c r="M75" s="11"/>
      <c r="N75" s="11"/>
      <c r="O75" s="11"/>
      <c r="P75" s="40"/>
      <c r="Q75" s="63"/>
      <c r="R75" s="11"/>
      <c r="S75" s="11"/>
      <c r="T75" s="65"/>
      <c r="U75" s="11"/>
      <c r="V75" s="11"/>
      <c r="W75" s="11"/>
      <c r="X75" s="11"/>
      <c r="Y75" s="11"/>
      <c r="Z75" s="11"/>
    </row>
    <row r="76">
      <c r="A76" s="11">
        <v>76.0</v>
      </c>
      <c r="B76" s="59"/>
      <c r="C76" s="44"/>
      <c r="D76" s="99"/>
      <c r="E76" s="100"/>
      <c r="F76" s="100"/>
      <c r="G76" s="73"/>
      <c r="H76" s="26"/>
      <c r="I76" s="11"/>
      <c r="J76" s="29"/>
      <c r="K76" s="11" t="b">
        <v>0</v>
      </c>
      <c r="L76" s="11" t="str">
        <f>IF(B76&lt;&gt;"",IFNA(COUNTIF(INSCRIPTIONS!B:B,"="&amp;B76),"") - IFNA(COUNTIF('DESINSCRIPTION FORM'!G:G, "="&amp;B76),""),)</f>
        <v/>
      </c>
      <c r="M76" s="11"/>
      <c r="N76" s="11"/>
      <c r="O76" s="11"/>
      <c r="P76" s="40"/>
      <c r="Q76" s="63"/>
      <c r="R76" s="11"/>
      <c r="S76" s="11"/>
      <c r="T76" s="65"/>
      <c r="U76" s="11"/>
      <c r="V76" s="11"/>
      <c r="W76" s="11"/>
      <c r="X76" s="11"/>
      <c r="Y76" s="11"/>
      <c r="Z76" s="11"/>
    </row>
    <row r="77">
      <c r="A77" s="11">
        <v>77.0</v>
      </c>
      <c r="B77" s="59"/>
      <c r="C77" s="44"/>
      <c r="D77" s="99"/>
      <c r="E77" s="100"/>
      <c r="F77" s="100"/>
      <c r="G77" s="73"/>
      <c r="H77" s="26"/>
      <c r="I77" s="11"/>
      <c r="J77" s="29"/>
      <c r="K77" s="11" t="b">
        <v>0</v>
      </c>
      <c r="L77" s="11" t="str">
        <f>IF(B77&lt;&gt;"",IFNA(COUNTIF(INSCRIPTIONS!B:B,"="&amp;B77),"") - IFNA(COUNTIF('DESINSCRIPTION FORM'!G:G, "="&amp;B77),""),)</f>
        <v/>
      </c>
      <c r="M77" s="11"/>
      <c r="N77" s="11"/>
      <c r="O77" s="11"/>
      <c r="P77" s="40"/>
      <c r="Q77" s="63"/>
      <c r="R77" s="11"/>
      <c r="S77" s="11"/>
      <c r="T77" s="65"/>
      <c r="U77" s="11"/>
      <c r="V77" s="11"/>
      <c r="W77" s="11"/>
      <c r="X77" s="11"/>
      <c r="Y77" s="11"/>
      <c r="Z77" s="11"/>
    </row>
    <row r="78">
      <c r="A78" s="11">
        <v>78.0</v>
      </c>
      <c r="B78" s="59"/>
      <c r="C78" s="44"/>
      <c r="D78" s="99"/>
      <c r="E78" s="100"/>
      <c r="F78" s="100"/>
      <c r="G78" s="73"/>
      <c r="H78" s="26"/>
      <c r="I78" s="11"/>
      <c r="J78" s="29"/>
      <c r="K78" s="11" t="b">
        <v>0</v>
      </c>
      <c r="L78" s="11" t="str">
        <f>IF(B78&lt;&gt;"",IFNA(COUNTIF(INSCRIPTIONS!B:B,"="&amp;B78),"") - IFNA(COUNTIF('DESINSCRIPTION FORM'!G:G, "="&amp;B78),""),)</f>
        <v/>
      </c>
      <c r="M78" s="11"/>
      <c r="N78" s="11"/>
      <c r="O78" s="11"/>
      <c r="P78" s="40"/>
      <c r="Q78" s="63"/>
      <c r="R78" s="11"/>
      <c r="S78" s="11"/>
      <c r="T78" s="65"/>
      <c r="U78" s="11"/>
      <c r="V78" s="11"/>
      <c r="W78" s="11"/>
      <c r="X78" s="11"/>
      <c r="Y78" s="11"/>
      <c r="Z78" s="11"/>
    </row>
    <row r="79">
      <c r="A79" s="11">
        <v>79.0</v>
      </c>
      <c r="B79" s="59"/>
      <c r="C79" s="44"/>
      <c r="D79" s="99"/>
      <c r="E79" s="100"/>
      <c r="F79" s="100"/>
      <c r="G79" s="73"/>
      <c r="H79" s="26"/>
      <c r="I79" s="11"/>
      <c r="J79" s="29"/>
      <c r="K79" s="11" t="b">
        <v>0</v>
      </c>
      <c r="L79" s="11" t="str">
        <f>IF(B79&lt;&gt;"",IFNA(COUNTIF(INSCRIPTIONS!B:B,"="&amp;B79),"") - IFNA(COUNTIF('DESINSCRIPTION FORM'!G:G, "="&amp;B79),""),)</f>
        <v/>
      </c>
      <c r="M79" s="11"/>
      <c r="N79" s="11"/>
      <c r="O79" s="11"/>
      <c r="P79" s="40"/>
      <c r="Q79" s="63"/>
      <c r="R79" s="11"/>
      <c r="S79" s="11"/>
      <c r="T79" s="65"/>
      <c r="U79" s="11"/>
      <c r="V79" s="11"/>
      <c r="W79" s="11"/>
      <c r="X79" s="11"/>
      <c r="Y79" s="11"/>
      <c r="Z79" s="11"/>
    </row>
    <row r="80">
      <c r="A80" s="11">
        <v>80.0</v>
      </c>
      <c r="B80" s="59"/>
      <c r="C80" s="44"/>
      <c r="D80" s="99"/>
      <c r="E80" s="100"/>
      <c r="F80" s="100"/>
      <c r="G80" s="73"/>
      <c r="H80" s="26"/>
      <c r="I80" s="11"/>
      <c r="J80" s="29"/>
      <c r="K80" s="11" t="b">
        <v>0</v>
      </c>
      <c r="L80" s="11" t="str">
        <f>IF(B80&lt;&gt;"",IFNA(COUNTIF(INSCRIPTIONS!B:B,"="&amp;B80),"") - IFNA(COUNTIF('DESINSCRIPTION FORM'!G:G, "="&amp;B80),""),)</f>
        <v/>
      </c>
      <c r="M80" s="11"/>
      <c r="N80" s="11"/>
      <c r="O80" s="11"/>
      <c r="P80" s="40"/>
      <c r="Q80" s="63"/>
      <c r="R80" s="11"/>
      <c r="S80" s="11"/>
      <c r="T80" s="65"/>
      <c r="U80" s="11"/>
      <c r="V80" s="11"/>
      <c r="W80" s="11"/>
      <c r="X80" s="11"/>
      <c r="Y80" s="11"/>
      <c r="Z80" s="11"/>
    </row>
    <row r="81">
      <c r="A81" s="11">
        <v>81.0</v>
      </c>
      <c r="B81" s="59"/>
      <c r="C81" s="44"/>
      <c r="D81" s="99"/>
      <c r="E81" s="100"/>
      <c r="F81" s="100"/>
      <c r="G81" s="73"/>
      <c r="H81" s="26"/>
      <c r="I81" s="11"/>
      <c r="J81" s="29"/>
      <c r="K81" s="11" t="b">
        <v>0</v>
      </c>
      <c r="L81" s="11" t="str">
        <f>IF(B81&lt;&gt;"",IFNA(COUNTIF(INSCRIPTIONS!B:B,"="&amp;B81),"") - IFNA(COUNTIF('DESINSCRIPTION FORM'!G:G, "="&amp;B81),""),)</f>
        <v/>
      </c>
      <c r="M81" s="11"/>
      <c r="N81" s="11"/>
      <c r="O81" s="11"/>
      <c r="P81" s="40"/>
      <c r="Q81" s="63"/>
      <c r="R81" s="11"/>
      <c r="S81" s="11"/>
      <c r="T81" s="65"/>
      <c r="U81" s="11"/>
      <c r="V81" s="11"/>
      <c r="W81" s="11"/>
      <c r="X81" s="11"/>
      <c r="Y81" s="11"/>
      <c r="Z81" s="11"/>
    </row>
    <row r="82">
      <c r="A82" s="11">
        <v>82.0</v>
      </c>
      <c r="B82" s="59"/>
      <c r="C82" s="44"/>
      <c r="D82" s="99"/>
      <c r="E82" s="100"/>
      <c r="F82" s="100"/>
      <c r="G82" s="73"/>
      <c r="H82" s="26"/>
      <c r="I82" s="11"/>
      <c r="J82" s="29"/>
      <c r="K82" s="11" t="b">
        <v>0</v>
      </c>
      <c r="L82" s="11" t="str">
        <f>IF(B82&lt;&gt;"",IFNA(COUNTIF(INSCRIPTIONS!B:B,"="&amp;B82),"") - IFNA(COUNTIF('DESINSCRIPTION FORM'!G:G, "="&amp;B82),""),)</f>
        <v/>
      </c>
      <c r="M82" s="11"/>
      <c r="N82" s="11"/>
      <c r="O82" s="11"/>
      <c r="P82" s="40"/>
      <c r="Q82" s="63"/>
      <c r="R82" s="11"/>
      <c r="S82" s="11"/>
      <c r="T82" s="65"/>
      <c r="U82" s="11"/>
      <c r="V82" s="11"/>
      <c r="W82" s="11"/>
      <c r="X82" s="11"/>
      <c r="Y82" s="11"/>
      <c r="Z82" s="11"/>
    </row>
    <row r="83">
      <c r="A83" s="11">
        <v>83.0</v>
      </c>
      <c r="B83" s="59"/>
      <c r="C83" s="44"/>
      <c r="D83" s="99"/>
      <c r="E83" s="100"/>
      <c r="F83" s="100"/>
      <c r="G83" s="73"/>
      <c r="H83" s="26"/>
      <c r="I83" s="11"/>
      <c r="J83" s="29"/>
      <c r="K83" s="11" t="b">
        <v>0</v>
      </c>
      <c r="L83" s="11" t="str">
        <f>IF(B83&lt;&gt;"",IFNA(COUNTIF(INSCRIPTIONS!B:B,"="&amp;B83),"") - IFNA(COUNTIF('DESINSCRIPTION FORM'!G:G, "="&amp;B83),""),)</f>
        <v/>
      </c>
      <c r="M83" s="11"/>
      <c r="N83" s="11"/>
      <c r="O83" s="11"/>
      <c r="P83" s="40"/>
      <c r="Q83" s="63"/>
      <c r="R83" s="11"/>
      <c r="S83" s="11"/>
      <c r="T83" s="65"/>
      <c r="U83" s="11"/>
      <c r="V83" s="11"/>
      <c r="W83" s="11"/>
      <c r="X83" s="11"/>
      <c r="Y83" s="11"/>
      <c r="Z83" s="11"/>
    </row>
    <row r="84">
      <c r="A84" s="11">
        <v>84.0</v>
      </c>
      <c r="B84" s="59"/>
      <c r="C84" s="44"/>
      <c r="D84" s="99"/>
      <c r="E84" s="100"/>
      <c r="F84" s="100"/>
      <c r="G84" s="73"/>
      <c r="H84" s="26"/>
      <c r="I84" s="11"/>
      <c r="J84" s="29"/>
      <c r="K84" s="11" t="b">
        <v>0</v>
      </c>
      <c r="L84" s="11" t="str">
        <f>IF(B84&lt;&gt;"",IFNA(COUNTIF(INSCRIPTIONS!B:B,"="&amp;B84),"") - IFNA(COUNTIF('DESINSCRIPTION FORM'!G:G, "="&amp;B84),""),)</f>
        <v/>
      </c>
      <c r="M84" s="11"/>
      <c r="N84" s="11"/>
      <c r="O84" s="11"/>
      <c r="P84" s="40"/>
      <c r="Q84" s="63"/>
      <c r="R84" s="11"/>
      <c r="S84" s="11"/>
      <c r="T84" s="65"/>
      <c r="U84" s="11"/>
      <c r="V84" s="11"/>
      <c r="W84" s="11"/>
      <c r="X84" s="11"/>
      <c r="Y84" s="11"/>
      <c r="Z84" s="11"/>
    </row>
    <row r="85">
      <c r="A85" s="11">
        <v>85.0</v>
      </c>
      <c r="B85" s="59"/>
      <c r="C85" s="44"/>
      <c r="D85" s="99"/>
      <c r="E85" s="100"/>
      <c r="F85" s="100"/>
      <c r="G85" s="73"/>
      <c r="H85" s="26"/>
      <c r="I85" s="11"/>
      <c r="J85" s="29"/>
      <c r="K85" s="11" t="b">
        <v>0</v>
      </c>
      <c r="L85" s="11" t="str">
        <f>IF(B85&lt;&gt;"",IFNA(COUNTIF(INSCRIPTIONS!B:B,"="&amp;B85),"") - IFNA(COUNTIF('DESINSCRIPTION FORM'!G:G, "="&amp;B85),""),)</f>
        <v/>
      </c>
      <c r="M85" s="11"/>
      <c r="N85" s="11"/>
      <c r="O85" s="11"/>
      <c r="P85" s="40"/>
      <c r="Q85" s="63"/>
      <c r="R85" s="11"/>
      <c r="S85" s="11"/>
      <c r="T85" s="65"/>
      <c r="U85" s="11"/>
      <c r="V85" s="11"/>
      <c r="W85" s="11"/>
      <c r="X85" s="11"/>
      <c r="Y85" s="11"/>
      <c r="Z85" s="11"/>
    </row>
    <row r="86">
      <c r="A86" s="11">
        <v>86.0</v>
      </c>
      <c r="B86" s="59"/>
      <c r="C86" s="44"/>
      <c r="D86" s="99"/>
      <c r="E86" s="100"/>
      <c r="F86" s="100"/>
      <c r="G86" s="73"/>
      <c r="H86" s="26"/>
      <c r="I86" s="11"/>
      <c r="J86" s="29"/>
      <c r="K86" s="11" t="b">
        <v>0</v>
      </c>
      <c r="L86" s="11" t="str">
        <f>IF(B86&lt;&gt;"",IFNA(COUNTIF(INSCRIPTIONS!B:B,"="&amp;B86),"") - IFNA(COUNTIF('DESINSCRIPTION FORM'!G:G, "="&amp;B86),""),)</f>
        <v/>
      </c>
      <c r="M86" s="11"/>
      <c r="N86" s="11"/>
      <c r="O86" s="11"/>
      <c r="P86" s="40"/>
      <c r="Q86" s="63"/>
      <c r="R86" s="11"/>
      <c r="S86" s="11"/>
      <c r="T86" s="65"/>
      <c r="U86" s="11"/>
      <c r="V86" s="11"/>
      <c r="W86" s="11"/>
      <c r="X86" s="11"/>
      <c r="Y86" s="11"/>
      <c r="Z86" s="11"/>
    </row>
    <row r="87">
      <c r="A87" s="11">
        <v>87.0</v>
      </c>
      <c r="B87" s="59"/>
      <c r="C87" s="44"/>
      <c r="D87" s="99"/>
      <c r="E87" s="100"/>
      <c r="F87" s="100"/>
      <c r="G87" s="73"/>
      <c r="H87" s="26"/>
      <c r="I87" s="11"/>
      <c r="J87" s="29"/>
      <c r="K87" s="11" t="b">
        <v>0</v>
      </c>
      <c r="L87" s="11" t="str">
        <f>IF(B87&lt;&gt;"",IFNA(COUNTIF(INSCRIPTIONS!B:B,"="&amp;B87),"") - IFNA(COUNTIF('DESINSCRIPTION FORM'!G:G, "="&amp;B87),""),)</f>
        <v/>
      </c>
      <c r="M87" s="11"/>
      <c r="N87" s="11"/>
      <c r="O87" s="11"/>
      <c r="P87" s="40"/>
      <c r="Q87" s="63"/>
      <c r="R87" s="11"/>
      <c r="S87" s="11"/>
      <c r="T87" s="65"/>
      <c r="U87" s="11"/>
      <c r="V87" s="11"/>
      <c r="W87" s="11"/>
      <c r="X87" s="11"/>
      <c r="Y87" s="11"/>
      <c r="Z87" s="11"/>
    </row>
    <row r="88">
      <c r="A88" s="11">
        <v>88.0</v>
      </c>
      <c r="B88" s="59"/>
      <c r="C88" s="44"/>
      <c r="D88" s="99"/>
      <c r="E88" s="100"/>
      <c r="F88" s="100"/>
      <c r="G88" s="73"/>
      <c r="H88" s="26"/>
      <c r="I88" s="11"/>
      <c r="J88" s="29"/>
      <c r="K88" s="11" t="b">
        <v>0</v>
      </c>
      <c r="L88" s="11" t="str">
        <f>IF(B88&lt;&gt;"",IFNA(COUNTIF(INSCRIPTIONS!B:B,"="&amp;B88),"") - IFNA(COUNTIF('DESINSCRIPTION FORM'!G:G, "="&amp;B88),""),)</f>
        <v/>
      </c>
      <c r="M88" s="11"/>
      <c r="N88" s="11"/>
      <c r="O88" s="11"/>
      <c r="P88" s="40"/>
      <c r="Q88" s="63"/>
      <c r="R88" s="11"/>
      <c r="S88" s="11"/>
      <c r="T88" s="65"/>
      <c r="U88" s="11"/>
      <c r="V88" s="11"/>
      <c r="W88" s="11"/>
      <c r="X88" s="11"/>
      <c r="Y88" s="11"/>
      <c r="Z88" s="11"/>
    </row>
    <row r="89">
      <c r="A89" s="11">
        <v>89.0</v>
      </c>
      <c r="B89" s="59"/>
      <c r="C89" s="44"/>
      <c r="D89" s="99"/>
      <c r="E89" s="100"/>
      <c r="F89" s="100"/>
      <c r="G89" s="73"/>
      <c r="H89" s="26"/>
      <c r="I89" s="11"/>
      <c r="J89" s="29"/>
      <c r="K89" s="11" t="b">
        <v>0</v>
      </c>
      <c r="L89" s="11" t="str">
        <f>IF(B89&lt;&gt;"",IFNA(COUNTIF(INSCRIPTIONS!B:B,"="&amp;B89),"") - IFNA(COUNTIF('DESINSCRIPTION FORM'!G:G, "="&amp;B89),""),)</f>
        <v/>
      </c>
      <c r="M89" s="11"/>
      <c r="N89" s="11"/>
      <c r="O89" s="11"/>
      <c r="P89" s="40"/>
      <c r="Q89" s="63"/>
      <c r="R89" s="11"/>
      <c r="S89" s="11"/>
      <c r="T89" s="65"/>
      <c r="U89" s="11"/>
      <c r="V89" s="11"/>
      <c r="W89" s="11"/>
      <c r="X89" s="11"/>
      <c r="Y89" s="11"/>
      <c r="Z89" s="11"/>
    </row>
    <row r="90">
      <c r="A90" s="11">
        <v>90.0</v>
      </c>
      <c r="B90" s="59"/>
      <c r="C90" s="44"/>
      <c r="D90" s="99"/>
      <c r="E90" s="100"/>
      <c r="F90" s="100"/>
      <c r="G90" s="73"/>
      <c r="H90" s="26"/>
      <c r="I90" s="11"/>
      <c r="J90" s="29"/>
      <c r="K90" s="11" t="b">
        <v>0</v>
      </c>
      <c r="L90" s="11" t="str">
        <f>IF(B90&lt;&gt;"",IFNA(COUNTIF(INSCRIPTIONS!B:B,"="&amp;B90),"") - IFNA(COUNTIF('DESINSCRIPTION FORM'!G:G, "="&amp;B90),""),)</f>
        <v/>
      </c>
      <c r="M90" s="11"/>
      <c r="N90" s="11"/>
      <c r="O90" s="11"/>
      <c r="P90" s="40"/>
      <c r="Q90" s="63"/>
      <c r="R90" s="11"/>
      <c r="S90" s="11"/>
      <c r="T90" s="65"/>
      <c r="U90" s="11"/>
      <c r="V90" s="11"/>
      <c r="W90" s="11"/>
      <c r="X90" s="11"/>
      <c r="Y90" s="11"/>
      <c r="Z90" s="11"/>
    </row>
    <row r="91">
      <c r="A91" s="11">
        <v>91.0</v>
      </c>
      <c r="B91" s="59"/>
      <c r="C91" s="44"/>
      <c r="D91" s="99"/>
      <c r="E91" s="100"/>
      <c r="F91" s="100"/>
      <c r="G91" s="73"/>
      <c r="H91" s="26"/>
      <c r="I91" s="11"/>
      <c r="J91" s="29"/>
      <c r="K91" s="11" t="b">
        <v>0</v>
      </c>
      <c r="L91" s="11" t="str">
        <f>IF(B91&lt;&gt;"",IFNA(COUNTIF(INSCRIPTIONS!B:B,"="&amp;B91),"") - IFNA(COUNTIF('DESINSCRIPTION FORM'!G:G, "="&amp;B91),""),)</f>
        <v/>
      </c>
      <c r="M91" s="11"/>
      <c r="N91" s="11"/>
      <c r="O91" s="11"/>
      <c r="P91" s="40"/>
      <c r="Q91" s="63"/>
      <c r="R91" s="11"/>
      <c r="S91" s="11"/>
      <c r="T91" s="65"/>
      <c r="U91" s="11"/>
      <c r="V91" s="11"/>
      <c r="W91" s="11"/>
      <c r="X91" s="11"/>
      <c r="Y91" s="11"/>
      <c r="Z91" s="11"/>
    </row>
    <row r="92">
      <c r="A92" s="11">
        <v>92.0</v>
      </c>
      <c r="B92" s="59"/>
      <c r="C92" s="44"/>
      <c r="D92" s="99"/>
      <c r="E92" s="100"/>
      <c r="F92" s="100"/>
      <c r="G92" s="73"/>
      <c r="H92" s="26"/>
      <c r="I92" s="11"/>
      <c r="J92" s="29"/>
      <c r="K92" s="11" t="b">
        <v>0</v>
      </c>
      <c r="L92" s="11" t="str">
        <f>IF(B92&lt;&gt;"",IFNA(COUNTIF(INSCRIPTIONS!B:B,"="&amp;B92),"") - IFNA(COUNTIF('DESINSCRIPTION FORM'!G:G, "="&amp;B92),""),)</f>
        <v/>
      </c>
      <c r="M92" s="11"/>
      <c r="N92" s="11"/>
      <c r="O92" s="11"/>
      <c r="P92" s="40"/>
      <c r="Q92" s="63"/>
      <c r="R92" s="11"/>
      <c r="S92" s="11"/>
      <c r="T92" s="65"/>
      <c r="U92" s="11"/>
      <c r="V92" s="11"/>
      <c r="W92" s="11"/>
      <c r="X92" s="11"/>
      <c r="Y92" s="11"/>
      <c r="Z92" s="11"/>
    </row>
    <row r="93">
      <c r="A93" s="11">
        <v>93.0</v>
      </c>
      <c r="B93" s="59"/>
      <c r="C93" s="44"/>
      <c r="D93" s="99"/>
      <c r="E93" s="100"/>
      <c r="F93" s="100"/>
      <c r="G93" s="73"/>
      <c r="H93" s="26"/>
      <c r="I93" s="11"/>
      <c r="J93" s="29"/>
      <c r="K93" s="11" t="b">
        <v>0</v>
      </c>
      <c r="L93" s="11" t="str">
        <f>IF(B93&lt;&gt;"",IFNA(COUNTIF(INSCRIPTIONS!B:B,"="&amp;B93),"") - IFNA(COUNTIF('DESINSCRIPTION FORM'!G:G, "="&amp;B93),""),)</f>
        <v/>
      </c>
      <c r="M93" s="11"/>
      <c r="N93" s="11"/>
      <c r="O93" s="11"/>
      <c r="P93" s="40"/>
      <c r="Q93" s="63"/>
      <c r="R93" s="11"/>
      <c r="S93" s="11"/>
      <c r="T93" s="65"/>
      <c r="U93" s="11"/>
      <c r="V93" s="11"/>
      <c r="W93" s="11"/>
      <c r="X93" s="11"/>
      <c r="Y93" s="11"/>
      <c r="Z93" s="11"/>
    </row>
    <row r="94">
      <c r="A94" s="11">
        <v>94.0</v>
      </c>
      <c r="B94" s="59"/>
      <c r="C94" s="44"/>
      <c r="D94" s="99"/>
      <c r="E94" s="100"/>
      <c r="F94" s="100"/>
      <c r="G94" s="73"/>
      <c r="H94" s="26"/>
      <c r="I94" s="11"/>
      <c r="J94" s="29"/>
      <c r="K94" s="11" t="b">
        <v>0</v>
      </c>
      <c r="L94" s="11" t="str">
        <f>IF(B94&lt;&gt;"",IFNA(COUNTIF(INSCRIPTIONS!B:B,"="&amp;B94),"") - IFNA(COUNTIF('DESINSCRIPTION FORM'!G:G, "="&amp;B94),""),)</f>
        <v/>
      </c>
      <c r="M94" s="11"/>
      <c r="N94" s="11"/>
      <c r="O94" s="11"/>
      <c r="P94" s="40"/>
      <c r="Q94" s="63"/>
      <c r="R94" s="11"/>
      <c r="S94" s="11"/>
      <c r="T94" s="65"/>
      <c r="U94" s="11"/>
      <c r="V94" s="11"/>
      <c r="W94" s="11"/>
      <c r="X94" s="11"/>
      <c r="Y94" s="11"/>
      <c r="Z94" s="11"/>
    </row>
    <row r="95">
      <c r="A95" s="11">
        <v>95.0</v>
      </c>
      <c r="B95" s="59"/>
      <c r="C95" s="44"/>
      <c r="D95" s="99"/>
      <c r="E95" s="100"/>
      <c r="F95" s="100"/>
      <c r="G95" s="73"/>
      <c r="H95" s="26"/>
      <c r="I95" s="11"/>
      <c r="J95" s="29"/>
      <c r="K95" s="11" t="b">
        <v>0</v>
      </c>
      <c r="L95" s="11" t="str">
        <f>IF(B95&lt;&gt;"",IFNA(COUNTIF(INSCRIPTIONS!B:B,"="&amp;B95),"") - IFNA(COUNTIF('DESINSCRIPTION FORM'!G:G, "="&amp;B95),""),)</f>
        <v/>
      </c>
      <c r="M95" s="11"/>
      <c r="N95" s="11"/>
      <c r="O95" s="11"/>
      <c r="P95" s="40"/>
      <c r="Q95" s="63"/>
      <c r="R95" s="11"/>
      <c r="S95" s="11"/>
      <c r="T95" s="65"/>
      <c r="U95" s="11"/>
      <c r="V95" s="11"/>
      <c r="W95" s="11"/>
      <c r="X95" s="11"/>
      <c r="Y95" s="11"/>
      <c r="Z95" s="11"/>
    </row>
    <row r="96">
      <c r="A96" s="11">
        <v>96.0</v>
      </c>
      <c r="B96" s="59"/>
      <c r="C96" s="44"/>
      <c r="D96" s="99"/>
      <c r="E96" s="100"/>
      <c r="F96" s="100"/>
      <c r="G96" s="73"/>
      <c r="H96" s="26"/>
      <c r="I96" s="11"/>
      <c r="J96" s="29"/>
      <c r="K96" s="11" t="b">
        <v>0</v>
      </c>
      <c r="L96" s="11" t="str">
        <f>IF(B96&lt;&gt;"",IFNA(COUNTIF(INSCRIPTIONS!B:B,"="&amp;B96),"") - IFNA(COUNTIF('DESINSCRIPTION FORM'!G:G, "="&amp;B96),""),)</f>
        <v/>
      </c>
      <c r="M96" s="11"/>
      <c r="N96" s="11"/>
      <c r="O96" s="11"/>
      <c r="P96" s="40"/>
      <c r="Q96" s="63"/>
      <c r="R96" s="11"/>
      <c r="S96" s="11"/>
      <c r="T96" s="65"/>
      <c r="U96" s="11"/>
      <c r="V96" s="11"/>
      <c r="W96" s="11"/>
      <c r="X96" s="11"/>
      <c r="Y96" s="11"/>
      <c r="Z96" s="11"/>
    </row>
    <row r="97">
      <c r="A97" s="11">
        <v>97.0</v>
      </c>
      <c r="B97" s="59"/>
      <c r="C97" s="44"/>
      <c r="D97" s="99"/>
      <c r="E97" s="100"/>
      <c r="F97" s="100"/>
      <c r="G97" s="73"/>
      <c r="H97" s="26"/>
      <c r="I97" s="11"/>
      <c r="J97" s="29"/>
      <c r="K97" s="11" t="b">
        <v>0</v>
      </c>
      <c r="L97" s="11" t="str">
        <f>IF(B97&lt;&gt;"",IFNA(COUNTIF(INSCRIPTIONS!B:B,"="&amp;B97),"") - IFNA(COUNTIF('DESINSCRIPTION FORM'!G:G, "="&amp;B97),""),)</f>
        <v/>
      </c>
      <c r="M97" s="11"/>
      <c r="N97" s="11"/>
      <c r="O97" s="11"/>
      <c r="P97" s="40"/>
      <c r="Q97" s="63"/>
      <c r="R97" s="11"/>
      <c r="S97" s="11"/>
      <c r="T97" s="65"/>
      <c r="U97" s="11"/>
      <c r="V97" s="11"/>
      <c r="W97" s="11"/>
      <c r="X97" s="11"/>
      <c r="Y97" s="11"/>
      <c r="Z97" s="11"/>
    </row>
    <row r="98">
      <c r="A98" s="11">
        <v>98.0</v>
      </c>
      <c r="B98" s="59"/>
      <c r="C98" s="44"/>
      <c r="D98" s="99"/>
      <c r="E98" s="100"/>
      <c r="F98" s="100"/>
      <c r="G98" s="73"/>
      <c r="H98" s="26"/>
      <c r="I98" s="11"/>
      <c r="J98" s="29"/>
      <c r="K98" s="11" t="b">
        <v>0</v>
      </c>
      <c r="L98" s="11" t="str">
        <f>IF(B98&lt;&gt;"",IFNA(COUNTIF(INSCRIPTIONS!B:B,"="&amp;B98),"") - IFNA(COUNTIF('DESINSCRIPTION FORM'!G:G, "="&amp;B98),""),)</f>
        <v/>
      </c>
      <c r="M98" s="11"/>
      <c r="N98" s="11"/>
      <c r="O98" s="11"/>
      <c r="P98" s="40"/>
      <c r="Q98" s="63"/>
      <c r="R98" s="11"/>
      <c r="S98" s="11"/>
      <c r="T98" s="65"/>
      <c r="U98" s="11"/>
      <c r="V98" s="11"/>
      <c r="W98" s="11"/>
      <c r="X98" s="11"/>
      <c r="Y98" s="11"/>
      <c r="Z98" s="11"/>
    </row>
    <row r="99">
      <c r="A99" s="11">
        <v>99.0</v>
      </c>
      <c r="B99" s="59"/>
      <c r="C99" s="44"/>
      <c r="D99" s="99"/>
      <c r="E99" s="100"/>
      <c r="F99" s="100"/>
      <c r="G99" s="73"/>
      <c r="H99" s="26"/>
      <c r="I99" s="11"/>
      <c r="J99" s="29"/>
      <c r="K99" s="11" t="b">
        <v>0</v>
      </c>
      <c r="L99" s="11" t="str">
        <f>IF(B99&lt;&gt;"",IFNA(COUNTIF(INSCRIPTIONS!B:B,"="&amp;B99),"") - IFNA(COUNTIF('DESINSCRIPTION FORM'!G:G, "="&amp;B99),""),)</f>
        <v/>
      </c>
      <c r="M99" s="11"/>
      <c r="N99" s="11"/>
      <c r="O99" s="11"/>
      <c r="P99" s="40"/>
      <c r="Q99" s="63"/>
      <c r="R99" s="11"/>
      <c r="S99" s="11"/>
      <c r="T99" s="65"/>
      <c r="U99" s="11"/>
      <c r="V99" s="11"/>
      <c r="W99" s="11"/>
      <c r="X99" s="11"/>
      <c r="Y99" s="11"/>
      <c r="Z99" s="11"/>
    </row>
    <row r="100">
      <c r="A100" s="11"/>
      <c r="B100" s="44"/>
      <c r="C100" s="11"/>
      <c r="D100" s="99"/>
      <c r="E100" s="100"/>
      <c r="F100" s="100"/>
      <c r="G100" s="73"/>
      <c r="H100" s="26"/>
      <c r="I100" s="11"/>
      <c r="J100" s="29"/>
      <c r="K100" s="11" t="b">
        <v>0</v>
      </c>
      <c r="L100" s="11" t="str">
        <f>IF(B100&lt;&gt;"",IFNA(COUNTIF(INSCRIPTIONS!B:B,"="&amp;B100),"") - IFNA(COUNTIF('DESINSCRIPTION FORM'!G:G, "="&amp;B100),""),)</f>
        <v/>
      </c>
      <c r="M100" s="11"/>
      <c r="N100" s="11"/>
      <c r="O100" s="11"/>
      <c r="P100" s="40"/>
      <c r="Q100" s="63"/>
      <c r="R100" s="11"/>
      <c r="S100" s="11"/>
      <c r="T100" s="65"/>
      <c r="U100" s="11"/>
      <c r="V100" s="11"/>
      <c r="W100" s="11"/>
      <c r="X100" s="11"/>
      <c r="Y100" s="11"/>
      <c r="Z100" s="11"/>
    </row>
  </sheetData>
  <customSheetViews>
    <customSheetView guid="{196E67E1-827B-460C-B6F7-15B643C48C5D}" filter="1" showAutoFilter="1">
      <autoFilter ref="$A$1:$M$100">
        <filterColumn colId="2">
          <filters>
            <filter val="Gmail Agenda Meet [FOR-001]"/>
            <filter val="Gemini [FOR-002]"/>
          </filters>
        </filterColumn>
      </autoFilter>
    </customSheetView>
    <customSheetView guid="{704D4E3C-93E2-4FEF-965B-4E480533A4D8}" filter="1" showAutoFilter="1">
      <autoFilter ref="$A$1:$Z$100">
        <filterColumn colId="14">
          <filters blank="1">
            <filter val="Gemini"/>
          </filters>
        </filterColumn>
      </autoFilter>
    </customSheetView>
  </customSheetViews>
  <conditionalFormatting sqref="C18 C25:C31">
    <cfRule type="expression" dxfId="9" priority="1">
      <formula>$D20&lt;TODAY()</formula>
    </cfRule>
  </conditionalFormatting>
  <conditionalFormatting sqref="C18 C25:C31">
    <cfRule type="expression" dxfId="10" priority="2">
      <formula>AND($D20&lt;&gt;"",$D20&gt;TODAY())</formula>
    </cfRule>
  </conditionalFormatting>
  <conditionalFormatting sqref="C20 C26 C31">
    <cfRule type="expression" dxfId="9" priority="3">
      <formula>$D18&lt;TODAY()</formula>
    </cfRule>
  </conditionalFormatting>
  <conditionalFormatting sqref="C20 C26 C31">
    <cfRule type="expression" dxfId="10" priority="4">
      <formula>AND($D18&lt;&gt;"",$D18&gt;TODAY())</formula>
    </cfRule>
  </conditionalFormatting>
  <conditionalFormatting sqref="C12">
    <cfRule type="expression" dxfId="10" priority="5">
      <formula>AND(#REF!&lt;&gt;"",#REF!&gt;TODAY())</formula>
    </cfRule>
  </conditionalFormatting>
  <conditionalFormatting sqref="C12">
    <cfRule type="expression" dxfId="9" priority="6">
      <formula>#REF!&lt;TODAY()</formula>
    </cfRule>
  </conditionalFormatting>
  <conditionalFormatting sqref="C21">
    <cfRule type="expression" dxfId="10" priority="7">
      <formula>AND($D12&lt;&gt;"",$D12&gt;TODAY())</formula>
    </cfRule>
  </conditionalFormatting>
  <conditionalFormatting sqref="C21">
    <cfRule type="expression" dxfId="9" priority="8">
      <formula>$D12&lt;TODAY()</formula>
    </cfRule>
  </conditionalFormatting>
  <conditionalFormatting sqref="A2:B100 C2:C11 D2:Z100 C13:C17 C19 C22:C100">
    <cfRule type="expression" dxfId="10" priority="9">
      <formula>AND($D2&lt;&gt;"",$D2&gt;TODAY())</formula>
    </cfRule>
  </conditionalFormatting>
  <conditionalFormatting sqref="A2:B100 C2:C11 D2:Z100 C13:C17 C19 C22:C100">
    <cfRule type="expression" dxfId="9" priority="10">
      <formula>$D2&lt;TODAY()</formula>
    </cfRule>
  </conditionalFormatting>
  <dataValidations>
    <dataValidation type="list" allowBlank="1" sqref="I2:I100">
      <formula1>LIEUX!$I$2:$I$1000</formula1>
    </dataValidation>
    <dataValidation type="list" allowBlank="1" sqref="C2:C100">
      <formula1>FORMATIONS!$H$2:$H100</formula1>
    </dataValidation>
    <dataValidation type="custom" allowBlank="1" showDropDown="1" sqref="D2:D100">
      <formula1>OR(NOT(ISERROR(DATEVALUE(D2))), AND(ISNUMBER(D2), LEFT(CELL("format", D2))="D"))</formula1>
    </dataValidation>
  </dataValidations>
  <hyperlinks>
    <hyperlink r:id="rId1" ref="R2"/>
    <hyperlink r:id="rId2" ref="Y2"/>
    <hyperlink r:id="rId3" ref="Y3"/>
    <hyperlink r:id="rId4" ref="Y4"/>
  </hyperlinks>
  <drawing r:id="rId5"/>
  <tableParts count="5"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10.75"/>
    <col customWidth="1" min="3" max="3" width="22.5"/>
    <col customWidth="1" min="4" max="4" width="18.88"/>
    <col customWidth="1" min="5" max="5" width="47.5"/>
    <col customWidth="1" min="6" max="6" width="30.63"/>
    <col customWidth="1" min="7" max="7" width="24.25"/>
    <col customWidth="1" min="8" max="8" width="18.88"/>
    <col customWidth="1" min="9" max="11" width="9.25"/>
  </cols>
  <sheetData>
    <row r="1" ht="51.75" customHeight="1">
      <c r="A1" s="11" t="s">
        <v>2</v>
      </c>
      <c r="B1" s="11" t="str">
        <f t="array" ref="B1:B35">IF(C:C&lt;&gt;"",If(C:C=C1,"ID FORMATION","FOR-"&amp;TEXT(A:A,"000")),)</f>
        <v>ID FORMATION</v>
      </c>
      <c r="C1" s="9" t="s">
        <v>9</v>
      </c>
      <c r="D1" s="11" t="s">
        <v>11</v>
      </c>
      <c r="E1" s="20" t="s">
        <v>12</v>
      </c>
      <c r="F1" s="24" t="str">
        <f t="array" ref="F1:F35">IF(D:D&lt;&gt;"",IF(D:D=D1,"URL IMG APPLI",IFNA( VLOOKUP(D:D,'IMPORT APPLIS'!A:B,2,FALSE),"")),)</f>
        <v>URL IMG APPLI</v>
      </c>
      <c r="G1" s="26"/>
      <c r="H1" s="29" t="str">
        <f t="array" ref="H1:H35">IF(C:C&lt;&gt;"",C:C&amp;" ["&amp;B:B&amp;"]",)</f>
        <v>TITRE DE LA FORMATION [ID FORMATION]</v>
      </c>
      <c r="I1" s="29" t="str">
        <f t="array" ref="I1:I35">IF(F:F&lt;&gt;"",IF(F:F=F1,"IMAGE",IMAGE(F:F)),)</f>
        <v>IMAGE</v>
      </c>
      <c r="J1" s="9" t="s">
        <v>28</v>
      </c>
      <c r="K1" s="9" t="s">
        <v>29</v>
      </c>
    </row>
    <row r="2" ht="51.75" customHeight="1">
      <c r="A2" s="11">
        <v>1.0</v>
      </c>
      <c r="B2" s="11" t="s">
        <v>31</v>
      </c>
      <c r="C2" s="9" t="s">
        <v>33</v>
      </c>
      <c r="D2" s="36" t="s">
        <v>36</v>
      </c>
      <c r="E2" s="20" t="s">
        <v>37</v>
      </c>
      <c r="F2" s="38" t="s">
        <v>39</v>
      </c>
      <c r="G2" s="40"/>
      <c r="H2" s="29" t="s">
        <v>41</v>
      </c>
      <c r="I2" s="29"/>
      <c r="J2" s="41"/>
      <c r="K2" s="41"/>
    </row>
    <row r="3" ht="51.75" customHeight="1">
      <c r="A3" s="11">
        <v>2.0</v>
      </c>
      <c r="B3" s="11" t="s">
        <v>43</v>
      </c>
      <c r="C3" s="9" t="s">
        <v>44</v>
      </c>
      <c r="D3" s="36" t="s">
        <v>46</v>
      </c>
      <c r="E3" s="20" t="s">
        <v>48</v>
      </c>
      <c r="F3" s="24"/>
      <c r="G3" s="40"/>
      <c r="H3" s="29" t="s">
        <v>49</v>
      </c>
      <c r="I3" s="29"/>
      <c r="J3" s="29"/>
      <c r="K3" s="29"/>
    </row>
    <row r="4" ht="51.75" customHeight="1">
      <c r="A4" s="11">
        <v>3.0</v>
      </c>
      <c r="B4" s="11"/>
      <c r="C4" s="9"/>
      <c r="D4" s="36"/>
      <c r="E4" s="20"/>
      <c r="F4" s="24"/>
      <c r="G4" s="40"/>
      <c r="H4" s="29"/>
      <c r="I4" s="29"/>
      <c r="J4" s="29"/>
      <c r="K4" s="29"/>
    </row>
    <row r="5" ht="51.75" customHeight="1">
      <c r="A5" s="11">
        <v>4.0</v>
      </c>
      <c r="B5" s="44"/>
      <c r="C5" s="9"/>
      <c r="D5" s="36"/>
      <c r="E5" s="20"/>
      <c r="F5" s="24"/>
      <c r="G5" s="40"/>
      <c r="H5" s="29"/>
      <c r="I5" s="29"/>
      <c r="J5" s="29"/>
      <c r="K5" s="29"/>
    </row>
    <row r="6" ht="51.75" customHeight="1">
      <c r="A6" s="11">
        <v>5.0</v>
      </c>
      <c r="B6" s="44"/>
      <c r="C6" s="9"/>
      <c r="D6" s="36"/>
      <c r="E6" s="20"/>
      <c r="F6" s="24"/>
      <c r="G6" s="40"/>
      <c r="H6" s="29"/>
      <c r="I6" s="29"/>
      <c r="J6" s="29"/>
      <c r="K6" s="29"/>
    </row>
    <row r="7" ht="51.75" customHeight="1">
      <c r="A7" s="11">
        <v>6.0</v>
      </c>
      <c r="B7" s="44"/>
      <c r="C7" s="28"/>
      <c r="D7" s="36"/>
      <c r="E7" s="46"/>
      <c r="F7" s="24"/>
      <c r="G7" s="40"/>
      <c r="H7" s="29"/>
      <c r="I7" s="29"/>
      <c r="J7" s="41"/>
      <c r="K7" s="47"/>
    </row>
    <row r="8" ht="51.75" customHeight="1">
      <c r="A8" s="11">
        <v>7.0</v>
      </c>
      <c r="B8" s="44"/>
      <c r="C8" s="28"/>
      <c r="D8" s="36"/>
      <c r="E8" s="20"/>
      <c r="F8" s="24"/>
      <c r="G8" s="40"/>
      <c r="H8" s="29"/>
      <c r="I8" s="29"/>
      <c r="J8" s="41"/>
      <c r="K8" s="29"/>
    </row>
    <row r="9" ht="51.75" customHeight="1">
      <c r="A9" s="11">
        <v>8.0</v>
      </c>
      <c r="B9" s="44"/>
      <c r="C9" s="28"/>
      <c r="D9" s="36"/>
      <c r="E9" s="20"/>
      <c r="F9" s="24"/>
      <c r="G9" s="48"/>
      <c r="H9" s="29"/>
      <c r="I9" s="29"/>
      <c r="J9" s="41"/>
      <c r="K9" s="29"/>
    </row>
    <row r="10" ht="51.75" customHeight="1">
      <c r="A10" s="11">
        <v>9.0</v>
      </c>
      <c r="B10" s="44"/>
      <c r="C10" s="49"/>
      <c r="D10" s="36"/>
      <c r="E10" s="20"/>
      <c r="F10" s="24"/>
      <c r="G10" s="40"/>
      <c r="H10" s="29"/>
      <c r="I10" s="29"/>
      <c r="J10" s="41"/>
      <c r="K10" s="29"/>
    </row>
    <row r="11" ht="51.75" customHeight="1">
      <c r="A11" s="11">
        <v>10.0</v>
      </c>
      <c r="B11" s="44"/>
      <c r="C11" s="49"/>
      <c r="D11" s="36"/>
      <c r="E11" s="20"/>
      <c r="F11" s="24"/>
      <c r="G11" s="40"/>
      <c r="H11" s="29"/>
      <c r="I11" s="29"/>
      <c r="J11" s="9"/>
      <c r="K11" s="29"/>
    </row>
    <row r="12" ht="51.75" customHeight="1">
      <c r="A12" s="11">
        <v>11.0</v>
      </c>
      <c r="B12" s="44"/>
      <c r="C12" s="49"/>
      <c r="D12" s="36"/>
      <c r="E12" s="20"/>
      <c r="F12" s="24"/>
      <c r="G12" s="40"/>
      <c r="H12" s="29"/>
      <c r="I12" s="29"/>
      <c r="J12" s="41"/>
      <c r="K12" s="29"/>
    </row>
    <row r="13" ht="51.75" customHeight="1">
      <c r="A13" s="11">
        <v>12.0</v>
      </c>
      <c r="B13" s="44"/>
      <c r="C13" s="49"/>
      <c r="D13" s="36"/>
      <c r="E13" s="20"/>
      <c r="F13" s="24"/>
      <c r="G13" s="40"/>
      <c r="H13" s="29"/>
      <c r="I13" s="29"/>
      <c r="J13" s="9"/>
      <c r="K13" s="29"/>
    </row>
    <row r="14" ht="51.75" customHeight="1">
      <c r="A14" s="11">
        <v>13.0</v>
      </c>
      <c r="B14" s="44"/>
      <c r="C14" s="49"/>
      <c r="D14" s="36"/>
      <c r="E14" s="20"/>
      <c r="F14" s="24"/>
      <c r="G14" s="40"/>
      <c r="H14" s="29"/>
      <c r="I14" s="29"/>
      <c r="J14" s="41"/>
      <c r="K14" s="29"/>
    </row>
    <row r="15" ht="51.75" customHeight="1">
      <c r="A15" s="11">
        <v>14.0</v>
      </c>
      <c r="B15" s="44"/>
      <c r="C15" s="53"/>
      <c r="D15" s="36"/>
      <c r="E15" s="20"/>
      <c r="F15" s="24"/>
      <c r="G15" s="40"/>
      <c r="H15" s="29"/>
      <c r="I15" s="29"/>
      <c r="J15" s="9"/>
      <c r="K15" s="29"/>
    </row>
    <row r="16" ht="51.75" customHeight="1">
      <c r="A16" s="11">
        <v>15.0</v>
      </c>
      <c r="B16" s="44"/>
      <c r="C16" s="53"/>
      <c r="D16" s="36"/>
      <c r="E16" s="20"/>
      <c r="F16" s="24"/>
      <c r="G16" s="40"/>
      <c r="H16" s="29"/>
      <c r="I16" s="29"/>
      <c r="J16" s="41"/>
      <c r="K16" s="29"/>
    </row>
    <row r="17" ht="51.75" customHeight="1">
      <c r="A17" s="11">
        <v>16.0</v>
      </c>
      <c r="B17" s="44"/>
      <c r="C17" s="28"/>
      <c r="D17" s="36"/>
      <c r="E17" s="20"/>
      <c r="F17" s="24"/>
      <c r="G17" s="54"/>
      <c r="H17" s="29"/>
      <c r="I17" s="29"/>
      <c r="J17" s="9"/>
      <c r="K17" s="29"/>
    </row>
    <row r="18" ht="51.75" customHeight="1">
      <c r="A18" s="11">
        <v>17.0</v>
      </c>
      <c r="B18" s="44"/>
      <c r="C18" s="9"/>
      <c r="D18" s="36"/>
      <c r="E18" s="20"/>
      <c r="F18" s="24"/>
      <c r="G18" s="54"/>
      <c r="H18" s="29"/>
      <c r="I18" s="29"/>
      <c r="J18" s="9"/>
      <c r="K18" s="29"/>
    </row>
    <row r="19" ht="51.75" customHeight="1">
      <c r="A19" s="11">
        <v>18.0</v>
      </c>
      <c r="B19" s="44"/>
      <c r="C19" s="9"/>
      <c r="D19" s="36"/>
      <c r="E19" s="20"/>
      <c r="F19" s="24"/>
      <c r="G19" s="54"/>
      <c r="H19" s="29"/>
      <c r="I19" s="29"/>
      <c r="J19" s="9"/>
      <c r="K19" s="29"/>
    </row>
    <row r="20" ht="51.75" customHeight="1">
      <c r="A20" s="11">
        <v>19.0</v>
      </c>
      <c r="B20" s="44"/>
      <c r="C20" s="9"/>
      <c r="D20" s="36"/>
      <c r="E20" s="20"/>
      <c r="F20" s="24"/>
      <c r="G20" s="55"/>
      <c r="H20" s="29"/>
      <c r="I20" s="29"/>
      <c r="J20" s="29"/>
      <c r="K20" s="29"/>
    </row>
    <row r="21" ht="51.75" customHeight="1">
      <c r="A21" s="11">
        <v>20.0</v>
      </c>
      <c r="B21" s="44"/>
      <c r="C21" s="9"/>
      <c r="D21" s="36"/>
      <c r="E21" s="56"/>
      <c r="F21" s="24"/>
      <c r="G21" s="57"/>
      <c r="H21" s="29"/>
      <c r="I21" s="29"/>
      <c r="J21" s="29"/>
      <c r="K21" s="29"/>
    </row>
    <row r="22" ht="51.75" customHeight="1">
      <c r="A22" s="11">
        <v>21.0</v>
      </c>
      <c r="B22" s="44"/>
      <c r="C22" s="9"/>
      <c r="D22" s="36"/>
      <c r="E22" s="56"/>
      <c r="F22" s="24"/>
      <c r="G22" s="57"/>
      <c r="H22" s="29"/>
      <c r="I22" s="29"/>
      <c r="J22" s="29"/>
      <c r="K22" s="29"/>
    </row>
    <row r="23" ht="51.75" customHeight="1">
      <c r="A23" s="11">
        <v>22.0</v>
      </c>
      <c r="B23" s="44"/>
      <c r="C23" s="9"/>
      <c r="D23" s="36"/>
      <c r="E23" s="20"/>
      <c r="F23" s="24"/>
      <c r="G23" s="57"/>
      <c r="H23" s="29"/>
      <c r="I23" s="29"/>
      <c r="J23" s="29"/>
      <c r="K23" s="29"/>
    </row>
    <row r="24" ht="51.75" customHeight="1">
      <c r="A24" s="11">
        <v>23.0</v>
      </c>
      <c r="B24" s="44"/>
      <c r="C24" s="9"/>
      <c r="D24" s="36"/>
      <c r="E24" s="20"/>
      <c r="F24" s="24"/>
      <c r="G24" s="57"/>
      <c r="H24" s="29"/>
      <c r="I24" s="29"/>
      <c r="J24" s="29"/>
      <c r="K24" s="29"/>
    </row>
    <row r="25" ht="51.75" customHeight="1">
      <c r="A25" s="11">
        <v>24.0</v>
      </c>
      <c r="B25" s="44"/>
      <c r="C25" s="29"/>
      <c r="D25" s="36"/>
      <c r="E25" s="58"/>
      <c r="F25" s="24"/>
      <c r="G25" s="57"/>
      <c r="H25" s="29"/>
      <c r="I25" s="29"/>
      <c r="J25" s="29"/>
      <c r="K25" s="29"/>
    </row>
    <row r="26" ht="51.75" customHeight="1">
      <c r="A26" s="11">
        <v>25.0</v>
      </c>
      <c r="B26" s="44"/>
      <c r="C26" s="29"/>
      <c r="D26" s="26"/>
      <c r="E26" s="58"/>
      <c r="F26" s="24"/>
      <c r="G26" s="57"/>
      <c r="H26" s="29"/>
      <c r="I26" s="29"/>
      <c r="J26" s="29"/>
      <c r="K26" s="29"/>
    </row>
    <row r="27" ht="51.75" customHeight="1">
      <c r="A27" s="11">
        <v>26.0</v>
      </c>
      <c r="B27" s="44"/>
      <c r="C27" s="29"/>
      <c r="D27" s="26"/>
      <c r="E27" s="58"/>
      <c r="F27" s="24"/>
      <c r="G27" s="57"/>
      <c r="H27" s="29"/>
      <c r="I27" s="29"/>
      <c r="J27" s="29"/>
      <c r="K27" s="29"/>
    </row>
    <row r="28" ht="51.75" customHeight="1">
      <c r="A28" s="11">
        <v>27.0</v>
      </c>
      <c r="B28" s="44"/>
      <c r="C28" s="29"/>
      <c r="D28" s="26"/>
      <c r="E28" s="58"/>
      <c r="F28" s="24"/>
      <c r="G28" s="57"/>
      <c r="H28" s="29"/>
      <c r="I28" s="29"/>
      <c r="J28" s="29"/>
      <c r="K28" s="29"/>
    </row>
    <row r="29" ht="51.75" customHeight="1">
      <c r="A29" s="11">
        <v>28.0</v>
      </c>
      <c r="B29" s="44"/>
      <c r="C29" s="29"/>
      <c r="D29" s="26"/>
      <c r="E29" s="58"/>
      <c r="F29" s="24"/>
      <c r="G29" s="57"/>
      <c r="H29" s="29"/>
      <c r="I29" s="29"/>
      <c r="J29" s="29"/>
      <c r="K29" s="29"/>
    </row>
    <row r="30" ht="51.75" customHeight="1">
      <c r="A30" s="11">
        <v>29.0</v>
      </c>
      <c r="B30" s="44"/>
      <c r="C30" s="29"/>
      <c r="D30" s="26"/>
      <c r="E30" s="58"/>
      <c r="F30" s="24"/>
      <c r="G30" s="57"/>
      <c r="H30" s="29"/>
      <c r="I30" s="29"/>
      <c r="J30" s="29"/>
      <c r="K30" s="29"/>
    </row>
    <row r="31" ht="51.75" customHeight="1">
      <c r="A31" s="11">
        <v>30.0</v>
      </c>
      <c r="B31" s="44"/>
      <c r="C31" s="29"/>
      <c r="D31" s="26"/>
      <c r="E31" s="58"/>
      <c r="F31" s="24"/>
      <c r="G31" s="57"/>
      <c r="H31" s="29"/>
      <c r="I31" s="29"/>
      <c r="J31" s="29"/>
      <c r="K31" s="29"/>
    </row>
    <row r="32" ht="51.75" customHeight="1">
      <c r="A32" s="11">
        <v>31.0</v>
      </c>
      <c r="B32" s="44"/>
      <c r="C32" s="29"/>
      <c r="D32" s="26"/>
      <c r="E32" s="58"/>
      <c r="F32" s="24"/>
      <c r="G32" s="57"/>
      <c r="H32" s="29"/>
      <c r="I32" s="29"/>
      <c r="J32" s="29"/>
      <c r="K32" s="29"/>
    </row>
    <row r="33" ht="51.75" customHeight="1">
      <c r="A33" s="11">
        <v>32.0</v>
      </c>
      <c r="B33" s="44"/>
      <c r="C33" s="29"/>
      <c r="D33" s="26"/>
      <c r="E33" s="58"/>
      <c r="F33" s="24"/>
      <c r="G33" s="57"/>
      <c r="H33" s="29"/>
      <c r="I33" s="29"/>
      <c r="J33" s="29"/>
      <c r="K33" s="29"/>
    </row>
    <row r="34" ht="51.75" customHeight="1">
      <c r="A34" s="44"/>
      <c r="B34" s="44"/>
      <c r="C34" s="29"/>
      <c r="D34" s="26"/>
      <c r="E34" s="58"/>
      <c r="F34" s="24"/>
      <c r="G34" s="57"/>
      <c r="H34" s="29"/>
      <c r="I34" s="29"/>
      <c r="J34" s="29"/>
      <c r="K34" s="29"/>
    </row>
    <row r="35" ht="51.75" customHeight="1">
      <c r="A35" s="44"/>
      <c r="B35" s="44"/>
      <c r="C35" s="29"/>
      <c r="D35" s="26"/>
      <c r="E35" s="58"/>
      <c r="F35" s="24"/>
      <c r="G35" s="57"/>
      <c r="H35" s="29"/>
      <c r="I35" s="29"/>
      <c r="J35" s="29"/>
      <c r="K35" s="29"/>
    </row>
  </sheetData>
  <dataValidations>
    <dataValidation type="list" allowBlank="1" sqref="D2:D35">
      <formula1>'IMPORT APPLIS'!$A$2:$A35</formula1>
    </dataValidation>
  </dataValidations>
  <hyperlinks>
    <hyperlink r:id="rId1" ref="F2"/>
  </hyperlinks>
  <drawing r:id="rId2"/>
  <tableParts count="6">
    <tablePart r:id="rId9"/>
    <tablePart r:id="rId10"/>
    <tablePart r:id="rId11"/>
    <tablePart r:id="rId12"/>
    <tablePart r:id="rId13"/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9.5"/>
    <col customWidth="1" min="3" max="3" width="12.75"/>
    <col customWidth="1" min="4" max="4" width="10.38"/>
    <col customWidth="1" min="5" max="5" width="8.13"/>
    <col customWidth="1" min="6" max="6" width="10.75"/>
    <col customWidth="1" min="7" max="7" width="8.13"/>
    <col customWidth="1" min="8" max="8" width="14.63"/>
    <col customWidth="1" min="9" max="9" width="25.5"/>
  </cols>
  <sheetData>
    <row r="1">
      <c r="A1" s="50" t="str">
        <f>IFERROR(__xludf.DUMMYFUNCTION("QUERY(SESSIONS!B:O,""SELECT B,O,D,E,F,H,L,M WHERE D = DATE '""&amp;TEXT((TODAY()+3),""YYYY-MM-dd"")&amp;""' AND L &lt;= 7 "")"),"ID SESSION")</f>
        <v>ID SESSION</v>
      </c>
      <c r="B1" s="50" t="str">
        <f>IFERROR(__xludf.DUMMYFUNCTION("""COMPUTED_VALUE"""),"MODULE TITRE")</f>
        <v>MODULE TITRE</v>
      </c>
      <c r="C1" s="50" t="str">
        <f>IFERROR(__xludf.DUMMYFUNCTION("""COMPUTED_VALUE"""),"DATE")</f>
        <v>DATE</v>
      </c>
      <c r="D1" s="50" t="str">
        <f>IFERROR(__xludf.DUMMYFUNCTION("""COMPUTED_VALUE"""),"HEURE DEBUT")</f>
        <v>HEURE DEBUT</v>
      </c>
      <c r="E1" s="50" t="str">
        <f>IFERROR(__xludf.DUMMYFUNCTION("""COMPUTED_VALUE"""),"HEURE FIN")</f>
        <v>HEURE FIN</v>
      </c>
      <c r="F1" s="50" t="str">
        <f>IFERROR(__xludf.DUMMYFUNCTION("""COMPUTED_VALUE"""),"NB DE PLACES")</f>
        <v>NB DE PLACES</v>
      </c>
      <c r="G1" s="50" t="str">
        <f>IFERROR(__xludf.DUMMYFUNCTION("""COMPUTED_VALUE"""),"Nb Inscrits")</f>
        <v>Nb Inscrits</v>
      </c>
      <c r="H1" s="50" t="str">
        <f>IFERROR(__xludf.DUMMYFUNCTION("""COMPUTED_VALUE"""),"PLACES RESTANTES")</f>
        <v>PLACES RESTANTES</v>
      </c>
      <c r="I1" s="51" t="s">
        <v>51</v>
      </c>
    </row>
    <row r="2">
      <c r="A2" s="50"/>
      <c r="B2" s="50"/>
      <c r="C2" s="50"/>
      <c r="D2" s="50"/>
      <c r="E2" s="50"/>
      <c r="F2" s="50"/>
      <c r="G2" s="50"/>
      <c r="H2" s="50"/>
      <c r="I2" s="52" t="str">
        <f>IFERROR(__xludf.DUMMYFUNCTION("IF(A2&lt;&gt;"""",IFNA(JOIN(""&lt;br&gt;"",FiLTER('INCRIPTIONS FORMS'!B:B,'INCRIPTIONS FORMS'!K:K=A2))),)"),"")</f>
        <v/>
      </c>
    </row>
    <row r="3">
      <c r="A3" s="50"/>
      <c r="B3" s="50"/>
      <c r="C3" s="50"/>
      <c r="D3" s="50"/>
      <c r="E3" s="50"/>
      <c r="F3" s="50"/>
      <c r="G3" s="50"/>
      <c r="H3" s="50"/>
      <c r="I3" s="50"/>
    </row>
    <row r="4">
      <c r="A4" s="50"/>
      <c r="B4" s="50"/>
      <c r="C4" s="50"/>
      <c r="D4" s="50"/>
      <c r="E4" s="50"/>
      <c r="F4" s="50"/>
      <c r="G4" s="50"/>
      <c r="H4" s="50"/>
      <c r="I4" s="50"/>
    </row>
    <row r="5">
      <c r="A5" s="50"/>
      <c r="B5" s="50"/>
      <c r="C5" s="50"/>
      <c r="D5" s="50"/>
      <c r="E5" s="50"/>
      <c r="F5" s="50"/>
      <c r="G5" s="50"/>
      <c r="H5" s="50"/>
      <c r="I5" s="50"/>
    </row>
    <row r="6">
      <c r="A6" s="50"/>
      <c r="B6" s="50"/>
      <c r="C6" s="50"/>
      <c r="D6" s="50"/>
      <c r="E6" s="50"/>
      <c r="F6" s="50"/>
      <c r="G6" s="50"/>
      <c r="H6" s="50"/>
      <c r="I6" s="50"/>
    </row>
    <row r="7">
      <c r="A7" s="50"/>
      <c r="B7" s="50"/>
      <c r="C7" s="50"/>
      <c r="D7" s="50"/>
      <c r="E7" s="50"/>
      <c r="F7" s="50"/>
      <c r="G7" s="50"/>
      <c r="H7" s="50"/>
      <c r="I7" s="50"/>
    </row>
    <row r="8">
      <c r="A8" s="50"/>
      <c r="B8" s="50"/>
      <c r="C8" s="50"/>
      <c r="D8" s="50"/>
      <c r="E8" s="50"/>
      <c r="F8" s="50"/>
      <c r="G8" s="50"/>
      <c r="H8" s="50"/>
      <c r="I8" s="50"/>
    </row>
    <row r="9">
      <c r="A9" s="50"/>
      <c r="B9" s="50"/>
      <c r="C9" s="50"/>
      <c r="D9" s="50"/>
      <c r="E9" s="50"/>
      <c r="F9" s="50"/>
      <c r="G9" s="50"/>
      <c r="H9" s="50"/>
      <c r="I9" s="50"/>
    </row>
    <row r="10">
      <c r="A10" s="50"/>
      <c r="B10" s="50"/>
      <c r="C10" s="50"/>
      <c r="D10" s="50"/>
      <c r="E10" s="50"/>
      <c r="F10" s="50"/>
      <c r="G10" s="50"/>
      <c r="H10" s="50"/>
      <c r="I10" s="50"/>
    </row>
    <row r="11">
      <c r="A11" s="50"/>
      <c r="B11" s="50"/>
      <c r="C11" s="50"/>
      <c r="D11" s="50"/>
      <c r="E11" s="50"/>
      <c r="F11" s="50"/>
      <c r="G11" s="50"/>
      <c r="H11" s="50"/>
      <c r="I11" s="50"/>
    </row>
    <row r="12">
      <c r="A12" s="50"/>
      <c r="B12" s="50"/>
      <c r="C12" s="50"/>
      <c r="D12" s="50"/>
      <c r="E12" s="50"/>
      <c r="F12" s="50"/>
      <c r="G12" s="50"/>
      <c r="H12" s="50"/>
      <c r="I12" s="50"/>
    </row>
    <row r="13">
      <c r="A13" s="50"/>
      <c r="B13" s="50"/>
      <c r="C13" s="50"/>
      <c r="D13" s="50"/>
      <c r="E13" s="50"/>
      <c r="F13" s="50"/>
      <c r="G13" s="50"/>
      <c r="H13" s="50"/>
      <c r="I13" s="50"/>
    </row>
    <row r="14">
      <c r="A14" s="50"/>
      <c r="B14" s="50"/>
      <c r="C14" s="50"/>
      <c r="D14" s="50"/>
      <c r="E14" s="50"/>
      <c r="F14" s="50"/>
      <c r="G14" s="50"/>
      <c r="H14" s="50"/>
      <c r="I14" s="50"/>
    </row>
    <row r="15">
      <c r="A15" s="50"/>
      <c r="B15" s="50"/>
      <c r="C15" s="50"/>
      <c r="D15" s="50"/>
      <c r="E15" s="50"/>
      <c r="F15" s="50"/>
      <c r="G15" s="50"/>
      <c r="H15" s="50"/>
      <c r="I15" s="50"/>
    </row>
    <row r="16">
      <c r="A16" s="50"/>
      <c r="B16" s="50"/>
      <c r="C16" s="50"/>
      <c r="D16" s="50"/>
      <c r="E16" s="50"/>
      <c r="F16" s="50"/>
      <c r="G16" s="50"/>
      <c r="H16" s="50"/>
      <c r="I16" s="50"/>
    </row>
    <row r="17">
      <c r="A17" s="50"/>
      <c r="B17" s="50"/>
      <c r="C17" s="50"/>
      <c r="D17" s="50"/>
      <c r="E17" s="50"/>
      <c r="F17" s="50"/>
      <c r="G17" s="50"/>
      <c r="H17" s="50"/>
      <c r="I17" s="50"/>
    </row>
    <row r="18">
      <c r="A18" s="50"/>
      <c r="B18" s="50"/>
      <c r="C18" s="50"/>
      <c r="D18" s="50"/>
      <c r="E18" s="50"/>
      <c r="F18" s="50"/>
      <c r="G18" s="50"/>
      <c r="H18" s="50"/>
      <c r="I18" s="50"/>
    </row>
    <row r="19">
      <c r="A19" s="50"/>
      <c r="B19" s="50"/>
      <c r="C19" s="50"/>
      <c r="D19" s="50"/>
      <c r="E19" s="50"/>
      <c r="F19" s="50"/>
      <c r="G19" s="50"/>
      <c r="H19" s="50"/>
      <c r="I19" s="50"/>
    </row>
    <row r="20">
      <c r="A20" s="50"/>
      <c r="B20" s="50"/>
      <c r="C20" s="50"/>
      <c r="D20" s="50"/>
      <c r="E20" s="50"/>
      <c r="F20" s="50"/>
      <c r="G20" s="50"/>
      <c r="H20" s="50"/>
      <c r="I20" s="50"/>
    </row>
    <row r="21">
      <c r="A21" s="50"/>
      <c r="B21" s="50"/>
      <c r="C21" s="50"/>
      <c r="D21" s="50"/>
      <c r="E21" s="50"/>
      <c r="F21" s="50"/>
      <c r="G21" s="50"/>
      <c r="H21" s="50"/>
      <c r="I21" s="50"/>
    </row>
    <row r="22">
      <c r="A22" s="50"/>
      <c r="B22" s="50"/>
      <c r="C22" s="50"/>
      <c r="D22" s="50"/>
      <c r="E22" s="50"/>
      <c r="F22" s="50"/>
      <c r="G22" s="50"/>
      <c r="H22" s="50"/>
      <c r="I22" s="50"/>
    </row>
    <row r="23">
      <c r="A23" s="50"/>
      <c r="B23" s="50"/>
      <c r="C23" s="50"/>
      <c r="D23" s="50"/>
      <c r="E23" s="50"/>
      <c r="F23" s="50"/>
      <c r="G23" s="50"/>
      <c r="H23" s="50"/>
      <c r="I23" s="50"/>
    </row>
    <row r="24">
      <c r="A24" s="50"/>
      <c r="B24" s="50"/>
      <c r="C24" s="50"/>
      <c r="D24" s="50"/>
      <c r="E24" s="50"/>
      <c r="F24" s="50"/>
      <c r="G24" s="50"/>
      <c r="H24" s="50"/>
      <c r="I24" s="50"/>
    </row>
    <row r="25">
      <c r="A25" s="50"/>
      <c r="B25" s="50"/>
      <c r="C25" s="50"/>
      <c r="D25" s="50"/>
      <c r="E25" s="50"/>
      <c r="F25" s="50"/>
      <c r="G25" s="50"/>
      <c r="H25" s="50"/>
      <c r="I25" s="50"/>
    </row>
    <row r="26">
      <c r="A26" s="50"/>
      <c r="B26" s="50"/>
      <c r="C26" s="50"/>
      <c r="D26" s="50"/>
      <c r="E26" s="50"/>
      <c r="F26" s="50"/>
      <c r="G26" s="50"/>
      <c r="H26" s="50"/>
      <c r="I26" s="50"/>
    </row>
    <row r="27">
      <c r="A27" s="50"/>
      <c r="B27" s="50"/>
      <c r="C27" s="50"/>
      <c r="D27" s="50"/>
      <c r="E27" s="50"/>
      <c r="F27" s="50"/>
      <c r="G27" s="50"/>
      <c r="H27" s="50"/>
      <c r="I27" s="50"/>
    </row>
    <row r="28">
      <c r="A28" s="50"/>
      <c r="B28" s="50"/>
      <c r="C28" s="50"/>
      <c r="D28" s="50"/>
      <c r="E28" s="50"/>
      <c r="F28" s="50"/>
      <c r="G28" s="50"/>
      <c r="H28" s="50"/>
      <c r="I28" s="50"/>
    </row>
    <row r="29">
      <c r="A29" s="50"/>
      <c r="B29" s="50"/>
      <c r="C29" s="50"/>
      <c r="D29" s="50"/>
      <c r="E29" s="50"/>
      <c r="F29" s="50"/>
      <c r="G29" s="50"/>
      <c r="H29" s="50"/>
      <c r="I29" s="50"/>
    </row>
    <row r="30">
      <c r="A30" s="50"/>
      <c r="B30" s="50"/>
      <c r="C30" s="50"/>
      <c r="D30" s="50"/>
      <c r="E30" s="50"/>
      <c r="F30" s="50"/>
      <c r="G30" s="50"/>
      <c r="H30" s="50"/>
      <c r="I30" s="50"/>
    </row>
    <row r="31">
      <c r="A31" s="50"/>
      <c r="B31" s="50"/>
      <c r="C31" s="50"/>
      <c r="D31" s="50"/>
      <c r="E31" s="50"/>
      <c r="F31" s="50"/>
      <c r="G31" s="50"/>
      <c r="H31" s="50"/>
      <c r="I31" s="50"/>
    </row>
    <row r="32">
      <c r="A32" s="50"/>
      <c r="B32" s="50"/>
      <c r="C32" s="50"/>
      <c r="D32" s="50"/>
      <c r="E32" s="50"/>
      <c r="F32" s="50"/>
      <c r="G32" s="50"/>
      <c r="H32" s="50"/>
      <c r="I32" s="50"/>
    </row>
    <row r="33">
      <c r="A33" s="50"/>
      <c r="B33" s="50"/>
      <c r="C33" s="50"/>
      <c r="D33" s="50"/>
      <c r="E33" s="50"/>
      <c r="F33" s="50"/>
      <c r="G33" s="50"/>
      <c r="H33" s="50"/>
      <c r="I33" s="50"/>
    </row>
    <row r="34">
      <c r="A34" s="50"/>
      <c r="B34" s="50"/>
      <c r="C34" s="50"/>
      <c r="D34" s="50"/>
      <c r="E34" s="50"/>
      <c r="F34" s="50"/>
      <c r="G34" s="50"/>
      <c r="H34" s="50"/>
      <c r="I34" s="50"/>
    </row>
    <row r="35">
      <c r="A35" s="50"/>
      <c r="B35" s="50"/>
      <c r="C35" s="50"/>
      <c r="D35" s="50"/>
      <c r="E35" s="50"/>
      <c r="F35" s="50"/>
      <c r="G35" s="50"/>
      <c r="H35" s="50"/>
      <c r="I35" s="50"/>
    </row>
    <row r="36">
      <c r="A36" s="50"/>
      <c r="B36" s="50"/>
      <c r="C36" s="50"/>
      <c r="D36" s="50"/>
      <c r="E36" s="50"/>
      <c r="F36" s="50"/>
      <c r="G36" s="50"/>
      <c r="H36" s="50"/>
      <c r="I36" s="50"/>
    </row>
    <row r="37">
      <c r="A37" s="50"/>
      <c r="B37" s="50"/>
      <c r="C37" s="50"/>
      <c r="D37" s="50"/>
      <c r="E37" s="50"/>
      <c r="F37" s="50"/>
      <c r="G37" s="50"/>
      <c r="H37" s="50"/>
      <c r="I37" s="50"/>
    </row>
    <row r="38">
      <c r="A38" s="50"/>
      <c r="B38" s="50"/>
      <c r="C38" s="50"/>
      <c r="D38" s="50"/>
      <c r="E38" s="50"/>
      <c r="F38" s="50"/>
      <c r="G38" s="50"/>
      <c r="H38" s="50"/>
      <c r="I38" s="50"/>
    </row>
    <row r="39">
      <c r="A39" s="50"/>
      <c r="B39" s="50"/>
      <c r="C39" s="50"/>
      <c r="D39" s="50"/>
      <c r="E39" s="50"/>
      <c r="F39" s="50"/>
      <c r="G39" s="50"/>
      <c r="H39" s="50"/>
      <c r="I39" s="50"/>
    </row>
    <row r="40">
      <c r="A40" s="50"/>
      <c r="B40" s="50"/>
      <c r="C40" s="50"/>
      <c r="D40" s="50"/>
      <c r="E40" s="50"/>
      <c r="F40" s="50"/>
      <c r="G40" s="50"/>
      <c r="H40" s="50"/>
      <c r="I40" s="50"/>
    </row>
    <row r="41">
      <c r="A41" s="50"/>
      <c r="B41" s="50"/>
      <c r="C41" s="50"/>
      <c r="D41" s="50"/>
      <c r="E41" s="50"/>
      <c r="F41" s="50"/>
      <c r="G41" s="50"/>
      <c r="H41" s="50"/>
      <c r="I41" s="50"/>
    </row>
    <row r="42">
      <c r="A42" s="50"/>
      <c r="B42" s="50"/>
      <c r="C42" s="50"/>
      <c r="D42" s="50"/>
      <c r="E42" s="50"/>
      <c r="F42" s="50"/>
      <c r="G42" s="50"/>
      <c r="H42" s="50"/>
      <c r="I42" s="50"/>
    </row>
    <row r="43">
      <c r="A43" s="50"/>
      <c r="B43" s="50"/>
      <c r="C43" s="50"/>
      <c r="D43" s="50"/>
      <c r="E43" s="50"/>
      <c r="F43" s="50"/>
      <c r="G43" s="50"/>
      <c r="H43" s="50"/>
      <c r="I43" s="50"/>
    </row>
    <row r="44">
      <c r="A44" s="50"/>
      <c r="B44" s="50"/>
      <c r="C44" s="50"/>
      <c r="D44" s="50"/>
      <c r="E44" s="50"/>
      <c r="F44" s="50"/>
      <c r="G44" s="50"/>
      <c r="H44" s="50"/>
      <c r="I44" s="50"/>
    </row>
    <row r="45">
      <c r="A45" s="50"/>
      <c r="B45" s="50"/>
      <c r="C45" s="50"/>
      <c r="D45" s="50"/>
      <c r="E45" s="50"/>
      <c r="F45" s="50"/>
      <c r="G45" s="50"/>
      <c r="H45" s="50"/>
      <c r="I45" s="50"/>
    </row>
    <row r="46">
      <c r="A46" s="50"/>
      <c r="B46" s="50"/>
      <c r="C46" s="50"/>
      <c r="D46" s="50"/>
      <c r="E46" s="50"/>
      <c r="F46" s="50"/>
      <c r="G46" s="50"/>
      <c r="H46" s="50"/>
      <c r="I46" s="50"/>
    </row>
    <row r="47">
      <c r="A47" s="50"/>
      <c r="B47" s="50"/>
      <c r="C47" s="50"/>
      <c r="D47" s="50"/>
      <c r="E47" s="50"/>
      <c r="F47" s="50"/>
      <c r="G47" s="50"/>
      <c r="H47" s="50"/>
      <c r="I47" s="50"/>
    </row>
    <row r="48">
      <c r="A48" s="50"/>
      <c r="B48" s="50"/>
      <c r="C48" s="50"/>
      <c r="D48" s="50"/>
      <c r="E48" s="50"/>
      <c r="F48" s="50"/>
      <c r="G48" s="50"/>
      <c r="H48" s="50"/>
      <c r="I48" s="50"/>
    </row>
    <row r="49">
      <c r="A49" s="50"/>
      <c r="B49" s="50"/>
      <c r="C49" s="50"/>
      <c r="D49" s="50"/>
      <c r="E49" s="50"/>
      <c r="F49" s="50"/>
      <c r="G49" s="50"/>
      <c r="H49" s="50"/>
      <c r="I49" s="50"/>
    </row>
    <row r="50">
      <c r="A50" s="50"/>
      <c r="B50" s="50"/>
      <c r="C50" s="50"/>
      <c r="D50" s="50"/>
      <c r="E50" s="50"/>
      <c r="F50" s="50"/>
      <c r="G50" s="50"/>
      <c r="H50" s="50"/>
      <c r="I50" s="50"/>
    </row>
    <row r="51">
      <c r="A51" s="50"/>
      <c r="B51" s="50"/>
      <c r="C51" s="50"/>
      <c r="D51" s="50"/>
      <c r="E51" s="50"/>
      <c r="F51" s="50"/>
      <c r="G51" s="50"/>
      <c r="H51" s="50"/>
      <c r="I51" s="50"/>
    </row>
    <row r="52">
      <c r="A52" s="50"/>
      <c r="B52" s="50"/>
      <c r="C52" s="50"/>
      <c r="D52" s="50"/>
      <c r="E52" s="50"/>
      <c r="F52" s="50"/>
      <c r="G52" s="50"/>
      <c r="H52" s="50"/>
      <c r="I52" s="50"/>
    </row>
    <row r="53">
      <c r="A53" s="50"/>
      <c r="B53" s="50"/>
      <c r="C53" s="50"/>
      <c r="D53" s="50"/>
      <c r="E53" s="50"/>
      <c r="F53" s="50"/>
      <c r="G53" s="50"/>
      <c r="H53" s="50"/>
      <c r="I53" s="50"/>
    </row>
    <row r="54">
      <c r="A54" s="50"/>
      <c r="B54" s="50"/>
      <c r="C54" s="50"/>
      <c r="D54" s="50"/>
      <c r="E54" s="50"/>
      <c r="F54" s="50"/>
      <c r="G54" s="50"/>
      <c r="H54" s="50"/>
      <c r="I54" s="50"/>
    </row>
    <row r="55">
      <c r="A55" s="50"/>
      <c r="B55" s="50"/>
      <c r="C55" s="50"/>
      <c r="D55" s="50"/>
      <c r="E55" s="50"/>
      <c r="F55" s="50"/>
      <c r="G55" s="50"/>
      <c r="H55" s="50"/>
      <c r="I55" s="50"/>
    </row>
    <row r="56">
      <c r="A56" s="50"/>
      <c r="B56" s="50"/>
      <c r="C56" s="50"/>
      <c r="D56" s="50"/>
      <c r="E56" s="50"/>
      <c r="F56" s="50"/>
      <c r="G56" s="50"/>
      <c r="H56" s="50"/>
      <c r="I56" s="50"/>
    </row>
    <row r="57">
      <c r="A57" s="50"/>
      <c r="B57" s="50"/>
      <c r="C57" s="50"/>
      <c r="D57" s="50"/>
      <c r="E57" s="50"/>
      <c r="F57" s="50"/>
      <c r="G57" s="50"/>
      <c r="H57" s="50"/>
      <c r="I57" s="50"/>
    </row>
    <row r="58">
      <c r="A58" s="50"/>
      <c r="B58" s="50"/>
      <c r="C58" s="50"/>
      <c r="D58" s="50"/>
      <c r="E58" s="50"/>
      <c r="F58" s="50"/>
      <c r="G58" s="50"/>
      <c r="H58" s="50"/>
      <c r="I58" s="50"/>
    </row>
    <row r="59">
      <c r="A59" s="50"/>
      <c r="B59" s="50"/>
      <c r="C59" s="50"/>
      <c r="D59" s="50"/>
      <c r="E59" s="50"/>
      <c r="F59" s="50"/>
      <c r="G59" s="50"/>
      <c r="H59" s="50"/>
      <c r="I59" s="50"/>
    </row>
    <row r="60">
      <c r="A60" s="50"/>
      <c r="B60" s="50"/>
      <c r="C60" s="50"/>
      <c r="D60" s="50"/>
      <c r="E60" s="50"/>
      <c r="F60" s="50"/>
      <c r="G60" s="50"/>
      <c r="H60" s="50"/>
      <c r="I60" s="50"/>
    </row>
    <row r="61">
      <c r="A61" s="50"/>
      <c r="B61" s="50"/>
      <c r="C61" s="50"/>
      <c r="D61" s="50"/>
      <c r="E61" s="50"/>
      <c r="F61" s="50"/>
      <c r="G61" s="50"/>
      <c r="H61" s="50"/>
      <c r="I61" s="50"/>
    </row>
    <row r="62">
      <c r="A62" s="50"/>
      <c r="B62" s="50"/>
      <c r="C62" s="50"/>
      <c r="D62" s="50"/>
      <c r="E62" s="50"/>
      <c r="F62" s="50"/>
      <c r="G62" s="50"/>
      <c r="H62" s="50"/>
      <c r="I62" s="50"/>
    </row>
    <row r="63">
      <c r="A63" s="50"/>
      <c r="B63" s="50"/>
      <c r="C63" s="50"/>
      <c r="D63" s="50"/>
      <c r="E63" s="50"/>
      <c r="F63" s="50"/>
      <c r="G63" s="50"/>
      <c r="H63" s="50"/>
      <c r="I63" s="50"/>
    </row>
    <row r="64">
      <c r="A64" s="50"/>
      <c r="B64" s="50"/>
      <c r="C64" s="50"/>
      <c r="D64" s="50"/>
      <c r="E64" s="50"/>
      <c r="F64" s="50"/>
      <c r="G64" s="50"/>
      <c r="H64" s="50"/>
      <c r="I64" s="50"/>
    </row>
    <row r="65">
      <c r="A65" s="50"/>
      <c r="B65" s="50"/>
      <c r="C65" s="50"/>
      <c r="D65" s="50"/>
      <c r="E65" s="50"/>
      <c r="F65" s="50"/>
      <c r="G65" s="50"/>
      <c r="H65" s="50"/>
      <c r="I65" s="50"/>
    </row>
    <row r="66">
      <c r="A66" s="50"/>
      <c r="B66" s="50"/>
      <c r="C66" s="50"/>
      <c r="D66" s="50"/>
      <c r="E66" s="50"/>
      <c r="F66" s="50"/>
      <c r="G66" s="50"/>
      <c r="H66" s="50"/>
      <c r="I66" s="50"/>
    </row>
    <row r="67">
      <c r="A67" s="50"/>
      <c r="B67" s="50"/>
      <c r="C67" s="50"/>
      <c r="D67" s="50"/>
      <c r="E67" s="50"/>
      <c r="F67" s="50"/>
      <c r="G67" s="50"/>
      <c r="H67" s="50"/>
      <c r="I67" s="50"/>
    </row>
    <row r="68">
      <c r="A68" s="50"/>
      <c r="B68" s="50"/>
      <c r="C68" s="50"/>
      <c r="D68" s="50"/>
      <c r="E68" s="50"/>
      <c r="F68" s="50"/>
      <c r="G68" s="50"/>
      <c r="H68" s="50"/>
      <c r="I68" s="50"/>
    </row>
    <row r="69">
      <c r="A69" s="50"/>
      <c r="B69" s="50"/>
      <c r="C69" s="50"/>
      <c r="D69" s="50"/>
      <c r="E69" s="50"/>
      <c r="F69" s="50"/>
      <c r="G69" s="50"/>
      <c r="H69" s="50"/>
      <c r="I69" s="50"/>
    </row>
    <row r="70">
      <c r="A70" s="50"/>
      <c r="B70" s="50"/>
      <c r="C70" s="50"/>
      <c r="D70" s="50"/>
      <c r="E70" s="50"/>
      <c r="F70" s="50"/>
      <c r="G70" s="50"/>
      <c r="H70" s="50"/>
      <c r="I70" s="50"/>
    </row>
    <row r="71">
      <c r="A71" s="50"/>
      <c r="B71" s="50"/>
      <c r="C71" s="50"/>
      <c r="D71" s="50"/>
      <c r="E71" s="50"/>
      <c r="F71" s="50"/>
      <c r="G71" s="50"/>
      <c r="H71" s="50"/>
      <c r="I71" s="50"/>
    </row>
    <row r="72">
      <c r="A72" s="50"/>
      <c r="B72" s="50"/>
      <c r="C72" s="50"/>
      <c r="D72" s="50"/>
      <c r="E72" s="50"/>
      <c r="F72" s="50"/>
      <c r="G72" s="50"/>
      <c r="H72" s="50"/>
      <c r="I72" s="50"/>
    </row>
    <row r="73">
      <c r="A73" s="50"/>
      <c r="B73" s="50"/>
      <c r="C73" s="50"/>
      <c r="D73" s="50"/>
      <c r="E73" s="50"/>
      <c r="F73" s="50"/>
      <c r="G73" s="50"/>
      <c r="H73" s="50"/>
      <c r="I73" s="50"/>
    </row>
    <row r="74">
      <c r="A74" s="50"/>
      <c r="B74" s="50"/>
      <c r="C74" s="50"/>
      <c r="D74" s="50"/>
      <c r="E74" s="50"/>
      <c r="F74" s="50"/>
      <c r="G74" s="50"/>
      <c r="H74" s="50"/>
      <c r="I74" s="50"/>
    </row>
    <row r="75">
      <c r="A75" s="50"/>
      <c r="B75" s="50"/>
      <c r="C75" s="50"/>
      <c r="D75" s="50"/>
      <c r="E75" s="50"/>
      <c r="F75" s="50"/>
      <c r="G75" s="50"/>
      <c r="H75" s="50"/>
      <c r="I75" s="50"/>
    </row>
    <row r="76">
      <c r="A76" s="50"/>
      <c r="B76" s="50"/>
      <c r="C76" s="50"/>
      <c r="D76" s="50"/>
      <c r="E76" s="50"/>
      <c r="F76" s="50"/>
      <c r="G76" s="50"/>
      <c r="H76" s="50"/>
      <c r="I76" s="50"/>
    </row>
    <row r="77">
      <c r="A77" s="50"/>
      <c r="B77" s="50"/>
      <c r="C77" s="50"/>
      <c r="D77" s="50"/>
      <c r="E77" s="50"/>
      <c r="F77" s="50"/>
      <c r="G77" s="50"/>
      <c r="H77" s="50"/>
      <c r="I77" s="50"/>
    </row>
    <row r="78">
      <c r="A78" s="50"/>
      <c r="B78" s="50"/>
      <c r="C78" s="50"/>
      <c r="D78" s="50"/>
      <c r="E78" s="50"/>
      <c r="F78" s="50"/>
      <c r="G78" s="50"/>
      <c r="H78" s="50"/>
      <c r="I78" s="50"/>
    </row>
    <row r="79">
      <c r="A79" s="50"/>
      <c r="B79" s="50"/>
      <c r="C79" s="50"/>
      <c r="D79" s="50"/>
      <c r="E79" s="50"/>
      <c r="F79" s="50"/>
      <c r="G79" s="50"/>
      <c r="H79" s="50"/>
      <c r="I79" s="50"/>
    </row>
    <row r="80">
      <c r="A80" s="50"/>
      <c r="B80" s="50"/>
      <c r="C80" s="50"/>
      <c r="D80" s="50"/>
      <c r="E80" s="50"/>
      <c r="F80" s="50"/>
      <c r="G80" s="50"/>
      <c r="H80" s="50"/>
      <c r="I80" s="50"/>
    </row>
    <row r="81">
      <c r="A81" s="50"/>
      <c r="B81" s="50"/>
      <c r="C81" s="50"/>
      <c r="D81" s="50"/>
      <c r="E81" s="50"/>
      <c r="F81" s="50"/>
      <c r="G81" s="50"/>
      <c r="H81" s="50"/>
      <c r="I81" s="50"/>
    </row>
    <row r="82">
      <c r="A82" s="50"/>
      <c r="B82" s="50"/>
      <c r="C82" s="50"/>
      <c r="D82" s="50"/>
      <c r="E82" s="50"/>
      <c r="F82" s="50"/>
      <c r="G82" s="50"/>
      <c r="H82" s="50"/>
      <c r="I82" s="50"/>
    </row>
    <row r="83">
      <c r="A83" s="50"/>
      <c r="B83" s="50"/>
      <c r="C83" s="50"/>
      <c r="D83" s="50"/>
      <c r="E83" s="50"/>
      <c r="F83" s="50"/>
      <c r="G83" s="50"/>
      <c r="H83" s="50"/>
      <c r="I83" s="50"/>
    </row>
    <row r="84">
      <c r="A84" s="50"/>
      <c r="B84" s="50"/>
      <c r="C84" s="50"/>
      <c r="D84" s="50"/>
      <c r="E84" s="50"/>
      <c r="F84" s="50"/>
      <c r="G84" s="50"/>
      <c r="H84" s="50"/>
      <c r="I84" s="50"/>
    </row>
    <row r="85">
      <c r="A85" s="50"/>
      <c r="B85" s="50"/>
      <c r="C85" s="50"/>
      <c r="D85" s="50"/>
      <c r="E85" s="50"/>
      <c r="F85" s="50"/>
      <c r="G85" s="50"/>
      <c r="H85" s="50"/>
      <c r="I85" s="50"/>
    </row>
    <row r="86">
      <c r="A86" s="50"/>
      <c r="B86" s="50"/>
      <c r="C86" s="50"/>
      <c r="D86" s="50"/>
      <c r="E86" s="50"/>
      <c r="F86" s="50"/>
      <c r="G86" s="50"/>
      <c r="H86" s="50"/>
      <c r="I86" s="50"/>
    </row>
    <row r="87">
      <c r="A87" s="50"/>
      <c r="B87" s="50"/>
      <c r="C87" s="50"/>
      <c r="D87" s="50"/>
      <c r="E87" s="50"/>
      <c r="F87" s="50"/>
      <c r="G87" s="50"/>
      <c r="H87" s="50"/>
      <c r="I87" s="50"/>
    </row>
    <row r="88">
      <c r="A88" s="50"/>
      <c r="B88" s="50"/>
      <c r="C88" s="50"/>
      <c r="D88" s="50"/>
      <c r="E88" s="50"/>
      <c r="F88" s="50"/>
      <c r="G88" s="50"/>
      <c r="H88" s="50"/>
      <c r="I88" s="50"/>
    </row>
    <row r="89">
      <c r="A89" s="50"/>
      <c r="B89" s="50"/>
      <c r="C89" s="50"/>
      <c r="D89" s="50"/>
      <c r="E89" s="50"/>
      <c r="F89" s="50"/>
      <c r="G89" s="50"/>
      <c r="H89" s="50"/>
      <c r="I89" s="50"/>
    </row>
    <row r="90">
      <c r="A90" s="50"/>
      <c r="B90" s="50"/>
      <c r="C90" s="50"/>
      <c r="D90" s="50"/>
      <c r="E90" s="50"/>
      <c r="F90" s="50"/>
      <c r="G90" s="50"/>
      <c r="H90" s="50"/>
      <c r="I90" s="50"/>
    </row>
    <row r="91">
      <c r="A91" s="50"/>
      <c r="B91" s="50"/>
      <c r="C91" s="50"/>
      <c r="D91" s="50"/>
      <c r="E91" s="50"/>
      <c r="F91" s="50"/>
      <c r="G91" s="50"/>
      <c r="H91" s="50"/>
      <c r="I91" s="50"/>
    </row>
    <row r="92">
      <c r="A92" s="50"/>
      <c r="B92" s="50"/>
      <c r="C92" s="50"/>
      <c r="D92" s="50"/>
      <c r="E92" s="50"/>
      <c r="F92" s="50"/>
      <c r="G92" s="50"/>
      <c r="H92" s="50"/>
      <c r="I92" s="50"/>
    </row>
    <row r="93">
      <c r="A93" s="50"/>
      <c r="B93" s="50"/>
      <c r="C93" s="50"/>
      <c r="D93" s="50"/>
      <c r="E93" s="50"/>
      <c r="F93" s="50"/>
      <c r="G93" s="50"/>
      <c r="H93" s="50"/>
      <c r="I93" s="50"/>
    </row>
    <row r="94">
      <c r="A94" s="50"/>
      <c r="B94" s="50"/>
      <c r="C94" s="50"/>
      <c r="D94" s="50"/>
      <c r="E94" s="50"/>
      <c r="F94" s="50"/>
      <c r="G94" s="50"/>
      <c r="H94" s="50"/>
      <c r="I94" s="50"/>
    </row>
    <row r="95">
      <c r="A95" s="50"/>
      <c r="B95" s="50"/>
      <c r="C95" s="50"/>
      <c r="D95" s="50"/>
      <c r="E95" s="50"/>
      <c r="F95" s="50"/>
      <c r="G95" s="50"/>
      <c r="H95" s="50"/>
      <c r="I95" s="50"/>
    </row>
    <row r="96">
      <c r="A96" s="50"/>
      <c r="B96" s="50"/>
      <c r="C96" s="50"/>
      <c r="D96" s="50"/>
      <c r="E96" s="50"/>
      <c r="F96" s="50"/>
      <c r="G96" s="50"/>
      <c r="H96" s="50"/>
      <c r="I96" s="50"/>
    </row>
    <row r="97">
      <c r="A97" s="50"/>
      <c r="B97" s="50"/>
      <c r="C97" s="50"/>
      <c r="D97" s="50"/>
      <c r="E97" s="50"/>
      <c r="F97" s="50"/>
      <c r="G97" s="50"/>
      <c r="H97" s="50"/>
      <c r="I97" s="50"/>
    </row>
    <row r="98">
      <c r="A98" s="50"/>
      <c r="B98" s="50"/>
      <c r="C98" s="50"/>
      <c r="D98" s="50"/>
      <c r="E98" s="50"/>
      <c r="F98" s="50"/>
      <c r="G98" s="50"/>
      <c r="H98" s="50"/>
      <c r="I98" s="50"/>
    </row>
    <row r="99">
      <c r="A99" s="50"/>
      <c r="B99" s="50"/>
      <c r="C99" s="50"/>
      <c r="D99" s="50"/>
      <c r="E99" s="50"/>
      <c r="F99" s="50"/>
      <c r="G99" s="50"/>
      <c r="H99" s="50"/>
      <c r="I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5.38"/>
    <col customWidth="1" min="7" max="7" width="29.63"/>
    <col customWidth="1" min="8" max="8" width="22.25"/>
    <col customWidth="1" min="9" max="9" width="22.38"/>
    <col customWidth="1" min="10" max="10" width="23.63"/>
    <col customWidth="1" min="11" max="16" width="18.88"/>
  </cols>
  <sheetData>
    <row r="1" ht="22.5" customHeight="1">
      <c r="A1" s="66" t="s">
        <v>64</v>
      </c>
      <c r="B1" s="66" t="s">
        <v>67</v>
      </c>
      <c r="C1" s="66" t="s">
        <v>68</v>
      </c>
      <c r="D1" s="66" t="s">
        <v>69</v>
      </c>
      <c r="E1" s="66" t="s">
        <v>70</v>
      </c>
      <c r="F1" s="66" t="s">
        <v>71</v>
      </c>
      <c r="G1" s="66" t="s">
        <v>72</v>
      </c>
      <c r="H1" s="66" t="s">
        <v>73</v>
      </c>
      <c r="I1" s="66" t="s">
        <v>74</v>
      </c>
      <c r="J1" s="67" t="s">
        <v>76</v>
      </c>
    </row>
    <row r="2" ht="22.5" customHeight="1">
      <c r="A2" s="68"/>
      <c r="B2" s="69"/>
      <c r="C2" s="69"/>
      <c r="D2" s="69"/>
      <c r="E2" s="69"/>
      <c r="F2" s="69"/>
      <c r="G2" s="69"/>
      <c r="H2" s="70"/>
      <c r="I2" s="70"/>
      <c r="J2" s="70"/>
    </row>
    <row r="3" ht="22.5" customHeight="1">
      <c r="A3" s="71"/>
    </row>
    <row r="4" ht="22.5" customHeight="1">
      <c r="A4" s="71"/>
    </row>
    <row r="5" ht="22.5" customHeight="1">
      <c r="A5" s="71"/>
    </row>
    <row r="6" ht="22.5" customHeight="1">
      <c r="A6" s="71"/>
    </row>
    <row r="7" ht="22.5" customHeight="1">
      <c r="A7" s="71"/>
    </row>
    <row r="8" ht="22.5" customHeight="1">
      <c r="A8" s="71"/>
    </row>
    <row r="9" ht="22.5" customHeight="1">
      <c r="A9" s="71"/>
    </row>
    <row r="10" ht="22.5" customHeight="1">
      <c r="A10" s="71"/>
    </row>
    <row r="11" ht="22.5" customHeight="1">
      <c r="A11" s="71"/>
    </row>
    <row r="12" ht="22.5" customHeight="1">
      <c r="A12" s="71"/>
    </row>
    <row r="13" ht="22.5" customHeight="1">
      <c r="A13" s="71"/>
    </row>
    <row r="14" ht="22.5" customHeight="1">
      <c r="A14" s="71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25"/>
    <col customWidth="1" min="3" max="3" width="26.0"/>
    <col customWidth="1" min="6" max="6" width="22.25"/>
    <col customWidth="1" min="7" max="8" width="18.38"/>
    <col customWidth="1" min="9" max="9" width="29.88"/>
    <col customWidth="1" min="10" max="14" width="6.38"/>
    <col customWidth="1" min="15" max="15" width="22.5"/>
    <col customWidth="1" min="16" max="16" width="9.25"/>
    <col customWidth="1" min="17" max="23" width="14.38"/>
    <col customWidth="1" min="24" max="24" width="17.38"/>
  </cols>
  <sheetData>
    <row r="1" ht="15.0" customHeight="1">
      <c r="A1" s="72" t="s">
        <v>64</v>
      </c>
      <c r="B1" s="72" t="s">
        <v>78</v>
      </c>
      <c r="C1" s="72" t="s">
        <v>79</v>
      </c>
      <c r="D1" s="72" t="str">
        <f t="array" ref="D1:D1334">IF(A:A&lt;&gt;"",IF(A:A=A1,"CIVILITE",IFNA(VLOOKUP(A:A,INSCRIPTIONSS!A:C,3,),"")),)</f>
        <v>CIVILITE</v>
      </c>
      <c r="E1" s="72" t="str">
        <f t="array" ref="E1:E1334">IF(A:A&lt;&gt;"",IF(A:A=A1,"PRENOM",IFNA(VLOOKUP(A:A,INSCRIPTIONSS!A:D,4,),"")),)</f>
        <v>PRENOM</v>
      </c>
      <c r="F1" s="72" t="str">
        <f t="array" ref="F1:F1334">IF(A:A&lt;&gt;"",IF(A:A=A1,"NOM",IFNA(VLOOKUP(A:A,INSCRIPTIONSS!A:E,5,),"")),)</f>
        <v>NOM</v>
      </c>
      <c r="G1" s="72" t="str">
        <f>IFERROR(__xludf.DUMMYFUNCTION("ArrayFormula(IF(B:B&lt;&gt;"""",IF(B:B=B1,""FORMATION ID"",IFNA(REGEXREPLACE(REGEXEXTRACT(VLOOKUP(B:B,SESSIONS!B:C,2,),""\[.*\]""),""\[|\]"",""""))),))"),"FORMATION ID")</f>
        <v>FORMATION ID</v>
      </c>
      <c r="H1" s="72" t="str">
        <f t="array" ref="H1:H1334">IF(G:G&lt;&gt;"",IF(G:G=G1,"TITRE FORMATION",IFNA(VLookup(G:G,FORMATIONS!B:C,2,),"")),)</f>
        <v>TITRE FORMATION</v>
      </c>
      <c r="I1" s="76" t="str">
        <f t="array" ref="I1:I1334">IF(B:B&lt;&gt;"",IF(B:B=B1,"DATE",IFNA(VLOOKUP(B:B,SESSIONS!B:D,3,),"")),)</f>
        <v>DATE</v>
      </c>
      <c r="J1" s="77" t="str">
        <f t="array" ref="J1:J1334">IF(B:B&lt;&gt;"",IF(B:B=B1,"HEURE DEBUT",IFNA(VLOOKUP(B:B,SESSIONS!B:E,4,),"")),)</f>
        <v>HEURE DEBUT</v>
      </c>
      <c r="K1" s="77" t="str">
        <f t="array" ref="K1:K1334">IF(B:B&lt;&gt;"",IF(B:B=B1,"HEURE FIN",IFNA(VLOOKUP(B:B,SESSIONS!B:F,5,),"")),)</f>
        <v>HEURE FIN</v>
      </c>
      <c r="L1" s="78" t="str">
        <f t="array" ref="L1:L1334">IF(B:B&lt;&gt;"",IF(B:B=B1,"DURÉE",IFNA(VLOOKUP(B:B,SESSIONS!B:G,6,),"")),)</f>
        <v>DURÉE</v>
      </c>
      <c r="M1" s="78" t="str">
        <f t="array" ref="M1:M1334">IF(G:G&lt;&gt;"",IF(G:G=G1,"DESCRIPTION FORMATION",IFNA(VLOOKUP(G:G,FORMATIONS!B:E,4,),"")),)</f>
        <v>DESCRIPTION FORMATION</v>
      </c>
      <c r="N1" s="78" t="str">
        <f t="array" ref="N1:N1334">IF(G:G&lt;&gt;"",IF(G:G=G1,"APLI FORMATION",IFNA(VLOOKUP(G:G,FORMATIONS!B:D,3,),"")),)</f>
        <v>APLI FORMATION</v>
      </c>
      <c r="O1" s="78" t="str">
        <f t="array" ref="O1:O1334">IF(G:G&lt;&gt;"",IF(G:G=G1,"COMPETENCES FORMATION",IFNA(VLOOKUP(G:G,FORMATIONS!B:G,6,),"")),)</f>
        <v>COMPETENCES FORMATION</v>
      </c>
      <c r="P1" s="78" t="str">
        <f>IFERROR(__xludf.DUMMYFUNCTION("ArrayFormula(IF(B:B&lt;&gt;"""",IF(B:B=B1,""LIEU ID"",IFNA(REGEXREPLACE(REGEXEXTRACT(VLOOKUP(B:B,SESSIONS!B:I,8,),""\[.*\]""),""\[|\]"",""""))),))"),"LIEU ID")</f>
        <v>LIEU ID</v>
      </c>
      <c r="Q1" s="78" t="str">
        <f t="array" ref="Q1:Q1334">IF(P:P&lt;&gt;"",IF(P:P=P1,"LIEU",IFNA(VLOOKUP(P:P,LIEUX!B:C,2,),"")),)</f>
        <v>LIEU</v>
      </c>
      <c r="R1" s="79" t="str">
        <f t="array" ref="R1:R1334">IF(P:P&lt;&gt;"",IF(P:P=P1,"LIEU INFO COMP",IFNA(VLOOKUP(P:P,LIEUX!B:G,6,),"")),)</f>
        <v>LIEU INFO COMP</v>
      </c>
      <c r="S1" s="79" t="str">
        <f t="array" ref="S1:S1334">IF(P:P&lt;&gt;"",IF(P:P=P1,"LIEU ADRESSE",IFNA(VLOOKUP(P:P,LIEUX!B:D,3,),"")),)</f>
        <v>LIEU ADRESSE</v>
      </c>
      <c r="T1" s="79" t="str">
        <f t="array" ref="T1:T1334">IF(P:P&lt;&gt;"",IF(P:P=P1,"LIEU CP",IFNA(VLOOKUP(P:P,LIEUX!B:E,4,),"")),)</f>
        <v>LIEU CP</v>
      </c>
      <c r="U1" s="79" t="str">
        <f t="array" ref="U1:U1334">IF(P:P&lt;&gt;"",IF(P:P=P1,"LIEU VILLE",IFNA(VLOOKUP(P:P,LIEUX!B:F,5,),"")),)</f>
        <v>LIEU VILLE</v>
      </c>
      <c r="V1" s="79" t="str">
        <f t="array" ref="V1:V1334">IF($C:$C&lt;&gt;"",IF($C:$C=C1,"UM",IFNA(VLOOKUP($C:$C,'INCRIPTIONS FORMS'!$B1:I1334,8,),"")),)</f>
        <v>UM</v>
      </c>
      <c r="W1" s="79" t="str">
        <f t="array" ref="W1:W1334">IF($C:$C&lt;&gt;"",IF($C:$C=C1,"SITE",IFNA(VLOOKUP($C:$C,'INCRIPTIONS FORMS'!$B1:J1334,9,),"")),)</f>
        <v>SITE</v>
      </c>
      <c r="X1" s="80" t="str">
        <f t="array" ref="X1:X1334">IF(A:A&lt;&gt;"",IF(A:A=A1,"DATE DESINSCRIPTION",IFNA(VLOOKUP(C:C&amp;B:B,'DESINSCRIPTION FORM'!A:B,2,),"")),)</f>
        <v>DATE DESINSCRIPTION</v>
      </c>
    </row>
    <row r="2" ht="15.0" customHeight="1">
      <c r="A2" s="81"/>
      <c r="B2" s="51"/>
      <c r="C2" s="51"/>
      <c r="D2" s="50"/>
      <c r="E2" s="50"/>
      <c r="F2" s="50"/>
      <c r="G2" s="50"/>
      <c r="H2" s="50"/>
      <c r="I2" s="82"/>
      <c r="J2" s="83"/>
      <c r="K2" s="83"/>
      <c r="L2" s="84"/>
      <c r="M2" s="84"/>
      <c r="N2" s="84"/>
      <c r="O2" s="85"/>
      <c r="P2" s="84"/>
      <c r="Q2" s="84"/>
      <c r="R2" s="84"/>
      <c r="S2" s="84"/>
      <c r="T2" s="84"/>
      <c r="U2" s="84"/>
      <c r="V2" s="84"/>
      <c r="W2" s="84"/>
      <c r="X2" s="86"/>
    </row>
    <row r="3" ht="15.0" customHeight="1">
      <c r="A3" s="81"/>
      <c r="B3" s="51"/>
      <c r="C3" s="51"/>
      <c r="D3" s="50"/>
      <c r="E3" s="50"/>
      <c r="F3" s="50"/>
      <c r="G3" s="50"/>
      <c r="H3" s="50"/>
      <c r="I3" s="82"/>
      <c r="J3" s="83"/>
      <c r="K3" s="83"/>
      <c r="L3" s="84"/>
      <c r="M3" s="84"/>
      <c r="N3" s="84"/>
      <c r="O3" s="85"/>
      <c r="P3" s="84"/>
      <c r="Q3" s="84"/>
      <c r="R3" s="84"/>
      <c r="S3" s="84"/>
      <c r="T3" s="84"/>
      <c r="U3" s="84"/>
      <c r="V3" s="84"/>
      <c r="W3" s="84"/>
      <c r="X3" s="86"/>
    </row>
    <row r="4" ht="15.0" customHeight="1">
      <c r="A4" s="81"/>
      <c r="B4" s="51"/>
      <c r="C4" s="51"/>
      <c r="D4" s="50"/>
      <c r="E4" s="50"/>
      <c r="F4" s="50"/>
      <c r="G4" s="50"/>
      <c r="H4" s="50"/>
      <c r="I4" s="82"/>
      <c r="J4" s="83"/>
      <c r="K4" s="83"/>
      <c r="L4" s="84"/>
      <c r="M4" s="84"/>
      <c r="N4" s="84"/>
      <c r="O4" s="85"/>
      <c r="P4" s="84"/>
      <c r="Q4" s="84"/>
      <c r="R4" s="84"/>
      <c r="S4" s="84"/>
      <c r="T4" s="84"/>
      <c r="U4" s="84"/>
      <c r="V4" s="84"/>
      <c r="W4" s="84"/>
      <c r="X4" s="86"/>
    </row>
    <row r="5" ht="15.0" customHeight="1">
      <c r="A5" s="81"/>
      <c r="B5" s="51"/>
      <c r="C5" s="51"/>
      <c r="D5" s="50"/>
      <c r="E5" s="50"/>
      <c r="F5" s="50"/>
      <c r="G5" s="50"/>
      <c r="H5" s="50"/>
      <c r="I5" s="82"/>
      <c r="J5" s="83"/>
      <c r="K5" s="83"/>
      <c r="L5" s="84"/>
      <c r="M5" s="84"/>
      <c r="N5" s="84"/>
      <c r="O5" s="85"/>
      <c r="P5" s="84"/>
      <c r="Q5" s="84"/>
      <c r="R5" s="84"/>
      <c r="S5" s="84"/>
      <c r="T5" s="84"/>
      <c r="U5" s="84"/>
      <c r="V5" s="84"/>
      <c r="W5" s="84"/>
      <c r="X5" s="86"/>
    </row>
    <row r="6" ht="15.0" customHeight="1">
      <c r="A6" s="81"/>
      <c r="B6" s="51"/>
      <c r="C6" s="51"/>
      <c r="D6" s="50"/>
      <c r="E6" s="50"/>
      <c r="F6" s="50"/>
      <c r="G6" s="50"/>
      <c r="H6" s="50"/>
      <c r="I6" s="82"/>
      <c r="J6" s="83"/>
      <c r="K6" s="83"/>
      <c r="L6" s="84"/>
      <c r="M6" s="84"/>
      <c r="N6" s="84"/>
      <c r="O6" s="85"/>
      <c r="P6" s="84"/>
      <c r="Q6" s="84"/>
      <c r="R6" s="84"/>
      <c r="S6" s="84"/>
      <c r="T6" s="84"/>
      <c r="U6" s="84"/>
      <c r="V6" s="84"/>
      <c r="W6" s="84"/>
      <c r="X6" s="86"/>
    </row>
    <row r="7" ht="15.0" customHeight="1">
      <c r="A7" s="81"/>
      <c r="B7" s="51"/>
      <c r="C7" s="51"/>
      <c r="D7" s="50"/>
      <c r="E7" s="50"/>
      <c r="F7" s="50"/>
      <c r="G7" s="50"/>
      <c r="H7" s="50"/>
      <c r="I7" s="82"/>
      <c r="J7" s="83"/>
      <c r="K7" s="83"/>
      <c r="L7" s="84"/>
      <c r="M7" s="84"/>
      <c r="N7" s="84"/>
      <c r="O7" s="85"/>
      <c r="P7" s="84"/>
      <c r="Q7" s="84"/>
      <c r="R7" s="84"/>
      <c r="S7" s="84"/>
      <c r="T7" s="84"/>
      <c r="U7" s="84"/>
      <c r="V7" s="84"/>
      <c r="W7" s="84"/>
      <c r="X7" s="86"/>
    </row>
    <row r="8" ht="15.0" customHeight="1">
      <c r="A8" s="81"/>
      <c r="B8" s="51"/>
      <c r="C8" s="51"/>
      <c r="D8" s="50"/>
      <c r="E8" s="50"/>
      <c r="F8" s="50"/>
      <c r="G8" s="50"/>
      <c r="H8" s="50"/>
      <c r="I8" s="82"/>
      <c r="J8" s="83"/>
      <c r="K8" s="83"/>
      <c r="L8" s="84"/>
      <c r="M8" s="84"/>
      <c r="N8" s="84"/>
      <c r="O8" s="85"/>
      <c r="P8" s="84"/>
      <c r="Q8" s="84"/>
      <c r="R8" s="84"/>
      <c r="S8" s="84"/>
      <c r="T8" s="84"/>
      <c r="U8" s="84"/>
      <c r="V8" s="84"/>
      <c r="W8" s="84"/>
      <c r="X8" s="86"/>
    </row>
    <row r="9" ht="15.0" customHeight="1">
      <c r="A9" s="81"/>
      <c r="B9" s="51"/>
      <c r="C9" s="51"/>
      <c r="D9" s="50"/>
      <c r="E9" s="50"/>
      <c r="F9" s="50"/>
      <c r="G9" s="50"/>
      <c r="H9" s="50"/>
      <c r="I9" s="82"/>
      <c r="J9" s="83"/>
      <c r="K9" s="83"/>
      <c r="L9" s="84"/>
      <c r="M9" s="84"/>
      <c r="N9" s="84"/>
      <c r="O9" s="85"/>
      <c r="P9" s="84"/>
      <c r="Q9" s="84"/>
      <c r="R9" s="84"/>
      <c r="S9" s="84"/>
      <c r="T9" s="84"/>
      <c r="U9" s="84"/>
      <c r="V9" s="84"/>
      <c r="W9" s="84"/>
      <c r="X9" s="86"/>
    </row>
    <row r="10" ht="15.0" customHeight="1">
      <c r="A10" s="81"/>
      <c r="B10" s="51"/>
      <c r="C10" s="51"/>
      <c r="D10" s="50"/>
      <c r="E10" s="50"/>
      <c r="F10" s="50"/>
      <c r="G10" s="50"/>
      <c r="H10" s="50"/>
      <c r="I10" s="82"/>
      <c r="J10" s="83"/>
      <c r="K10" s="83"/>
      <c r="L10" s="84"/>
      <c r="M10" s="84"/>
      <c r="N10" s="84"/>
      <c r="O10" s="85"/>
      <c r="P10" s="84"/>
      <c r="Q10" s="84"/>
      <c r="R10" s="84"/>
      <c r="S10" s="84"/>
      <c r="T10" s="84"/>
      <c r="U10" s="84"/>
      <c r="V10" s="84"/>
      <c r="W10" s="84"/>
      <c r="X10" s="86"/>
    </row>
    <row r="11" ht="15.0" customHeight="1">
      <c r="A11" s="81"/>
      <c r="B11" s="51"/>
      <c r="C11" s="51"/>
      <c r="D11" s="50"/>
      <c r="E11" s="50"/>
      <c r="F11" s="50"/>
      <c r="G11" s="50"/>
      <c r="H11" s="50"/>
      <c r="I11" s="82"/>
      <c r="J11" s="83"/>
      <c r="K11" s="83"/>
      <c r="L11" s="84"/>
      <c r="M11" s="84"/>
      <c r="N11" s="84"/>
      <c r="O11" s="85"/>
      <c r="P11" s="84"/>
      <c r="Q11" s="84"/>
      <c r="R11" s="84"/>
      <c r="S11" s="84"/>
      <c r="T11" s="84"/>
      <c r="U11" s="84"/>
      <c r="V11" s="84"/>
      <c r="W11" s="84"/>
      <c r="X11" s="86"/>
    </row>
    <row r="12" ht="15.0" customHeight="1">
      <c r="A12" s="81"/>
      <c r="B12" s="51"/>
      <c r="C12" s="51"/>
      <c r="D12" s="50"/>
      <c r="E12" s="50"/>
      <c r="F12" s="50"/>
      <c r="G12" s="50"/>
      <c r="H12" s="50"/>
      <c r="I12" s="82"/>
      <c r="J12" s="83"/>
      <c r="K12" s="83"/>
      <c r="L12" s="84"/>
      <c r="M12" s="84"/>
      <c r="N12" s="84"/>
      <c r="O12" s="85"/>
      <c r="P12" s="84"/>
      <c r="Q12" s="84"/>
      <c r="R12" s="84"/>
      <c r="S12" s="84"/>
      <c r="T12" s="84"/>
      <c r="U12" s="84"/>
      <c r="V12" s="84"/>
      <c r="W12" s="84"/>
      <c r="X12" s="86"/>
    </row>
    <row r="13" ht="15.0" customHeight="1">
      <c r="A13" s="81"/>
      <c r="B13" s="51"/>
      <c r="C13" s="51"/>
      <c r="D13" s="50"/>
      <c r="E13" s="50"/>
      <c r="F13" s="50"/>
      <c r="G13" s="50"/>
      <c r="H13" s="50"/>
      <c r="I13" s="82"/>
      <c r="J13" s="83"/>
      <c r="K13" s="83"/>
      <c r="L13" s="84"/>
      <c r="M13" s="84"/>
      <c r="N13" s="84"/>
      <c r="O13" s="85"/>
      <c r="P13" s="84"/>
      <c r="Q13" s="84"/>
      <c r="R13" s="84"/>
      <c r="S13" s="84"/>
      <c r="T13" s="84"/>
      <c r="U13" s="84"/>
      <c r="V13" s="84"/>
      <c r="W13" s="84"/>
      <c r="X13" s="86"/>
    </row>
    <row r="14" ht="15.0" customHeight="1">
      <c r="A14" s="81"/>
      <c r="B14" s="51"/>
      <c r="C14" s="51"/>
      <c r="D14" s="50"/>
      <c r="E14" s="50"/>
      <c r="F14" s="50"/>
      <c r="G14" s="50"/>
      <c r="H14" s="50"/>
      <c r="I14" s="82"/>
      <c r="J14" s="83"/>
      <c r="K14" s="83"/>
      <c r="L14" s="84"/>
      <c r="M14" s="84"/>
      <c r="N14" s="84"/>
      <c r="O14" s="85"/>
      <c r="P14" s="84"/>
      <c r="Q14" s="84"/>
      <c r="R14" s="84"/>
      <c r="S14" s="84"/>
      <c r="T14" s="84"/>
      <c r="U14" s="84"/>
      <c r="V14" s="84"/>
      <c r="W14" s="84"/>
      <c r="X14" s="86"/>
    </row>
    <row r="15" ht="15.0" customHeight="1">
      <c r="A15" s="81"/>
      <c r="B15" s="51"/>
      <c r="C15" s="51"/>
      <c r="D15" s="50"/>
      <c r="E15" s="50"/>
      <c r="F15" s="50"/>
      <c r="G15" s="50"/>
      <c r="H15" s="50"/>
      <c r="I15" s="82"/>
      <c r="J15" s="83"/>
      <c r="K15" s="83"/>
      <c r="L15" s="84"/>
      <c r="M15" s="84"/>
      <c r="N15" s="84"/>
      <c r="O15" s="85"/>
      <c r="P15" s="84"/>
      <c r="Q15" s="84"/>
      <c r="R15" s="84"/>
      <c r="S15" s="84"/>
      <c r="T15" s="84"/>
      <c r="U15" s="84"/>
      <c r="V15" s="84"/>
      <c r="W15" s="84"/>
      <c r="X15" s="86"/>
    </row>
    <row r="16" ht="15.0" customHeight="1">
      <c r="A16" s="81"/>
      <c r="B16" s="51"/>
      <c r="C16" s="51"/>
      <c r="D16" s="50"/>
      <c r="E16" s="50"/>
      <c r="F16" s="50"/>
      <c r="G16" s="50"/>
      <c r="H16" s="50"/>
      <c r="I16" s="82"/>
      <c r="J16" s="83"/>
      <c r="K16" s="83"/>
      <c r="L16" s="84"/>
      <c r="M16" s="84"/>
      <c r="N16" s="84"/>
      <c r="O16" s="85"/>
      <c r="P16" s="84"/>
      <c r="Q16" s="84"/>
      <c r="R16" s="84"/>
      <c r="S16" s="84"/>
      <c r="T16" s="84"/>
      <c r="U16" s="84"/>
      <c r="V16" s="84"/>
      <c r="W16" s="84"/>
      <c r="X16" s="86"/>
    </row>
    <row r="17" ht="15.0" customHeight="1">
      <c r="A17" s="81"/>
      <c r="B17" s="51"/>
      <c r="C17" s="51"/>
      <c r="D17" s="50"/>
      <c r="E17" s="50"/>
      <c r="F17" s="50"/>
      <c r="G17" s="50"/>
      <c r="H17" s="50"/>
      <c r="I17" s="82"/>
      <c r="J17" s="83"/>
      <c r="K17" s="83"/>
      <c r="L17" s="84"/>
      <c r="M17" s="84"/>
      <c r="N17" s="84"/>
      <c r="O17" s="85"/>
      <c r="P17" s="84"/>
      <c r="Q17" s="84"/>
      <c r="R17" s="84"/>
      <c r="S17" s="84"/>
      <c r="T17" s="84"/>
      <c r="U17" s="84"/>
      <c r="V17" s="84"/>
      <c r="W17" s="84"/>
      <c r="X17" s="86"/>
    </row>
    <row r="18" ht="15.0" customHeight="1">
      <c r="A18" s="81"/>
      <c r="B18" s="51"/>
      <c r="C18" s="51"/>
      <c r="D18" s="50"/>
      <c r="E18" s="50"/>
      <c r="F18" s="50"/>
      <c r="G18" s="50"/>
      <c r="H18" s="50"/>
      <c r="I18" s="82"/>
      <c r="J18" s="83"/>
      <c r="K18" s="83"/>
      <c r="L18" s="84"/>
      <c r="M18" s="84"/>
      <c r="N18" s="84"/>
      <c r="O18" s="85"/>
      <c r="P18" s="84"/>
      <c r="Q18" s="84"/>
      <c r="R18" s="84"/>
      <c r="S18" s="84"/>
      <c r="T18" s="84"/>
      <c r="U18" s="84"/>
      <c r="V18" s="84"/>
      <c r="W18" s="84"/>
      <c r="X18" s="86"/>
    </row>
    <row r="19" ht="15.0" customHeight="1">
      <c r="A19" s="81"/>
      <c r="B19" s="51"/>
      <c r="C19" s="51"/>
      <c r="D19" s="50"/>
      <c r="E19" s="50"/>
      <c r="F19" s="50"/>
      <c r="G19" s="50"/>
      <c r="H19" s="50"/>
      <c r="I19" s="82"/>
      <c r="J19" s="83"/>
      <c r="K19" s="83"/>
      <c r="L19" s="84"/>
      <c r="M19" s="84"/>
      <c r="N19" s="84"/>
      <c r="O19" s="85"/>
      <c r="P19" s="84"/>
      <c r="Q19" s="84"/>
      <c r="R19" s="84"/>
      <c r="S19" s="84"/>
      <c r="T19" s="84"/>
      <c r="U19" s="84"/>
      <c r="V19" s="84"/>
      <c r="W19" s="84"/>
      <c r="X19" s="86"/>
    </row>
    <row r="20" ht="15.0" customHeight="1">
      <c r="A20" s="81"/>
      <c r="B20" s="51"/>
      <c r="C20" s="51"/>
      <c r="D20" s="50"/>
      <c r="E20" s="50"/>
      <c r="F20" s="50"/>
      <c r="G20" s="50"/>
      <c r="H20" s="50"/>
      <c r="I20" s="82"/>
      <c r="J20" s="83"/>
      <c r="K20" s="83"/>
      <c r="L20" s="84"/>
      <c r="M20" s="84"/>
      <c r="N20" s="84"/>
      <c r="O20" s="85"/>
      <c r="P20" s="84"/>
      <c r="Q20" s="84"/>
      <c r="R20" s="84"/>
      <c r="S20" s="84"/>
      <c r="T20" s="84"/>
      <c r="U20" s="84"/>
      <c r="V20" s="84"/>
      <c r="W20" s="84"/>
      <c r="X20" s="86"/>
    </row>
    <row r="21" ht="15.0" customHeight="1">
      <c r="A21" s="81"/>
      <c r="B21" s="51"/>
      <c r="C21" s="51"/>
      <c r="D21" s="50"/>
      <c r="E21" s="50"/>
      <c r="F21" s="50"/>
      <c r="G21" s="50"/>
      <c r="H21" s="50"/>
      <c r="I21" s="82"/>
      <c r="J21" s="83"/>
      <c r="K21" s="83"/>
      <c r="L21" s="84"/>
      <c r="M21" s="84"/>
      <c r="N21" s="84"/>
      <c r="O21" s="85"/>
      <c r="P21" s="84"/>
      <c r="Q21" s="84"/>
      <c r="R21" s="84"/>
      <c r="S21" s="84"/>
      <c r="T21" s="84"/>
      <c r="U21" s="84"/>
      <c r="V21" s="84"/>
      <c r="W21" s="84"/>
      <c r="X21" s="86"/>
    </row>
    <row r="22" ht="15.0" customHeight="1">
      <c r="A22" s="81"/>
      <c r="B22" s="51"/>
      <c r="C22" s="51"/>
      <c r="D22" s="50"/>
      <c r="E22" s="50"/>
      <c r="F22" s="50"/>
      <c r="G22" s="50"/>
      <c r="H22" s="50"/>
      <c r="I22" s="82"/>
      <c r="J22" s="83"/>
      <c r="K22" s="83"/>
      <c r="L22" s="84"/>
      <c r="M22" s="84"/>
      <c r="N22" s="84"/>
      <c r="O22" s="85"/>
      <c r="P22" s="84"/>
      <c r="Q22" s="84"/>
      <c r="R22" s="84"/>
      <c r="S22" s="84"/>
      <c r="T22" s="84"/>
      <c r="U22" s="84"/>
      <c r="V22" s="84"/>
      <c r="W22" s="84"/>
      <c r="X22" s="86"/>
    </row>
    <row r="23" ht="15.0" customHeight="1">
      <c r="A23" s="81"/>
      <c r="B23" s="51"/>
      <c r="C23" s="51"/>
      <c r="D23" s="50"/>
      <c r="E23" s="50"/>
      <c r="F23" s="50"/>
      <c r="G23" s="50"/>
      <c r="H23" s="50"/>
      <c r="I23" s="82"/>
      <c r="J23" s="83"/>
      <c r="K23" s="83"/>
      <c r="L23" s="84"/>
      <c r="M23" s="84"/>
      <c r="N23" s="84"/>
      <c r="O23" s="85"/>
      <c r="P23" s="84"/>
      <c r="Q23" s="84"/>
      <c r="R23" s="84"/>
      <c r="S23" s="84"/>
      <c r="T23" s="84"/>
      <c r="U23" s="84"/>
      <c r="V23" s="84"/>
      <c r="W23" s="84"/>
      <c r="X23" s="86"/>
    </row>
    <row r="24" ht="15.0" customHeight="1">
      <c r="A24" s="81"/>
      <c r="B24" s="51"/>
      <c r="C24" s="51"/>
      <c r="D24" s="50"/>
      <c r="E24" s="50"/>
      <c r="F24" s="50"/>
      <c r="G24" s="50"/>
      <c r="H24" s="50"/>
      <c r="I24" s="82"/>
      <c r="J24" s="83"/>
      <c r="K24" s="83"/>
      <c r="L24" s="84"/>
      <c r="M24" s="84"/>
      <c r="N24" s="84"/>
      <c r="O24" s="85"/>
      <c r="P24" s="84"/>
      <c r="Q24" s="84"/>
      <c r="R24" s="84"/>
      <c r="S24" s="84"/>
      <c r="T24" s="84"/>
      <c r="U24" s="84"/>
      <c r="V24" s="84"/>
      <c r="W24" s="84"/>
      <c r="X24" s="86"/>
    </row>
    <row r="25" ht="15.0" customHeight="1">
      <c r="A25" s="81"/>
      <c r="B25" s="51"/>
      <c r="C25" s="51"/>
      <c r="D25" s="50"/>
      <c r="E25" s="50"/>
      <c r="F25" s="50"/>
      <c r="G25" s="50"/>
      <c r="H25" s="50"/>
      <c r="I25" s="82"/>
      <c r="J25" s="83"/>
      <c r="K25" s="83"/>
      <c r="L25" s="84"/>
      <c r="M25" s="84"/>
      <c r="N25" s="84"/>
      <c r="O25" s="85"/>
      <c r="P25" s="84"/>
      <c r="Q25" s="84"/>
      <c r="R25" s="84"/>
      <c r="S25" s="84"/>
      <c r="T25" s="84"/>
      <c r="U25" s="84"/>
      <c r="V25" s="84"/>
      <c r="W25" s="84"/>
      <c r="X25" s="86"/>
    </row>
    <row r="26" ht="15.0" customHeight="1">
      <c r="A26" s="81"/>
      <c r="B26" s="51"/>
      <c r="C26" s="51"/>
      <c r="D26" s="50"/>
      <c r="E26" s="50"/>
      <c r="F26" s="50"/>
      <c r="G26" s="50"/>
      <c r="H26" s="50"/>
      <c r="I26" s="82"/>
      <c r="J26" s="83"/>
      <c r="K26" s="83"/>
      <c r="L26" s="84"/>
      <c r="M26" s="84"/>
      <c r="N26" s="84"/>
      <c r="O26" s="85"/>
      <c r="P26" s="84"/>
      <c r="Q26" s="84"/>
      <c r="R26" s="84"/>
      <c r="S26" s="84"/>
      <c r="T26" s="84"/>
      <c r="U26" s="84"/>
      <c r="V26" s="84"/>
      <c r="W26" s="84"/>
      <c r="X26" s="86"/>
    </row>
    <row r="27" ht="15.0" customHeight="1">
      <c r="A27" s="81"/>
      <c r="B27" s="51"/>
      <c r="C27" s="51"/>
      <c r="D27" s="50"/>
      <c r="E27" s="50"/>
      <c r="F27" s="50"/>
      <c r="G27" s="50"/>
      <c r="H27" s="50"/>
      <c r="I27" s="82"/>
      <c r="J27" s="83"/>
      <c r="K27" s="83"/>
      <c r="L27" s="84"/>
      <c r="M27" s="84"/>
      <c r="N27" s="84"/>
      <c r="O27" s="85"/>
      <c r="P27" s="84"/>
      <c r="Q27" s="84"/>
      <c r="R27" s="84"/>
      <c r="S27" s="84"/>
      <c r="T27" s="84"/>
      <c r="U27" s="84"/>
      <c r="V27" s="84"/>
      <c r="W27" s="84"/>
      <c r="X27" s="86"/>
    </row>
    <row r="28" ht="15.0" customHeight="1">
      <c r="A28" s="81"/>
      <c r="B28" s="51"/>
      <c r="C28" s="51"/>
      <c r="D28" s="50"/>
      <c r="E28" s="50"/>
      <c r="F28" s="50"/>
      <c r="G28" s="50"/>
      <c r="H28" s="50"/>
      <c r="I28" s="82"/>
      <c r="J28" s="83"/>
      <c r="K28" s="83"/>
      <c r="L28" s="84"/>
      <c r="M28" s="84"/>
      <c r="N28" s="84"/>
      <c r="O28" s="85"/>
      <c r="P28" s="84"/>
      <c r="Q28" s="84"/>
      <c r="R28" s="84"/>
      <c r="S28" s="84"/>
      <c r="T28" s="84"/>
      <c r="U28" s="84"/>
      <c r="V28" s="84"/>
      <c r="W28" s="84"/>
      <c r="X28" s="86"/>
    </row>
    <row r="29" ht="15.0" customHeight="1">
      <c r="A29" s="81"/>
      <c r="B29" s="51"/>
      <c r="C29" s="51"/>
      <c r="D29" s="50"/>
      <c r="E29" s="50"/>
      <c r="F29" s="50"/>
      <c r="G29" s="50"/>
      <c r="H29" s="50"/>
      <c r="I29" s="82"/>
      <c r="J29" s="83"/>
      <c r="K29" s="83"/>
      <c r="L29" s="84"/>
      <c r="M29" s="84"/>
      <c r="N29" s="84"/>
      <c r="O29" s="85"/>
      <c r="P29" s="84"/>
      <c r="Q29" s="84"/>
      <c r="R29" s="84"/>
      <c r="S29" s="84"/>
      <c r="T29" s="84"/>
      <c r="U29" s="84"/>
      <c r="V29" s="84"/>
      <c r="W29" s="84"/>
      <c r="X29" s="86"/>
    </row>
    <row r="30" ht="15.0" customHeight="1">
      <c r="A30" s="81"/>
      <c r="B30" s="51"/>
      <c r="C30" s="51"/>
      <c r="D30" s="50"/>
      <c r="E30" s="50"/>
      <c r="F30" s="50"/>
      <c r="G30" s="50"/>
      <c r="H30" s="50"/>
      <c r="I30" s="82"/>
      <c r="J30" s="83"/>
      <c r="K30" s="83"/>
      <c r="L30" s="84"/>
      <c r="M30" s="84"/>
      <c r="N30" s="84"/>
      <c r="O30" s="85"/>
      <c r="P30" s="84"/>
      <c r="Q30" s="84"/>
      <c r="R30" s="84"/>
      <c r="S30" s="84"/>
      <c r="T30" s="84"/>
      <c r="U30" s="84"/>
      <c r="V30" s="84"/>
      <c r="W30" s="84"/>
      <c r="X30" s="86"/>
    </row>
    <row r="31" ht="15.0" customHeight="1">
      <c r="A31" s="81"/>
      <c r="B31" s="51"/>
      <c r="C31" s="51"/>
      <c r="D31" s="50"/>
      <c r="E31" s="50"/>
      <c r="F31" s="50"/>
      <c r="G31" s="50"/>
      <c r="H31" s="50"/>
      <c r="I31" s="82"/>
      <c r="J31" s="83"/>
      <c r="K31" s="83"/>
      <c r="L31" s="84"/>
      <c r="M31" s="84"/>
      <c r="N31" s="84"/>
      <c r="O31" s="85"/>
      <c r="P31" s="84"/>
      <c r="Q31" s="84"/>
      <c r="R31" s="84"/>
      <c r="S31" s="84"/>
      <c r="T31" s="84"/>
      <c r="U31" s="84"/>
      <c r="V31" s="84"/>
      <c r="W31" s="84"/>
      <c r="X31" s="86"/>
    </row>
    <row r="32" ht="15.0" customHeight="1">
      <c r="A32" s="81"/>
      <c r="B32" s="51"/>
      <c r="C32" s="51"/>
      <c r="D32" s="50"/>
      <c r="E32" s="50"/>
      <c r="F32" s="50"/>
      <c r="G32" s="50"/>
      <c r="H32" s="50"/>
      <c r="I32" s="82"/>
      <c r="J32" s="83"/>
      <c r="K32" s="83"/>
      <c r="L32" s="84"/>
      <c r="M32" s="84"/>
      <c r="N32" s="84"/>
      <c r="O32" s="85"/>
      <c r="P32" s="84"/>
      <c r="Q32" s="84"/>
      <c r="R32" s="84"/>
      <c r="S32" s="84"/>
      <c r="T32" s="84"/>
      <c r="U32" s="84"/>
      <c r="V32" s="84"/>
      <c r="W32" s="84"/>
      <c r="X32" s="86"/>
    </row>
    <row r="33" ht="15.0" customHeight="1">
      <c r="A33" s="81"/>
      <c r="B33" s="51"/>
      <c r="C33" s="51"/>
      <c r="D33" s="50"/>
      <c r="E33" s="50"/>
      <c r="F33" s="50"/>
      <c r="G33" s="50"/>
      <c r="H33" s="50"/>
      <c r="I33" s="82"/>
      <c r="J33" s="83"/>
      <c r="K33" s="83"/>
      <c r="L33" s="84"/>
      <c r="M33" s="84"/>
      <c r="N33" s="84"/>
      <c r="O33" s="85"/>
      <c r="P33" s="84"/>
      <c r="Q33" s="84"/>
      <c r="R33" s="84"/>
      <c r="S33" s="84"/>
      <c r="T33" s="84"/>
      <c r="U33" s="84"/>
      <c r="V33" s="84"/>
      <c r="W33" s="84"/>
      <c r="X33" s="86"/>
    </row>
    <row r="34" ht="15.0" customHeight="1">
      <c r="A34" s="81"/>
      <c r="B34" s="51"/>
      <c r="C34" s="51"/>
      <c r="D34" s="50"/>
      <c r="E34" s="50"/>
      <c r="F34" s="50"/>
      <c r="G34" s="50"/>
      <c r="H34" s="50"/>
      <c r="I34" s="82"/>
      <c r="J34" s="83"/>
      <c r="K34" s="83"/>
      <c r="L34" s="84"/>
      <c r="M34" s="84"/>
      <c r="N34" s="84"/>
      <c r="O34" s="85"/>
      <c r="P34" s="84"/>
      <c r="Q34" s="84"/>
      <c r="R34" s="84"/>
      <c r="S34" s="84"/>
      <c r="T34" s="84"/>
      <c r="U34" s="84"/>
      <c r="V34" s="84"/>
      <c r="W34" s="84"/>
      <c r="X34" s="86"/>
    </row>
    <row r="35" ht="15.0" customHeight="1">
      <c r="A35" s="81"/>
      <c r="B35" s="51"/>
      <c r="C35" s="51"/>
      <c r="D35" s="50"/>
      <c r="E35" s="50"/>
      <c r="F35" s="50"/>
      <c r="G35" s="50"/>
      <c r="H35" s="50"/>
      <c r="I35" s="82"/>
      <c r="J35" s="83"/>
      <c r="K35" s="83"/>
      <c r="L35" s="84"/>
      <c r="M35" s="84"/>
      <c r="N35" s="84"/>
      <c r="O35" s="85"/>
      <c r="P35" s="84"/>
      <c r="Q35" s="84"/>
      <c r="R35" s="84"/>
      <c r="S35" s="84"/>
      <c r="T35" s="84"/>
      <c r="U35" s="84"/>
      <c r="V35" s="84"/>
      <c r="W35" s="84"/>
      <c r="X35" s="86"/>
    </row>
    <row r="36" ht="15.0" customHeight="1">
      <c r="A36" s="81"/>
      <c r="B36" s="51"/>
      <c r="C36" s="51"/>
      <c r="D36" s="50"/>
      <c r="E36" s="50"/>
      <c r="F36" s="50"/>
      <c r="G36" s="50"/>
      <c r="H36" s="50"/>
      <c r="I36" s="82"/>
      <c r="J36" s="83"/>
      <c r="K36" s="83"/>
      <c r="L36" s="84"/>
      <c r="M36" s="84"/>
      <c r="N36" s="84"/>
      <c r="O36" s="85"/>
      <c r="P36" s="84"/>
      <c r="Q36" s="84"/>
      <c r="R36" s="84"/>
      <c r="S36" s="84"/>
      <c r="T36" s="84"/>
      <c r="U36" s="84"/>
      <c r="V36" s="84"/>
      <c r="W36" s="84"/>
      <c r="X36" s="86"/>
    </row>
    <row r="37" ht="15.0" customHeight="1">
      <c r="A37" s="81"/>
      <c r="B37" s="51"/>
      <c r="C37" s="51"/>
      <c r="D37" s="50"/>
      <c r="E37" s="50"/>
      <c r="F37" s="50"/>
      <c r="G37" s="50"/>
      <c r="H37" s="50"/>
      <c r="I37" s="82"/>
      <c r="J37" s="83"/>
      <c r="K37" s="83"/>
      <c r="L37" s="84"/>
      <c r="M37" s="84"/>
      <c r="N37" s="84"/>
      <c r="O37" s="85"/>
      <c r="P37" s="84"/>
      <c r="Q37" s="84"/>
      <c r="R37" s="84"/>
      <c r="S37" s="84"/>
      <c r="T37" s="84"/>
      <c r="U37" s="84"/>
      <c r="V37" s="84"/>
      <c r="W37" s="84"/>
      <c r="X37" s="86"/>
    </row>
    <row r="38" ht="15.0" customHeight="1">
      <c r="A38" s="81"/>
      <c r="B38" s="51"/>
      <c r="C38" s="51"/>
      <c r="D38" s="50"/>
      <c r="E38" s="50"/>
      <c r="F38" s="50"/>
      <c r="G38" s="50"/>
      <c r="H38" s="50"/>
      <c r="I38" s="82"/>
      <c r="J38" s="83"/>
      <c r="K38" s="83"/>
      <c r="L38" s="84"/>
      <c r="M38" s="84"/>
      <c r="N38" s="84"/>
      <c r="O38" s="85"/>
      <c r="P38" s="84"/>
      <c r="Q38" s="84"/>
      <c r="R38" s="84"/>
      <c r="S38" s="84"/>
      <c r="T38" s="84"/>
      <c r="U38" s="84"/>
      <c r="V38" s="84"/>
      <c r="W38" s="84"/>
      <c r="X38" s="86"/>
    </row>
    <row r="39" ht="15.0" customHeight="1">
      <c r="A39" s="81"/>
      <c r="B39" s="51"/>
      <c r="C39" s="51"/>
      <c r="D39" s="50"/>
      <c r="E39" s="50"/>
      <c r="F39" s="50"/>
      <c r="G39" s="50"/>
      <c r="H39" s="50"/>
      <c r="I39" s="82"/>
      <c r="J39" s="83"/>
      <c r="K39" s="83"/>
      <c r="L39" s="84"/>
      <c r="M39" s="84"/>
      <c r="N39" s="84"/>
      <c r="O39" s="85"/>
      <c r="P39" s="84"/>
      <c r="Q39" s="84"/>
      <c r="R39" s="84"/>
      <c r="S39" s="84"/>
      <c r="T39" s="84"/>
      <c r="U39" s="84"/>
      <c r="V39" s="84"/>
      <c r="W39" s="84"/>
      <c r="X39" s="86"/>
    </row>
    <row r="40" ht="15.0" customHeight="1">
      <c r="A40" s="81"/>
      <c r="B40" s="51"/>
      <c r="C40" s="51"/>
      <c r="D40" s="50"/>
      <c r="E40" s="50"/>
      <c r="F40" s="50"/>
      <c r="G40" s="50"/>
      <c r="H40" s="50"/>
      <c r="I40" s="82"/>
      <c r="J40" s="83"/>
      <c r="K40" s="83"/>
      <c r="L40" s="84"/>
      <c r="M40" s="84"/>
      <c r="N40" s="84"/>
      <c r="O40" s="85"/>
      <c r="P40" s="84"/>
      <c r="Q40" s="84"/>
      <c r="R40" s="84"/>
      <c r="S40" s="84"/>
      <c r="T40" s="84"/>
      <c r="U40" s="84"/>
      <c r="V40" s="84"/>
      <c r="W40" s="84"/>
      <c r="X40" s="86"/>
    </row>
    <row r="41" ht="15.0" customHeight="1">
      <c r="A41" s="81"/>
      <c r="B41" s="51"/>
      <c r="C41" s="51"/>
      <c r="D41" s="50"/>
      <c r="E41" s="50"/>
      <c r="F41" s="50"/>
      <c r="G41" s="50"/>
      <c r="H41" s="50"/>
      <c r="I41" s="82"/>
      <c r="J41" s="83"/>
      <c r="K41" s="83"/>
      <c r="L41" s="84"/>
      <c r="M41" s="84"/>
      <c r="N41" s="84"/>
      <c r="O41" s="85"/>
      <c r="P41" s="84"/>
      <c r="Q41" s="84"/>
      <c r="R41" s="84"/>
      <c r="S41" s="84"/>
      <c r="T41" s="84"/>
      <c r="U41" s="84"/>
      <c r="V41" s="84"/>
      <c r="W41" s="84"/>
      <c r="X41" s="86"/>
    </row>
    <row r="42" ht="15.0" customHeight="1">
      <c r="A42" s="81"/>
      <c r="B42" s="51"/>
      <c r="C42" s="51"/>
      <c r="D42" s="50"/>
      <c r="E42" s="50"/>
      <c r="F42" s="50"/>
      <c r="G42" s="50"/>
      <c r="H42" s="50"/>
      <c r="I42" s="82"/>
      <c r="J42" s="83"/>
      <c r="K42" s="83"/>
      <c r="L42" s="84"/>
      <c r="M42" s="84"/>
      <c r="N42" s="84"/>
      <c r="O42" s="85"/>
      <c r="P42" s="84"/>
      <c r="Q42" s="84"/>
      <c r="R42" s="84"/>
      <c r="S42" s="84"/>
      <c r="T42" s="84"/>
      <c r="U42" s="84"/>
      <c r="V42" s="84"/>
      <c r="W42" s="84"/>
      <c r="X42" s="86"/>
    </row>
    <row r="43" ht="15.0" customHeight="1">
      <c r="A43" s="81"/>
      <c r="B43" s="51"/>
      <c r="C43" s="51"/>
      <c r="D43" s="50"/>
      <c r="E43" s="50"/>
      <c r="F43" s="50"/>
      <c r="G43" s="50"/>
      <c r="H43" s="50"/>
      <c r="I43" s="82"/>
      <c r="J43" s="83"/>
      <c r="K43" s="83"/>
      <c r="L43" s="84"/>
      <c r="M43" s="84"/>
      <c r="N43" s="84"/>
      <c r="O43" s="85"/>
      <c r="P43" s="84"/>
      <c r="Q43" s="84"/>
      <c r="R43" s="84"/>
      <c r="S43" s="84"/>
      <c r="T43" s="84"/>
      <c r="U43" s="84"/>
      <c r="V43" s="84"/>
      <c r="W43" s="84"/>
      <c r="X43" s="86"/>
    </row>
    <row r="44" ht="15.0" customHeight="1">
      <c r="A44" s="81"/>
      <c r="B44" s="51"/>
      <c r="C44" s="51"/>
      <c r="D44" s="50"/>
      <c r="E44" s="50"/>
      <c r="F44" s="50"/>
      <c r="G44" s="50"/>
      <c r="H44" s="50"/>
      <c r="I44" s="82"/>
      <c r="J44" s="83"/>
      <c r="K44" s="83"/>
      <c r="L44" s="84"/>
      <c r="M44" s="84"/>
      <c r="N44" s="84"/>
      <c r="O44" s="85"/>
      <c r="P44" s="84"/>
      <c r="Q44" s="84"/>
      <c r="R44" s="84"/>
      <c r="S44" s="84"/>
      <c r="T44" s="84"/>
      <c r="U44" s="84"/>
      <c r="V44" s="84"/>
      <c r="W44" s="84"/>
      <c r="X44" s="86"/>
    </row>
    <row r="45" ht="15.0" customHeight="1">
      <c r="A45" s="81"/>
      <c r="B45" s="51"/>
      <c r="C45" s="51"/>
      <c r="D45" s="50"/>
      <c r="E45" s="50"/>
      <c r="F45" s="50"/>
      <c r="G45" s="50"/>
      <c r="H45" s="50"/>
      <c r="I45" s="82"/>
      <c r="J45" s="83"/>
      <c r="K45" s="83"/>
      <c r="L45" s="84"/>
      <c r="M45" s="84"/>
      <c r="N45" s="84"/>
      <c r="O45" s="85"/>
      <c r="P45" s="84"/>
      <c r="Q45" s="84"/>
      <c r="R45" s="84"/>
      <c r="S45" s="84"/>
      <c r="T45" s="84"/>
      <c r="U45" s="84"/>
      <c r="V45" s="84"/>
      <c r="W45" s="84"/>
      <c r="X45" s="86"/>
    </row>
    <row r="46" ht="15.0" customHeight="1">
      <c r="A46" s="81"/>
      <c r="B46" s="51"/>
      <c r="C46" s="51"/>
      <c r="D46" s="50"/>
      <c r="E46" s="50"/>
      <c r="F46" s="50"/>
      <c r="G46" s="50"/>
      <c r="H46" s="50"/>
      <c r="I46" s="82"/>
      <c r="J46" s="83"/>
      <c r="K46" s="83"/>
      <c r="L46" s="84"/>
      <c r="M46" s="84"/>
      <c r="N46" s="84"/>
      <c r="O46" s="85"/>
      <c r="P46" s="84"/>
      <c r="Q46" s="84"/>
      <c r="R46" s="84"/>
      <c r="S46" s="84"/>
      <c r="T46" s="84"/>
      <c r="U46" s="84"/>
      <c r="V46" s="84"/>
      <c r="W46" s="84"/>
      <c r="X46" s="86"/>
    </row>
    <row r="47" ht="15.0" customHeight="1">
      <c r="A47" s="81"/>
      <c r="B47" s="51"/>
      <c r="C47" s="51"/>
      <c r="D47" s="50"/>
      <c r="E47" s="50"/>
      <c r="F47" s="50"/>
      <c r="G47" s="50"/>
      <c r="H47" s="50"/>
      <c r="I47" s="82"/>
      <c r="J47" s="83"/>
      <c r="K47" s="83"/>
      <c r="L47" s="84"/>
      <c r="M47" s="84"/>
      <c r="N47" s="84"/>
      <c r="O47" s="85"/>
      <c r="P47" s="84"/>
      <c r="Q47" s="84"/>
      <c r="R47" s="84"/>
      <c r="S47" s="84"/>
      <c r="T47" s="84"/>
      <c r="U47" s="84"/>
      <c r="V47" s="84"/>
      <c r="W47" s="84"/>
      <c r="X47" s="86"/>
    </row>
    <row r="48" ht="15.0" customHeight="1">
      <c r="A48" s="81"/>
      <c r="B48" s="51"/>
      <c r="C48" s="51"/>
      <c r="D48" s="50"/>
      <c r="E48" s="50"/>
      <c r="F48" s="50"/>
      <c r="G48" s="50"/>
      <c r="H48" s="50"/>
      <c r="I48" s="82"/>
      <c r="J48" s="83"/>
      <c r="K48" s="83"/>
      <c r="L48" s="84"/>
      <c r="M48" s="84"/>
      <c r="N48" s="84"/>
      <c r="O48" s="85"/>
      <c r="P48" s="84"/>
      <c r="Q48" s="84"/>
      <c r="R48" s="84"/>
      <c r="S48" s="84"/>
      <c r="T48" s="84"/>
      <c r="U48" s="84"/>
      <c r="V48" s="84"/>
      <c r="W48" s="84"/>
      <c r="X48" s="86"/>
    </row>
    <row r="49" ht="15.0" customHeight="1">
      <c r="A49" s="81"/>
      <c r="B49" s="51"/>
      <c r="C49" s="51"/>
      <c r="D49" s="50"/>
      <c r="E49" s="50"/>
      <c r="F49" s="50"/>
      <c r="G49" s="50"/>
      <c r="H49" s="50"/>
      <c r="I49" s="82"/>
      <c r="J49" s="83"/>
      <c r="K49" s="83"/>
      <c r="L49" s="84"/>
      <c r="M49" s="84"/>
      <c r="N49" s="84"/>
      <c r="O49" s="85"/>
      <c r="P49" s="84"/>
      <c r="Q49" s="84"/>
      <c r="R49" s="84"/>
      <c r="S49" s="84"/>
      <c r="T49" s="84"/>
      <c r="U49" s="84"/>
      <c r="V49" s="84"/>
      <c r="W49" s="84"/>
      <c r="X49" s="86"/>
    </row>
    <row r="50" ht="15.0" customHeight="1">
      <c r="A50" s="81"/>
      <c r="B50" s="51"/>
      <c r="C50" s="51"/>
      <c r="D50" s="50"/>
      <c r="E50" s="50"/>
      <c r="F50" s="50"/>
      <c r="G50" s="50"/>
      <c r="H50" s="50"/>
      <c r="I50" s="82"/>
      <c r="J50" s="83"/>
      <c r="K50" s="83"/>
      <c r="L50" s="84"/>
      <c r="M50" s="84"/>
      <c r="N50" s="84"/>
      <c r="O50" s="85"/>
      <c r="P50" s="84"/>
      <c r="Q50" s="84"/>
      <c r="R50" s="84"/>
      <c r="S50" s="84"/>
      <c r="T50" s="84"/>
      <c r="U50" s="84"/>
      <c r="V50" s="84"/>
      <c r="W50" s="84"/>
      <c r="X50" s="86"/>
    </row>
    <row r="51" ht="15.0" customHeight="1">
      <c r="A51" s="81"/>
      <c r="B51" s="51"/>
      <c r="C51" s="51"/>
      <c r="D51" s="50"/>
      <c r="E51" s="50"/>
      <c r="F51" s="50"/>
      <c r="G51" s="50"/>
      <c r="H51" s="50"/>
      <c r="I51" s="82"/>
      <c r="J51" s="83"/>
      <c r="K51" s="83"/>
      <c r="L51" s="84"/>
      <c r="M51" s="84"/>
      <c r="N51" s="84"/>
      <c r="O51" s="85"/>
      <c r="P51" s="84"/>
      <c r="Q51" s="84"/>
      <c r="R51" s="84"/>
      <c r="S51" s="84"/>
      <c r="T51" s="84"/>
      <c r="U51" s="84"/>
      <c r="V51" s="84"/>
      <c r="W51" s="84"/>
      <c r="X51" s="86"/>
    </row>
    <row r="52" ht="15.0" customHeight="1">
      <c r="A52" s="81"/>
      <c r="B52" s="51"/>
      <c r="C52" s="51"/>
      <c r="D52" s="50"/>
      <c r="E52" s="50"/>
      <c r="F52" s="50"/>
      <c r="G52" s="50"/>
      <c r="H52" s="50"/>
      <c r="I52" s="82"/>
      <c r="J52" s="83"/>
      <c r="K52" s="83"/>
      <c r="L52" s="84"/>
      <c r="M52" s="84"/>
      <c r="N52" s="84"/>
      <c r="O52" s="85"/>
      <c r="P52" s="84"/>
      <c r="Q52" s="84"/>
      <c r="R52" s="84"/>
      <c r="S52" s="84"/>
      <c r="T52" s="84"/>
      <c r="U52" s="84"/>
      <c r="V52" s="84"/>
      <c r="W52" s="84"/>
      <c r="X52" s="86"/>
    </row>
    <row r="53" ht="15.0" customHeight="1">
      <c r="A53" s="81"/>
      <c r="B53" s="51"/>
      <c r="C53" s="51"/>
      <c r="D53" s="50"/>
      <c r="E53" s="50"/>
      <c r="F53" s="50"/>
      <c r="G53" s="50"/>
      <c r="H53" s="50"/>
      <c r="I53" s="82"/>
      <c r="J53" s="83"/>
      <c r="K53" s="83"/>
      <c r="L53" s="84"/>
      <c r="M53" s="84"/>
      <c r="N53" s="84"/>
      <c r="O53" s="85"/>
      <c r="P53" s="84"/>
      <c r="Q53" s="84"/>
      <c r="R53" s="84"/>
      <c r="S53" s="84"/>
      <c r="T53" s="84"/>
      <c r="U53" s="84"/>
      <c r="V53" s="84"/>
      <c r="W53" s="84"/>
      <c r="X53" s="86"/>
    </row>
    <row r="54" ht="15.0" customHeight="1">
      <c r="A54" s="81"/>
      <c r="B54" s="51"/>
      <c r="C54" s="51"/>
      <c r="D54" s="50"/>
      <c r="E54" s="50"/>
      <c r="F54" s="50"/>
      <c r="G54" s="50"/>
      <c r="H54" s="50"/>
      <c r="I54" s="82"/>
      <c r="J54" s="83"/>
      <c r="K54" s="83"/>
      <c r="L54" s="84"/>
      <c r="M54" s="84"/>
      <c r="N54" s="84"/>
      <c r="O54" s="85"/>
      <c r="P54" s="84"/>
      <c r="Q54" s="84"/>
      <c r="R54" s="84"/>
      <c r="S54" s="84"/>
      <c r="T54" s="84"/>
      <c r="U54" s="84"/>
      <c r="V54" s="84"/>
      <c r="W54" s="84"/>
      <c r="X54" s="86"/>
    </row>
    <row r="55" ht="15.0" customHeight="1">
      <c r="A55" s="81"/>
      <c r="B55" s="51"/>
      <c r="C55" s="51"/>
      <c r="D55" s="50"/>
      <c r="E55" s="50"/>
      <c r="F55" s="50"/>
      <c r="G55" s="50"/>
      <c r="H55" s="50"/>
      <c r="I55" s="82"/>
      <c r="J55" s="83"/>
      <c r="K55" s="83"/>
      <c r="L55" s="84"/>
      <c r="M55" s="84"/>
      <c r="N55" s="84"/>
      <c r="O55" s="85"/>
      <c r="P55" s="84"/>
      <c r="Q55" s="84"/>
      <c r="R55" s="84"/>
      <c r="S55" s="84"/>
      <c r="T55" s="84"/>
      <c r="U55" s="84"/>
      <c r="V55" s="84"/>
      <c r="W55" s="84"/>
      <c r="X55" s="86"/>
    </row>
    <row r="56" ht="15.0" customHeight="1">
      <c r="A56" s="81"/>
      <c r="B56" s="51"/>
      <c r="C56" s="51"/>
      <c r="D56" s="50"/>
      <c r="E56" s="50"/>
      <c r="F56" s="50"/>
      <c r="G56" s="50"/>
      <c r="H56" s="50"/>
      <c r="I56" s="82"/>
      <c r="J56" s="83"/>
      <c r="K56" s="83"/>
      <c r="L56" s="84"/>
      <c r="M56" s="84"/>
      <c r="N56" s="84"/>
      <c r="O56" s="85"/>
      <c r="P56" s="84"/>
      <c r="Q56" s="84"/>
      <c r="R56" s="84"/>
      <c r="S56" s="84"/>
      <c r="T56" s="84"/>
      <c r="U56" s="84"/>
      <c r="V56" s="84"/>
      <c r="W56" s="84"/>
      <c r="X56" s="86"/>
    </row>
    <row r="57" ht="15.0" customHeight="1">
      <c r="A57" s="81"/>
      <c r="B57" s="51"/>
      <c r="C57" s="51"/>
      <c r="D57" s="50"/>
      <c r="E57" s="50"/>
      <c r="F57" s="50"/>
      <c r="G57" s="50"/>
      <c r="H57" s="50"/>
      <c r="I57" s="82"/>
      <c r="J57" s="83"/>
      <c r="K57" s="83"/>
      <c r="L57" s="84"/>
      <c r="M57" s="84"/>
      <c r="N57" s="84"/>
      <c r="O57" s="85"/>
      <c r="P57" s="84"/>
      <c r="Q57" s="84"/>
      <c r="R57" s="84"/>
      <c r="S57" s="84"/>
      <c r="T57" s="84"/>
      <c r="U57" s="84"/>
      <c r="V57" s="84"/>
      <c r="W57" s="84"/>
      <c r="X57" s="86"/>
    </row>
    <row r="58" ht="15.0" customHeight="1">
      <c r="A58" s="81"/>
      <c r="B58" s="51"/>
      <c r="C58" s="51"/>
      <c r="D58" s="50"/>
      <c r="E58" s="50"/>
      <c r="F58" s="50"/>
      <c r="G58" s="50"/>
      <c r="H58" s="50"/>
      <c r="I58" s="82"/>
      <c r="J58" s="83"/>
      <c r="K58" s="83"/>
      <c r="L58" s="84"/>
      <c r="M58" s="84"/>
      <c r="N58" s="84"/>
      <c r="O58" s="85"/>
      <c r="P58" s="84"/>
      <c r="Q58" s="84"/>
      <c r="R58" s="84"/>
      <c r="S58" s="84"/>
      <c r="T58" s="84"/>
      <c r="U58" s="84"/>
      <c r="V58" s="84"/>
      <c r="W58" s="84"/>
      <c r="X58" s="86"/>
    </row>
    <row r="59" ht="15.0" customHeight="1">
      <c r="A59" s="81"/>
      <c r="B59" s="51"/>
      <c r="C59" s="51"/>
      <c r="D59" s="50"/>
      <c r="E59" s="50"/>
      <c r="F59" s="50"/>
      <c r="G59" s="50"/>
      <c r="H59" s="50"/>
      <c r="I59" s="82"/>
      <c r="J59" s="83"/>
      <c r="K59" s="83"/>
      <c r="L59" s="84"/>
      <c r="M59" s="84"/>
      <c r="N59" s="84"/>
      <c r="O59" s="85"/>
      <c r="P59" s="84"/>
      <c r="Q59" s="84"/>
      <c r="R59" s="84"/>
      <c r="S59" s="84"/>
      <c r="T59" s="84"/>
      <c r="U59" s="84"/>
      <c r="V59" s="84"/>
      <c r="W59" s="84"/>
      <c r="X59" s="86"/>
    </row>
    <row r="60" ht="15.0" customHeight="1">
      <c r="A60" s="81"/>
      <c r="B60" s="51"/>
      <c r="C60" s="51"/>
      <c r="D60" s="50"/>
      <c r="E60" s="50"/>
      <c r="F60" s="50"/>
      <c r="G60" s="50"/>
      <c r="H60" s="50"/>
      <c r="I60" s="82"/>
      <c r="J60" s="83"/>
      <c r="K60" s="83"/>
      <c r="L60" s="84"/>
      <c r="M60" s="84"/>
      <c r="N60" s="84"/>
      <c r="O60" s="85"/>
      <c r="P60" s="84"/>
      <c r="Q60" s="84"/>
      <c r="R60" s="84"/>
      <c r="S60" s="84"/>
      <c r="T60" s="84"/>
      <c r="U60" s="84"/>
      <c r="V60" s="84"/>
      <c r="W60" s="84"/>
      <c r="X60" s="86"/>
    </row>
    <row r="61" ht="15.0" customHeight="1">
      <c r="A61" s="81"/>
      <c r="B61" s="51"/>
      <c r="C61" s="51"/>
      <c r="D61" s="50"/>
      <c r="E61" s="50"/>
      <c r="F61" s="50"/>
      <c r="G61" s="50"/>
      <c r="H61" s="50"/>
      <c r="I61" s="82"/>
      <c r="J61" s="83"/>
      <c r="K61" s="83"/>
      <c r="L61" s="84"/>
      <c r="M61" s="84"/>
      <c r="N61" s="84"/>
      <c r="O61" s="85"/>
      <c r="P61" s="84"/>
      <c r="Q61" s="84"/>
      <c r="R61" s="84"/>
      <c r="S61" s="84"/>
      <c r="T61" s="84"/>
      <c r="U61" s="84"/>
      <c r="V61" s="84"/>
      <c r="W61" s="84"/>
      <c r="X61" s="86"/>
    </row>
    <row r="62" ht="15.0" customHeight="1">
      <c r="A62" s="81"/>
      <c r="B62" s="51"/>
      <c r="C62" s="51"/>
      <c r="D62" s="50"/>
      <c r="E62" s="50"/>
      <c r="F62" s="50"/>
      <c r="G62" s="50"/>
      <c r="H62" s="50"/>
      <c r="I62" s="82"/>
      <c r="J62" s="83"/>
      <c r="K62" s="83"/>
      <c r="L62" s="84"/>
      <c r="M62" s="84"/>
      <c r="N62" s="84"/>
      <c r="O62" s="85"/>
      <c r="P62" s="84"/>
      <c r="Q62" s="84"/>
      <c r="R62" s="84"/>
      <c r="S62" s="84"/>
      <c r="T62" s="84"/>
      <c r="U62" s="84"/>
      <c r="V62" s="84"/>
      <c r="W62" s="84"/>
      <c r="X62" s="86"/>
    </row>
    <row r="63" ht="15.0" customHeight="1">
      <c r="A63" s="81"/>
      <c r="B63" s="51"/>
      <c r="C63" s="51"/>
      <c r="D63" s="50"/>
      <c r="E63" s="50"/>
      <c r="F63" s="50"/>
      <c r="G63" s="50"/>
      <c r="H63" s="50"/>
      <c r="I63" s="82"/>
      <c r="J63" s="83"/>
      <c r="K63" s="83"/>
      <c r="L63" s="84"/>
      <c r="M63" s="84"/>
      <c r="N63" s="84"/>
      <c r="O63" s="85"/>
      <c r="P63" s="84"/>
      <c r="Q63" s="84"/>
      <c r="R63" s="84"/>
      <c r="S63" s="84"/>
      <c r="T63" s="84"/>
      <c r="U63" s="84"/>
      <c r="V63" s="84"/>
      <c r="W63" s="84"/>
      <c r="X63" s="86"/>
    </row>
    <row r="64" ht="15.0" customHeight="1">
      <c r="A64" s="81"/>
      <c r="B64" s="51"/>
      <c r="C64" s="51"/>
      <c r="D64" s="50"/>
      <c r="E64" s="50"/>
      <c r="F64" s="50"/>
      <c r="G64" s="50"/>
      <c r="H64" s="50"/>
      <c r="I64" s="82"/>
      <c r="J64" s="83"/>
      <c r="K64" s="83"/>
      <c r="L64" s="84"/>
      <c r="M64" s="84"/>
      <c r="N64" s="84"/>
      <c r="O64" s="85"/>
      <c r="P64" s="84"/>
      <c r="Q64" s="84"/>
      <c r="R64" s="84"/>
      <c r="S64" s="84"/>
      <c r="T64" s="84"/>
      <c r="U64" s="84"/>
      <c r="V64" s="84"/>
      <c r="W64" s="84"/>
      <c r="X64" s="86"/>
    </row>
    <row r="65" ht="15.0" customHeight="1">
      <c r="A65" s="81"/>
      <c r="B65" s="51"/>
      <c r="C65" s="51"/>
      <c r="D65" s="50"/>
      <c r="E65" s="50"/>
      <c r="F65" s="50"/>
      <c r="G65" s="50"/>
      <c r="H65" s="50"/>
      <c r="I65" s="82"/>
      <c r="J65" s="83"/>
      <c r="K65" s="83"/>
      <c r="L65" s="84"/>
      <c r="M65" s="84"/>
      <c r="N65" s="84"/>
      <c r="O65" s="85"/>
      <c r="P65" s="84"/>
      <c r="Q65" s="84"/>
      <c r="R65" s="84"/>
      <c r="S65" s="84"/>
      <c r="T65" s="84"/>
      <c r="U65" s="84"/>
      <c r="V65" s="84"/>
      <c r="W65" s="84"/>
      <c r="X65" s="86"/>
    </row>
    <row r="66" ht="15.0" customHeight="1">
      <c r="A66" s="81"/>
      <c r="B66" s="51"/>
      <c r="C66" s="51"/>
      <c r="D66" s="50"/>
      <c r="E66" s="50"/>
      <c r="F66" s="50"/>
      <c r="G66" s="50"/>
      <c r="H66" s="50"/>
      <c r="I66" s="82"/>
      <c r="J66" s="83"/>
      <c r="K66" s="83"/>
      <c r="L66" s="84"/>
      <c r="M66" s="84"/>
      <c r="N66" s="84"/>
      <c r="O66" s="85"/>
      <c r="P66" s="84"/>
      <c r="Q66" s="84"/>
      <c r="R66" s="84"/>
      <c r="S66" s="84"/>
      <c r="T66" s="84"/>
      <c r="U66" s="84"/>
      <c r="V66" s="84"/>
      <c r="W66" s="84"/>
      <c r="X66" s="86"/>
    </row>
    <row r="67" ht="15.0" customHeight="1">
      <c r="A67" s="81"/>
      <c r="B67" s="51"/>
      <c r="C67" s="51"/>
      <c r="D67" s="50"/>
      <c r="E67" s="50"/>
      <c r="F67" s="50"/>
      <c r="G67" s="50"/>
      <c r="H67" s="50"/>
      <c r="I67" s="82"/>
      <c r="J67" s="83"/>
      <c r="K67" s="83"/>
      <c r="L67" s="84"/>
      <c r="M67" s="84"/>
      <c r="N67" s="84"/>
      <c r="O67" s="85"/>
      <c r="P67" s="84"/>
      <c r="Q67" s="84"/>
      <c r="R67" s="84"/>
      <c r="S67" s="84"/>
      <c r="T67" s="84"/>
      <c r="U67" s="84"/>
      <c r="V67" s="84"/>
      <c r="W67" s="84"/>
      <c r="X67" s="86"/>
    </row>
    <row r="68" ht="15.0" customHeight="1">
      <c r="A68" s="81"/>
      <c r="B68" s="51"/>
      <c r="C68" s="51"/>
      <c r="D68" s="50"/>
      <c r="E68" s="50"/>
      <c r="F68" s="50"/>
      <c r="G68" s="50"/>
      <c r="H68" s="50"/>
      <c r="I68" s="82"/>
      <c r="J68" s="83"/>
      <c r="K68" s="83"/>
      <c r="L68" s="84"/>
      <c r="M68" s="84"/>
      <c r="N68" s="84"/>
      <c r="O68" s="85"/>
      <c r="P68" s="84"/>
      <c r="Q68" s="84"/>
      <c r="R68" s="84"/>
      <c r="S68" s="84"/>
      <c r="T68" s="84"/>
      <c r="U68" s="84"/>
      <c r="V68" s="84"/>
      <c r="W68" s="84"/>
      <c r="X68" s="86"/>
    </row>
    <row r="69" ht="15.0" customHeight="1">
      <c r="A69" s="81"/>
      <c r="B69" s="51"/>
      <c r="C69" s="51"/>
      <c r="D69" s="50"/>
      <c r="E69" s="50"/>
      <c r="F69" s="50"/>
      <c r="G69" s="50"/>
      <c r="H69" s="50"/>
      <c r="I69" s="82"/>
      <c r="J69" s="83"/>
      <c r="K69" s="83"/>
      <c r="L69" s="84"/>
      <c r="M69" s="84"/>
      <c r="N69" s="84"/>
      <c r="O69" s="85"/>
      <c r="P69" s="84"/>
      <c r="Q69" s="84"/>
      <c r="R69" s="84"/>
      <c r="S69" s="84"/>
      <c r="T69" s="84"/>
      <c r="U69" s="84"/>
      <c r="V69" s="84"/>
      <c r="W69" s="84"/>
      <c r="X69" s="86"/>
    </row>
    <row r="70" ht="15.0" customHeight="1">
      <c r="A70" s="81"/>
      <c r="B70" s="51"/>
      <c r="C70" s="51"/>
      <c r="D70" s="50"/>
      <c r="E70" s="50"/>
      <c r="F70" s="50"/>
      <c r="G70" s="50"/>
      <c r="H70" s="50"/>
      <c r="I70" s="82"/>
      <c r="J70" s="83"/>
      <c r="K70" s="83"/>
      <c r="L70" s="84"/>
      <c r="M70" s="84"/>
      <c r="N70" s="84"/>
      <c r="O70" s="85"/>
      <c r="P70" s="84"/>
      <c r="Q70" s="84"/>
      <c r="R70" s="84"/>
      <c r="S70" s="84"/>
      <c r="T70" s="84"/>
      <c r="U70" s="84"/>
      <c r="V70" s="84"/>
      <c r="W70" s="84"/>
      <c r="X70" s="86"/>
    </row>
    <row r="71" ht="15.0" customHeight="1">
      <c r="A71" s="81"/>
      <c r="B71" s="51"/>
      <c r="C71" s="51"/>
      <c r="D71" s="50"/>
      <c r="E71" s="50"/>
      <c r="F71" s="50"/>
      <c r="G71" s="50"/>
      <c r="H71" s="50"/>
      <c r="I71" s="82"/>
      <c r="J71" s="83"/>
      <c r="K71" s="83"/>
      <c r="L71" s="84"/>
      <c r="M71" s="84"/>
      <c r="N71" s="84"/>
      <c r="O71" s="85"/>
      <c r="P71" s="84"/>
      <c r="Q71" s="84"/>
      <c r="R71" s="84"/>
      <c r="S71" s="84"/>
      <c r="T71" s="84"/>
      <c r="U71" s="84"/>
      <c r="V71" s="84"/>
      <c r="W71" s="84"/>
      <c r="X71" s="86"/>
    </row>
    <row r="72" ht="15.0" customHeight="1">
      <c r="A72" s="81"/>
      <c r="B72" s="51"/>
      <c r="C72" s="51"/>
      <c r="D72" s="50"/>
      <c r="E72" s="50"/>
      <c r="F72" s="50"/>
      <c r="G72" s="50"/>
      <c r="H72" s="50"/>
      <c r="I72" s="82"/>
      <c r="J72" s="83"/>
      <c r="K72" s="83"/>
      <c r="L72" s="84"/>
      <c r="M72" s="84"/>
      <c r="N72" s="84"/>
      <c r="O72" s="85"/>
      <c r="P72" s="84"/>
      <c r="Q72" s="84"/>
      <c r="R72" s="84"/>
      <c r="S72" s="84"/>
      <c r="T72" s="84"/>
      <c r="U72" s="84"/>
      <c r="V72" s="84"/>
      <c r="W72" s="84"/>
      <c r="X72" s="86"/>
    </row>
    <row r="73" ht="15.0" customHeight="1">
      <c r="A73" s="81"/>
      <c r="B73" s="51"/>
      <c r="C73" s="51"/>
      <c r="D73" s="50"/>
      <c r="E73" s="50"/>
      <c r="F73" s="50"/>
      <c r="G73" s="50"/>
      <c r="H73" s="50"/>
      <c r="I73" s="82"/>
      <c r="J73" s="83"/>
      <c r="K73" s="83"/>
      <c r="L73" s="84"/>
      <c r="M73" s="84"/>
      <c r="N73" s="84"/>
      <c r="O73" s="85"/>
      <c r="P73" s="84"/>
      <c r="Q73" s="84"/>
      <c r="R73" s="84"/>
      <c r="S73" s="84"/>
      <c r="T73" s="84"/>
      <c r="U73" s="84"/>
      <c r="V73" s="84"/>
      <c r="W73" s="84"/>
      <c r="X73" s="86"/>
    </row>
    <row r="74" ht="15.0" customHeight="1">
      <c r="A74" s="81"/>
      <c r="B74" s="51"/>
      <c r="C74" s="51"/>
      <c r="D74" s="50"/>
      <c r="E74" s="50"/>
      <c r="F74" s="50"/>
      <c r="G74" s="50"/>
      <c r="H74" s="50"/>
      <c r="I74" s="82"/>
      <c r="J74" s="83"/>
      <c r="K74" s="83"/>
      <c r="L74" s="84"/>
      <c r="M74" s="84"/>
      <c r="N74" s="84"/>
      <c r="O74" s="85"/>
      <c r="P74" s="84"/>
      <c r="Q74" s="84"/>
      <c r="R74" s="84"/>
      <c r="S74" s="84"/>
      <c r="T74" s="84"/>
      <c r="U74" s="84"/>
      <c r="V74" s="84"/>
      <c r="W74" s="84"/>
      <c r="X74" s="86"/>
    </row>
    <row r="75" ht="15.0" customHeight="1">
      <c r="A75" s="81"/>
      <c r="B75" s="51"/>
      <c r="C75" s="51"/>
      <c r="D75" s="50"/>
      <c r="E75" s="50"/>
      <c r="F75" s="50"/>
      <c r="G75" s="50"/>
      <c r="H75" s="50"/>
      <c r="I75" s="82"/>
      <c r="J75" s="83"/>
      <c r="K75" s="83"/>
      <c r="L75" s="84"/>
      <c r="M75" s="84"/>
      <c r="N75" s="84"/>
      <c r="O75" s="85"/>
      <c r="P75" s="84"/>
      <c r="Q75" s="84"/>
      <c r="R75" s="84"/>
      <c r="S75" s="84"/>
      <c r="T75" s="84"/>
      <c r="U75" s="84"/>
      <c r="V75" s="84"/>
      <c r="W75" s="84"/>
      <c r="X75" s="86"/>
    </row>
    <row r="76" ht="15.0" customHeight="1">
      <c r="A76" s="81"/>
      <c r="B76" s="51"/>
      <c r="C76" s="51"/>
      <c r="D76" s="50"/>
      <c r="E76" s="50"/>
      <c r="F76" s="50"/>
      <c r="G76" s="50"/>
      <c r="H76" s="50"/>
      <c r="I76" s="82"/>
      <c r="J76" s="83"/>
      <c r="K76" s="83"/>
      <c r="L76" s="84"/>
      <c r="M76" s="84"/>
      <c r="N76" s="84"/>
      <c r="O76" s="85"/>
      <c r="P76" s="84"/>
      <c r="Q76" s="84"/>
      <c r="R76" s="84"/>
      <c r="S76" s="84"/>
      <c r="T76" s="84"/>
      <c r="U76" s="84"/>
      <c r="V76" s="84"/>
      <c r="W76" s="84"/>
      <c r="X76" s="86"/>
    </row>
    <row r="77" ht="15.0" customHeight="1">
      <c r="A77" s="81"/>
      <c r="B77" s="51"/>
      <c r="C77" s="51"/>
      <c r="D77" s="50"/>
      <c r="E77" s="50"/>
      <c r="F77" s="50"/>
      <c r="G77" s="50"/>
      <c r="H77" s="50"/>
      <c r="I77" s="82"/>
      <c r="J77" s="83"/>
      <c r="K77" s="83"/>
      <c r="L77" s="84"/>
      <c r="M77" s="84"/>
      <c r="N77" s="84"/>
      <c r="O77" s="85"/>
      <c r="P77" s="84"/>
      <c r="Q77" s="84"/>
      <c r="R77" s="84"/>
      <c r="S77" s="84"/>
      <c r="T77" s="84"/>
      <c r="U77" s="84"/>
      <c r="V77" s="84"/>
      <c r="W77" s="84"/>
      <c r="X77" s="86"/>
    </row>
    <row r="78" ht="15.0" customHeight="1">
      <c r="A78" s="81"/>
      <c r="B78" s="51"/>
      <c r="C78" s="51"/>
      <c r="D78" s="50"/>
      <c r="E78" s="50"/>
      <c r="F78" s="50"/>
      <c r="G78" s="50"/>
      <c r="H78" s="50"/>
      <c r="I78" s="82"/>
      <c r="J78" s="83"/>
      <c r="K78" s="83"/>
      <c r="L78" s="84"/>
      <c r="M78" s="84"/>
      <c r="N78" s="84"/>
      <c r="O78" s="85"/>
      <c r="P78" s="84"/>
      <c r="Q78" s="84"/>
      <c r="R78" s="84"/>
      <c r="S78" s="84"/>
      <c r="T78" s="84"/>
      <c r="U78" s="84"/>
      <c r="V78" s="84"/>
      <c r="W78" s="84"/>
      <c r="X78" s="86"/>
    </row>
    <row r="79" ht="15.0" customHeight="1">
      <c r="A79" s="81"/>
      <c r="B79" s="51"/>
      <c r="C79" s="51"/>
      <c r="D79" s="50"/>
      <c r="E79" s="50"/>
      <c r="F79" s="50"/>
      <c r="G79" s="50"/>
      <c r="H79" s="50"/>
      <c r="I79" s="82"/>
      <c r="J79" s="83"/>
      <c r="K79" s="83"/>
      <c r="L79" s="84"/>
      <c r="M79" s="84"/>
      <c r="N79" s="84"/>
      <c r="O79" s="85"/>
      <c r="P79" s="84"/>
      <c r="Q79" s="84"/>
      <c r="R79" s="84"/>
      <c r="S79" s="84"/>
      <c r="T79" s="84"/>
      <c r="U79" s="84"/>
      <c r="V79" s="84"/>
      <c r="W79" s="84"/>
      <c r="X79" s="86"/>
    </row>
    <row r="80" ht="15.0" customHeight="1">
      <c r="A80" s="81"/>
      <c r="B80" s="51"/>
      <c r="C80" s="51"/>
      <c r="D80" s="50"/>
      <c r="E80" s="50"/>
      <c r="F80" s="50"/>
      <c r="G80" s="50"/>
      <c r="H80" s="50"/>
      <c r="I80" s="82"/>
      <c r="J80" s="83"/>
      <c r="K80" s="83"/>
      <c r="L80" s="84"/>
      <c r="M80" s="84"/>
      <c r="N80" s="84"/>
      <c r="O80" s="85"/>
      <c r="P80" s="84"/>
      <c r="Q80" s="84"/>
      <c r="R80" s="84"/>
      <c r="S80" s="84"/>
      <c r="T80" s="84"/>
      <c r="U80" s="84"/>
      <c r="V80" s="84"/>
      <c r="W80" s="84"/>
      <c r="X80" s="86"/>
    </row>
    <row r="81" ht="15.0" customHeight="1">
      <c r="A81" s="81"/>
      <c r="B81" s="51"/>
      <c r="C81" s="51"/>
      <c r="D81" s="50"/>
      <c r="E81" s="50"/>
      <c r="F81" s="50"/>
      <c r="G81" s="50"/>
      <c r="H81" s="50"/>
      <c r="I81" s="82"/>
      <c r="J81" s="83"/>
      <c r="K81" s="83"/>
      <c r="L81" s="84"/>
      <c r="M81" s="84"/>
      <c r="N81" s="84"/>
      <c r="O81" s="85"/>
      <c r="P81" s="84"/>
      <c r="Q81" s="84"/>
      <c r="R81" s="84"/>
      <c r="S81" s="84"/>
      <c r="T81" s="84"/>
      <c r="U81" s="84"/>
      <c r="V81" s="84"/>
      <c r="W81" s="84"/>
      <c r="X81" s="86"/>
    </row>
    <row r="82" ht="15.0" customHeight="1">
      <c r="A82" s="81"/>
      <c r="B82" s="51"/>
      <c r="C82" s="51"/>
      <c r="D82" s="50"/>
      <c r="E82" s="50"/>
      <c r="F82" s="50"/>
      <c r="G82" s="50"/>
      <c r="H82" s="50"/>
      <c r="I82" s="82"/>
      <c r="J82" s="83"/>
      <c r="K82" s="83"/>
      <c r="L82" s="84"/>
      <c r="M82" s="84"/>
      <c r="N82" s="84"/>
      <c r="O82" s="85"/>
      <c r="P82" s="84"/>
      <c r="Q82" s="84"/>
      <c r="R82" s="84"/>
      <c r="S82" s="84"/>
      <c r="T82" s="84"/>
      <c r="U82" s="84"/>
      <c r="V82" s="84"/>
      <c r="W82" s="84"/>
      <c r="X82" s="86"/>
    </row>
    <row r="83" ht="15.0" customHeight="1">
      <c r="A83" s="81"/>
      <c r="B83" s="51"/>
      <c r="C83" s="51"/>
      <c r="D83" s="50"/>
      <c r="E83" s="50"/>
      <c r="F83" s="50"/>
      <c r="G83" s="50"/>
      <c r="H83" s="50"/>
      <c r="I83" s="82"/>
      <c r="J83" s="83"/>
      <c r="K83" s="83"/>
      <c r="L83" s="84"/>
      <c r="M83" s="84"/>
      <c r="N83" s="84"/>
      <c r="O83" s="85"/>
      <c r="P83" s="84"/>
      <c r="Q83" s="84"/>
      <c r="R83" s="84"/>
      <c r="S83" s="84"/>
      <c r="T83" s="84"/>
      <c r="U83" s="84"/>
      <c r="V83" s="84"/>
      <c r="W83" s="84"/>
      <c r="X83" s="86"/>
    </row>
    <row r="84" ht="15.0" customHeight="1">
      <c r="A84" s="81"/>
      <c r="B84" s="51"/>
      <c r="C84" s="51"/>
      <c r="D84" s="50"/>
      <c r="E84" s="50"/>
      <c r="F84" s="50"/>
      <c r="G84" s="50"/>
      <c r="H84" s="50"/>
      <c r="I84" s="82"/>
      <c r="J84" s="83"/>
      <c r="K84" s="83"/>
      <c r="L84" s="84"/>
      <c r="M84" s="84"/>
      <c r="N84" s="84"/>
      <c r="O84" s="85"/>
      <c r="P84" s="84"/>
      <c r="Q84" s="84"/>
      <c r="R84" s="84"/>
      <c r="S84" s="84"/>
      <c r="T84" s="84"/>
      <c r="U84" s="84"/>
      <c r="V84" s="84"/>
      <c r="W84" s="84"/>
      <c r="X84" s="86"/>
    </row>
    <row r="85" ht="15.0" customHeight="1">
      <c r="A85" s="81"/>
      <c r="B85" s="51"/>
      <c r="C85" s="51"/>
      <c r="D85" s="50"/>
      <c r="E85" s="50"/>
      <c r="F85" s="50"/>
      <c r="G85" s="50"/>
      <c r="H85" s="50"/>
      <c r="I85" s="82"/>
      <c r="J85" s="83"/>
      <c r="K85" s="83"/>
      <c r="L85" s="84"/>
      <c r="M85" s="84"/>
      <c r="N85" s="84"/>
      <c r="O85" s="85"/>
      <c r="P85" s="84"/>
      <c r="Q85" s="84"/>
      <c r="R85" s="84"/>
      <c r="S85" s="84"/>
      <c r="T85" s="84"/>
      <c r="U85" s="84"/>
      <c r="V85" s="84"/>
      <c r="W85" s="84"/>
      <c r="X85" s="86"/>
    </row>
    <row r="86" ht="15.0" customHeight="1">
      <c r="A86" s="81"/>
      <c r="B86" s="51"/>
      <c r="C86" s="51"/>
      <c r="D86" s="50"/>
      <c r="E86" s="50"/>
      <c r="F86" s="50"/>
      <c r="G86" s="50"/>
      <c r="H86" s="50"/>
      <c r="I86" s="82"/>
      <c r="J86" s="83"/>
      <c r="K86" s="83"/>
      <c r="L86" s="84"/>
      <c r="M86" s="84"/>
      <c r="N86" s="84"/>
      <c r="O86" s="85"/>
      <c r="P86" s="84"/>
      <c r="Q86" s="84"/>
      <c r="R86" s="84"/>
      <c r="S86" s="84"/>
      <c r="T86" s="84"/>
      <c r="U86" s="84"/>
      <c r="V86" s="84"/>
      <c r="W86" s="84"/>
      <c r="X86" s="86"/>
    </row>
    <row r="87" ht="15.0" customHeight="1">
      <c r="A87" s="81"/>
      <c r="B87" s="51"/>
      <c r="C87" s="51"/>
      <c r="D87" s="50"/>
      <c r="E87" s="50"/>
      <c r="F87" s="50"/>
      <c r="G87" s="50"/>
      <c r="H87" s="50"/>
      <c r="I87" s="82"/>
      <c r="J87" s="83"/>
      <c r="K87" s="83"/>
      <c r="L87" s="84"/>
      <c r="M87" s="84"/>
      <c r="N87" s="84"/>
      <c r="O87" s="85"/>
      <c r="P87" s="84"/>
      <c r="Q87" s="84"/>
      <c r="R87" s="84"/>
      <c r="S87" s="84"/>
      <c r="T87" s="84"/>
      <c r="U87" s="84"/>
      <c r="V87" s="84"/>
      <c r="W87" s="84"/>
      <c r="X87" s="86"/>
    </row>
    <row r="88" ht="15.0" customHeight="1">
      <c r="A88" s="81"/>
      <c r="B88" s="51"/>
      <c r="C88" s="51"/>
      <c r="D88" s="50"/>
      <c r="E88" s="50"/>
      <c r="F88" s="50"/>
      <c r="G88" s="50"/>
      <c r="H88" s="50"/>
      <c r="I88" s="82"/>
      <c r="J88" s="83"/>
      <c r="K88" s="83"/>
      <c r="L88" s="84"/>
      <c r="M88" s="84"/>
      <c r="N88" s="84"/>
      <c r="O88" s="85"/>
      <c r="P88" s="84"/>
      <c r="Q88" s="84"/>
      <c r="R88" s="84"/>
      <c r="S88" s="84"/>
      <c r="T88" s="84"/>
      <c r="U88" s="84"/>
      <c r="V88" s="84"/>
      <c r="W88" s="84"/>
      <c r="X88" s="86"/>
    </row>
    <row r="89" ht="15.0" customHeight="1">
      <c r="A89" s="81"/>
      <c r="B89" s="51"/>
      <c r="C89" s="51"/>
      <c r="D89" s="50"/>
      <c r="E89" s="50"/>
      <c r="F89" s="50"/>
      <c r="G89" s="50"/>
      <c r="H89" s="50"/>
      <c r="I89" s="82"/>
      <c r="J89" s="83"/>
      <c r="K89" s="83"/>
      <c r="L89" s="84"/>
      <c r="M89" s="84"/>
      <c r="N89" s="84"/>
      <c r="O89" s="85"/>
      <c r="P89" s="84"/>
      <c r="Q89" s="84"/>
      <c r="R89" s="84"/>
      <c r="S89" s="84"/>
      <c r="T89" s="84"/>
      <c r="U89" s="84"/>
      <c r="V89" s="84"/>
      <c r="W89" s="84"/>
      <c r="X89" s="86"/>
    </row>
    <row r="90" ht="15.0" customHeight="1">
      <c r="A90" s="81"/>
      <c r="B90" s="51"/>
      <c r="C90" s="51"/>
      <c r="D90" s="50"/>
      <c r="E90" s="50"/>
      <c r="F90" s="50"/>
      <c r="G90" s="50"/>
      <c r="H90" s="50"/>
      <c r="I90" s="82"/>
      <c r="J90" s="83"/>
      <c r="K90" s="83"/>
      <c r="L90" s="84"/>
      <c r="M90" s="84"/>
      <c r="N90" s="84"/>
      <c r="O90" s="85"/>
      <c r="P90" s="84"/>
      <c r="Q90" s="84"/>
      <c r="R90" s="84"/>
      <c r="S90" s="84"/>
      <c r="T90" s="84"/>
      <c r="U90" s="84"/>
      <c r="V90" s="84"/>
      <c r="W90" s="84"/>
      <c r="X90" s="86"/>
    </row>
    <row r="91" ht="15.0" customHeight="1">
      <c r="A91" s="81"/>
      <c r="B91" s="51"/>
      <c r="C91" s="51"/>
      <c r="D91" s="50"/>
      <c r="E91" s="50"/>
      <c r="F91" s="50"/>
      <c r="G91" s="50"/>
      <c r="H91" s="50"/>
      <c r="I91" s="82"/>
      <c r="J91" s="83"/>
      <c r="K91" s="83"/>
      <c r="L91" s="84"/>
      <c r="M91" s="84"/>
      <c r="N91" s="84"/>
      <c r="O91" s="85"/>
      <c r="P91" s="84"/>
      <c r="Q91" s="84"/>
      <c r="R91" s="84"/>
      <c r="S91" s="84"/>
      <c r="T91" s="84"/>
      <c r="U91" s="84"/>
      <c r="V91" s="84"/>
      <c r="W91" s="84"/>
      <c r="X91" s="86"/>
    </row>
    <row r="92" ht="15.0" customHeight="1">
      <c r="A92" s="81"/>
      <c r="B92" s="51"/>
      <c r="C92" s="51"/>
      <c r="D92" s="50"/>
      <c r="E92" s="50"/>
      <c r="F92" s="50"/>
      <c r="G92" s="50"/>
      <c r="H92" s="50"/>
      <c r="I92" s="82"/>
      <c r="J92" s="83"/>
      <c r="K92" s="83"/>
      <c r="L92" s="84"/>
      <c r="M92" s="84"/>
      <c r="N92" s="84"/>
      <c r="O92" s="85"/>
      <c r="P92" s="84"/>
      <c r="Q92" s="84"/>
      <c r="R92" s="84"/>
      <c r="S92" s="84"/>
      <c r="T92" s="84"/>
      <c r="U92" s="84"/>
      <c r="V92" s="84"/>
      <c r="W92" s="84"/>
      <c r="X92" s="86"/>
    </row>
    <row r="93" ht="15.0" customHeight="1">
      <c r="A93" s="81"/>
      <c r="B93" s="51"/>
      <c r="C93" s="51"/>
      <c r="D93" s="50"/>
      <c r="E93" s="50"/>
      <c r="F93" s="50"/>
      <c r="G93" s="50"/>
      <c r="H93" s="50"/>
      <c r="I93" s="82"/>
      <c r="J93" s="83"/>
      <c r="K93" s="83"/>
      <c r="L93" s="84"/>
      <c r="M93" s="84"/>
      <c r="N93" s="84"/>
      <c r="O93" s="85"/>
      <c r="P93" s="84"/>
      <c r="Q93" s="84"/>
      <c r="R93" s="84"/>
      <c r="S93" s="84"/>
      <c r="T93" s="84"/>
      <c r="U93" s="84"/>
      <c r="V93" s="84"/>
      <c r="W93" s="84"/>
      <c r="X93" s="86"/>
    </row>
    <row r="94" ht="15.0" customHeight="1">
      <c r="A94" s="81"/>
      <c r="B94" s="51"/>
      <c r="C94" s="51"/>
      <c r="D94" s="50"/>
      <c r="E94" s="50"/>
      <c r="F94" s="50"/>
      <c r="G94" s="50"/>
      <c r="H94" s="50"/>
      <c r="I94" s="82"/>
      <c r="J94" s="83"/>
      <c r="K94" s="83"/>
      <c r="L94" s="84"/>
      <c r="M94" s="84"/>
      <c r="N94" s="84"/>
      <c r="O94" s="85"/>
      <c r="P94" s="84"/>
      <c r="Q94" s="84"/>
      <c r="R94" s="84"/>
      <c r="S94" s="84"/>
      <c r="T94" s="84"/>
      <c r="U94" s="84"/>
      <c r="V94" s="84"/>
      <c r="W94" s="84"/>
      <c r="X94" s="86"/>
    </row>
    <row r="95" ht="15.0" customHeight="1">
      <c r="A95" s="81"/>
      <c r="B95" s="51"/>
      <c r="C95" s="51"/>
      <c r="D95" s="50"/>
      <c r="E95" s="50"/>
      <c r="F95" s="50"/>
      <c r="G95" s="50"/>
      <c r="H95" s="50"/>
      <c r="I95" s="82"/>
      <c r="J95" s="83"/>
      <c r="K95" s="83"/>
      <c r="L95" s="84"/>
      <c r="M95" s="84"/>
      <c r="N95" s="84"/>
      <c r="O95" s="85"/>
      <c r="P95" s="84"/>
      <c r="Q95" s="84"/>
      <c r="R95" s="84"/>
      <c r="S95" s="84"/>
      <c r="T95" s="84"/>
      <c r="U95" s="84"/>
      <c r="V95" s="84"/>
      <c r="W95" s="84"/>
      <c r="X95" s="86"/>
    </row>
    <row r="96" ht="15.0" customHeight="1">
      <c r="A96" s="81"/>
      <c r="B96" s="51"/>
      <c r="C96" s="51"/>
      <c r="D96" s="50"/>
      <c r="E96" s="50"/>
      <c r="F96" s="50"/>
      <c r="G96" s="50"/>
      <c r="H96" s="50"/>
      <c r="I96" s="82"/>
      <c r="J96" s="83"/>
      <c r="K96" s="83"/>
      <c r="L96" s="84"/>
      <c r="M96" s="84"/>
      <c r="N96" s="84"/>
      <c r="O96" s="85"/>
      <c r="P96" s="84"/>
      <c r="Q96" s="84"/>
      <c r="R96" s="84"/>
      <c r="S96" s="84"/>
      <c r="T96" s="84"/>
      <c r="U96" s="84"/>
      <c r="V96" s="84"/>
      <c r="W96" s="84"/>
      <c r="X96" s="86"/>
    </row>
    <row r="97" ht="15.0" customHeight="1">
      <c r="A97" s="81"/>
      <c r="B97" s="51"/>
      <c r="C97" s="51"/>
      <c r="D97" s="50"/>
      <c r="E97" s="50"/>
      <c r="F97" s="50"/>
      <c r="G97" s="50"/>
      <c r="H97" s="50"/>
      <c r="I97" s="82"/>
      <c r="J97" s="83"/>
      <c r="K97" s="83"/>
      <c r="L97" s="84"/>
      <c r="M97" s="84"/>
      <c r="N97" s="84"/>
      <c r="O97" s="85"/>
      <c r="P97" s="84"/>
      <c r="Q97" s="84"/>
      <c r="R97" s="84"/>
      <c r="S97" s="84"/>
      <c r="T97" s="84"/>
      <c r="U97" s="84"/>
      <c r="V97" s="84"/>
      <c r="W97" s="84"/>
      <c r="X97" s="86"/>
    </row>
    <row r="98" ht="15.0" customHeight="1">
      <c r="A98" s="81"/>
      <c r="B98" s="51"/>
      <c r="C98" s="51"/>
      <c r="D98" s="50"/>
      <c r="E98" s="50"/>
      <c r="F98" s="50"/>
      <c r="G98" s="50"/>
      <c r="H98" s="50"/>
      <c r="I98" s="82"/>
      <c r="J98" s="83"/>
      <c r="K98" s="83"/>
      <c r="L98" s="84"/>
      <c r="M98" s="84"/>
      <c r="N98" s="84"/>
      <c r="O98" s="85"/>
      <c r="P98" s="84"/>
      <c r="Q98" s="84"/>
      <c r="R98" s="84"/>
      <c r="S98" s="84"/>
      <c r="T98" s="84"/>
      <c r="U98" s="84"/>
      <c r="V98" s="84"/>
      <c r="W98" s="84"/>
      <c r="X98" s="86"/>
    </row>
    <row r="99" ht="15.0" customHeight="1">
      <c r="A99" s="81"/>
      <c r="B99" s="51"/>
      <c r="C99" s="51"/>
      <c r="D99" s="50"/>
      <c r="E99" s="50"/>
      <c r="F99" s="50"/>
      <c r="G99" s="50"/>
      <c r="H99" s="50"/>
      <c r="I99" s="82"/>
      <c r="J99" s="83"/>
      <c r="K99" s="83"/>
      <c r="L99" s="84"/>
      <c r="M99" s="84"/>
      <c r="N99" s="84"/>
      <c r="O99" s="85"/>
      <c r="P99" s="84"/>
      <c r="Q99" s="84"/>
      <c r="R99" s="84"/>
      <c r="S99" s="84"/>
      <c r="T99" s="84"/>
      <c r="U99" s="84"/>
      <c r="V99" s="84"/>
      <c r="W99" s="84"/>
      <c r="X99" s="86"/>
    </row>
    <row r="100" ht="15.0" customHeight="1">
      <c r="A100" s="81"/>
      <c r="B100" s="51"/>
      <c r="C100" s="51"/>
      <c r="D100" s="50"/>
      <c r="E100" s="50"/>
      <c r="F100" s="50"/>
      <c r="G100" s="50"/>
      <c r="H100" s="50"/>
      <c r="I100" s="82"/>
      <c r="J100" s="83"/>
      <c r="K100" s="83"/>
      <c r="L100" s="84"/>
      <c r="M100" s="84"/>
      <c r="N100" s="84"/>
      <c r="O100" s="85"/>
      <c r="P100" s="84"/>
      <c r="Q100" s="84"/>
      <c r="R100" s="84"/>
      <c r="S100" s="84"/>
      <c r="T100" s="84"/>
      <c r="U100" s="84"/>
      <c r="V100" s="84"/>
      <c r="W100" s="84"/>
      <c r="X100" s="86"/>
    </row>
    <row r="101" ht="15.0" customHeight="1">
      <c r="A101" s="81"/>
      <c r="B101" s="51"/>
      <c r="C101" s="51"/>
      <c r="D101" s="50"/>
      <c r="E101" s="50"/>
      <c r="F101" s="50"/>
      <c r="G101" s="50"/>
      <c r="H101" s="50"/>
      <c r="I101" s="82"/>
      <c r="J101" s="83"/>
      <c r="K101" s="83"/>
      <c r="L101" s="84"/>
      <c r="M101" s="84"/>
      <c r="N101" s="84"/>
      <c r="O101" s="85"/>
      <c r="P101" s="84"/>
      <c r="Q101" s="84"/>
      <c r="R101" s="84"/>
      <c r="S101" s="84"/>
      <c r="T101" s="84"/>
      <c r="U101" s="84"/>
      <c r="V101" s="84"/>
      <c r="W101" s="84"/>
      <c r="X101" s="86"/>
    </row>
    <row r="102" ht="15.0" customHeight="1">
      <c r="A102" s="81"/>
      <c r="B102" s="51"/>
      <c r="C102" s="51"/>
      <c r="D102" s="50"/>
      <c r="E102" s="50"/>
      <c r="F102" s="50"/>
      <c r="G102" s="50"/>
      <c r="H102" s="50"/>
      <c r="I102" s="82"/>
      <c r="J102" s="83"/>
      <c r="K102" s="83"/>
      <c r="L102" s="84"/>
      <c r="M102" s="84"/>
      <c r="N102" s="84"/>
      <c r="O102" s="85"/>
      <c r="P102" s="84"/>
      <c r="Q102" s="84"/>
      <c r="R102" s="84"/>
      <c r="S102" s="84"/>
      <c r="T102" s="84"/>
      <c r="U102" s="84"/>
      <c r="V102" s="84"/>
      <c r="W102" s="84"/>
      <c r="X102" s="86"/>
    </row>
    <row r="103" ht="15.0" customHeight="1">
      <c r="A103" s="81"/>
      <c r="B103" s="51"/>
      <c r="C103" s="51"/>
      <c r="D103" s="50"/>
      <c r="E103" s="50"/>
      <c r="F103" s="50"/>
      <c r="G103" s="50"/>
      <c r="H103" s="50"/>
      <c r="I103" s="82"/>
      <c r="J103" s="83"/>
      <c r="K103" s="83"/>
      <c r="L103" s="84"/>
      <c r="M103" s="84"/>
      <c r="N103" s="84"/>
      <c r="O103" s="85"/>
      <c r="P103" s="84"/>
      <c r="Q103" s="84"/>
      <c r="R103" s="84"/>
      <c r="S103" s="84"/>
      <c r="T103" s="84"/>
      <c r="U103" s="84"/>
      <c r="V103" s="84"/>
      <c r="W103" s="84"/>
      <c r="X103" s="86"/>
    </row>
    <row r="104" ht="15.0" customHeight="1">
      <c r="A104" s="81"/>
      <c r="B104" s="51"/>
      <c r="C104" s="51"/>
      <c r="D104" s="50"/>
      <c r="E104" s="50"/>
      <c r="F104" s="50"/>
      <c r="G104" s="50"/>
      <c r="H104" s="50"/>
      <c r="I104" s="82"/>
      <c r="J104" s="83"/>
      <c r="K104" s="83"/>
      <c r="L104" s="84"/>
      <c r="M104" s="84"/>
      <c r="N104" s="84"/>
      <c r="O104" s="85"/>
      <c r="P104" s="84"/>
      <c r="Q104" s="84"/>
      <c r="R104" s="84"/>
      <c r="S104" s="84"/>
      <c r="T104" s="84"/>
      <c r="U104" s="84"/>
      <c r="V104" s="84"/>
      <c r="W104" s="84"/>
      <c r="X104" s="86"/>
    </row>
    <row r="105" ht="15.0" customHeight="1">
      <c r="A105" s="81"/>
      <c r="B105" s="51"/>
      <c r="C105" s="51"/>
      <c r="D105" s="50"/>
      <c r="E105" s="50"/>
      <c r="F105" s="50"/>
      <c r="G105" s="50"/>
      <c r="H105" s="50"/>
      <c r="I105" s="82"/>
      <c r="J105" s="83"/>
      <c r="K105" s="83"/>
      <c r="L105" s="84"/>
      <c r="M105" s="84"/>
      <c r="N105" s="84"/>
      <c r="O105" s="85"/>
      <c r="P105" s="84"/>
      <c r="Q105" s="84"/>
      <c r="R105" s="84"/>
      <c r="S105" s="84"/>
      <c r="T105" s="84"/>
      <c r="U105" s="84"/>
      <c r="V105" s="84"/>
      <c r="W105" s="84"/>
      <c r="X105" s="86"/>
    </row>
    <row r="106" ht="15.0" customHeight="1">
      <c r="A106" s="81"/>
      <c r="B106" s="51"/>
      <c r="C106" s="51"/>
      <c r="D106" s="50"/>
      <c r="E106" s="50"/>
      <c r="F106" s="50"/>
      <c r="G106" s="50"/>
      <c r="H106" s="50"/>
      <c r="I106" s="82"/>
      <c r="J106" s="83"/>
      <c r="K106" s="83"/>
      <c r="L106" s="84"/>
      <c r="M106" s="84"/>
      <c r="N106" s="84"/>
      <c r="O106" s="85"/>
      <c r="P106" s="84"/>
      <c r="Q106" s="84"/>
      <c r="R106" s="84"/>
      <c r="S106" s="84"/>
      <c r="T106" s="84"/>
      <c r="U106" s="84"/>
      <c r="V106" s="84"/>
      <c r="W106" s="84"/>
      <c r="X106" s="86"/>
    </row>
    <row r="107" ht="15.0" customHeight="1">
      <c r="A107" s="81"/>
      <c r="B107" s="51"/>
      <c r="C107" s="51"/>
      <c r="D107" s="50"/>
      <c r="E107" s="50"/>
      <c r="F107" s="50"/>
      <c r="G107" s="50"/>
      <c r="H107" s="50"/>
      <c r="I107" s="82"/>
      <c r="J107" s="83"/>
      <c r="K107" s="83"/>
      <c r="L107" s="84"/>
      <c r="M107" s="84"/>
      <c r="N107" s="84"/>
      <c r="O107" s="85"/>
      <c r="P107" s="84"/>
      <c r="Q107" s="84"/>
      <c r="R107" s="84"/>
      <c r="S107" s="84"/>
      <c r="T107" s="84"/>
      <c r="U107" s="84"/>
      <c r="V107" s="84"/>
      <c r="W107" s="84"/>
      <c r="X107" s="86"/>
    </row>
    <row r="108" ht="15.0" customHeight="1">
      <c r="A108" s="81"/>
      <c r="B108" s="51"/>
      <c r="C108" s="51"/>
      <c r="D108" s="50"/>
      <c r="E108" s="50"/>
      <c r="F108" s="50"/>
      <c r="G108" s="50"/>
      <c r="H108" s="50"/>
      <c r="I108" s="82"/>
      <c r="J108" s="83"/>
      <c r="K108" s="83"/>
      <c r="L108" s="84"/>
      <c r="M108" s="84"/>
      <c r="N108" s="84"/>
      <c r="O108" s="85"/>
      <c r="P108" s="84"/>
      <c r="Q108" s="84"/>
      <c r="R108" s="84"/>
      <c r="S108" s="84"/>
      <c r="T108" s="84"/>
      <c r="U108" s="84"/>
      <c r="V108" s="84"/>
      <c r="W108" s="84"/>
      <c r="X108" s="86"/>
    </row>
    <row r="109" ht="15.0" customHeight="1">
      <c r="A109" s="81"/>
      <c r="B109" s="51"/>
      <c r="C109" s="51"/>
      <c r="D109" s="50"/>
      <c r="E109" s="50"/>
      <c r="F109" s="50"/>
      <c r="G109" s="50"/>
      <c r="H109" s="50"/>
      <c r="I109" s="82"/>
      <c r="J109" s="83"/>
      <c r="K109" s="83"/>
      <c r="L109" s="84"/>
      <c r="M109" s="84"/>
      <c r="N109" s="84"/>
      <c r="O109" s="85"/>
      <c r="P109" s="84"/>
      <c r="Q109" s="84"/>
      <c r="R109" s="84"/>
      <c r="S109" s="84"/>
      <c r="T109" s="84"/>
      <c r="U109" s="84"/>
      <c r="V109" s="84"/>
      <c r="W109" s="84"/>
      <c r="X109" s="86"/>
    </row>
    <row r="110" ht="15.0" customHeight="1">
      <c r="A110" s="81"/>
      <c r="B110" s="51"/>
      <c r="C110" s="51"/>
      <c r="D110" s="50"/>
      <c r="E110" s="50"/>
      <c r="F110" s="50"/>
      <c r="G110" s="50"/>
      <c r="H110" s="50"/>
      <c r="I110" s="82"/>
      <c r="J110" s="83"/>
      <c r="K110" s="83"/>
      <c r="L110" s="84"/>
      <c r="M110" s="84"/>
      <c r="N110" s="84"/>
      <c r="O110" s="85"/>
      <c r="P110" s="84"/>
      <c r="Q110" s="84"/>
      <c r="R110" s="84"/>
      <c r="S110" s="84"/>
      <c r="T110" s="84"/>
      <c r="U110" s="84"/>
      <c r="V110" s="84"/>
      <c r="W110" s="84"/>
      <c r="X110" s="86"/>
    </row>
    <row r="111" ht="15.0" customHeight="1">
      <c r="A111" s="81"/>
      <c r="B111" s="51"/>
      <c r="C111" s="51"/>
      <c r="D111" s="50"/>
      <c r="E111" s="50"/>
      <c r="F111" s="50"/>
      <c r="G111" s="50"/>
      <c r="H111" s="50"/>
      <c r="I111" s="82"/>
      <c r="J111" s="83"/>
      <c r="K111" s="83"/>
      <c r="L111" s="84"/>
      <c r="M111" s="84"/>
      <c r="N111" s="84"/>
      <c r="O111" s="85"/>
      <c r="P111" s="84"/>
      <c r="Q111" s="84"/>
      <c r="R111" s="84"/>
      <c r="S111" s="84"/>
      <c r="T111" s="84"/>
      <c r="U111" s="84"/>
      <c r="V111" s="84"/>
      <c r="W111" s="84"/>
      <c r="X111" s="86"/>
    </row>
    <row r="112" ht="15.0" customHeight="1">
      <c r="A112" s="81"/>
      <c r="B112" s="51"/>
      <c r="C112" s="51"/>
      <c r="D112" s="50"/>
      <c r="E112" s="50"/>
      <c r="F112" s="50"/>
      <c r="G112" s="50"/>
      <c r="H112" s="50"/>
      <c r="I112" s="82"/>
      <c r="J112" s="83"/>
      <c r="K112" s="83"/>
      <c r="L112" s="84"/>
      <c r="M112" s="84"/>
      <c r="N112" s="84"/>
      <c r="O112" s="85"/>
      <c r="P112" s="84"/>
      <c r="Q112" s="84"/>
      <c r="R112" s="84"/>
      <c r="S112" s="84"/>
      <c r="T112" s="84"/>
      <c r="U112" s="84"/>
      <c r="V112" s="84"/>
      <c r="W112" s="84"/>
      <c r="X112" s="86"/>
    </row>
    <row r="113" ht="15.0" customHeight="1">
      <c r="A113" s="81"/>
      <c r="B113" s="51"/>
      <c r="C113" s="51"/>
      <c r="D113" s="50"/>
      <c r="E113" s="50"/>
      <c r="F113" s="50"/>
      <c r="G113" s="50"/>
      <c r="H113" s="50"/>
      <c r="I113" s="82"/>
      <c r="J113" s="83"/>
      <c r="K113" s="83"/>
      <c r="L113" s="84"/>
      <c r="M113" s="84"/>
      <c r="N113" s="84"/>
      <c r="O113" s="85"/>
      <c r="P113" s="84"/>
      <c r="Q113" s="84"/>
      <c r="R113" s="84"/>
      <c r="S113" s="84"/>
      <c r="T113" s="84"/>
      <c r="U113" s="84"/>
      <c r="V113" s="84"/>
      <c r="W113" s="84"/>
      <c r="X113" s="86"/>
    </row>
    <row r="114" ht="15.0" customHeight="1">
      <c r="A114" s="81"/>
      <c r="B114" s="51"/>
      <c r="C114" s="51"/>
      <c r="D114" s="50"/>
      <c r="E114" s="50"/>
      <c r="F114" s="50"/>
      <c r="G114" s="50"/>
      <c r="H114" s="50"/>
      <c r="I114" s="82"/>
      <c r="J114" s="83"/>
      <c r="K114" s="83"/>
      <c r="L114" s="84"/>
      <c r="M114" s="84"/>
      <c r="N114" s="84"/>
      <c r="O114" s="85"/>
      <c r="P114" s="84"/>
      <c r="Q114" s="84"/>
      <c r="R114" s="84"/>
      <c r="S114" s="84"/>
      <c r="T114" s="84"/>
      <c r="U114" s="84"/>
      <c r="V114" s="84"/>
      <c r="W114" s="84"/>
      <c r="X114" s="86"/>
    </row>
    <row r="115" ht="15.0" customHeight="1">
      <c r="A115" s="81"/>
      <c r="B115" s="51"/>
      <c r="C115" s="51"/>
      <c r="D115" s="50"/>
      <c r="E115" s="50"/>
      <c r="F115" s="50"/>
      <c r="G115" s="50"/>
      <c r="H115" s="50"/>
      <c r="I115" s="82"/>
      <c r="J115" s="83"/>
      <c r="K115" s="83"/>
      <c r="L115" s="84"/>
      <c r="M115" s="84"/>
      <c r="N115" s="84"/>
      <c r="O115" s="85"/>
      <c r="P115" s="84"/>
      <c r="Q115" s="84"/>
      <c r="R115" s="84"/>
      <c r="S115" s="84"/>
      <c r="T115" s="84"/>
      <c r="U115" s="84"/>
      <c r="V115" s="84"/>
      <c r="W115" s="84"/>
      <c r="X115" s="86"/>
    </row>
    <row r="116" ht="15.0" customHeight="1">
      <c r="A116" s="81"/>
      <c r="B116" s="51"/>
      <c r="C116" s="51"/>
      <c r="D116" s="50"/>
      <c r="E116" s="50"/>
      <c r="F116" s="50"/>
      <c r="G116" s="50"/>
      <c r="H116" s="50"/>
      <c r="I116" s="82"/>
      <c r="J116" s="83"/>
      <c r="K116" s="83"/>
      <c r="L116" s="84"/>
      <c r="M116" s="84"/>
      <c r="N116" s="84"/>
      <c r="O116" s="85"/>
      <c r="P116" s="84"/>
      <c r="Q116" s="84"/>
      <c r="R116" s="84"/>
      <c r="S116" s="84"/>
      <c r="T116" s="84"/>
      <c r="U116" s="84"/>
      <c r="V116" s="84"/>
      <c r="W116" s="84"/>
      <c r="X116" s="86"/>
    </row>
    <row r="117" ht="15.0" customHeight="1">
      <c r="A117" s="81"/>
      <c r="B117" s="51"/>
      <c r="C117" s="51"/>
      <c r="D117" s="50"/>
      <c r="E117" s="50"/>
      <c r="F117" s="50"/>
      <c r="G117" s="50"/>
      <c r="H117" s="50"/>
      <c r="I117" s="82"/>
      <c r="J117" s="83"/>
      <c r="K117" s="83"/>
      <c r="L117" s="84"/>
      <c r="M117" s="84"/>
      <c r="N117" s="84"/>
      <c r="O117" s="85"/>
      <c r="P117" s="84"/>
      <c r="Q117" s="84"/>
      <c r="R117" s="84"/>
      <c r="S117" s="84"/>
      <c r="T117" s="84"/>
      <c r="U117" s="84"/>
      <c r="V117" s="84"/>
      <c r="W117" s="84"/>
      <c r="X117" s="86"/>
    </row>
    <row r="118" ht="15.0" customHeight="1">
      <c r="A118" s="81"/>
      <c r="B118" s="51"/>
      <c r="C118" s="51"/>
      <c r="D118" s="50"/>
      <c r="E118" s="50"/>
      <c r="F118" s="50"/>
      <c r="G118" s="50"/>
      <c r="H118" s="50"/>
      <c r="I118" s="82"/>
      <c r="J118" s="83"/>
      <c r="K118" s="83"/>
      <c r="L118" s="84"/>
      <c r="M118" s="84"/>
      <c r="N118" s="84"/>
      <c r="O118" s="85"/>
      <c r="P118" s="84"/>
      <c r="Q118" s="84"/>
      <c r="R118" s="84"/>
      <c r="S118" s="84"/>
      <c r="T118" s="84"/>
      <c r="U118" s="84"/>
      <c r="V118" s="84"/>
      <c r="W118" s="84"/>
      <c r="X118" s="86"/>
    </row>
    <row r="119" ht="15.0" customHeight="1">
      <c r="A119" s="81"/>
      <c r="B119" s="51"/>
      <c r="C119" s="51"/>
      <c r="D119" s="50"/>
      <c r="E119" s="50"/>
      <c r="F119" s="50"/>
      <c r="G119" s="50"/>
      <c r="H119" s="50"/>
      <c r="I119" s="82"/>
      <c r="J119" s="83"/>
      <c r="K119" s="83"/>
      <c r="L119" s="84"/>
      <c r="M119" s="84"/>
      <c r="N119" s="84"/>
      <c r="O119" s="85"/>
      <c r="P119" s="84"/>
      <c r="Q119" s="84"/>
      <c r="R119" s="84"/>
      <c r="S119" s="84"/>
      <c r="T119" s="84"/>
      <c r="U119" s="84"/>
      <c r="V119" s="84"/>
      <c r="W119" s="84"/>
      <c r="X119" s="86"/>
    </row>
    <row r="120" ht="15.0" customHeight="1">
      <c r="A120" s="81"/>
      <c r="B120" s="51"/>
      <c r="C120" s="51"/>
      <c r="D120" s="50"/>
      <c r="E120" s="50"/>
      <c r="F120" s="50"/>
      <c r="G120" s="50"/>
      <c r="H120" s="50"/>
      <c r="I120" s="82"/>
      <c r="J120" s="83"/>
      <c r="K120" s="83"/>
      <c r="L120" s="84"/>
      <c r="M120" s="84"/>
      <c r="N120" s="84"/>
      <c r="O120" s="85"/>
      <c r="P120" s="84"/>
      <c r="Q120" s="84"/>
      <c r="R120" s="84"/>
      <c r="S120" s="84"/>
      <c r="T120" s="84"/>
      <c r="U120" s="84"/>
      <c r="V120" s="84"/>
      <c r="W120" s="84"/>
      <c r="X120" s="86"/>
    </row>
    <row r="121" ht="15.0" customHeight="1">
      <c r="A121" s="81"/>
      <c r="B121" s="51"/>
      <c r="C121" s="51"/>
      <c r="D121" s="50"/>
      <c r="E121" s="50"/>
      <c r="F121" s="50"/>
      <c r="G121" s="50"/>
      <c r="H121" s="50"/>
      <c r="I121" s="82"/>
      <c r="J121" s="83"/>
      <c r="K121" s="83"/>
      <c r="L121" s="84"/>
      <c r="M121" s="84"/>
      <c r="N121" s="84"/>
      <c r="O121" s="85"/>
      <c r="P121" s="84"/>
      <c r="Q121" s="84"/>
      <c r="R121" s="84"/>
      <c r="S121" s="84"/>
      <c r="T121" s="84"/>
      <c r="U121" s="84"/>
      <c r="V121" s="84"/>
      <c r="W121" s="84"/>
      <c r="X121" s="86"/>
    </row>
    <row r="122" ht="15.0" customHeight="1">
      <c r="A122" s="81"/>
      <c r="B122" s="51"/>
      <c r="C122" s="51"/>
      <c r="D122" s="50"/>
      <c r="E122" s="50"/>
      <c r="F122" s="50"/>
      <c r="G122" s="50"/>
      <c r="H122" s="50"/>
      <c r="I122" s="82"/>
      <c r="J122" s="83"/>
      <c r="K122" s="83"/>
      <c r="L122" s="84"/>
      <c r="M122" s="84"/>
      <c r="N122" s="84"/>
      <c r="O122" s="85"/>
      <c r="P122" s="84"/>
      <c r="Q122" s="84"/>
      <c r="R122" s="84"/>
      <c r="S122" s="84"/>
      <c r="T122" s="84"/>
      <c r="U122" s="84"/>
      <c r="V122" s="84"/>
      <c r="W122" s="84"/>
      <c r="X122" s="86"/>
    </row>
    <row r="123" ht="15.0" customHeight="1">
      <c r="A123" s="81"/>
      <c r="B123" s="51"/>
      <c r="C123" s="51"/>
      <c r="D123" s="50"/>
      <c r="E123" s="50"/>
      <c r="F123" s="50"/>
      <c r="G123" s="50"/>
      <c r="H123" s="50"/>
      <c r="I123" s="82"/>
      <c r="J123" s="83"/>
      <c r="K123" s="83"/>
      <c r="L123" s="84"/>
      <c r="M123" s="84"/>
      <c r="N123" s="84"/>
      <c r="O123" s="85"/>
      <c r="P123" s="84"/>
      <c r="Q123" s="84"/>
      <c r="R123" s="84"/>
      <c r="S123" s="84"/>
      <c r="T123" s="84"/>
      <c r="U123" s="84"/>
      <c r="V123" s="84"/>
      <c r="W123" s="84"/>
      <c r="X123" s="86"/>
    </row>
    <row r="124" ht="15.0" customHeight="1">
      <c r="A124" s="81"/>
      <c r="B124" s="51"/>
      <c r="C124" s="51"/>
      <c r="D124" s="50"/>
      <c r="E124" s="50"/>
      <c r="F124" s="50"/>
      <c r="G124" s="50"/>
      <c r="H124" s="50"/>
      <c r="I124" s="82"/>
      <c r="J124" s="83"/>
      <c r="K124" s="83"/>
      <c r="L124" s="84"/>
      <c r="M124" s="84"/>
      <c r="N124" s="84"/>
      <c r="O124" s="85"/>
      <c r="P124" s="84"/>
      <c r="Q124" s="84"/>
      <c r="R124" s="84"/>
      <c r="S124" s="84"/>
      <c r="T124" s="84"/>
      <c r="U124" s="84"/>
      <c r="V124" s="84"/>
      <c r="W124" s="84"/>
      <c r="X124" s="86"/>
    </row>
    <row r="125" ht="15.0" customHeight="1">
      <c r="A125" s="81"/>
      <c r="B125" s="51"/>
      <c r="C125" s="51"/>
      <c r="D125" s="50"/>
      <c r="E125" s="50"/>
      <c r="F125" s="50"/>
      <c r="G125" s="50"/>
      <c r="H125" s="50"/>
      <c r="I125" s="82"/>
      <c r="J125" s="83"/>
      <c r="K125" s="83"/>
      <c r="L125" s="84"/>
      <c r="M125" s="84"/>
      <c r="N125" s="84"/>
      <c r="O125" s="85"/>
      <c r="P125" s="84"/>
      <c r="Q125" s="84"/>
      <c r="R125" s="84"/>
      <c r="S125" s="84"/>
      <c r="T125" s="84"/>
      <c r="U125" s="84"/>
      <c r="V125" s="84"/>
      <c r="W125" s="84"/>
      <c r="X125" s="86"/>
    </row>
    <row r="126" ht="15.0" customHeight="1">
      <c r="A126" s="81"/>
      <c r="B126" s="51"/>
      <c r="C126" s="51"/>
      <c r="D126" s="50"/>
      <c r="E126" s="50"/>
      <c r="F126" s="50"/>
      <c r="G126" s="50"/>
      <c r="H126" s="50"/>
      <c r="I126" s="82"/>
      <c r="J126" s="83"/>
      <c r="K126" s="83"/>
      <c r="L126" s="84"/>
      <c r="M126" s="84"/>
      <c r="N126" s="84"/>
      <c r="O126" s="85"/>
      <c r="P126" s="84"/>
      <c r="Q126" s="84"/>
      <c r="R126" s="84"/>
      <c r="S126" s="84"/>
      <c r="T126" s="84"/>
      <c r="U126" s="84"/>
      <c r="V126" s="84"/>
      <c r="W126" s="84"/>
      <c r="X126" s="86"/>
    </row>
    <row r="127" ht="15.0" customHeight="1">
      <c r="A127" s="81"/>
      <c r="B127" s="51"/>
      <c r="C127" s="51"/>
      <c r="D127" s="50"/>
      <c r="E127" s="50"/>
      <c r="F127" s="50"/>
      <c r="G127" s="50"/>
      <c r="H127" s="50"/>
      <c r="I127" s="82"/>
      <c r="J127" s="83"/>
      <c r="K127" s="83"/>
      <c r="L127" s="84"/>
      <c r="M127" s="84"/>
      <c r="N127" s="84"/>
      <c r="O127" s="85"/>
      <c r="P127" s="84"/>
      <c r="Q127" s="84"/>
      <c r="R127" s="84"/>
      <c r="S127" s="84"/>
      <c r="T127" s="84"/>
      <c r="U127" s="84"/>
      <c r="V127" s="84"/>
      <c r="W127" s="84"/>
      <c r="X127" s="86"/>
    </row>
    <row r="128" ht="15.0" customHeight="1">
      <c r="A128" s="81"/>
      <c r="B128" s="51"/>
      <c r="C128" s="51"/>
      <c r="D128" s="50"/>
      <c r="E128" s="50"/>
      <c r="F128" s="50"/>
      <c r="G128" s="50"/>
      <c r="H128" s="50"/>
      <c r="I128" s="82"/>
      <c r="J128" s="83"/>
      <c r="K128" s="83"/>
      <c r="L128" s="84"/>
      <c r="M128" s="84"/>
      <c r="N128" s="84"/>
      <c r="O128" s="85"/>
      <c r="P128" s="84"/>
      <c r="Q128" s="84"/>
      <c r="R128" s="84"/>
      <c r="S128" s="84"/>
      <c r="T128" s="84"/>
      <c r="U128" s="84"/>
      <c r="V128" s="84"/>
      <c r="W128" s="84"/>
      <c r="X128" s="86"/>
    </row>
    <row r="129" ht="15.0" customHeight="1">
      <c r="A129" s="81"/>
      <c r="B129" s="51"/>
      <c r="C129" s="51"/>
      <c r="D129" s="50"/>
      <c r="E129" s="50"/>
      <c r="F129" s="50"/>
      <c r="G129" s="50"/>
      <c r="H129" s="50"/>
      <c r="I129" s="82"/>
      <c r="J129" s="83"/>
      <c r="K129" s="83"/>
      <c r="L129" s="84"/>
      <c r="M129" s="84"/>
      <c r="N129" s="84"/>
      <c r="O129" s="85"/>
      <c r="P129" s="84"/>
      <c r="Q129" s="84"/>
      <c r="R129" s="84"/>
      <c r="S129" s="84"/>
      <c r="T129" s="84"/>
      <c r="U129" s="84"/>
      <c r="V129" s="84"/>
      <c r="W129" s="84"/>
      <c r="X129" s="86"/>
    </row>
    <row r="130" ht="15.0" customHeight="1">
      <c r="A130" s="81"/>
      <c r="B130" s="51"/>
      <c r="C130" s="51"/>
      <c r="D130" s="50"/>
      <c r="E130" s="50"/>
      <c r="F130" s="50"/>
      <c r="G130" s="50"/>
      <c r="H130" s="50"/>
      <c r="I130" s="82"/>
      <c r="J130" s="83"/>
      <c r="K130" s="83"/>
      <c r="L130" s="84"/>
      <c r="M130" s="84"/>
      <c r="N130" s="84"/>
      <c r="O130" s="85"/>
      <c r="P130" s="84"/>
      <c r="Q130" s="84"/>
      <c r="R130" s="84"/>
      <c r="S130" s="84"/>
      <c r="T130" s="84"/>
      <c r="U130" s="84"/>
      <c r="V130" s="84"/>
      <c r="W130" s="84"/>
      <c r="X130" s="86"/>
    </row>
    <row r="131" ht="15.0" customHeight="1">
      <c r="A131" s="81"/>
      <c r="B131" s="51"/>
      <c r="C131" s="51"/>
      <c r="D131" s="50"/>
      <c r="E131" s="50"/>
      <c r="F131" s="50"/>
      <c r="G131" s="50"/>
      <c r="H131" s="50"/>
      <c r="I131" s="82"/>
      <c r="J131" s="83"/>
      <c r="K131" s="83"/>
      <c r="L131" s="84"/>
      <c r="M131" s="84"/>
      <c r="N131" s="84"/>
      <c r="O131" s="85"/>
      <c r="P131" s="84"/>
      <c r="Q131" s="84"/>
      <c r="R131" s="84"/>
      <c r="S131" s="84"/>
      <c r="T131" s="84"/>
      <c r="U131" s="84"/>
      <c r="V131" s="84"/>
      <c r="W131" s="84"/>
      <c r="X131" s="86"/>
    </row>
    <row r="132" ht="15.0" customHeight="1">
      <c r="A132" s="81"/>
      <c r="B132" s="51"/>
      <c r="C132" s="51"/>
      <c r="D132" s="50"/>
      <c r="E132" s="50"/>
      <c r="F132" s="50"/>
      <c r="G132" s="50"/>
      <c r="H132" s="50"/>
      <c r="I132" s="82"/>
      <c r="J132" s="83"/>
      <c r="K132" s="83"/>
      <c r="L132" s="84"/>
      <c r="M132" s="84"/>
      <c r="N132" s="84"/>
      <c r="O132" s="85"/>
      <c r="P132" s="84"/>
      <c r="Q132" s="84"/>
      <c r="R132" s="84"/>
      <c r="S132" s="84"/>
      <c r="T132" s="84"/>
      <c r="U132" s="84"/>
      <c r="V132" s="84"/>
      <c r="W132" s="84"/>
      <c r="X132" s="86"/>
    </row>
    <row r="133" ht="15.0" customHeight="1">
      <c r="A133" s="81"/>
      <c r="B133" s="51"/>
      <c r="C133" s="51"/>
      <c r="D133" s="50"/>
      <c r="E133" s="50"/>
      <c r="F133" s="50"/>
      <c r="G133" s="50"/>
      <c r="H133" s="50"/>
      <c r="I133" s="82"/>
      <c r="J133" s="83"/>
      <c r="K133" s="83"/>
      <c r="L133" s="84"/>
      <c r="M133" s="84"/>
      <c r="N133" s="84"/>
      <c r="O133" s="85"/>
      <c r="P133" s="84"/>
      <c r="Q133" s="84"/>
      <c r="R133" s="84"/>
      <c r="S133" s="84"/>
      <c r="T133" s="84"/>
      <c r="U133" s="84"/>
      <c r="V133" s="84"/>
      <c r="W133" s="84"/>
      <c r="X133" s="86"/>
    </row>
    <row r="134" ht="15.0" customHeight="1">
      <c r="A134" s="81"/>
      <c r="B134" s="51"/>
      <c r="C134" s="51"/>
      <c r="D134" s="50"/>
      <c r="E134" s="50"/>
      <c r="F134" s="50"/>
      <c r="G134" s="50"/>
      <c r="H134" s="50"/>
      <c r="I134" s="82"/>
      <c r="J134" s="83"/>
      <c r="K134" s="83"/>
      <c r="L134" s="84"/>
      <c r="M134" s="84"/>
      <c r="N134" s="84"/>
      <c r="O134" s="85"/>
      <c r="P134" s="84"/>
      <c r="Q134" s="84"/>
      <c r="R134" s="84"/>
      <c r="S134" s="84"/>
      <c r="T134" s="84"/>
      <c r="U134" s="84"/>
      <c r="V134" s="84"/>
      <c r="W134" s="84"/>
      <c r="X134" s="86"/>
    </row>
    <row r="135" ht="15.0" customHeight="1">
      <c r="A135" s="81"/>
      <c r="B135" s="51"/>
      <c r="C135" s="51"/>
      <c r="D135" s="50"/>
      <c r="E135" s="50"/>
      <c r="F135" s="50"/>
      <c r="G135" s="50"/>
      <c r="H135" s="50"/>
      <c r="I135" s="82"/>
      <c r="J135" s="83"/>
      <c r="K135" s="83"/>
      <c r="L135" s="84"/>
      <c r="M135" s="84"/>
      <c r="N135" s="84"/>
      <c r="O135" s="85"/>
      <c r="P135" s="84"/>
      <c r="Q135" s="84"/>
      <c r="R135" s="84"/>
      <c r="S135" s="84"/>
      <c r="T135" s="84"/>
      <c r="U135" s="84"/>
      <c r="V135" s="84"/>
      <c r="W135" s="84"/>
      <c r="X135" s="86"/>
    </row>
    <row r="136" ht="15.0" customHeight="1">
      <c r="A136" s="81"/>
      <c r="B136" s="51"/>
      <c r="C136" s="51"/>
      <c r="D136" s="50"/>
      <c r="E136" s="50"/>
      <c r="F136" s="50"/>
      <c r="G136" s="50"/>
      <c r="H136" s="50"/>
      <c r="I136" s="82"/>
      <c r="J136" s="83"/>
      <c r="K136" s="83"/>
      <c r="L136" s="84"/>
      <c r="M136" s="84"/>
      <c r="N136" s="84"/>
      <c r="O136" s="85"/>
      <c r="P136" s="84"/>
      <c r="Q136" s="84"/>
      <c r="R136" s="84"/>
      <c r="S136" s="84"/>
      <c r="T136" s="84"/>
      <c r="U136" s="84"/>
      <c r="V136" s="84"/>
      <c r="W136" s="84"/>
      <c r="X136" s="86"/>
    </row>
    <row r="137" ht="15.0" customHeight="1">
      <c r="A137" s="81"/>
      <c r="B137" s="51"/>
      <c r="C137" s="51"/>
      <c r="D137" s="50"/>
      <c r="E137" s="50"/>
      <c r="F137" s="50"/>
      <c r="G137" s="50"/>
      <c r="H137" s="50"/>
      <c r="I137" s="82"/>
      <c r="J137" s="83"/>
      <c r="K137" s="83"/>
      <c r="L137" s="84"/>
      <c r="M137" s="84"/>
      <c r="N137" s="84"/>
      <c r="O137" s="85"/>
      <c r="P137" s="84"/>
      <c r="Q137" s="84"/>
      <c r="R137" s="84"/>
      <c r="S137" s="84"/>
      <c r="T137" s="84"/>
      <c r="U137" s="84"/>
      <c r="V137" s="84"/>
      <c r="W137" s="84"/>
      <c r="X137" s="86"/>
    </row>
    <row r="138" ht="15.0" customHeight="1">
      <c r="A138" s="81"/>
      <c r="B138" s="51"/>
      <c r="C138" s="51"/>
      <c r="D138" s="50"/>
      <c r="E138" s="50"/>
      <c r="F138" s="50"/>
      <c r="G138" s="50"/>
      <c r="H138" s="50"/>
      <c r="I138" s="82"/>
      <c r="J138" s="83"/>
      <c r="K138" s="83"/>
      <c r="L138" s="84"/>
      <c r="M138" s="84"/>
      <c r="N138" s="84"/>
      <c r="O138" s="85"/>
      <c r="P138" s="84"/>
      <c r="Q138" s="84"/>
      <c r="R138" s="84"/>
      <c r="S138" s="84"/>
      <c r="T138" s="84"/>
      <c r="U138" s="84"/>
      <c r="V138" s="84"/>
      <c r="W138" s="84"/>
      <c r="X138" s="86"/>
    </row>
    <row r="139" ht="15.0" customHeight="1">
      <c r="A139" s="81"/>
      <c r="B139" s="51"/>
      <c r="C139" s="51"/>
      <c r="D139" s="50"/>
      <c r="E139" s="50"/>
      <c r="F139" s="50"/>
      <c r="G139" s="50"/>
      <c r="H139" s="50"/>
      <c r="I139" s="82"/>
      <c r="J139" s="83"/>
      <c r="K139" s="83"/>
      <c r="L139" s="84"/>
      <c r="M139" s="84"/>
      <c r="N139" s="84"/>
      <c r="O139" s="85"/>
      <c r="P139" s="84"/>
      <c r="Q139" s="84"/>
      <c r="R139" s="84"/>
      <c r="S139" s="84"/>
      <c r="T139" s="84"/>
      <c r="U139" s="84"/>
      <c r="V139" s="84"/>
      <c r="W139" s="84"/>
      <c r="X139" s="86"/>
    </row>
    <row r="140" ht="15.0" customHeight="1">
      <c r="A140" s="81"/>
      <c r="B140" s="51"/>
      <c r="C140" s="51"/>
      <c r="D140" s="50"/>
      <c r="E140" s="50"/>
      <c r="F140" s="50"/>
      <c r="G140" s="50"/>
      <c r="H140" s="50"/>
      <c r="I140" s="82"/>
      <c r="J140" s="83"/>
      <c r="K140" s="83"/>
      <c r="L140" s="84"/>
      <c r="M140" s="84"/>
      <c r="N140" s="84"/>
      <c r="O140" s="85"/>
      <c r="P140" s="84"/>
      <c r="Q140" s="84"/>
      <c r="R140" s="84"/>
      <c r="S140" s="84"/>
      <c r="T140" s="84"/>
      <c r="U140" s="84"/>
      <c r="V140" s="84"/>
      <c r="W140" s="84"/>
      <c r="X140" s="86"/>
    </row>
    <row r="141" ht="15.0" customHeight="1">
      <c r="A141" s="81"/>
      <c r="B141" s="51"/>
      <c r="C141" s="51"/>
      <c r="D141" s="50"/>
      <c r="E141" s="50"/>
      <c r="F141" s="50"/>
      <c r="G141" s="50"/>
      <c r="H141" s="50"/>
      <c r="I141" s="82"/>
      <c r="J141" s="83"/>
      <c r="K141" s="83"/>
      <c r="L141" s="84"/>
      <c r="M141" s="84"/>
      <c r="N141" s="84"/>
      <c r="O141" s="85"/>
      <c r="P141" s="84"/>
      <c r="Q141" s="84"/>
      <c r="R141" s="84"/>
      <c r="S141" s="84"/>
      <c r="T141" s="84"/>
      <c r="U141" s="84"/>
      <c r="V141" s="84"/>
      <c r="W141" s="84"/>
      <c r="X141" s="86"/>
    </row>
    <row r="142" ht="15.0" customHeight="1">
      <c r="A142" s="81"/>
      <c r="B142" s="51"/>
      <c r="C142" s="51"/>
      <c r="D142" s="50"/>
      <c r="E142" s="50"/>
      <c r="F142" s="50"/>
      <c r="G142" s="50"/>
      <c r="H142" s="50"/>
      <c r="I142" s="82"/>
      <c r="J142" s="83"/>
      <c r="K142" s="83"/>
      <c r="L142" s="84"/>
      <c r="M142" s="84"/>
      <c r="N142" s="84"/>
      <c r="O142" s="85"/>
      <c r="P142" s="84"/>
      <c r="Q142" s="84"/>
      <c r="R142" s="84"/>
      <c r="S142" s="84"/>
      <c r="T142" s="84"/>
      <c r="U142" s="84"/>
      <c r="V142" s="84"/>
      <c r="W142" s="84"/>
      <c r="X142" s="86"/>
    </row>
    <row r="143" ht="15.0" customHeight="1">
      <c r="A143" s="81"/>
      <c r="B143" s="51"/>
      <c r="C143" s="51"/>
      <c r="D143" s="50"/>
      <c r="E143" s="50"/>
      <c r="F143" s="50"/>
      <c r="G143" s="50"/>
      <c r="H143" s="50"/>
      <c r="I143" s="82"/>
      <c r="J143" s="83"/>
      <c r="K143" s="83"/>
      <c r="L143" s="84"/>
      <c r="M143" s="84"/>
      <c r="N143" s="84"/>
      <c r="O143" s="85"/>
      <c r="P143" s="84"/>
      <c r="Q143" s="84"/>
      <c r="R143" s="84"/>
      <c r="S143" s="84"/>
      <c r="T143" s="84"/>
      <c r="U143" s="84"/>
      <c r="V143" s="84"/>
      <c r="W143" s="84"/>
      <c r="X143" s="86"/>
    </row>
    <row r="144" ht="15.0" customHeight="1">
      <c r="A144" s="81"/>
      <c r="B144" s="51"/>
      <c r="C144" s="51"/>
      <c r="D144" s="50"/>
      <c r="E144" s="50"/>
      <c r="F144" s="50"/>
      <c r="G144" s="50"/>
      <c r="H144" s="50"/>
      <c r="I144" s="82"/>
      <c r="J144" s="83"/>
      <c r="K144" s="83"/>
      <c r="L144" s="84"/>
      <c r="M144" s="84"/>
      <c r="N144" s="84"/>
      <c r="O144" s="85"/>
      <c r="P144" s="84"/>
      <c r="Q144" s="84"/>
      <c r="R144" s="84"/>
      <c r="S144" s="84"/>
      <c r="T144" s="84"/>
      <c r="U144" s="84"/>
      <c r="V144" s="84"/>
      <c r="W144" s="84"/>
      <c r="X144" s="86"/>
    </row>
    <row r="145" ht="15.0" customHeight="1">
      <c r="A145" s="81"/>
      <c r="B145" s="51"/>
      <c r="C145" s="51"/>
      <c r="D145" s="50"/>
      <c r="E145" s="50"/>
      <c r="F145" s="50"/>
      <c r="G145" s="50"/>
      <c r="H145" s="50"/>
      <c r="I145" s="82"/>
      <c r="J145" s="83"/>
      <c r="K145" s="83"/>
      <c r="L145" s="84"/>
      <c r="M145" s="84"/>
      <c r="N145" s="84"/>
      <c r="O145" s="85"/>
      <c r="P145" s="84"/>
      <c r="Q145" s="84"/>
      <c r="R145" s="84"/>
      <c r="S145" s="84"/>
      <c r="T145" s="84"/>
      <c r="U145" s="84"/>
      <c r="V145" s="84"/>
      <c r="W145" s="84"/>
      <c r="X145" s="86"/>
    </row>
    <row r="146" ht="15.0" customHeight="1">
      <c r="A146" s="81"/>
      <c r="B146" s="51"/>
      <c r="C146" s="51"/>
      <c r="D146" s="50"/>
      <c r="E146" s="50"/>
      <c r="F146" s="50"/>
      <c r="G146" s="50"/>
      <c r="H146" s="50"/>
      <c r="I146" s="82"/>
      <c r="J146" s="83"/>
      <c r="K146" s="83"/>
      <c r="L146" s="84"/>
      <c r="M146" s="84"/>
      <c r="N146" s="84"/>
      <c r="O146" s="85"/>
      <c r="P146" s="84"/>
      <c r="Q146" s="84"/>
      <c r="R146" s="84"/>
      <c r="S146" s="84"/>
      <c r="T146" s="84"/>
      <c r="U146" s="84"/>
      <c r="V146" s="84"/>
      <c r="W146" s="84"/>
      <c r="X146" s="86"/>
    </row>
    <row r="147" ht="15.0" customHeight="1">
      <c r="A147" s="81"/>
      <c r="B147" s="51"/>
      <c r="C147" s="51"/>
      <c r="D147" s="50"/>
      <c r="E147" s="50"/>
      <c r="F147" s="50"/>
      <c r="G147" s="50"/>
      <c r="H147" s="50"/>
      <c r="I147" s="82"/>
      <c r="J147" s="83"/>
      <c r="K147" s="83"/>
      <c r="L147" s="84"/>
      <c r="M147" s="84"/>
      <c r="N147" s="84"/>
      <c r="O147" s="85"/>
      <c r="P147" s="84"/>
      <c r="Q147" s="84"/>
      <c r="R147" s="84"/>
      <c r="S147" s="84"/>
      <c r="T147" s="84"/>
      <c r="U147" s="84"/>
      <c r="V147" s="84"/>
      <c r="W147" s="84"/>
      <c r="X147" s="86"/>
    </row>
    <row r="148" ht="15.0" customHeight="1">
      <c r="A148" s="81"/>
      <c r="B148" s="51"/>
      <c r="C148" s="51"/>
      <c r="D148" s="50"/>
      <c r="E148" s="50"/>
      <c r="F148" s="50"/>
      <c r="G148" s="50"/>
      <c r="H148" s="50"/>
      <c r="I148" s="82"/>
      <c r="J148" s="83"/>
      <c r="K148" s="83"/>
      <c r="L148" s="84"/>
      <c r="M148" s="84"/>
      <c r="N148" s="84"/>
      <c r="O148" s="85"/>
      <c r="P148" s="84"/>
      <c r="Q148" s="84"/>
      <c r="R148" s="84"/>
      <c r="S148" s="84"/>
      <c r="T148" s="84"/>
      <c r="U148" s="84"/>
      <c r="V148" s="84"/>
      <c r="W148" s="84"/>
      <c r="X148" s="86"/>
    </row>
    <row r="149" ht="15.0" customHeight="1">
      <c r="A149" s="81"/>
      <c r="B149" s="51"/>
      <c r="C149" s="51"/>
      <c r="D149" s="50"/>
      <c r="E149" s="50"/>
      <c r="F149" s="50"/>
      <c r="G149" s="50"/>
      <c r="H149" s="50"/>
      <c r="I149" s="82"/>
      <c r="J149" s="83"/>
      <c r="K149" s="83"/>
      <c r="L149" s="84"/>
      <c r="M149" s="84"/>
      <c r="N149" s="84"/>
      <c r="O149" s="85"/>
      <c r="P149" s="84"/>
      <c r="Q149" s="84"/>
      <c r="R149" s="84"/>
      <c r="S149" s="84"/>
      <c r="T149" s="84"/>
      <c r="U149" s="84"/>
      <c r="V149" s="84"/>
      <c r="W149" s="84"/>
      <c r="X149" s="86"/>
    </row>
    <row r="150" ht="15.0" customHeight="1">
      <c r="A150" s="81"/>
      <c r="B150" s="51"/>
      <c r="C150" s="51"/>
      <c r="D150" s="50"/>
      <c r="E150" s="50"/>
      <c r="F150" s="50"/>
      <c r="G150" s="50"/>
      <c r="H150" s="50"/>
      <c r="I150" s="82"/>
      <c r="J150" s="83"/>
      <c r="K150" s="83"/>
      <c r="L150" s="84"/>
      <c r="M150" s="84"/>
      <c r="N150" s="84"/>
      <c r="O150" s="85"/>
      <c r="P150" s="84"/>
      <c r="Q150" s="84"/>
      <c r="R150" s="84"/>
      <c r="S150" s="84"/>
      <c r="T150" s="84"/>
      <c r="U150" s="84"/>
      <c r="V150" s="84"/>
      <c r="W150" s="84"/>
      <c r="X150" s="86"/>
    </row>
    <row r="151" ht="15.0" customHeight="1">
      <c r="A151" s="81"/>
      <c r="B151" s="51"/>
      <c r="C151" s="51"/>
      <c r="D151" s="50"/>
      <c r="E151" s="50"/>
      <c r="F151" s="50"/>
      <c r="G151" s="50"/>
      <c r="H151" s="50"/>
      <c r="I151" s="82"/>
      <c r="J151" s="83"/>
      <c r="K151" s="83"/>
      <c r="L151" s="84"/>
      <c r="M151" s="84"/>
      <c r="N151" s="84"/>
      <c r="O151" s="85"/>
      <c r="P151" s="84"/>
      <c r="Q151" s="84"/>
      <c r="R151" s="84"/>
      <c r="S151" s="84"/>
      <c r="T151" s="84"/>
      <c r="U151" s="84"/>
      <c r="V151" s="84"/>
      <c r="W151" s="84"/>
      <c r="X151" s="86"/>
    </row>
    <row r="152" ht="15.0" customHeight="1">
      <c r="A152" s="81"/>
      <c r="B152" s="51"/>
      <c r="C152" s="51"/>
      <c r="D152" s="50"/>
      <c r="E152" s="50"/>
      <c r="F152" s="50"/>
      <c r="G152" s="50"/>
      <c r="H152" s="50"/>
      <c r="I152" s="82"/>
      <c r="J152" s="83"/>
      <c r="K152" s="83"/>
      <c r="L152" s="84"/>
      <c r="M152" s="84"/>
      <c r="N152" s="84"/>
      <c r="O152" s="85"/>
      <c r="P152" s="84"/>
      <c r="Q152" s="84"/>
      <c r="R152" s="84"/>
      <c r="S152" s="84"/>
      <c r="T152" s="84"/>
      <c r="U152" s="84"/>
      <c r="V152" s="84"/>
      <c r="W152" s="84"/>
      <c r="X152" s="86"/>
    </row>
    <row r="153" ht="15.0" customHeight="1">
      <c r="A153" s="81"/>
      <c r="B153" s="51"/>
      <c r="C153" s="51"/>
      <c r="D153" s="50"/>
      <c r="E153" s="50"/>
      <c r="F153" s="50"/>
      <c r="G153" s="50"/>
      <c r="H153" s="50"/>
      <c r="I153" s="82"/>
      <c r="J153" s="83"/>
      <c r="K153" s="83"/>
      <c r="L153" s="84"/>
      <c r="M153" s="84"/>
      <c r="N153" s="84"/>
      <c r="O153" s="85"/>
      <c r="P153" s="84"/>
      <c r="Q153" s="84"/>
      <c r="R153" s="84"/>
      <c r="S153" s="84"/>
      <c r="T153" s="84"/>
      <c r="U153" s="84"/>
      <c r="V153" s="84"/>
      <c r="W153" s="84"/>
      <c r="X153" s="86"/>
    </row>
    <row r="154" ht="15.0" customHeight="1">
      <c r="A154" s="81"/>
      <c r="B154" s="51"/>
      <c r="C154" s="51"/>
      <c r="D154" s="50"/>
      <c r="E154" s="50"/>
      <c r="F154" s="50"/>
      <c r="G154" s="50"/>
      <c r="H154" s="50"/>
      <c r="I154" s="82"/>
      <c r="J154" s="83"/>
      <c r="K154" s="83"/>
      <c r="L154" s="84"/>
      <c r="M154" s="84"/>
      <c r="N154" s="84"/>
      <c r="O154" s="85"/>
      <c r="P154" s="84"/>
      <c r="Q154" s="84"/>
      <c r="R154" s="84"/>
      <c r="S154" s="84"/>
      <c r="T154" s="84"/>
      <c r="U154" s="84"/>
      <c r="V154" s="84"/>
      <c r="W154" s="84"/>
      <c r="X154" s="86"/>
    </row>
    <row r="155" ht="15.0" customHeight="1">
      <c r="A155" s="81"/>
      <c r="B155" s="51"/>
      <c r="C155" s="51"/>
      <c r="D155" s="50"/>
      <c r="E155" s="50"/>
      <c r="F155" s="50"/>
      <c r="G155" s="50"/>
      <c r="H155" s="50"/>
      <c r="I155" s="82"/>
      <c r="J155" s="83"/>
      <c r="K155" s="83"/>
      <c r="L155" s="84"/>
      <c r="M155" s="84"/>
      <c r="N155" s="84"/>
      <c r="O155" s="85"/>
      <c r="P155" s="84"/>
      <c r="Q155" s="84"/>
      <c r="R155" s="84"/>
      <c r="S155" s="84"/>
      <c r="T155" s="84"/>
      <c r="U155" s="84"/>
      <c r="V155" s="84"/>
      <c r="W155" s="84"/>
      <c r="X155" s="86"/>
    </row>
    <row r="156" ht="15.0" customHeight="1">
      <c r="A156" s="81"/>
      <c r="B156" s="51"/>
      <c r="C156" s="51"/>
      <c r="D156" s="50"/>
      <c r="E156" s="50"/>
      <c r="F156" s="50"/>
      <c r="G156" s="50"/>
      <c r="H156" s="50"/>
      <c r="I156" s="82"/>
      <c r="J156" s="83"/>
      <c r="K156" s="83"/>
      <c r="L156" s="84"/>
      <c r="M156" s="84"/>
      <c r="N156" s="84"/>
      <c r="O156" s="85"/>
      <c r="P156" s="84"/>
      <c r="Q156" s="84"/>
      <c r="R156" s="84"/>
      <c r="S156" s="84"/>
      <c r="T156" s="84"/>
      <c r="U156" s="84"/>
      <c r="V156" s="84"/>
      <c r="W156" s="84"/>
      <c r="X156" s="86"/>
    </row>
    <row r="157" ht="15.0" customHeight="1">
      <c r="A157" s="81"/>
      <c r="B157" s="51"/>
      <c r="C157" s="51"/>
      <c r="D157" s="50"/>
      <c r="E157" s="50"/>
      <c r="F157" s="50"/>
      <c r="G157" s="50"/>
      <c r="H157" s="50"/>
      <c r="I157" s="82"/>
      <c r="J157" s="83"/>
      <c r="K157" s="83"/>
      <c r="L157" s="84"/>
      <c r="M157" s="84"/>
      <c r="N157" s="84"/>
      <c r="O157" s="85"/>
      <c r="P157" s="84"/>
      <c r="Q157" s="84"/>
      <c r="R157" s="84"/>
      <c r="S157" s="84"/>
      <c r="T157" s="84"/>
      <c r="U157" s="84"/>
      <c r="V157" s="84"/>
      <c r="W157" s="84"/>
      <c r="X157" s="86"/>
    </row>
    <row r="158" ht="15.0" customHeight="1">
      <c r="A158" s="81"/>
      <c r="B158" s="51"/>
      <c r="C158" s="51"/>
      <c r="D158" s="50"/>
      <c r="E158" s="50"/>
      <c r="F158" s="50"/>
      <c r="G158" s="50"/>
      <c r="H158" s="50"/>
      <c r="I158" s="82"/>
      <c r="J158" s="83"/>
      <c r="K158" s="83"/>
      <c r="L158" s="84"/>
      <c r="M158" s="84"/>
      <c r="N158" s="84"/>
      <c r="O158" s="85"/>
      <c r="P158" s="84"/>
      <c r="Q158" s="84"/>
      <c r="R158" s="84"/>
      <c r="S158" s="84"/>
      <c r="T158" s="84"/>
      <c r="U158" s="84"/>
      <c r="V158" s="84"/>
      <c r="W158" s="84"/>
      <c r="X158" s="86"/>
    </row>
    <row r="159" ht="15.0" customHeight="1">
      <c r="A159" s="81"/>
      <c r="B159" s="51"/>
      <c r="C159" s="51"/>
      <c r="D159" s="50"/>
      <c r="E159" s="50"/>
      <c r="F159" s="50"/>
      <c r="G159" s="50"/>
      <c r="H159" s="50"/>
      <c r="I159" s="82"/>
      <c r="J159" s="83"/>
      <c r="K159" s="83"/>
      <c r="L159" s="84"/>
      <c r="M159" s="84"/>
      <c r="N159" s="84"/>
      <c r="O159" s="85"/>
      <c r="P159" s="84"/>
      <c r="Q159" s="84"/>
      <c r="R159" s="84"/>
      <c r="S159" s="84"/>
      <c r="T159" s="84"/>
      <c r="U159" s="84"/>
      <c r="V159" s="84"/>
      <c r="W159" s="84"/>
      <c r="X159" s="86"/>
    </row>
    <row r="160" ht="15.0" customHeight="1">
      <c r="A160" s="81"/>
      <c r="B160" s="51"/>
      <c r="C160" s="51"/>
      <c r="D160" s="50"/>
      <c r="E160" s="50"/>
      <c r="F160" s="50"/>
      <c r="G160" s="50"/>
      <c r="H160" s="50"/>
      <c r="I160" s="82"/>
      <c r="J160" s="83"/>
      <c r="K160" s="83"/>
      <c r="L160" s="84"/>
      <c r="M160" s="84"/>
      <c r="N160" s="84"/>
      <c r="O160" s="85"/>
      <c r="P160" s="84"/>
      <c r="Q160" s="84"/>
      <c r="R160" s="84"/>
      <c r="S160" s="84"/>
      <c r="T160" s="84"/>
      <c r="U160" s="84"/>
      <c r="V160" s="84"/>
      <c r="W160" s="84"/>
      <c r="X160" s="86"/>
    </row>
    <row r="161" ht="15.0" customHeight="1">
      <c r="A161" s="81"/>
      <c r="B161" s="51"/>
      <c r="C161" s="51"/>
      <c r="D161" s="50"/>
      <c r="E161" s="50"/>
      <c r="F161" s="50"/>
      <c r="G161" s="50"/>
      <c r="H161" s="50"/>
      <c r="I161" s="82"/>
      <c r="J161" s="83"/>
      <c r="K161" s="83"/>
      <c r="L161" s="84"/>
      <c r="M161" s="84"/>
      <c r="N161" s="84"/>
      <c r="O161" s="85"/>
      <c r="P161" s="84"/>
      <c r="Q161" s="84"/>
      <c r="R161" s="84"/>
      <c r="S161" s="84"/>
      <c r="T161" s="84"/>
      <c r="U161" s="84"/>
      <c r="V161" s="84"/>
      <c r="W161" s="84"/>
      <c r="X161" s="86"/>
    </row>
    <row r="162" ht="15.0" customHeight="1">
      <c r="A162" s="81"/>
      <c r="B162" s="51"/>
      <c r="C162" s="51"/>
      <c r="D162" s="50"/>
      <c r="E162" s="50"/>
      <c r="F162" s="50"/>
      <c r="G162" s="50"/>
      <c r="H162" s="50"/>
      <c r="I162" s="82"/>
      <c r="J162" s="83"/>
      <c r="K162" s="83"/>
      <c r="L162" s="84"/>
      <c r="M162" s="84"/>
      <c r="N162" s="84"/>
      <c r="O162" s="85"/>
      <c r="P162" s="84"/>
      <c r="Q162" s="84"/>
      <c r="R162" s="84"/>
      <c r="S162" s="84"/>
      <c r="T162" s="84"/>
      <c r="U162" s="84"/>
      <c r="V162" s="84"/>
      <c r="W162" s="84"/>
      <c r="X162" s="86"/>
    </row>
    <row r="163" ht="15.0" customHeight="1">
      <c r="A163" s="81"/>
      <c r="B163" s="51"/>
      <c r="C163" s="51"/>
      <c r="D163" s="50"/>
      <c r="E163" s="50"/>
      <c r="F163" s="50"/>
      <c r="G163" s="50"/>
      <c r="H163" s="50"/>
      <c r="I163" s="82"/>
      <c r="J163" s="83"/>
      <c r="K163" s="83"/>
      <c r="L163" s="84"/>
      <c r="M163" s="84"/>
      <c r="N163" s="84"/>
      <c r="O163" s="85"/>
      <c r="P163" s="84"/>
      <c r="Q163" s="84"/>
      <c r="R163" s="84"/>
      <c r="S163" s="84"/>
      <c r="T163" s="84"/>
      <c r="U163" s="84"/>
      <c r="V163" s="84"/>
      <c r="W163" s="84"/>
      <c r="X163" s="86"/>
    </row>
    <row r="164" ht="15.0" customHeight="1">
      <c r="A164" s="81"/>
      <c r="B164" s="51"/>
      <c r="C164" s="51"/>
      <c r="D164" s="50"/>
      <c r="E164" s="50"/>
      <c r="F164" s="50"/>
      <c r="G164" s="50"/>
      <c r="H164" s="50"/>
      <c r="I164" s="82"/>
      <c r="J164" s="83"/>
      <c r="K164" s="83"/>
      <c r="L164" s="84"/>
      <c r="M164" s="84"/>
      <c r="N164" s="84"/>
      <c r="O164" s="85"/>
      <c r="P164" s="84"/>
      <c r="Q164" s="84"/>
      <c r="R164" s="84"/>
      <c r="S164" s="84"/>
      <c r="T164" s="84"/>
      <c r="U164" s="84"/>
      <c r="V164" s="84"/>
      <c r="W164" s="84"/>
      <c r="X164" s="86"/>
    </row>
    <row r="165" ht="15.0" customHeight="1">
      <c r="A165" s="81"/>
      <c r="B165" s="51"/>
      <c r="C165" s="51"/>
      <c r="D165" s="50"/>
      <c r="E165" s="50"/>
      <c r="F165" s="50"/>
      <c r="G165" s="50"/>
      <c r="H165" s="50"/>
      <c r="I165" s="82"/>
      <c r="J165" s="83"/>
      <c r="K165" s="83"/>
      <c r="L165" s="84"/>
      <c r="M165" s="84"/>
      <c r="N165" s="84"/>
      <c r="O165" s="85"/>
      <c r="P165" s="84"/>
      <c r="Q165" s="84"/>
      <c r="R165" s="84"/>
      <c r="S165" s="84"/>
      <c r="T165" s="84"/>
      <c r="U165" s="84"/>
      <c r="V165" s="84"/>
      <c r="W165" s="84"/>
      <c r="X165" s="86"/>
    </row>
    <row r="166" ht="15.0" customHeight="1">
      <c r="A166" s="81"/>
      <c r="B166" s="51"/>
      <c r="C166" s="51"/>
      <c r="D166" s="50"/>
      <c r="E166" s="50"/>
      <c r="F166" s="50"/>
      <c r="G166" s="50"/>
      <c r="H166" s="50"/>
      <c r="I166" s="82"/>
      <c r="J166" s="83"/>
      <c r="K166" s="83"/>
      <c r="L166" s="84"/>
      <c r="M166" s="84"/>
      <c r="N166" s="84"/>
      <c r="O166" s="85"/>
      <c r="P166" s="84"/>
      <c r="Q166" s="84"/>
      <c r="R166" s="84"/>
      <c r="S166" s="84"/>
      <c r="T166" s="84"/>
      <c r="U166" s="84"/>
      <c r="V166" s="84"/>
      <c r="W166" s="84"/>
      <c r="X166" s="86"/>
    </row>
    <row r="167" ht="15.0" customHeight="1">
      <c r="A167" s="81"/>
      <c r="B167" s="51"/>
      <c r="C167" s="51"/>
      <c r="D167" s="50"/>
      <c r="E167" s="50"/>
      <c r="F167" s="50"/>
      <c r="G167" s="50"/>
      <c r="H167" s="50"/>
      <c r="I167" s="82"/>
      <c r="J167" s="83"/>
      <c r="K167" s="83"/>
      <c r="L167" s="84"/>
      <c r="M167" s="84"/>
      <c r="N167" s="84"/>
      <c r="O167" s="85"/>
      <c r="P167" s="84"/>
      <c r="Q167" s="84"/>
      <c r="R167" s="84"/>
      <c r="S167" s="84"/>
      <c r="T167" s="84"/>
      <c r="U167" s="84"/>
      <c r="V167" s="84"/>
      <c r="W167" s="84"/>
      <c r="X167" s="86"/>
    </row>
    <row r="168" ht="15.0" customHeight="1">
      <c r="A168" s="81"/>
      <c r="B168" s="51"/>
      <c r="C168" s="51"/>
      <c r="D168" s="50"/>
      <c r="E168" s="50"/>
      <c r="F168" s="50"/>
      <c r="G168" s="50"/>
      <c r="H168" s="50"/>
      <c r="I168" s="82"/>
      <c r="J168" s="83"/>
      <c r="K168" s="83"/>
      <c r="L168" s="84"/>
      <c r="M168" s="84"/>
      <c r="N168" s="84"/>
      <c r="O168" s="85"/>
      <c r="P168" s="84"/>
      <c r="Q168" s="84"/>
      <c r="R168" s="84"/>
      <c r="S168" s="84"/>
      <c r="T168" s="84"/>
      <c r="U168" s="84"/>
      <c r="V168" s="84"/>
      <c r="W168" s="84"/>
      <c r="X168" s="86"/>
    </row>
    <row r="169" ht="15.0" customHeight="1">
      <c r="A169" s="81"/>
      <c r="B169" s="51"/>
      <c r="C169" s="51"/>
      <c r="D169" s="50"/>
      <c r="E169" s="50"/>
      <c r="F169" s="50"/>
      <c r="G169" s="50"/>
      <c r="H169" s="50"/>
      <c r="I169" s="82"/>
      <c r="J169" s="83"/>
      <c r="K169" s="83"/>
      <c r="L169" s="84"/>
      <c r="M169" s="84"/>
      <c r="N169" s="84"/>
      <c r="O169" s="85"/>
      <c r="P169" s="84"/>
      <c r="Q169" s="84"/>
      <c r="R169" s="84"/>
      <c r="S169" s="84"/>
      <c r="T169" s="84"/>
      <c r="U169" s="84"/>
      <c r="V169" s="84"/>
      <c r="W169" s="84"/>
      <c r="X169" s="86"/>
    </row>
    <row r="170" ht="15.0" customHeight="1">
      <c r="A170" s="81"/>
      <c r="B170" s="51"/>
      <c r="C170" s="51"/>
      <c r="D170" s="50"/>
      <c r="E170" s="50"/>
      <c r="F170" s="50"/>
      <c r="G170" s="50"/>
      <c r="H170" s="50"/>
      <c r="I170" s="82"/>
      <c r="J170" s="83"/>
      <c r="K170" s="83"/>
      <c r="L170" s="84"/>
      <c r="M170" s="84"/>
      <c r="N170" s="84"/>
      <c r="O170" s="85"/>
      <c r="P170" s="84"/>
      <c r="Q170" s="84"/>
      <c r="R170" s="84"/>
      <c r="S170" s="84"/>
      <c r="T170" s="84"/>
      <c r="U170" s="84"/>
      <c r="V170" s="84"/>
      <c r="W170" s="84"/>
      <c r="X170" s="86"/>
    </row>
    <row r="171" ht="15.0" customHeight="1">
      <c r="A171" s="81"/>
      <c r="B171" s="51"/>
      <c r="C171" s="51"/>
      <c r="D171" s="50"/>
      <c r="E171" s="50"/>
      <c r="F171" s="50"/>
      <c r="G171" s="50"/>
      <c r="H171" s="50"/>
      <c r="I171" s="82"/>
      <c r="J171" s="83"/>
      <c r="K171" s="83"/>
      <c r="L171" s="84"/>
      <c r="M171" s="84"/>
      <c r="N171" s="84"/>
      <c r="O171" s="85"/>
      <c r="P171" s="84"/>
      <c r="Q171" s="84"/>
      <c r="R171" s="84"/>
      <c r="S171" s="84"/>
      <c r="T171" s="84"/>
      <c r="U171" s="84"/>
      <c r="V171" s="84"/>
      <c r="W171" s="84"/>
      <c r="X171" s="86"/>
    </row>
    <row r="172" ht="15.0" customHeight="1">
      <c r="A172" s="81"/>
      <c r="B172" s="51"/>
      <c r="C172" s="51"/>
      <c r="D172" s="50"/>
      <c r="E172" s="50"/>
      <c r="F172" s="50"/>
      <c r="G172" s="50"/>
      <c r="H172" s="50"/>
      <c r="I172" s="82"/>
      <c r="J172" s="83"/>
      <c r="K172" s="83"/>
      <c r="L172" s="84"/>
      <c r="M172" s="84"/>
      <c r="N172" s="84"/>
      <c r="O172" s="85"/>
      <c r="P172" s="84"/>
      <c r="Q172" s="84"/>
      <c r="R172" s="84"/>
      <c r="S172" s="84"/>
      <c r="T172" s="84"/>
      <c r="U172" s="84"/>
      <c r="V172" s="84"/>
      <c r="W172" s="84"/>
      <c r="X172" s="86"/>
    </row>
    <row r="173" ht="15.0" customHeight="1">
      <c r="A173" s="81"/>
      <c r="B173" s="51"/>
      <c r="C173" s="51"/>
      <c r="D173" s="50"/>
      <c r="E173" s="50"/>
      <c r="F173" s="50"/>
      <c r="G173" s="50"/>
      <c r="H173" s="50"/>
      <c r="I173" s="82"/>
      <c r="J173" s="83"/>
      <c r="K173" s="83"/>
      <c r="L173" s="84"/>
      <c r="M173" s="84"/>
      <c r="N173" s="84"/>
      <c r="O173" s="85"/>
      <c r="P173" s="84"/>
      <c r="Q173" s="84"/>
      <c r="R173" s="84"/>
      <c r="S173" s="84"/>
      <c r="T173" s="84"/>
      <c r="U173" s="84"/>
      <c r="V173" s="84"/>
      <c r="W173" s="84"/>
      <c r="X173" s="86"/>
    </row>
    <row r="174" ht="15.0" customHeight="1">
      <c r="A174" s="81"/>
      <c r="B174" s="51"/>
      <c r="C174" s="51"/>
      <c r="D174" s="50"/>
      <c r="E174" s="50"/>
      <c r="F174" s="50"/>
      <c r="G174" s="50"/>
      <c r="H174" s="50"/>
      <c r="I174" s="82"/>
      <c r="J174" s="83"/>
      <c r="K174" s="83"/>
      <c r="L174" s="84"/>
      <c r="M174" s="84"/>
      <c r="N174" s="84"/>
      <c r="O174" s="85"/>
      <c r="P174" s="84"/>
      <c r="Q174" s="84"/>
      <c r="R174" s="84"/>
      <c r="S174" s="84"/>
      <c r="T174" s="84"/>
      <c r="U174" s="84"/>
      <c r="V174" s="84"/>
      <c r="W174" s="84"/>
      <c r="X174" s="86"/>
    </row>
    <row r="175" ht="15.0" customHeight="1">
      <c r="A175" s="81"/>
      <c r="B175" s="51"/>
      <c r="C175" s="51"/>
      <c r="D175" s="50"/>
      <c r="E175" s="50"/>
      <c r="F175" s="50"/>
      <c r="G175" s="50"/>
      <c r="H175" s="50"/>
      <c r="I175" s="82"/>
      <c r="J175" s="83"/>
      <c r="K175" s="83"/>
      <c r="L175" s="84"/>
      <c r="M175" s="84"/>
      <c r="N175" s="84"/>
      <c r="O175" s="85"/>
      <c r="P175" s="84"/>
      <c r="Q175" s="84"/>
      <c r="R175" s="84"/>
      <c r="S175" s="84"/>
      <c r="T175" s="84"/>
      <c r="U175" s="84"/>
      <c r="V175" s="84"/>
      <c r="W175" s="84"/>
      <c r="X175" s="86"/>
    </row>
    <row r="176" ht="15.0" customHeight="1">
      <c r="A176" s="81"/>
      <c r="B176" s="51"/>
      <c r="C176" s="51"/>
      <c r="D176" s="50"/>
      <c r="E176" s="50"/>
      <c r="F176" s="50"/>
      <c r="G176" s="50"/>
      <c r="H176" s="50"/>
      <c r="I176" s="82"/>
      <c r="J176" s="83"/>
      <c r="K176" s="83"/>
      <c r="L176" s="84"/>
      <c r="M176" s="84"/>
      <c r="N176" s="84"/>
      <c r="O176" s="85"/>
      <c r="P176" s="84"/>
      <c r="Q176" s="84"/>
      <c r="R176" s="84"/>
      <c r="S176" s="84"/>
      <c r="T176" s="84"/>
      <c r="U176" s="84"/>
      <c r="V176" s="84"/>
      <c r="W176" s="84"/>
      <c r="X176" s="86"/>
    </row>
    <row r="177" ht="15.0" customHeight="1">
      <c r="A177" s="81"/>
      <c r="B177" s="51"/>
      <c r="C177" s="51"/>
      <c r="D177" s="50"/>
      <c r="E177" s="50"/>
      <c r="F177" s="50"/>
      <c r="G177" s="50"/>
      <c r="H177" s="50"/>
      <c r="I177" s="82"/>
      <c r="J177" s="83"/>
      <c r="K177" s="83"/>
      <c r="L177" s="84"/>
      <c r="M177" s="84"/>
      <c r="N177" s="84"/>
      <c r="O177" s="85"/>
      <c r="P177" s="84"/>
      <c r="Q177" s="84"/>
      <c r="R177" s="84"/>
      <c r="S177" s="84"/>
      <c r="T177" s="84"/>
      <c r="U177" s="84"/>
      <c r="V177" s="84"/>
      <c r="W177" s="84"/>
      <c r="X177" s="86"/>
    </row>
    <row r="178" ht="15.0" customHeight="1">
      <c r="A178" s="81"/>
      <c r="B178" s="51"/>
      <c r="C178" s="51"/>
      <c r="D178" s="50"/>
      <c r="E178" s="50"/>
      <c r="F178" s="50"/>
      <c r="G178" s="50"/>
      <c r="H178" s="50"/>
      <c r="I178" s="82"/>
      <c r="J178" s="83"/>
      <c r="K178" s="83"/>
      <c r="L178" s="84"/>
      <c r="M178" s="84"/>
      <c r="N178" s="84"/>
      <c r="O178" s="85"/>
      <c r="P178" s="84"/>
      <c r="Q178" s="84"/>
      <c r="R178" s="84"/>
      <c r="S178" s="84"/>
      <c r="T178" s="84"/>
      <c r="U178" s="84"/>
      <c r="V178" s="84"/>
      <c r="W178" s="84"/>
      <c r="X178" s="86"/>
    </row>
    <row r="179" ht="15.0" customHeight="1">
      <c r="A179" s="81"/>
      <c r="B179" s="51"/>
      <c r="C179" s="51"/>
      <c r="D179" s="50"/>
      <c r="E179" s="50"/>
      <c r="F179" s="50"/>
      <c r="G179" s="50"/>
      <c r="H179" s="50"/>
      <c r="I179" s="82"/>
      <c r="J179" s="83"/>
      <c r="K179" s="83"/>
      <c r="L179" s="84"/>
      <c r="M179" s="84"/>
      <c r="N179" s="84"/>
      <c r="O179" s="85"/>
      <c r="P179" s="84"/>
      <c r="Q179" s="84"/>
      <c r="R179" s="84"/>
      <c r="S179" s="84"/>
      <c r="T179" s="84"/>
      <c r="U179" s="84"/>
      <c r="V179" s="84"/>
      <c r="W179" s="84"/>
      <c r="X179" s="86"/>
    </row>
    <row r="180" ht="15.0" customHeight="1">
      <c r="A180" s="81"/>
      <c r="B180" s="51"/>
      <c r="C180" s="51"/>
      <c r="D180" s="50"/>
      <c r="E180" s="50"/>
      <c r="F180" s="50"/>
      <c r="G180" s="50"/>
      <c r="H180" s="50"/>
      <c r="I180" s="82"/>
      <c r="J180" s="83"/>
      <c r="K180" s="83"/>
      <c r="L180" s="84"/>
      <c r="M180" s="84"/>
      <c r="N180" s="84"/>
      <c r="O180" s="85"/>
      <c r="P180" s="84"/>
      <c r="Q180" s="84"/>
      <c r="R180" s="84"/>
      <c r="S180" s="84"/>
      <c r="T180" s="84"/>
      <c r="U180" s="84"/>
      <c r="V180" s="84"/>
      <c r="W180" s="84"/>
      <c r="X180" s="86"/>
    </row>
    <row r="181" ht="15.0" customHeight="1">
      <c r="A181" s="81"/>
      <c r="B181" s="51"/>
      <c r="C181" s="51"/>
      <c r="D181" s="50"/>
      <c r="E181" s="50"/>
      <c r="F181" s="50"/>
      <c r="G181" s="50"/>
      <c r="H181" s="50"/>
      <c r="I181" s="82"/>
      <c r="J181" s="83"/>
      <c r="K181" s="83"/>
      <c r="L181" s="84"/>
      <c r="M181" s="84"/>
      <c r="N181" s="84"/>
      <c r="O181" s="85"/>
      <c r="P181" s="84"/>
      <c r="Q181" s="84"/>
      <c r="R181" s="84"/>
      <c r="S181" s="84"/>
      <c r="T181" s="84"/>
      <c r="U181" s="84"/>
      <c r="V181" s="84"/>
      <c r="W181" s="84"/>
      <c r="X181" s="86"/>
    </row>
    <row r="182" ht="15.0" customHeight="1">
      <c r="A182" s="81"/>
      <c r="B182" s="51"/>
      <c r="C182" s="51"/>
      <c r="D182" s="50"/>
      <c r="E182" s="50"/>
      <c r="F182" s="50"/>
      <c r="G182" s="50"/>
      <c r="H182" s="50"/>
      <c r="I182" s="82"/>
      <c r="J182" s="83"/>
      <c r="K182" s="83"/>
      <c r="L182" s="84"/>
      <c r="M182" s="84"/>
      <c r="N182" s="84"/>
      <c r="O182" s="85"/>
      <c r="P182" s="84"/>
      <c r="Q182" s="84"/>
      <c r="R182" s="84"/>
      <c r="S182" s="84"/>
      <c r="T182" s="84"/>
      <c r="U182" s="84"/>
      <c r="V182" s="84"/>
      <c r="W182" s="84"/>
      <c r="X182" s="86"/>
    </row>
    <row r="183" ht="15.0" customHeight="1">
      <c r="A183" s="81"/>
      <c r="B183" s="51"/>
      <c r="C183" s="51"/>
      <c r="D183" s="50"/>
      <c r="E183" s="50"/>
      <c r="F183" s="50"/>
      <c r="G183" s="50"/>
      <c r="H183" s="50"/>
      <c r="I183" s="82"/>
      <c r="J183" s="83"/>
      <c r="K183" s="83"/>
      <c r="L183" s="84"/>
      <c r="M183" s="84"/>
      <c r="N183" s="84"/>
      <c r="O183" s="85"/>
      <c r="P183" s="84"/>
      <c r="Q183" s="84"/>
      <c r="R183" s="84"/>
      <c r="S183" s="84"/>
      <c r="T183" s="84"/>
      <c r="U183" s="84"/>
      <c r="V183" s="84"/>
      <c r="W183" s="84"/>
      <c r="X183" s="86"/>
    </row>
    <row r="184" ht="15.0" customHeight="1">
      <c r="A184" s="81"/>
      <c r="B184" s="51"/>
      <c r="C184" s="51"/>
      <c r="D184" s="50"/>
      <c r="E184" s="50"/>
      <c r="F184" s="50"/>
      <c r="G184" s="50"/>
      <c r="H184" s="50"/>
      <c r="I184" s="82"/>
      <c r="J184" s="83"/>
      <c r="K184" s="83"/>
      <c r="L184" s="84"/>
      <c r="M184" s="84"/>
      <c r="N184" s="84"/>
      <c r="O184" s="85"/>
      <c r="P184" s="84"/>
      <c r="Q184" s="84"/>
      <c r="R184" s="84"/>
      <c r="S184" s="84"/>
      <c r="T184" s="84"/>
      <c r="U184" s="84"/>
      <c r="V184" s="84"/>
      <c r="W184" s="84"/>
      <c r="X184" s="86"/>
    </row>
    <row r="185" ht="15.0" customHeight="1">
      <c r="A185" s="81"/>
      <c r="B185" s="51"/>
      <c r="C185" s="51"/>
      <c r="D185" s="50"/>
      <c r="E185" s="50"/>
      <c r="F185" s="50"/>
      <c r="G185" s="50"/>
      <c r="H185" s="50"/>
      <c r="I185" s="82"/>
      <c r="J185" s="83"/>
      <c r="K185" s="83"/>
      <c r="L185" s="84"/>
      <c r="M185" s="84"/>
      <c r="N185" s="84"/>
      <c r="O185" s="85"/>
      <c r="P185" s="84"/>
      <c r="Q185" s="84"/>
      <c r="R185" s="84"/>
      <c r="S185" s="84"/>
      <c r="T185" s="84"/>
      <c r="U185" s="84"/>
      <c r="V185" s="84"/>
      <c r="W185" s="84"/>
      <c r="X185" s="86"/>
    </row>
    <row r="186" ht="15.0" customHeight="1">
      <c r="A186" s="81"/>
      <c r="B186" s="51"/>
      <c r="C186" s="51"/>
      <c r="D186" s="50"/>
      <c r="E186" s="50"/>
      <c r="F186" s="50"/>
      <c r="G186" s="50"/>
      <c r="H186" s="50"/>
      <c r="I186" s="82"/>
      <c r="J186" s="83"/>
      <c r="K186" s="83"/>
      <c r="L186" s="84"/>
      <c r="M186" s="84"/>
      <c r="N186" s="84"/>
      <c r="O186" s="85"/>
      <c r="P186" s="84"/>
      <c r="Q186" s="84"/>
      <c r="R186" s="84"/>
      <c r="S186" s="84"/>
      <c r="T186" s="84"/>
      <c r="U186" s="84"/>
      <c r="V186" s="84"/>
      <c r="W186" s="84"/>
      <c r="X186" s="86"/>
    </row>
    <row r="187" ht="15.0" customHeight="1">
      <c r="A187" s="81"/>
      <c r="B187" s="51"/>
      <c r="C187" s="51"/>
      <c r="D187" s="50"/>
      <c r="E187" s="50"/>
      <c r="F187" s="50"/>
      <c r="G187" s="50"/>
      <c r="H187" s="50"/>
      <c r="I187" s="82"/>
      <c r="J187" s="83"/>
      <c r="K187" s="83"/>
      <c r="L187" s="84"/>
      <c r="M187" s="84"/>
      <c r="N187" s="84"/>
      <c r="O187" s="85"/>
      <c r="P187" s="84"/>
      <c r="Q187" s="84"/>
      <c r="R187" s="84"/>
      <c r="S187" s="84"/>
      <c r="T187" s="84"/>
      <c r="U187" s="84"/>
      <c r="V187" s="84"/>
      <c r="W187" s="84"/>
      <c r="X187" s="86"/>
    </row>
    <row r="188" ht="15.0" customHeight="1">
      <c r="A188" s="81"/>
      <c r="B188" s="51"/>
      <c r="C188" s="51"/>
      <c r="D188" s="50"/>
      <c r="E188" s="50"/>
      <c r="F188" s="50"/>
      <c r="G188" s="50"/>
      <c r="H188" s="50"/>
      <c r="I188" s="82"/>
      <c r="J188" s="83"/>
      <c r="K188" s="83"/>
      <c r="L188" s="84"/>
      <c r="M188" s="84"/>
      <c r="N188" s="84"/>
      <c r="O188" s="85"/>
      <c r="P188" s="84"/>
      <c r="Q188" s="84"/>
      <c r="R188" s="84"/>
      <c r="S188" s="84"/>
      <c r="T188" s="84"/>
      <c r="U188" s="84"/>
      <c r="V188" s="84"/>
      <c r="W188" s="84"/>
      <c r="X188" s="86"/>
    </row>
    <row r="189" ht="15.0" customHeight="1">
      <c r="A189" s="81"/>
      <c r="B189" s="51"/>
      <c r="C189" s="51"/>
      <c r="D189" s="50"/>
      <c r="E189" s="50"/>
      <c r="F189" s="50"/>
      <c r="G189" s="50"/>
      <c r="H189" s="50"/>
      <c r="I189" s="82"/>
      <c r="J189" s="83"/>
      <c r="K189" s="83"/>
      <c r="L189" s="84"/>
      <c r="M189" s="84"/>
      <c r="N189" s="84"/>
      <c r="O189" s="85"/>
      <c r="P189" s="84"/>
      <c r="Q189" s="84"/>
      <c r="R189" s="84"/>
      <c r="S189" s="84"/>
      <c r="T189" s="84"/>
      <c r="U189" s="84"/>
      <c r="V189" s="84"/>
      <c r="W189" s="84"/>
      <c r="X189" s="86"/>
    </row>
    <row r="190" ht="15.0" customHeight="1">
      <c r="A190" s="81"/>
      <c r="B190" s="51"/>
      <c r="C190" s="51"/>
      <c r="D190" s="50"/>
      <c r="E190" s="50"/>
      <c r="F190" s="50"/>
      <c r="G190" s="50"/>
      <c r="H190" s="50"/>
      <c r="I190" s="82"/>
      <c r="J190" s="83"/>
      <c r="K190" s="83"/>
      <c r="L190" s="84"/>
      <c r="M190" s="84"/>
      <c r="N190" s="84"/>
      <c r="O190" s="85"/>
      <c r="P190" s="84"/>
      <c r="Q190" s="84"/>
      <c r="R190" s="84"/>
      <c r="S190" s="84"/>
      <c r="T190" s="84"/>
      <c r="U190" s="84"/>
      <c r="V190" s="84"/>
      <c r="W190" s="84"/>
      <c r="X190" s="86"/>
    </row>
    <row r="191" ht="15.0" customHeight="1">
      <c r="A191" s="81"/>
      <c r="B191" s="51"/>
      <c r="C191" s="51"/>
      <c r="D191" s="50"/>
      <c r="E191" s="50"/>
      <c r="F191" s="50"/>
      <c r="G191" s="50"/>
      <c r="H191" s="50"/>
      <c r="I191" s="82"/>
      <c r="J191" s="83"/>
      <c r="K191" s="83"/>
      <c r="L191" s="84"/>
      <c r="M191" s="84"/>
      <c r="N191" s="84"/>
      <c r="O191" s="85"/>
      <c r="P191" s="84"/>
      <c r="Q191" s="84"/>
      <c r="R191" s="84"/>
      <c r="S191" s="84"/>
      <c r="T191" s="84"/>
      <c r="U191" s="84"/>
      <c r="V191" s="84"/>
      <c r="W191" s="84"/>
      <c r="X191" s="86"/>
    </row>
    <row r="192" ht="15.0" customHeight="1">
      <c r="A192" s="81"/>
      <c r="B192" s="51"/>
      <c r="C192" s="51"/>
      <c r="D192" s="50"/>
      <c r="E192" s="50"/>
      <c r="F192" s="50"/>
      <c r="G192" s="50"/>
      <c r="H192" s="50"/>
      <c r="I192" s="82"/>
      <c r="J192" s="83"/>
      <c r="K192" s="83"/>
      <c r="L192" s="84"/>
      <c r="M192" s="84"/>
      <c r="N192" s="84"/>
      <c r="O192" s="85"/>
      <c r="P192" s="84"/>
      <c r="Q192" s="84"/>
      <c r="R192" s="84"/>
      <c r="S192" s="84"/>
      <c r="T192" s="84"/>
      <c r="U192" s="84"/>
      <c r="V192" s="84"/>
      <c r="W192" s="84"/>
      <c r="X192" s="86"/>
    </row>
    <row r="193" ht="15.0" customHeight="1">
      <c r="A193" s="81"/>
      <c r="B193" s="51"/>
      <c r="C193" s="51"/>
      <c r="D193" s="50"/>
      <c r="E193" s="50"/>
      <c r="F193" s="50"/>
      <c r="G193" s="50"/>
      <c r="H193" s="50"/>
      <c r="I193" s="82"/>
      <c r="J193" s="83"/>
      <c r="K193" s="83"/>
      <c r="L193" s="84"/>
      <c r="M193" s="84"/>
      <c r="N193" s="84"/>
      <c r="O193" s="85"/>
      <c r="P193" s="84"/>
      <c r="Q193" s="84"/>
      <c r="R193" s="84"/>
      <c r="S193" s="84"/>
      <c r="T193" s="84"/>
      <c r="U193" s="84"/>
      <c r="V193" s="84"/>
      <c r="W193" s="84"/>
      <c r="X193" s="86"/>
    </row>
    <row r="194" ht="15.0" customHeight="1">
      <c r="A194" s="81"/>
      <c r="B194" s="51"/>
      <c r="C194" s="51"/>
      <c r="D194" s="50"/>
      <c r="E194" s="50"/>
      <c r="F194" s="50"/>
      <c r="G194" s="50"/>
      <c r="H194" s="50"/>
      <c r="I194" s="82"/>
      <c r="J194" s="83"/>
      <c r="K194" s="83"/>
      <c r="L194" s="84"/>
      <c r="M194" s="84"/>
      <c r="N194" s="84"/>
      <c r="O194" s="85"/>
      <c r="P194" s="84"/>
      <c r="Q194" s="84"/>
      <c r="R194" s="84"/>
      <c r="S194" s="84"/>
      <c r="T194" s="84"/>
      <c r="U194" s="84"/>
      <c r="V194" s="84"/>
      <c r="W194" s="84"/>
      <c r="X194" s="86"/>
    </row>
    <row r="195" ht="15.0" customHeight="1">
      <c r="A195" s="81"/>
      <c r="B195" s="51"/>
      <c r="C195" s="51"/>
      <c r="D195" s="50"/>
      <c r="E195" s="50"/>
      <c r="F195" s="50"/>
      <c r="G195" s="50"/>
      <c r="H195" s="50"/>
      <c r="I195" s="82"/>
      <c r="J195" s="83"/>
      <c r="K195" s="83"/>
      <c r="L195" s="84"/>
      <c r="M195" s="84"/>
      <c r="N195" s="84"/>
      <c r="O195" s="85"/>
      <c r="P195" s="84"/>
      <c r="Q195" s="84"/>
      <c r="R195" s="84"/>
      <c r="S195" s="84"/>
      <c r="T195" s="84"/>
      <c r="U195" s="84"/>
      <c r="V195" s="84"/>
      <c r="W195" s="84"/>
      <c r="X195" s="86"/>
    </row>
    <row r="196" ht="15.0" customHeight="1">
      <c r="A196" s="81"/>
      <c r="B196" s="51"/>
      <c r="C196" s="51"/>
      <c r="D196" s="50"/>
      <c r="E196" s="50"/>
      <c r="F196" s="50"/>
      <c r="G196" s="50"/>
      <c r="H196" s="50"/>
      <c r="I196" s="82"/>
      <c r="J196" s="83"/>
      <c r="K196" s="83"/>
      <c r="L196" s="84"/>
      <c r="M196" s="84"/>
      <c r="N196" s="84"/>
      <c r="O196" s="85"/>
      <c r="P196" s="84"/>
      <c r="Q196" s="84"/>
      <c r="R196" s="84"/>
      <c r="S196" s="84"/>
      <c r="T196" s="84"/>
      <c r="U196" s="84"/>
      <c r="V196" s="84"/>
      <c r="W196" s="84"/>
      <c r="X196" s="86"/>
    </row>
    <row r="197" ht="15.0" customHeight="1">
      <c r="A197" s="81"/>
      <c r="B197" s="51"/>
      <c r="C197" s="51"/>
      <c r="D197" s="50"/>
      <c r="E197" s="50"/>
      <c r="F197" s="50"/>
      <c r="G197" s="50"/>
      <c r="H197" s="50"/>
      <c r="I197" s="82"/>
      <c r="J197" s="83"/>
      <c r="K197" s="83"/>
      <c r="L197" s="84"/>
      <c r="M197" s="84"/>
      <c r="N197" s="84"/>
      <c r="O197" s="85"/>
      <c r="P197" s="84"/>
      <c r="Q197" s="84"/>
      <c r="R197" s="84"/>
      <c r="S197" s="84"/>
      <c r="T197" s="84"/>
      <c r="U197" s="84"/>
      <c r="V197" s="84"/>
      <c r="W197" s="84"/>
      <c r="X197" s="86"/>
    </row>
    <row r="198" ht="15.0" customHeight="1">
      <c r="A198" s="81"/>
      <c r="B198" s="51"/>
      <c r="C198" s="51"/>
      <c r="D198" s="50"/>
      <c r="E198" s="50"/>
      <c r="F198" s="50"/>
      <c r="G198" s="50"/>
      <c r="H198" s="50"/>
      <c r="I198" s="82"/>
      <c r="J198" s="83"/>
      <c r="K198" s="83"/>
      <c r="L198" s="84"/>
      <c r="M198" s="84"/>
      <c r="N198" s="84"/>
      <c r="O198" s="85"/>
      <c r="P198" s="84"/>
      <c r="Q198" s="84"/>
      <c r="R198" s="84"/>
      <c r="S198" s="84"/>
      <c r="T198" s="84"/>
      <c r="U198" s="84"/>
      <c r="V198" s="84"/>
      <c r="W198" s="84"/>
      <c r="X198" s="86"/>
    </row>
    <row r="199" ht="15.0" customHeight="1">
      <c r="A199" s="81"/>
      <c r="B199" s="51"/>
      <c r="C199" s="51"/>
      <c r="D199" s="50"/>
      <c r="E199" s="50"/>
      <c r="F199" s="50"/>
      <c r="G199" s="50"/>
      <c r="H199" s="50"/>
      <c r="I199" s="82"/>
      <c r="J199" s="83"/>
      <c r="K199" s="83"/>
      <c r="L199" s="84"/>
      <c r="M199" s="84"/>
      <c r="N199" s="84"/>
      <c r="O199" s="85"/>
      <c r="P199" s="84"/>
      <c r="Q199" s="84"/>
      <c r="R199" s="84"/>
      <c r="S199" s="84"/>
      <c r="T199" s="84"/>
      <c r="U199" s="84"/>
      <c r="V199" s="84"/>
      <c r="W199" s="84"/>
      <c r="X199" s="86"/>
    </row>
    <row r="200" ht="15.0" customHeight="1">
      <c r="A200" s="81"/>
      <c r="B200" s="51"/>
      <c r="C200" s="51"/>
      <c r="D200" s="50"/>
      <c r="E200" s="50"/>
      <c r="F200" s="50"/>
      <c r="G200" s="50"/>
      <c r="H200" s="50"/>
      <c r="I200" s="82"/>
      <c r="J200" s="83"/>
      <c r="K200" s="83"/>
      <c r="L200" s="84"/>
      <c r="M200" s="84"/>
      <c r="N200" s="84"/>
      <c r="O200" s="85"/>
      <c r="P200" s="84"/>
      <c r="Q200" s="84"/>
      <c r="R200" s="84"/>
      <c r="S200" s="84"/>
      <c r="T200" s="84"/>
      <c r="U200" s="84"/>
      <c r="V200" s="84"/>
      <c r="W200" s="84"/>
      <c r="X200" s="86"/>
    </row>
    <row r="201" ht="15.0" customHeight="1">
      <c r="A201" s="81"/>
      <c r="B201" s="51"/>
      <c r="C201" s="51"/>
      <c r="D201" s="50"/>
      <c r="E201" s="50"/>
      <c r="F201" s="50"/>
      <c r="G201" s="50"/>
      <c r="H201" s="50"/>
      <c r="I201" s="82"/>
      <c r="J201" s="83"/>
      <c r="K201" s="83"/>
      <c r="L201" s="84"/>
      <c r="M201" s="84"/>
      <c r="N201" s="84"/>
      <c r="O201" s="85"/>
      <c r="P201" s="84"/>
      <c r="Q201" s="84"/>
      <c r="R201" s="84"/>
      <c r="S201" s="84"/>
      <c r="T201" s="84"/>
      <c r="U201" s="84"/>
      <c r="V201" s="84"/>
      <c r="W201" s="84"/>
      <c r="X201" s="86"/>
    </row>
    <row r="202" ht="15.0" customHeight="1">
      <c r="A202" s="81"/>
      <c r="B202" s="51"/>
      <c r="C202" s="51"/>
      <c r="D202" s="50"/>
      <c r="E202" s="50"/>
      <c r="F202" s="50"/>
      <c r="G202" s="50"/>
      <c r="H202" s="50"/>
      <c r="I202" s="82"/>
      <c r="J202" s="83"/>
      <c r="K202" s="83"/>
      <c r="L202" s="84"/>
      <c r="M202" s="84"/>
      <c r="N202" s="84"/>
      <c r="O202" s="85"/>
      <c r="P202" s="84"/>
      <c r="Q202" s="84"/>
      <c r="R202" s="84"/>
      <c r="S202" s="84"/>
      <c r="T202" s="84"/>
      <c r="U202" s="84"/>
      <c r="V202" s="84"/>
      <c r="W202" s="84"/>
      <c r="X202" s="86"/>
    </row>
    <row r="203" ht="15.0" customHeight="1">
      <c r="A203" s="81"/>
      <c r="B203" s="51"/>
      <c r="C203" s="51"/>
      <c r="D203" s="50"/>
      <c r="E203" s="50"/>
      <c r="F203" s="50"/>
      <c r="G203" s="50"/>
      <c r="H203" s="50"/>
      <c r="I203" s="82"/>
      <c r="J203" s="83"/>
      <c r="K203" s="83"/>
      <c r="L203" s="84"/>
      <c r="M203" s="84"/>
      <c r="N203" s="84"/>
      <c r="O203" s="85"/>
      <c r="P203" s="84"/>
      <c r="Q203" s="84"/>
      <c r="R203" s="84"/>
      <c r="S203" s="84"/>
      <c r="T203" s="84"/>
      <c r="U203" s="84"/>
      <c r="V203" s="84"/>
      <c r="W203" s="84"/>
      <c r="X203" s="86"/>
    </row>
    <row r="204" ht="15.0" customHeight="1">
      <c r="A204" s="81"/>
      <c r="B204" s="51"/>
      <c r="C204" s="51"/>
      <c r="D204" s="50"/>
      <c r="E204" s="50"/>
      <c r="F204" s="50"/>
      <c r="G204" s="50"/>
      <c r="H204" s="50"/>
      <c r="I204" s="82"/>
      <c r="J204" s="83"/>
      <c r="K204" s="83"/>
      <c r="L204" s="84"/>
      <c r="M204" s="84"/>
      <c r="N204" s="84"/>
      <c r="O204" s="85"/>
      <c r="P204" s="84"/>
      <c r="Q204" s="84"/>
      <c r="R204" s="84"/>
      <c r="S204" s="84"/>
      <c r="T204" s="84"/>
      <c r="U204" s="84"/>
      <c r="V204" s="84"/>
      <c r="W204" s="84"/>
      <c r="X204" s="86"/>
    </row>
    <row r="205" ht="15.0" customHeight="1">
      <c r="A205" s="81"/>
      <c r="B205" s="51"/>
      <c r="C205" s="51"/>
      <c r="D205" s="50"/>
      <c r="E205" s="50"/>
      <c r="F205" s="50"/>
      <c r="G205" s="50"/>
      <c r="H205" s="50"/>
      <c r="I205" s="82"/>
      <c r="J205" s="83"/>
      <c r="K205" s="83"/>
      <c r="L205" s="84"/>
      <c r="M205" s="84"/>
      <c r="N205" s="84"/>
      <c r="O205" s="85"/>
      <c r="P205" s="84"/>
      <c r="Q205" s="84"/>
      <c r="R205" s="84"/>
      <c r="S205" s="84"/>
      <c r="T205" s="84"/>
      <c r="U205" s="84"/>
      <c r="V205" s="84"/>
      <c r="W205" s="84"/>
      <c r="X205" s="86"/>
    </row>
    <row r="206" ht="15.0" customHeight="1">
      <c r="A206" s="81"/>
      <c r="B206" s="51"/>
      <c r="C206" s="51"/>
      <c r="D206" s="50"/>
      <c r="E206" s="50"/>
      <c r="F206" s="50"/>
      <c r="G206" s="50"/>
      <c r="H206" s="50"/>
      <c r="I206" s="82"/>
      <c r="J206" s="83"/>
      <c r="K206" s="83"/>
      <c r="L206" s="84"/>
      <c r="M206" s="84"/>
      <c r="N206" s="84"/>
      <c r="O206" s="85"/>
      <c r="P206" s="84"/>
      <c r="Q206" s="84"/>
      <c r="R206" s="84"/>
      <c r="S206" s="84"/>
      <c r="T206" s="84"/>
      <c r="U206" s="84"/>
      <c r="V206" s="84"/>
      <c r="W206" s="84"/>
      <c r="X206" s="86"/>
    </row>
    <row r="207" ht="15.0" customHeight="1">
      <c r="A207" s="81"/>
      <c r="B207" s="51"/>
      <c r="C207" s="51"/>
      <c r="D207" s="50"/>
      <c r="E207" s="50"/>
      <c r="F207" s="50"/>
      <c r="G207" s="50"/>
      <c r="H207" s="50"/>
      <c r="I207" s="82"/>
      <c r="J207" s="83"/>
      <c r="K207" s="83"/>
      <c r="L207" s="84"/>
      <c r="M207" s="84"/>
      <c r="N207" s="84"/>
      <c r="O207" s="85"/>
      <c r="P207" s="84"/>
      <c r="Q207" s="84"/>
      <c r="R207" s="84"/>
      <c r="S207" s="84"/>
      <c r="T207" s="84"/>
      <c r="U207" s="84"/>
      <c r="V207" s="84"/>
      <c r="W207" s="84"/>
      <c r="X207" s="86"/>
    </row>
    <row r="208" ht="15.0" customHeight="1">
      <c r="A208" s="81"/>
      <c r="B208" s="51"/>
      <c r="C208" s="51"/>
      <c r="D208" s="50"/>
      <c r="E208" s="50"/>
      <c r="F208" s="50"/>
      <c r="G208" s="50"/>
      <c r="H208" s="50"/>
      <c r="I208" s="82"/>
      <c r="J208" s="83"/>
      <c r="K208" s="83"/>
      <c r="L208" s="84"/>
      <c r="M208" s="84"/>
      <c r="N208" s="84"/>
      <c r="O208" s="85"/>
      <c r="P208" s="84"/>
      <c r="Q208" s="84"/>
      <c r="R208" s="84"/>
      <c r="S208" s="84"/>
      <c r="T208" s="84"/>
      <c r="U208" s="84"/>
      <c r="V208" s="84"/>
      <c r="W208" s="84"/>
      <c r="X208" s="86"/>
    </row>
    <row r="209" ht="15.0" customHeight="1">
      <c r="A209" s="81"/>
      <c r="B209" s="51"/>
      <c r="C209" s="51"/>
      <c r="D209" s="50"/>
      <c r="E209" s="50"/>
      <c r="F209" s="50"/>
      <c r="G209" s="50"/>
      <c r="H209" s="50"/>
      <c r="I209" s="82"/>
      <c r="J209" s="83"/>
      <c r="K209" s="83"/>
      <c r="L209" s="84"/>
      <c r="M209" s="84"/>
      <c r="N209" s="84"/>
      <c r="O209" s="85"/>
      <c r="P209" s="84"/>
      <c r="Q209" s="84"/>
      <c r="R209" s="84"/>
      <c r="S209" s="84"/>
      <c r="T209" s="84"/>
      <c r="U209" s="84"/>
      <c r="V209" s="84"/>
      <c r="W209" s="84"/>
      <c r="X209" s="86"/>
    </row>
    <row r="210" ht="15.0" customHeight="1">
      <c r="A210" s="81"/>
      <c r="B210" s="51"/>
      <c r="C210" s="51"/>
      <c r="D210" s="50"/>
      <c r="E210" s="50"/>
      <c r="F210" s="50"/>
      <c r="G210" s="50"/>
      <c r="H210" s="50"/>
      <c r="I210" s="82"/>
      <c r="J210" s="83"/>
      <c r="K210" s="83"/>
      <c r="L210" s="84"/>
      <c r="M210" s="84"/>
      <c r="N210" s="84"/>
      <c r="O210" s="85"/>
      <c r="P210" s="84"/>
      <c r="Q210" s="84"/>
      <c r="R210" s="84"/>
      <c r="S210" s="84"/>
      <c r="T210" s="84"/>
      <c r="U210" s="84"/>
      <c r="V210" s="84"/>
      <c r="W210" s="84"/>
      <c r="X210" s="86"/>
    </row>
    <row r="211" ht="15.0" customHeight="1">
      <c r="A211" s="81"/>
      <c r="B211" s="51"/>
      <c r="C211" s="51"/>
      <c r="D211" s="50"/>
      <c r="E211" s="50"/>
      <c r="F211" s="50"/>
      <c r="G211" s="50"/>
      <c r="H211" s="50"/>
      <c r="I211" s="82"/>
      <c r="J211" s="83"/>
      <c r="K211" s="83"/>
      <c r="L211" s="84"/>
      <c r="M211" s="84"/>
      <c r="N211" s="84"/>
      <c r="O211" s="85"/>
      <c r="P211" s="84"/>
      <c r="Q211" s="84"/>
      <c r="R211" s="84"/>
      <c r="S211" s="84"/>
      <c r="T211" s="84"/>
      <c r="U211" s="84"/>
      <c r="V211" s="84"/>
      <c r="W211" s="84"/>
      <c r="X211" s="86"/>
    </row>
    <row r="212" ht="15.0" customHeight="1">
      <c r="A212" s="81"/>
      <c r="B212" s="51"/>
      <c r="C212" s="51"/>
      <c r="D212" s="50"/>
      <c r="E212" s="50"/>
      <c r="F212" s="50"/>
      <c r="G212" s="50"/>
      <c r="H212" s="50"/>
      <c r="I212" s="82"/>
      <c r="J212" s="83"/>
      <c r="K212" s="83"/>
      <c r="L212" s="84"/>
      <c r="M212" s="84"/>
      <c r="N212" s="84"/>
      <c r="O212" s="85"/>
      <c r="P212" s="84"/>
      <c r="Q212" s="84"/>
      <c r="R212" s="84"/>
      <c r="S212" s="84"/>
      <c r="T212" s="84"/>
      <c r="U212" s="84"/>
      <c r="V212" s="84"/>
      <c r="W212" s="84"/>
      <c r="X212" s="86"/>
    </row>
    <row r="213" ht="15.0" customHeight="1">
      <c r="A213" s="81"/>
      <c r="B213" s="51"/>
      <c r="C213" s="51"/>
      <c r="D213" s="50"/>
      <c r="E213" s="50"/>
      <c r="F213" s="50"/>
      <c r="G213" s="50"/>
      <c r="H213" s="50"/>
      <c r="I213" s="82"/>
      <c r="J213" s="83"/>
      <c r="K213" s="83"/>
      <c r="L213" s="84"/>
      <c r="M213" s="84"/>
      <c r="N213" s="84"/>
      <c r="O213" s="85"/>
      <c r="P213" s="84"/>
      <c r="Q213" s="84"/>
      <c r="R213" s="84"/>
      <c r="S213" s="84"/>
      <c r="T213" s="84"/>
      <c r="U213" s="84"/>
      <c r="V213" s="84"/>
      <c r="W213" s="84"/>
      <c r="X213" s="86"/>
    </row>
    <row r="214" ht="15.0" customHeight="1">
      <c r="A214" s="81"/>
      <c r="B214" s="51"/>
      <c r="C214" s="51"/>
      <c r="D214" s="50"/>
      <c r="E214" s="50"/>
      <c r="F214" s="50"/>
      <c r="G214" s="50"/>
      <c r="H214" s="50"/>
      <c r="I214" s="82"/>
      <c r="J214" s="83"/>
      <c r="K214" s="83"/>
      <c r="L214" s="84"/>
      <c r="M214" s="84"/>
      <c r="N214" s="84"/>
      <c r="O214" s="85"/>
      <c r="P214" s="84"/>
      <c r="Q214" s="84"/>
      <c r="R214" s="84"/>
      <c r="S214" s="84"/>
      <c r="T214" s="84"/>
      <c r="U214" s="84"/>
      <c r="V214" s="84"/>
      <c r="W214" s="84"/>
      <c r="X214" s="86"/>
    </row>
    <row r="215" ht="15.0" customHeight="1">
      <c r="A215" s="81"/>
      <c r="B215" s="51"/>
      <c r="C215" s="51"/>
      <c r="D215" s="50"/>
      <c r="E215" s="50"/>
      <c r="F215" s="50"/>
      <c r="G215" s="50"/>
      <c r="H215" s="50"/>
      <c r="I215" s="82"/>
      <c r="J215" s="83"/>
      <c r="K215" s="83"/>
      <c r="L215" s="84"/>
      <c r="M215" s="84"/>
      <c r="N215" s="84"/>
      <c r="O215" s="85"/>
      <c r="P215" s="84"/>
      <c r="Q215" s="84"/>
      <c r="R215" s="84"/>
      <c r="S215" s="84"/>
      <c r="T215" s="84"/>
      <c r="U215" s="84"/>
      <c r="V215" s="84"/>
      <c r="W215" s="84"/>
      <c r="X215" s="86"/>
    </row>
    <row r="216" ht="15.0" customHeight="1">
      <c r="A216" s="81"/>
      <c r="B216" s="51"/>
      <c r="C216" s="51"/>
      <c r="D216" s="50"/>
      <c r="E216" s="50"/>
      <c r="F216" s="50"/>
      <c r="G216" s="50"/>
      <c r="H216" s="50"/>
      <c r="I216" s="82"/>
      <c r="J216" s="83"/>
      <c r="K216" s="83"/>
      <c r="L216" s="84"/>
      <c r="M216" s="84"/>
      <c r="N216" s="84"/>
      <c r="O216" s="85"/>
      <c r="P216" s="84"/>
      <c r="Q216" s="84"/>
      <c r="R216" s="84"/>
      <c r="S216" s="84"/>
      <c r="T216" s="84"/>
      <c r="U216" s="84"/>
      <c r="V216" s="84"/>
      <c r="W216" s="84"/>
      <c r="X216" s="86"/>
    </row>
    <row r="217" ht="15.0" customHeight="1">
      <c r="A217" s="81"/>
      <c r="B217" s="51"/>
      <c r="C217" s="51"/>
      <c r="D217" s="50"/>
      <c r="E217" s="50"/>
      <c r="F217" s="50"/>
      <c r="G217" s="50"/>
      <c r="H217" s="50"/>
      <c r="I217" s="82"/>
      <c r="J217" s="83"/>
      <c r="K217" s="83"/>
      <c r="L217" s="84"/>
      <c r="M217" s="84"/>
      <c r="N217" s="84"/>
      <c r="O217" s="85"/>
      <c r="P217" s="84"/>
      <c r="Q217" s="84"/>
      <c r="R217" s="84"/>
      <c r="S217" s="84"/>
      <c r="T217" s="84"/>
      <c r="U217" s="84"/>
      <c r="V217" s="84"/>
      <c r="W217" s="84"/>
      <c r="X217" s="86"/>
    </row>
    <row r="218" ht="15.0" customHeight="1">
      <c r="A218" s="81"/>
      <c r="B218" s="51"/>
      <c r="C218" s="51"/>
      <c r="D218" s="50"/>
      <c r="E218" s="50"/>
      <c r="F218" s="50"/>
      <c r="G218" s="50"/>
      <c r="H218" s="50"/>
      <c r="I218" s="82"/>
      <c r="J218" s="83"/>
      <c r="K218" s="83"/>
      <c r="L218" s="84"/>
      <c r="M218" s="84"/>
      <c r="N218" s="84"/>
      <c r="O218" s="85"/>
      <c r="P218" s="84"/>
      <c r="Q218" s="84"/>
      <c r="R218" s="84"/>
      <c r="S218" s="84"/>
      <c r="T218" s="84"/>
      <c r="U218" s="84"/>
      <c r="V218" s="84"/>
      <c r="W218" s="84"/>
      <c r="X218" s="86"/>
    </row>
    <row r="219" ht="15.0" customHeight="1">
      <c r="A219" s="81"/>
      <c r="B219" s="51"/>
      <c r="C219" s="51"/>
      <c r="D219" s="50"/>
      <c r="E219" s="50"/>
      <c r="F219" s="50"/>
      <c r="G219" s="50"/>
      <c r="H219" s="50"/>
      <c r="I219" s="82"/>
      <c r="J219" s="83"/>
      <c r="K219" s="83"/>
      <c r="L219" s="84"/>
      <c r="M219" s="84"/>
      <c r="N219" s="84"/>
      <c r="O219" s="85"/>
      <c r="P219" s="84"/>
      <c r="Q219" s="84"/>
      <c r="R219" s="84"/>
      <c r="S219" s="84"/>
      <c r="T219" s="84"/>
      <c r="U219" s="84"/>
      <c r="V219" s="84"/>
      <c r="W219" s="84"/>
      <c r="X219" s="86"/>
    </row>
    <row r="220" ht="15.0" customHeight="1">
      <c r="A220" s="81"/>
      <c r="B220" s="51"/>
      <c r="C220" s="51"/>
      <c r="D220" s="50"/>
      <c r="E220" s="50"/>
      <c r="F220" s="50"/>
      <c r="G220" s="50"/>
      <c r="H220" s="50"/>
      <c r="I220" s="82"/>
      <c r="J220" s="83"/>
      <c r="K220" s="83"/>
      <c r="L220" s="84"/>
      <c r="M220" s="84"/>
      <c r="N220" s="84"/>
      <c r="O220" s="85"/>
      <c r="P220" s="84"/>
      <c r="Q220" s="84"/>
      <c r="R220" s="84"/>
      <c r="S220" s="84"/>
      <c r="T220" s="84"/>
      <c r="U220" s="84"/>
      <c r="V220" s="84"/>
      <c r="W220" s="84"/>
      <c r="X220" s="86"/>
    </row>
    <row r="221" ht="15.0" customHeight="1">
      <c r="A221" s="81"/>
      <c r="B221" s="51"/>
      <c r="C221" s="51"/>
      <c r="D221" s="50"/>
      <c r="E221" s="50"/>
      <c r="F221" s="50"/>
      <c r="G221" s="50"/>
      <c r="H221" s="50"/>
      <c r="I221" s="82"/>
      <c r="J221" s="83"/>
      <c r="K221" s="83"/>
      <c r="L221" s="84"/>
      <c r="M221" s="84"/>
      <c r="N221" s="84"/>
      <c r="O221" s="85"/>
      <c r="P221" s="84"/>
      <c r="Q221" s="84"/>
      <c r="R221" s="84"/>
      <c r="S221" s="84"/>
      <c r="T221" s="84"/>
      <c r="U221" s="84"/>
      <c r="V221" s="84"/>
      <c r="W221" s="84"/>
      <c r="X221" s="86"/>
    </row>
    <row r="222" ht="15.0" customHeight="1">
      <c r="A222" s="81"/>
      <c r="B222" s="51"/>
      <c r="C222" s="51"/>
      <c r="D222" s="50"/>
      <c r="E222" s="50"/>
      <c r="F222" s="50"/>
      <c r="G222" s="50"/>
      <c r="H222" s="50"/>
      <c r="I222" s="82"/>
      <c r="J222" s="83"/>
      <c r="K222" s="83"/>
      <c r="L222" s="84"/>
      <c r="M222" s="84"/>
      <c r="N222" s="84"/>
      <c r="O222" s="85"/>
      <c r="P222" s="84"/>
      <c r="Q222" s="84"/>
      <c r="R222" s="84"/>
      <c r="S222" s="84"/>
      <c r="T222" s="84"/>
      <c r="U222" s="84"/>
      <c r="V222" s="84"/>
      <c r="W222" s="84"/>
      <c r="X222" s="86"/>
    </row>
    <row r="223" ht="15.0" customHeight="1">
      <c r="A223" s="81"/>
      <c r="B223" s="51"/>
      <c r="C223" s="51"/>
      <c r="D223" s="50"/>
      <c r="E223" s="50"/>
      <c r="F223" s="50"/>
      <c r="G223" s="50"/>
      <c r="H223" s="50"/>
      <c r="I223" s="82"/>
      <c r="J223" s="83"/>
      <c r="K223" s="83"/>
      <c r="L223" s="84"/>
      <c r="M223" s="84"/>
      <c r="N223" s="84"/>
      <c r="O223" s="85"/>
      <c r="P223" s="84"/>
      <c r="Q223" s="84"/>
      <c r="R223" s="84"/>
      <c r="S223" s="84"/>
      <c r="T223" s="84"/>
      <c r="U223" s="84"/>
      <c r="V223" s="84"/>
      <c r="W223" s="84"/>
      <c r="X223" s="86"/>
    </row>
    <row r="224" ht="15.0" customHeight="1">
      <c r="A224" s="81"/>
      <c r="B224" s="51"/>
      <c r="C224" s="51"/>
      <c r="D224" s="50"/>
      <c r="E224" s="50"/>
      <c r="F224" s="50"/>
      <c r="G224" s="50"/>
      <c r="H224" s="50"/>
      <c r="I224" s="82"/>
      <c r="J224" s="83"/>
      <c r="K224" s="83"/>
      <c r="L224" s="84"/>
      <c r="M224" s="84"/>
      <c r="N224" s="84"/>
      <c r="O224" s="85"/>
      <c r="P224" s="84"/>
      <c r="Q224" s="84"/>
      <c r="R224" s="84"/>
      <c r="S224" s="84"/>
      <c r="T224" s="84"/>
      <c r="U224" s="84"/>
      <c r="V224" s="84"/>
      <c r="W224" s="84"/>
      <c r="X224" s="86"/>
    </row>
    <row r="225" ht="15.0" customHeight="1">
      <c r="A225" s="81"/>
      <c r="B225" s="51"/>
      <c r="C225" s="51"/>
      <c r="D225" s="50"/>
      <c r="E225" s="50"/>
      <c r="F225" s="50"/>
      <c r="G225" s="50"/>
      <c r="H225" s="50"/>
      <c r="I225" s="82"/>
      <c r="J225" s="83"/>
      <c r="K225" s="83"/>
      <c r="L225" s="84"/>
      <c r="M225" s="84"/>
      <c r="N225" s="84"/>
      <c r="O225" s="85"/>
      <c r="P225" s="84"/>
      <c r="Q225" s="84"/>
      <c r="R225" s="84"/>
      <c r="S225" s="84"/>
      <c r="T225" s="84"/>
      <c r="U225" s="84"/>
      <c r="V225" s="84"/>
      <c r="W225" s="84"/>
      <c r="X225" s="86"/>
    </row>
    <row r="226" ht="15.0" customHeight="1">
      <c r="A226" s="81"/>
      <c r="B226" s="51"/>
      <c r="C226" s="51"/>
      <c r="D226" s="50"/>
      <c r="E226" s="50"/>
      <c r="F226" s="50"/>
      <c r="G226" s="50"/>
      <c r="H226" s="50"/>
      <c r="I226" s="82"/>
      <c r="J226" s="83"/>
      <c r="K226" s="83"/>
      <c r="L226" s="84"/>
      <c r="M226" s="84"/>
      <c r="N226" s="84"/>
      <c r="O226" s="85"/>
      <c r="P226" s="84"/>
      <c r="Q226" s="84"/>
      <c r="R226" s="84"/>
      <c r="S226" s="84"/>
      <c r="T226" s="84"/>
      <c r="U226" s="84"/>
      <c r="V226" s="84"/>
      <c r="W226" s="84"/>
      <c r="X226" s="86"/>
    </row>
    <row r="227" ht="15.0" customHeight="1">
      <c r="A227" s="81"/>
      <c r="B227" s="51"/>
      <c r="C227" s="51"/>
      <c r="D227" s="50"/>
      <c r="E227" s="50"/>
      <c r="F227" s="50"/>
      <c r="G227" s="50"/>
      <c r="H227" s="50"/>
      <c r="I227" s="82"/>
      <c r="J227" s="83"/>
      <c r="K227" s="83"/>
      <c r="L227" s="84"/>
      <c r="M227" s="84"/>
      <c r="N227" s="84"/>
      <c r="O227" s="85"/>
      <c r="P227" s="84"/>
      <c r="Q227" s="84"/>
      <c r="R227" s="84"/>
      <c r="S227" s="84"/>
      <c r="T227" s="84"/>
      <c r="U227" s="84"/>
      <c r="V227" s="84"/>
      <c r="W227" s="84"/>
      <c r="X227" s="86"/>
    </row>
    <row r="228" ht="15.0" customHeight="1">
      <c r="A228" s="81"/>
      <c r="B228" s="51"/>
      <c r="C228" s="51"/>
      <c r="D228" s="50"/>
      <c r="E228" s="50"/>
      <c r="F228" s="50"/>
      <c r="G228" s="50"/>
      <c r="H228" s="50"/>
      <c r="I228" s="82"/>
      <c r="J228" s="83"/>
      <c r="K228" s="83"/>
      <c r="L228" s="84"/>
      <c r="M228" s="84"/>
      <c r="N228" s="84"/>
      <c r="O228" s="85"/>
      <c r="P228" s="84"/>
      <c r="Q228" s="84"/>
      <c r="R228" s="84"/>
      <c r="S228" s="84"/>
      <c r="T228" s="84"/>
      <c r="U228" s="84"/>
      <c r="V228" s="84"/>
      <c r="W228" s="84"/>
      <c r="X228" s="86"/>
    </row>
    <row r="229" ht="15.0" customHeight="1">
      <c r="A229" s="81"/>
      <c r="B229" s="51"/>
      <c r="C229" s="51"/>
      <c r="D229" s="50"/>
      <c r="E229" s="50"/>
      <c r="F229" s="50"/>
      <c r="G229" s="50"/>
      <c r="H229" s="50"/>
      <c r="I229" s="82"/>
      <c r="J229" s="83"/>
      <c r="K229" s="83"/>
      <c r="L229" s="84"/>
      <c r="M229" s="84"/>
      <c r="N229" s="84"/>
      <c r="O229" s="85"/>
      <c r="P229" s="84"/>
      <c r="Q229" s="84"/>
      <c r="R229" s="84"/>
      <c r="S229" s="84"/>
      <c r="T229" s="84"/>
      <c r="U229" s="84"/>
      <c r="V229" s="84"/>
      <c r="W229" s="84"/>
      <c r="X229" s="86"/>
    </row>
    <row r="230" ht="15.0" customHeight="1">
      <c r="A230" s="81"/>
      <c r="B230" s="51"/>
      <c r="C230" s="51"/>
      <c r="D230" s="50"/>
      <c r="E230" s="50"/>
      <c r="F230" s="50"/>
      <c r="G230" s="50"/>
      <c r="H230" s="50"/>
      <c r="I230" s="82"/>
      <c r="J230" s="83"/>
      <c r="K230" s="83"/>
      <c r="L230" s="84"/>
      <c r="M230" s="84"/>
      <c r="N230" s="84"/>
      <c r="O230" s="85"/>
      <c r="P230" s="84"/>
      <c r="Q230" s="84"/>
      <c r="R230" s="84"/>
      <c r="S230" s="84"/>
      <c r="T230" s="84"/>
      <c r="U230" s="84"/>
      <c r="V230" s="84"/>
      <c r="W230" s="84"/>
      <c r="X230" s="86"/>
    </row>
    <row r="231" ht="15.0" customHeight="1">
      <c r="A231" s="81"/>
      <c r="B231" s="51"/>
      <c r="C231" s="51"/>
      <c r="D231" s="50"/>
      <c r="E231" s="50"/>
      <c r="F231" s="50"/>
      <c r="G231" s="50"/>
      <c r="H231" s="50"/>
      <c r="I231" s="82"/>
      <c r="J231" s="83"/>
      <c r="K231" s="83"/>
      <c r="L231" s="84"/>
      <c r="M231" s="84"/>
      <c r="N231" s="84"/>
      <c r="O231" s="85"/>
      <c r="P231" s="84"/>
      <c r="Q231" s="84"/>
      <c r="R231" s="84"/>
      <c r="S231" s="84"/>
      <c r="T231" s="84"/>
      <c r="U231" s="84"/>
      <c r="V231" s="84"/>
      <c r="W231" s="84"/>
      <c r="X231" s="86"/>
    </row>
    <row r="232" ht="15.0" customHeight="1">
      <c r="A232" s="81"/>
      <c r="B232" s="51"/>
      <c r="C232" s="51"/>
      <c r="D232" s="50"/>
      <c r="E232" s="50"/>
      <c r="F232" s="50"/>
      <c r="G232" s="50"/>
      <c r="H232" s="50"/>
      <c r="I232" s="82"/>
      <c r="J232" s="83"/>
      <c r="K232" s="83"/>
      <c r="L232" s="84"/>
      <c r="M232" s="84"/>
      <c r="N232" s="84"/>
      <c r="O232" s="85"/>
      <c r="P232" s="84"/>
      <c r="Q232" s="84"/>
      <c r="R232" s="84"/>
      <c r="S232" s="84"/>
      <c r="T232" s="84"/>
      <c r="U232" s="84"/>
      <c r="V232" s="84"/>
      <c r="W232" s="84"/>
      <c r="X232" s="86"/>
    </row>
    <row r="233" ht="15.0" customHeight="1">
      <c r="A233" s="81"/>
      <c r="B233" s="51"/>
      <c r="C233" s="51"/>
      <c r="D233" s="50"/>
      <c r="E233" s="50"/>
      <c r="F233" s="50"/>
      <c r="G233" s="50"/>
      <c r="H233" s="50"/>
      <c r="I233" s="82"/>
      <c r="J233" s="83"/>
      <c r="K233" s="83"/>
      <c r="L233" s="84"/>
      <c r="M233" s="84"/>
      <c r="N233" s="84"/>
      <c r="O233" s="85"/>
      <c r="P233" s="84"/>
      <c r="Q233" s="84"/>
      <c r="R233" s="84"/>
      <c r="S233" s="84"/>
      <c r="T233" s="84"/>
      <c r="U233" s="84"/>
      <c r="V233" s="84"/>
      <c r="W233" s="84"/>
      <c r="X233" s="86"/>
    </row>
    <row r="234" ht="15.0" customHeight="1">
      <c r="A234" s="81"/>
      <c r="B234" s="51"/>
      <c r="C234" s="51"/>
      <c r="D234" s="50"/>
      <c r="E234" s="50"/>
      <c r="F234" s="50"/>
      <c r="G234" s="50"/>
      <c r="H234" s="50"/>
      <c r="I234" s="82"/>
      <c r="J234" s="83"/>
      <c r="K234" s="83"/>
      <c r="L234" s="84"/>
      <c r="M234" s="84"/>
      <c r="N234" s="84"/>
      <c r="O234" s="85"/>
      <c r="P234" s="84"/>
      <c r="Q234" s="84"/>
      <c r="R234" s="84"/>
      <c r="S234" s="84"/>
      <c r="T234" s="84"/>
      <c r="U234" s="84"/>
      <c r="V234" s="84"/>
      <c r="W234" s="84"/>
      <c r="X234" s="86"/>
    </row>
    <row r="235" ht="15.0" customHeight="1">
      <c r="A235" s="81"/>
      <c r="B235" s="51"/>
      <c r="C235" s="51"/>
      <c r="D235" s="50"/>
      <c r="E235" s="50"/>
      <c r="F235" s="50"/>
      <c r="G235" s="50"/>
      <c r="H235" s="50"/>
      <c r="I235" s="82"/>
      <c r="J235" s="83"/>
      <c r="K235" s="83"/>
      <c r="L235" s="84"/>
      <c r="M235" s="84"/>
      <c r="N235" s="84"/>
      <c r="O235" s="85"/>
      <c r="P235" s="84"/>
      <c r="Q235" s="84"/>
      <c r="R235" s="84"/>
      <c r="S235" s="84"/>
      <c r="T235" s="84"/>
      <c r="U235" s="84"/>
      <c r="V235" s="84"/>
      <c r="W235" s="84"/>
      <c r="X235" s="86"/>
    </row>
    <row r="236" ht="15.0" customHeight="1">
      <c r="A236" s="81"/>
      <c r="B236" s="51"/>
      <c r="C236" s="51"/>
      <c r="D236" s="50"/>
      <c r="E236" s="50"/>
      <c r="F236" s="50"/>
      <c r="G236" s="50"/>
      <c r="H236" s="50"/>
      <c r="I236" s="82"/>
      <c r="J236" s="83"/>
      <c r="K236" s="83"/>
      <c r="L236" s="84"/>
      <c r="M236" s="84"/>
      <c r="N236" s="84"/>
      <c r="O236" s="85"/>
      <c r="P236" s="84"/>
      <c r="Q236" s="84"/>
      <c r="R236" s="84"/>
      <c r="S236" s="84"/>
      <c r="T236" s="84"/>
      <c r="U236" s="84"/>
      <c r="V236" s="84"/>
      <c r="W236" s="84"/>
      <c r="X236" s="86"/>
    </row>
    <row r="237" ht="15.0" customHeight="1">
      <c r="A237" s="81"/>
      <c r="B237" s="51"/>
      <c r="C237" s="51"/>
      <c r="D237" s="50"/>
      <c r="E237" s="50"/>
      <c r="F237" s="50"/>
      <c r="G237" s="50"/>
      <c r="H237" s="50"/>
      <c r="I237" s="82"/>
      <c r="J237" s="83"/>
      <c r="K237" s="83"/>
      <c r="L237" s="84"/>
      <c r="M237" s="84"/>
      <c r="N237" s="84"/>
      <c r="O237" s="85"/>
      <c r="P237" s="84"/>
      <c r="Q237" s="84"/>
      <c r="R237" s="84"/>
      <c r="S237" s="84"/>
      <c r="T237" s="84"/>
      <c r="U237" s="84"/>
      <c r="V237" s="84"/>
      <c r="W237" s="84"/>
      <c r="X237" s="86"/>
    </row>
    <row r="238" ht="15.0" customHeight="1">
      <c r="A238" s="81"/>
      <c r="B238" s="51"/>
      <c r="C238" s="51"/>
      <c r="D238" s="50"/>
      <c r="E238" s="50"/>
      <c r="F238" s="50"/>
      <c r="G238" s="50"/>
      <c r="H238" s="50"/>
      <c r="I238" s="82"/>
      <c r="J238" s="83"/>
      <c r="K238" s="83"/>
      <c r="L238" s="84"/>
      <c r="M238" s="84"/>
      <c r="N238" s="84"/>
      <c r="O238" s="85"/>
      <c r="P238" s="84"/>
      <c r="Q238" s="84"/>
      <c r="R238" s="84"/>
      <c r="S238" s="84"/>
      <c r="T238" s="84"/>
      <c r="U238" s="84"/>
      <c r="V238" s="84"/>
      <c r="W238" s="84"/>
      <c r="X238" s="86"/>
    </row>
    <row r="239" ht="15.0" customHeight="1">
      <c r="A239" s="81"/>
      <c r="B239" s="51"/>
      <c r="C239" s="51"/>
      <c r="D239" s="50"/>
      <c r="E239" s="50"/>
      <c r="F239" s="50"/>
      <c r="G239" s="50"/>
      <c r="H239" s="50"/>
      <c r="I239" s="82"/>
      <c r="J239" s="83"/>
      <c r="K239" s="83"/>
      <c r="L239" s="84"/>
      <c r="M239" s="84"/>
      <c r="N239" s="84"/>
      <c r="O239" s="85"/>
      <c r="P239" s="84"/>
      <c r="Q239" s="84"/>
      <c r="R239" s="84"/>
      <c r="S239" s="84"/>
      <c r="T239" s="84"/>
      <c r="U239" s="84"/>
      <c r="V239" s="84"/>
      <c r="W239" s="84"/>
      <c r="X239" s="86"/>
    </row>
    <row r="240" ht="15.0" customHeight="1">
      <c r="A240" s="81"/>
      <c r="B240" s="51"/>
      <c r="C240" s="51"/>
      <c r="D240" s="50"/>
      <c r="E240" s="50"/>
      <c r="F240" s="50"/>
      <c r="G240" s="50"/>
      <c r="H240" s="50"/>
      <c r="I240" s="82"/>
      <c r="J240" s="83"/>
      <c r="K240" s="83"/>
      <c r="L240" s="84"/>
      <c r="M240" s="84"/>
      <c r="N240" s="84"/>
      <c r="O240" s="85"/>
      <c r="P240" s="84"/>
      <c r="Q240" s="84"/>
      <c r="R240" s="84"/>
      <c r="S240" s="84"/>
      <c r="T240" s="84"/>
      <c r="U240" s="84"/>
      <c r="V240" s="84"/>
      <c r="W240" s="84"/>
      <c r="X240" s="86"/>
    </row>
    <row r="241" ht="15.0" customHeight="1">
      <c r="A241" s="81"/>
      <c r="B241" s="51"/>
      <c r="C241" s="51"/>
      <c r="D241" s="50"/>
      <c r="E241" s="50"/>
      <c r="F241" s="50"/>
      <c r="G241" s="50"/>
      <c r="H241" s="50"/>
      <c r="I241" s="82"/>
      <c r="J241" s="83"/>
      <c r="K241" s="83"/>
      <c r="L241" s="84"/>
      <c r="M241" s="84"/>
      <c r="N241" s="84"/>
      <c r="O241" s="85"/>
      <c r="P241" s="84"/>
      <c r="Q241" s="84"/>
      <c r="R241" s="84"/>
      <c r="S241" s="84"/>
      <c r="T241" s="84"/>
      <c r="U241" s="84"/>
      <c r="V241" s="84"/>
      <c r="W241" s="84"/>
      <c r="X241" s="86"/>
    </row>
    <row r="242" ht="15.0" customHeight="1">
      <c r="A242" s="81"/>
      <c r="B242" s="51"/>
      <c r="C242" s="51"/>
      <c r="D242" s="50"/>
      <c r="E242" s="50"/>
      <c r="F242" s="50"/>
      <c r="G242" s="50"/>
      <c r="H242" s="50"/>
      <c r="I242" s="82"/>
      <c r="J242" s="83"/>
      <c r="K242" s="83"/>
      <c r="L242" s="84"/>
      <c r="M242" s="84"/>
      <c r="N242" s="84"/>
      <c r="O242" s="85"/>
      <c r="P242" s="84"/>
      <c r="Q242" s="84"/>
      <c r="R242" s="84"/>
      <c r="S242" s="84"/>
      <c r="T242" s="84"/>
      <c r="U242" s="84"/>
      <c r="V242" s="84"/>
      <c r="W242" s="84"/>
      <c r="X242" s="86"/>
    </row>
    <row r="243" ht="15.0" customHeight="1">
      <c r="A243" s="81"/>
      <c r="B243" s="51"/>
      <c r="C243" s="51"/>
      <c r="D243" s="50"/>
      <c r="E243" s="50"/>
      <c r="F243" s="50"/>
      <c r="G243" s="50"/>
      <c r="H243" s="50"/>
      <c r="I243" s="82"/>
      <c r="J243" s="83"/>
      <c r="K243" s="83"/>
      <c r="L243" s="84"/>
      <c r="M243" s="84"/>
      <c r="N243" s="84"/>
      <c r="O243" s="85"/>
      <c r="P243" s="84"/>
      <c r="Q243" s="84"/>
      <c r="R243" s="84"/>
      <c r="S243" s="84"/>
      <c r="T243" s="84"/>
      <c r="U243" s="84"/>
      <c r="V243" s="84"/>
      <c r="W243" s="84"/>
      <c r="X243" s="86"/>
    </row>
    <row r="244" ht="15.0" customHeight="1">
      <c r="A244" s="81"/>
      <c r="B244" s="51"/>
      <c r="C244" s="51"/>
      <c r="D244" s="50"/>
      <c r="E244" s="50"/>
      <c r="F244" s="50"/>
      <c r="G244" s="50"/>
      <c r="H244" s="50"/>
      <c r="I244" s="82"/>
      <c r="J244" s="83"/>
      <c r="K244" s="83"/>
      <c r="L244" s="84"/>
      <c r="M244" s="84"/>
      <c r="N244" s="84"/>
      <c r="O244" s="85"/>
      <c r="P244" s="84"/>
      <c r="Q244" s="84"/>
      <c r="R244" s="84"/>
      <c r="S244" s="84"/>
      <c r="T244" s="84"/>
      <c r="U244" s="84"/>
      <c r="V244" s="84"/>
      <c r="W244" s="84"/>
      <c r="X244" s="86"/>
    </row>
    <row r="245" ht="15.0" customHeight="1">
      <c r="A245" s="81"/>
      <c r="B245" s="51"/>
      <c r="C245" s="51"/>
      <c r="D245" s="50"/>
      <c r="E245" s="50"/>
      <c r="F245" s="50"/>
      <c r="G245" s="50"/>
      <c r="H245" s="50"/>
      <c r="I245" s="82"/>
      <c r="J245" s="83"/>
      <c r="K245" s="83"/>
      <c r="L245" s="84"/>
      <c r="M245" s="84"/>
      <c r="N245" s="84"/>
      <c r="O245" s="85"/>
      <c r="P245" s="84"/>
      <c r="Q245" s="84"/>
      <c r="R245" s="84"/>
      <c r="S245" s="84"/>
      <c r="T245" s="84"/>
      <c r="U245" s="84"/>
      <c r="V245" s="84"/>
      <c r="W245" s="84"/>
      <c r="X245" s="86"/>
    </row>
    <row r="246" ht="15.0" customHeight="1">
      <c r="A246" s="81"/>
      <c r="B246" s="51"/>
      <c r="C246" s="51"/>
      <c r="D246" s="50"/>
      <c r="E246" s="50"/>
      <c r="F246" s="50"/>
      <c r="G246" s="50"/>
      <c r="H246" s="50"/>
      <c r="I246" s="82"/>
      <c r="J246" s="83"/>
      <c r="K246" s="83"/>
      <c r="L246" s="84"/>
      <c r="M246" s="84"/>
      <c r="N246" s="84"/>
      <c r="O246" s="85"/>
      <c r="P246" s="84"/>
      <c r="Q246" s="84"/>
      <c r="R246" s="84"/>
      <c r="S246" s="84"/>
      <c r="T246" s="84"/>
      <c r="U246" s="84"/>
      <c r="V246" s="84"/>
      <c r="W246" s="84"/>
      <c r="X246" s="86"/>
    </row>
    <row r="247" ht="15.0" customHeight="1">
      <c r="A247" s="81"/>
      <c r="B247" s="51"/>
      <c r="C247" s="51"/>
      <c r="D247" s="50"/>
      <c r="E247" s="50"/>
      <c r="F247" s="50"/>
      <c r="G247" s="50"/>
      <c r="H247" s="50"/>
      <c r="I247" s="82"/>
      <c r="J247" s="83"/>
      <c r="K247" s="83"/>
      <c r="L247" s="84"/>
      <c r="M247" s="84"/>
      <c r="N247" s="84"/>
      <c r="O247" s="85"/>
      <c r="P247" s="84"/>
      <c r="Q247" s="84"/>
      <c r="R247" s="84"/>
      <c r="S247" s="84"/>
      <c r="T247" s="84"/>
      <c r="U247" s="84"/>
      <c r="V247" s="84"/>
      <c r="W247" s="84"/>
      <c r="X247" s="86"/>
    </row>
    <row r="248" ht="15.0" customHeight="1">
      <c r="A248" s="81"/>
      <c r="B248" s="51"/>
      <c r="C248" s="51"/>
      <c r="D248" s="50"/>
      <c r="E248" s="50"/>
      <c r="F248" s="50"/>
      <c r="G248" s="50"/>
      <c r="H248" s="50"/>
      <c r="I248" s="82"/>
      <c r="J248" s="83"/>
      <c r="K248" s="83"/>
      <c r="L248" s="84"/>
      <c r="M248" s="84"/>
      <c r="N248" s="84"/>
      <c r="O248" s="85"/>
      <c r="P248" s="84"/>
      <c r="Q248" s="84"/>
      <c r="R248" s="84"/>
      <c r="S248" s="84"/>
      <c r="T248" s="84"/>
      <c r="U248" s="84"/>
      <c r="V248" s="84"/>
      <c r="W248" s="84"/>
      <c r="X248" s="86"/>
    </row>
    <row r="249" ht="15.0" customHeight="1">
      <c r="A249" s="81"/>
      <c r="B249" s="51"/>
      <c r="C249" s="51"/>
      <c r="D249" s="50"/>
      <c r="E249" s="50"/>
      <c r="F249" s="50"/>
      <c r="G249" s="50"/>
      <c r="H249" s="50"/>
      <c r="I249" s="82"/>
      <c r="J249" s="83"/>
      <c r="K249" s="83"/>
      <c r="L249" s="84"/>
      <c r="M249" s="84"/>
      <c r="N249" s="84"/>
      <c r="O249" s="85"/>
      <c r="P249" s="84"/>
      <c r="Q249" s="84"/>
      <c r="R249" s="84"/>
      <c r="S249" s="84"/>
      <c r="T249" s="84"/>
      <c r="U249" s="84"/>
      <c r="V249" s="84"/>
      <c r="W249" s="84"/>
      <c r="X249" s="86"/>
    </row>
    <row r="250" ht="15.0" customHeight="1">
      <c r="A250" s="81"/>
      <c r="B250" s="51"/>
      <c r="C250" s="51"/>
      <c r="D250" s="50"/>
      <c r="E250" s="50"/>
      <c r="F250" s="50"/>
      <c r="G250" s="50"/>
      <c r="H250" s="50"/>
      <c r="I250" s="82"/>
      <c r="J250" s="83"/>
      <c r="K250" s="83"/>
      <c r="L250" s="84"/>
      <c r="M250" s="84"/>
      <c r="N250" s="84"/>
      <c r="O250" s="85"/>
      <c r="P250" s="84"/>
      <c r="Q250" s="84"/>
      <c r="R250" s="84"/>
      <c r="S250" s="84"/>
      <c r="T250" s="84"/>
      <c r="U250" s="84"/>
      <c r="V250" s="84"/>
      <c r="W250" s="84"/>
      <c r="X250" s="86"/>
    </row>
    <row r="251" ht="15.0" customHeight="1">
      <c r="A251" s="81"/>
      <c r="B251" s="51"/>
      <c r="C251" s="51"/>
      <c r="D251" s="50"/>
      <c r="E251" s="50"/>
      <c r="F251" s="50"/>
      <c r="G251" s="50"/>
      <c r="H251" s="50"/>
      <c r="I251" s="82"/>
      <c r="J251" s="83"/>
      <c r="K251" s="83"/>
      <c r="L251" s="84"/>
      <c r="M251" s="84"/>
      <c r="N251" s="84"/>
      <c r="O251" s="85"/>
      <c r="P251" s="84"/>
      <c r="Q251" s="84"/>
      <c r="R251" s="84"/>
      <c r="S251" s="84"/>
      <c r="T251" s="84"/>
      <c r="U251" s="84"/>
      <c r="V251" s="84"/>
      <c r="W251" s="84"/>
      <c r="X251" s="86"/>
    </row>
    <row r="252" ht="15.0" customHeight="1">
      <c r="A252" s="81"/>
      <c r="B252" s="51"/>
      <c r="C252" s="51"/>
      <c r="D252" s="50"/>
      <c r="E252" s="50"/>
      <c r="F252" s="50"/>
      <c r="G252" s="50"/>
      <c r="H252" s="50"/>
      <c r="I252" s="82"/>
      <c r="J252" s="83"/>
      <c r="K252" s="83"/>
      <c r="L252" s="84"/>
      <c r="M252" s="84"/>
      <c r="N252" s="84"/>
      <c r="O252" s="85"/>
      <c r="P252" s="84"/>
      <c r="Q252" s="84"/>
      <c r="R252" s="84"/>
      <c r="S252" s="84"/>
      <c r="T252" s="84"/>
      <c r="U252" s="84"/>
      <c r="V252" s="84"/>
      <c r="W252" s="84"/>
      <c r="X252" s="86"/>
    </row>
    <row r="253" ht="15.0" customHeight="1">
      <c r="A253" s="81"/>
      <c r="B253" s="51"/>
      <c r="C253" s="51"/>
      <c r="D253" s="50"/>
      <c r="E253" s="50"/>
      <c r="F253" s="50"/>
      <c r="G253" s="50"/>
      <c r="H253" s="50"/>
      <c r="I253" s="82"/>
      <c r="J253" s="83"/>
      <c r="K253" s="83"/>
      <c r="L253" s="84"/>
      <c r="M253" s="84"/>
      <c r="N253" s="84"/>
      <c r="O253" s="85"/>
      <c r="P253" s="84"/>
      <c r="Q253" s="84"/>
      <c r="R253" s="84"/>
      <c r="S253" s="84"/>
      <c r="T253" s="84"/>
      <c r="U253" s="84"/>
      <c r="V253" s="84"/>
      <c r="W253" s="84"/>
      <c r="X253" s="86"/>
    </row>
    <row r="254" ht="15.0" customHeight="1">
      <c r="A254" s="81"/>
      <c r="B254" s="51"/>
      <c r="C254" s="51"/>
      <c r="D254" s="50"/>
      <c r="E254" s="50"/>
      <c r="F254" s="50"/>
      <c r="G254" s="50"/>
      <c r="H254" s="50"/>
      <c r="I254" s="82"/>
      <c r="J254" s="83"/>
      <c r="K254" s="83"/>
      <c r="L254" s="84"/>
      <c r="M254" s="84"/>
      <c r="N254" s="84"/>
      <c r="O254" s="85"/>
      <c r="P254" s="84"/>
      <c r="Q254" s="84"/>
      <c r="R254" s="84"/>
      <c r="S254" s="84"/>
      <c r="T254" s="84"/>
      <c r="U254" s="84"/>
      <c r="V254" s="84"/>
      <c r="W254" s="84"/>
      <c r="X254" s="86"/>
    </row>
    <row r="255" ht="15.0" customHeight="1">
      <c r="A255" s="81"/>
      <c r="B255" s="51"/>
      <c r="C255" s="51"/>
      <c r="D255" s="50"/>
      <c r="E255" s="50"/>
      <c r="F255" s="50"/>
      <c r="G255" s="50"/>
      <c r="H255" s="50"/>
      <c r="I255" s="82"/>
      <c r="J255" s="83"/>
      <c r="K255" s="83"/>
      <c r="L255" s="84"/>
      <c r="M255" s="84"/>
      <c r="N255" s="84"/>
      <c r="O255" s="85"/>
      <c r="P255" s="84"/>
      <c r="Q255" s="84"/>
      <c r="R255" s="84"/>
      <c r="S255" s="84"/>
      <c r="T255" s="84"/>
      <c r="U255" s="84"/>
      <c r="V255" s="84"/>
      <c r="W255" s="84"/>
      <c r="X255" s="86"/>
    </row>
    <row r="256" ht="15.0" customHeight="1">
      <c r="A256" s="81"/>
      <c r="B256" s="51"/>
      <c r="C256" s="51"/>
      <c r="D256" s="50"/>
      <c r="E256" s="50"/>
      <c r="F256" s="50"/>
      <c r="G256" s="50"/>
      <c r="H256" s="50"/>
      <c r="I256" s="82"/>
      <c r="J256" s="83"/>
      <c r="K256" s="83"/>
      <c r="L256" s="84"/>
      <c r="M256" s="84"/>
      <c r="N256" s="84"/>
      <c r="O256" s="85"/>
      <c r="P256" s="84"/>
      <c r="Q256" s="84"/>
      <c r="R256" s="84"/>
      <c r="S256" s="84"/>
      <c r="T256" s="84"/>
      <c r="U256" s="84"/>
      <c r="V256" s="84"/>
      <c r="W256" s="84"/>
      <c r="X256" s="86"/>
    </row>
    <row r="257" ht="15.0" customHeight="1">
      <c r="A257" s="81"/>
      <c r="B257" s="51"/>
      <c r="C257" s="51"/>
      <c r="D257" s="50"/>
      <c r="E257" s="50"/>
      <c r="F257" s="50"/>
      <c r="G257" s="50"/>
      <c r="H257" s="50"/>
      <c r="I257" s="82"/>
      <c r="J257" s="83"/>
      <c r="K257" s="83"/>
      <c r="L257" s="84"/>
      <c r="M257" s="84"/>
      <c r="N257" s="84"/>
      <c r="O257" s="85"/>
      <c r="P257" s="84"/>
      <c r="Q257" s="84"/>
      <c r="R257" s="84"/>
      <c r="S257" s="84"/>
      <c r="T257" s="84"/>
      <c r="U257" s="84"/>
      <c r="V257" s="84"/>
      <c r="W257" s="84"/>
      <c r="X257" s="86"/>
    </row>
    <row r="258" ht="15.0" customHeight="1">
      <c r="A258" s="81"/>
      <c r="B258" s="51"/>
      <c r="C258" s="51"/>
      <c r="D258" s="50"/>
      <c r="E258" s="50"/>
      <c r="F258" s="50"/>
      <c r="G258" s="50"/>
      <c r="H258" s="50"/>
      <c r="I258" s="82"/>
      <c r="J258" s="83"/>
      <c r="K258" s="83"/>
      <c r="L258" s="84"/>
      <c r="M258" s="84"/>
      <c r="N258" s="84"/>
      <c r="O258" s="85"/>
      <c r="P258" s="84"/>
      <c r="Q258" s="84"/>
      <c r="R258" s="84"/>
      <c r="S258" s="84"/>
      <c r="T258" s="84"/>
      <c r="U258" s="84"/>
      <c r="V258" s="84"/>
      <c r="W258" s="84"/>
      <c r="X258" s="86"/>
    </row>
    <row r="259" ht="15.0" customHeight="1">
      <c r="A259" s="81"/>
      <c r="B259" s="51"/>
      <c r="C259" s="51"/>
      <c r="D259" s="50"/>
      <c r="E259" s="50"/>
      <c r="F259" s="50"/>
      <c r="G259" s="50"/>
      <c r="H259" s="50"/>
      <c r="I259" s="82"/>
      <c r="J259" s="83"/>
      <c r="K259" s="83"/>
      <c r="L259" s="84"/>
      <c r="M259" s="84"/>
      <c r="N259" s="84"/>
      <c r="O259" s="85"/>
      <c r="P259" s="84"/>
      <c r="Q259" s="84"/>
      <c r="R259" s="84"/>
      <c r="S259" s="84"/>
      <c r="T259" s="84"/>
      <c r="U259" s="84"/>
      <c r="V259" s="84"/>
      <c r="W259" s="84"/>
      <c r="X259" s="86"/>
    </row>
    <row r="260" ht="15.0" customHeight="1">
      <c r="A260" s="81"/>
      <c r="B260" s="51"/>
      <c r="C260" s="51"/>
      <c r="D260" s="50"/>
      <c r="E260" s="50"/>
      <c r="F260" s="50"/>
      <c r="G260" s="50"/>
      <c r="H260" s="50"/>
      <c r="I260" s="82"/>
      <c r="J260" s="83"/>
      <c r="K260" s="83"/>
      <c r="L260" s="84"/>
      <c r="M260" s="84"/>
      <c r="N260" s="84"/>
      <c r="O260" s="85"/>
      <c r="P260" s="84"/>
      <c r="Q260" s="84"/>
      <c r="R260" s="84"/>
      <c r="S260" s="84"/>
      <c r="T260" s="84"/>
      <c r="U260" s="84"/>
      <c r="V260" s="84"/>
      <c r="W260" s="84"/>
      <c r="X260" s="86"/>
    </row>
    <row r="261" ht="15.0" customHeight="1">
      <c r="A261" s="81"/>
      <c r="B261" s="51"/>
      <c r="C261" s="51"/>
      <c r="D261" s="50"/>
      <c r="E261" s="50"/>
      <c r="F261" s="50"/>
      <c r="G261" s="50"/>
      <c r="H261" s="50"/>
      <c r="I261" s="82"/>
      <c r="J261" s="83"/>
      <c r="K261" s="83"/>
      <c r="L261" s="84"/>
      <c r="M261" s="84"/>
      <c r="N261" s="84"/>
      <c r="O261" s="85"/>
      <c r="P261" s="84"/>
      <c r="Q261" s="84"/>
      <c r="R261" s="84"/>
      <c r="S261" s="84"/>
      <c r="T261" s="84"/>
      <c r="U261" s="84"/>
      <c r="V261" s="84"/>
      <c r="W261" s="84"/>
      <c r="X261" s="86"/>
    </row>
    <row r="262" ht="15.0" customHeight="1">
      <c r="A262" s="81"/>
      <c r="B262" s="51"/>
      <c r="C262" s="51"/>
      <c r="D262" s="50"/>
      <c r="E262" s="50"/>
      <c r="F262" s="50"/>
      <c r="G262" s="50"/>
      <c r="H262" s="50"/>
      <c r="I262" s="82"/>
      <c r="J262" s="83"/>
      <c r="K262" s="83"/>
      <c r="L262" s="84"/>
      <c r="M262" s="84"/>
      <c r="N262" s="84"/>
      <c r="O262" s="85"/>
      <c r="P262" s="84"/>
      <c r="Q262" s="84"/>
      <c r="R262" s="84"/>
      <c r="S262" s="84"/>
      <c r="T262" s="84"/>
      <c r="U262" s="84"/>
      <c r="V262" s="84"/>
      <c r="W262" s="84"/>
      <c r="X262" s="86"/>
    </row>
    <row r="263" ht="15.0" customHeight="1">
      <c r="A263" s="81"/>
      <c r="B263" s="51"/>
      <c r="C263" s="51"/>
      <c r="D263" s="50"/>
      <c r="E263" s="50"/>
      <c r="F263" s="50"/>
      <c r="G263" s="50"/>
      <c r="H263" s="50"/>
      <c r="I263" s="82"/>
      <c r="J263" s="83"/>
      <c r="K263" s="83"/>
      <c r="L263" s="84"/>
      <c r="M263" s="84"/>
      <c r="N263" s="84"/>
      <c r="O263" s="85"/>
      <c r="P263" s="84"/>
      <c r="Q263" s="84"/>
      <c r="R263" s="84"/>
      <c r="S263" s="84"/>
      <c r="T263" s="84"/>
      <c r="U263" s="84"/>
      <c r="V263" s="84"/>
      <c r="W263" s="84"/>
      <c r="X263" s="86"/>
    </row>
    <row r="264" ht="15.0" customHeight="1">
      <c r="A264" s="81"/>
      <c r="B264" s="51"/>
      <c r="C264" s="51"/>
      <c r="D264" s="50"/>
      <c r="E264" s="50"/>
      <c r="F264" s="50"/>
      <c r="G264" s="50"/>
      <c r="H264" s="50"/>
      <c r="I264" s="82"/>
      <c r="J264" s="83"/>
      <c r="K264" s="83"/>
      <c r="L264" s="84"/>
      <c r="M264" s="84"/>
      <c r="N264" s="84"/>
      <c r="O264" s="85"/>
      <c r="P264" s="84"/>
      <c r="Q264" s="84"/>
      <c r="R264" s="84"/>
      <c r="S264" s="84"/>
      <c r="T264" s="84"/>
      <c r="U264" s="84"/>
      <c r="V264" s="84"/>
      <c r="W264" s="84"/>
      <c r="X264" s="86"/>
    </row>
    <row r="265" ht="15.0" customHeight="1">
      <c r="A265" s="81"/>
      <c r="B265" s="51"/>
      <c r="C265" s="51"/>
      <c r="D265" s="50"/>
      <c r="E265" s="50"/>
      <c r="F265" s="50"/>
      <c r="G265" s="50"/>
      <c r="H265" s="50"/>
      <c r="I265" s="82"/>
      <c r="J265" s="83"/>
      <c r="K265" s="83"/>
      <c r="L265" s="84"/>
      <c r="M265" s="84"/>
      <c r="N265" s="84"/>
      <c r="O265" s="85"/>
      <c r="P265" s="84"/>
      <c r="Q265" s="84"/>
      <c r="R265" s="84"/>
      <c r="S265" s="84"/>
      <c r="T265" s="84"/>
      <c r="U265" s="84"/>
      <c r="V265" s="84"/>
      <c r="W265" s="84"/>
      <c r="X265" s="86"/>
    </row>
    <row r="266" ht="15.0" customHeight="1">
      <c r="A266" s="81"/>
      <c r="B266" s="51"/>
      <c r="C266" s="51"/>
      <c r="D266" s="50"/>
      <c r="E266" s="50"/>
      <c r="F266" s="50"/>
      <c r="G266" s="50"/>
      <c r="H266" s="50"/>
      <c r="I266" s="82"/>
      <c r="J266" s="83"/>
      <c r="K266" s="83"/>
      <c r="L266" s="84"/>
      <c r="M266" s="84"/>
      <c r="N266" s="84"/>
      <c r="O266" s="85"/>
      <c r="P266" s="84"/>
      <c r="Q266" s="84"/>
      <c r="R266" s="84"/>
      <c r="S266" s="84"/>
      <c r="T266" s="84"/>
      <c r="U266" s="84"/>
      <c r="V266" s="84"/>
      <c r="W266" s="84"/>
      <c r="X266" s="86"/>
    </row>
    <row r="267" ht="15.0" customHeight="1">
      <c r="A267" s="81"/>
      <c r="B267" s="51"/>
      <c r="C267" s="51"/>
      <c r="D267" s="50"/>
      <c r="E267" s="50"/>
      <c r="F267" s="50"/>
      <c r="G267" s="50"/>
      <c r="H267" s="50"/>
      <c r="I267" s="82"/>
      <c r="J267" s="83"/>
      <c r="K267" s="83"/>
      <c r="L267" s="84"/>
      <c r="M267" s="84"/>
      <c r="N267" s="84"/>
      <c r="O267" s="85"/>
      <c r="P267" s="84"/>
      <c r="Q267" s="84"/>
      <c r="R267" s="84"/>
      <c r="S267" s="84"/>
      <c r="T267" s="84"/>
      <c r="U267" s="84"/>
      <c r="V267" s="84"/>
      <c r="W267" s="84"/>
      <c r="X267" s="86"/>
    </row>
    <row r="268" ht="15.0" customHeight="1">
      <c r="A268" s="81"/>
      <c r="B268" s="51"/>
      <c r="C268" s="51"/>
      <c r="D268" s="50"/>
      <c r="E268" s="50"/>
      <c r="F268" s="50"/>
      <c r="G268" s="50"/>
      <c r="H268" s="50"/>
      <c r="I268" s="82"/>
      <c r="J268" s="83"/>
      <c r="K268" s="83"/>
      <c r="L268" s="84"/>
      <c r="M268" s="84"/>
      <c r="N268" s="84"/>
      <c r="O268" s="85"/>
      <c r="P268" s="84"/>
      <c r="Q268" s="84"/>
      <c r="R268" s="84"/>
      <c r="S268" s="84"/>
      <c r="T268" s="84"/>
      <c r="U268" s="84"/>
      <c r="V268" s="84"/>
      <c r="W268" s="84"/>
      <c r="X268" s="86"/>
    </row>
    <row r="269" ht="15.0" customHeight="1">
      <c r="A269" s="81"/>
      <c r="B269" s="51"/>
      <c r="C269" s="51"/>
      <c r="D269" s="50"/>
      <c r="E269" s="50"/>
      <c r="F269" s="50"/>
      <c r="G269" s="50"/>
      <c r="H269" s="50"/>
      <c r="I269" s="82"/>
      <c r="J269" s="83"/>
      <c r="K269" s="83"/>
      <c r="L269" s="84"/>
      <c r="M269" s="84"/>
      <c r="N269" s="84"/>
      <c r="O269" s="85"/>
      <c r="P269" s="84"/>
      <c r="Q269" s="84"/>
      <c r="R269" s="84"/>
      <c r="S269" s="84"/>
      <c r="T269" s="84"/>
      <c r="U269" s="84"/>
      <c r="V269" s="84"/>
      <c r="W269" s="84"/>
      <c r="X269" s="86"/>
    </row>
    <row r="270" ht="15.0" customHeight="1">
      <c r="A270" s="81"/>
      <c r="B270" s="51"/>
      <c r="C270" s="51"/>
      <c r="D270" s="50"/>
      <c r="E270" s="50"/>
      <c r="F270" s="50"/>
      <c r="G270" s="50"/>
      <c r="H270" s="50"/>
      <c r="I270" s="82"/>
      <c r="J270" s="83"/>
      <c r="K270" s="83"/>
      <c r="L270" s="84"/>
      <c r="M270" s="84"/>
      <c r="N270" s="84"/>
      <c r="O270" s="85"/>
      <c r="P270" s="84"/>
      <c r="Q270" s="84"/>
      <c r="R270" s="84"/>
      <c r="S270" s="84"/>
      <c r="T270" s="84"/>
      <c r="U270" s="84"/>
      <c r="V270" s="84"/>
      <c r="W270" s="84"/>
      <c r="X270" s="86"/>
    </row>
    <row r="271" ht="15.0" customHeight="1">
      <c r="A271" s="81"/>
      <c r="B271" s="51"/>
      <c r="C271" s="51"/>
      <c r="D271" s="50"/>
      <c r="E271" s="50"/>
      <c r="F271" s="50"/>
      <c r="G271" s="50"/>
      <c r="H271" s="50"/>
      <c r="I271" s="82"/>
      <c r="J271" s="83"/>
      <c r="K271" s="83"/>
      <c r="L271" s="84"/>
      <c r="M271" s="84"/>
      <c r="N271" s="84"/>
      <c r="O271" s="85"/>
      <c r="P271" s="84"/>
      <c r="Q271" s="84"/>
      <c r="R271" s="84"/>
      <c r="S271" s="84"/>
      <c r="T271" s="84"/>
      <c r="U271" s="84"/>
      <c r="V271" s="84"/>
      <c r="W271" s="84"/>
      <c r="X271" s="86"/>
    </row>
    <row r="272" ht="15.0" customHeight="1">
      <c r="A272" s="81"/>
      <c r="B272" s="51"/>
      <c r="C272" s="51"/>
      <c r="D272" s="50"/>
      <c r="E272" s="50"/>
      <c r="F272" s="50"/>
      <c r="G272" s="50"/>
      <c r="H272" s="50"/>
      <c r="I272" s="82"/>
      <c r="J272" s="83"/>
      <c r="K272" s="83"/>
      <c r="L272" s="84"/>
      <c r="M272" s="84"/>
      <c r="N272" s="84"/>
      <c r="O272" s="85"/>
      <c r="P272" s="84"/>
      <c r="Q272" s="84"/>
      <c r="R272" s="84"/>
      <c r="S272" s="84"/>
      <c r="T272" s="84"/>
      <c r="U272" s="84"/>
      <c r="V272" s="84"/>
      <c r="W272" s="84"/>
      <c r="X272" s="86"/>
    </row>
    <row r="273" ht="15.0" customHeight="1">
      <c r="A273" s="81"/>
      <c r="B273" s="51"/>
      <c r="C273" s="51"/>
      <c r="D273" s="50"/>
      <c r="E273" s="50"/>
      <c r="F273" s="50"/>
      <c r="G273" s="50"/>
      <c r="H273" s="50"/>
      <c r="I273" s="82"/>
      <c r="J273" s="83"/>
      <c r="K273" s="83"/>
      <c r="L273" s="84"/>
      <c r="M273" s="84"/>
      <c r="N273" s="84"/>
      <c r="O273" s="85"/>
      <c r="P273" s="84"/>
      <c r="Q273" s="84"/>
      <c r="R273" s="84"/>
      <c r="S273" s="84"/>
      <c r="T273" s="84"/>
      <c r="U273" s="84"/>
      <c r="V273" s="84"/>
      <c r="W273" s="84"/>
      <c r="X273" s="86"/>
    </row>
    <row r="274" ht="15.0" customHeight="1">
      <c r="A274" s="81"/>
      <c r="B274" s="51"/>
      <c r="C274" s="51"/>
      <c r="D274" s="50"/>
      <c r="E274" s="50"/>
      <c r="F274" s="50"/>
      <c r="G274" s="50"/>
      <c r="H274" s="50"/>
      <c r="I274" s="82"/>
      <c r="J274" s="83"/>
      <c r="K274" s="83"/>
      <c r="L274" s="84"/>
      <c r="M274" s="84"/>
      <c r="N274" s="84"/>
      <c r="O274" s="85"/>
      <c r="P274" s="84"/>
      <c r="Q274" s="84"/>
      <c r="R274" s="84"/>
      <c r="S274" s="84"/>
      <c r="T274" s="84"/>
      <c r="U274" s="84"/>
      <c r="V274" s="84"/>
      <c r="W274" s="84"/>
      <c r="X274" s="86"/>
    </row>
    <row r="275" ht="15.0" customHeight="1">
      <c r="A275" s="81"/>
      <c r="B275" s="51"/>
      <c r="C275" s="51"/>
      <c r="D275" s="50"/>
      <c r="E275" s="50"/>
      <c r="F275" s="50"/>
      <c r="G275" s="50"/>
      <c r="H275" s="50"/>
      <c r="I275" s="82"/>
      <c r="J275" s="83"/>
      <c r="K275" s="83"/>
      <c r="L275" s="84"/>
      <c r="M275" s="84"/>
      <c r="N275" s="84"/>
      <c r="O275" s="85"/>
      <c r="P275" s="84"/>
      <c r="Q275" s="84"/>
      <c r="R275" s="84"/>
      <c r="S275" s="84"/>
      <c r="T275" s="84"/>
      <c r="U275" s="84"/>
      <c r="V275" s="84"/>
      <c r="W275" s="84"/>
      <c r="X275" s="86"/>
    </row>
    <row r="276" ht="15.0" customHeight="1">
      <c r="A276" s="81"/>
      <c r="B276" s="51"/>
      <c r="C276" s="51"/>
      <c r="D276" s="50"/>
      <c r="E276" s="50"/>
      <c r="F276" s="50"/>
      <c r="G276" s="50"/>
      <c r="H276" s="50"/>
      <c r="I276" s="82"/>
      <c r="J276" s="83"/>
      <c r="K276" s="83"/>
      <c r="L276" s="84"/>
      <c r="M276" s="84"/>
      <c r="N276" s="84"/>
      <c r="O276" s="85"/>
      <c r="P276" s="84"/>
      <c r="Q276" s="84"/>
      <c r="R276" s="84"/>
      <c r="S276" s="84"/>
      <c r="T276" s="84"/>
      <c r="U276" s="84"/>
      <c r="V276" s="84"/>
      <c r="W276" s="84"/>
      <c r="X276" s="86"/>
    </row>
    <row r="277" ht="15.0" customHeight="1">
      <c r="A277" s="81"/>
      <c r="B277" s="51"/>
      <c r="C277" s="51"/>
      <c r="D277" s="50"/>
      <c r="E277" s="50"/>
      <c r="F277" s="50"/>
      <c r="G277" s="50"/>
      <c r="H277" s="50"/>
      <c r="I277" s="82"/>
      <c r="J277" s="83"/>
      <c r="K277" s="83"/>
      <c r="L277" s="84"/>
      <c r="M277" s="84"/>
      <c r="N277" s="84"/>
      <c r="O277" s="85"/>
      <c r="P277" s="84"/>
      <c r="Q277" s="84"/>
      <c r="R277" s="84"/>
      <c r="S277" s="84"/>
      <c r="T277" s="84"/>
      <c r="U277" s="84"/>
      <c r="V277" s="84"/>
      <c r="W277" s="84"/>
      <c r="X277" s="86"/>
    </row>
    <row r="278" ht="15.0" customHeight="1">
      <c r="A278" s="81"/>
      <c r="B278" s="51"/>
      <c r="C278" s="51"/>
      <c r="D278" s="50"/>
      <c r="E278" s="50"/>
      <c r="F278" s="50"/>
      <c r="G278" s="50"/>
      <c r="H278" s="50"/>
      <c r="I278" s="82"/>
      <c r="J278" s="83"/>
      <c r="K278" s="83"/>
      <c r="L278" s="84"/>
      <c r="M278" s="84"/>
      <c r="N278" s="84"/>
      <c r="O278" s="85"/>
      <c r="P278" s="84"/>
      <c r="Q278" s="84"/>
      <c r="R278" s="84"/>
      <c r="S278" s="84"/>
      <c r="T278" s="84"/>
      <c r="U278" s="84"/>
      <c r="V278" s="84"/>
      <c r="W278" s="84"/>
      <c r="X278" s="86"/>
    </row>
    <row r="279" ht="15.0" customHeight="1">
      <c r="A279" s="81"/>
      <c r="B279" s="51"/>
      <c r="C279" s="51"/>
      <c r="D279" s="50"/>
      <c r="E279" s="50"/>
      <c r="F279" s="50"/>
      <c r="G279" s="50"/>
      <c r="H279" s="50"/>
      <c r="I279" s="82"/>
      <c r="J279" s="83"/>
      <c r="K279" s="83"/>
      <c r="L279" s="84"/>
      <c r="M279" s="84"/>
      <c r="N279" s="84"/>
      <c r="O279" s="85"/>
      <c r="P279" s="84"/>
      <c r="Q279" s="84"/>
      <c r="R279" s="84"/>
      <c r="S279" s="84"/>
      <c r="T279" s="84"/>
      <c r="U279" s="84"/>
      <c r="V279" s="84"/>
      <c r="W279" s="84"/>
      <c r="X279" s="86"/>
    </row>
    <row r="280" ht="15.0" customHeight="1">
      <c r="A280" s="81"/>
      <c r="B280" s="51"/>
      <c r="C280" s="51"/>
      <c r="D280" s="50"/>
      <c r="E280" s="50"/>
      <c r="F280" s="50"/>
      <c r="G280" s="50"/>
      <c r="H280" s="50"/>
      <c r="I280" s="82"/>
      <c r="J280" s="83"/>
      <c r="K280" s="83"/>
      <c r="L280" s="84"/>
      <c r="M280" s="84"/>
      <c r="N280" s="84"/>
      <c r="O280" s="85"/>
      <c r="P280" s="84"/>
      <c r="Q280" s="84"/>
      <c r="R280" s="84"/>
      <c r="S280" s="84"/>
      <c r="T280" s="84"/>
      <c r="U280" s="84"/>
      <c r="V280" s="84"/>
      <c r="W280" s="84"/>
      <c r="X280" s="86"/>
    </row>
    <row r="281" ht="15.0" customHeight="1">
      <c r="A281" s="81"/>
      <c r="B281" s="51"/>
      <c r="C281" s="51"/>
      <c r="D281" s="50"/>
      <c r="E281" s="50"/>
      <c r="F281" s="50"/>
      <c r="G281" s="50"/>
      <c r="H281" s="50"/>
      <c r="I281" s="82"/>
      <c r="J281" s="83"/>
      <c r="K281" s="83"/>
      <c r="L281" s="84"/>
      <c r="M281" s="84"/>
      <c r="N281" s="84"/>
      <c r="O281" s="85"/>
      <c r="P281" s="84"/>
      <c r="Q281" s="84"/>
      <c r="R281" s="84"/>
      <c r="S281" s="84"/>
      <c r="T281" s="84"/>
      <c r="U281" s="84"/>
      <c r="V281" s="84"/>
      <c r="W281" s="84"/>
      <c r="X281" s="86"/>
    </row>
    <row r="282" ht="15.0" customHeight="1">
      <c r="A282" s="81"/>
      <c r="B282" s="51"/>
      <c r="C282" s="51"/>
      <c r="D282" s="50"/>
      <c r="E282" s="50"/>
      <c r="F282" s="50"/>
      <c r="G282" s="50"/>
      <c r="H282" s="50"/>
      <c r="I282" s="82"/>
      <c r="J282" s="83"/>
      <c r="K282" s="83"/>
      <c r="L282" s="84"/>
      <c r="M282" s="84"/>
      <c r="N282" s="84"/>
      <c r="O282" s="85"/>
      <c r="P282" s="84"/>
      <c r="Q282" s="84"/>
      <c r="R282" s="84"/>
      <c r="S282" s="84"/>
      <c r="T282" s="84"/>
      <c r="U282" s="84"/>
      <c r="V282" s="84"/>
      <c r="W282" s="84"/>
      <c r="X282" s="86"/>
    </row>
    <row r="283" ht="15.0" customHeight="1">
      <c r="A283" s="81"/>
      <c r="B283" s="51"/>
      <c r="C283" s="51"/>
      <c r="D283" s="50"/>
      <c r="E283" s="50"/>
      <c r="F283" s="50"/>
      <c r="G283" s="50"/>
      <c r="H283" s="50"/>
      <c r="I283" s="82"/>
      <c r="J283" s="83"/>
      <c r="K283" s="83"/>
      <c r="L283" s="84"/>
      <c r="M283" s="84"/>
      <c r="N283" s="84"/>
      <c r="O283" s="85"/>
      <c r="P283" s="84"/>
      <c r="Q283" s="84"/>
      <c r="R283" s="84"/>
      <c r="S283" s="84"/>
      <c r="T283" s="84"/>
      <c r="U283" s="84"/>
      <c r="V283" s="84"/>
      <c r="W283" s="84"/>
      <c r="X283" s="86"/>
    </row>
    <row r="284" ht="15.0" customHeight="1">
      <c r="A284" s="81"/>
      <c r="B284" s="51"/>
      <c r="C284" s="51"/>
      <c r="D284" s="50"/>
      <c r="E284" s="50"/>
      <c r="F284" s="50"/>
      <c r="G284" s="50"/>
      <c r="H284" s="50"/>
      <c r="I284" s="82"/>
      <c r="J284" s="83"/>
      <c r="K284" s="83"/>
      <c r="L284" s="84"/>
      <c r="M284" s="84"/>
      <c r="N284" s="84"/>
      <c r="O284" s="85"/>
      <c r="P284" s="84"/>
      <c r="Q284" s="84"/>
      <c r="R284" s="84"/>
      <c r="S284" s="84"/>
      <c r="T284" s="84"/>
      <c r="U284" s="84"/>
      <c r="V284" s="84"/>
      <c r="W284" s="84"/>
      <c r="X284" s="86"/>
    </row>
    <row r="285" ht="15.0" customHeight="1">
      <c r="A285" s="81"/>
      <c r="B285" s="51"/>
      <c r="C285" s="51"/>
      <c r="D285" s="50"/>
      <c r="E285" s="50"/>
      <c r="F285" s="50"/>
      <c r="G285" s="50"/>
      <c r="H285" s="50"/>
      <c r="I285" s="82"/>
      <c r="J285" s="83"/>
      <c r="K285" s="83"/>
      <c r="L285" s="84"/>
      <c r="M285" s="84"/>
      <c r="N285" s="84"/>
      <c r="O285" s="85"/>
      <c r="P285" s="84"/>
      <c r="Q285" s="84"/>
      <c r="R285" s="84"/>
      <c r="S285" s="84"/>
      <c r="T285" s="84"/>
      <c r="U285" s="84"/>
      <c r="V285" s="84"/>
      <c r="W285" s="84"/>
      <c r="X285" s="86"/>
    </row>
    <row r="286" ht="15.0" customHeight="1">
      <c r="A286" s="81"/>
      <c r="B286" s="51"/>
      <c r="C286" s="51"/>
      <c r="D286" s="50"/>
      <c r="E286" s="50"/>
      <c r="F286" s="50"/>
      <c r="G286" s="50"/>
      <c r="H286" s="50"/>
      <c r="I286" s="82"/>
      <c r="J286" s="83"/>
      <c r="K286" s="83"/>
      <c r="L286" s="84"/>
      <c r="M286" s="84"/>
      <c r="N286" s="84"/>
      <c r="O286" s="85"/>
      <c r="P286" s="84"/>
      <c r="Q286" s="84"/>
      <c r="R286" s="84"/>
      <c r="S286" s="84"/>
      <c r="T286" s="84"/>
      <c r="U286" s="84"/>
      <c r="V286" s="84"/>
      <c r="W286" s="84"/>
      <c r="X286" s="86"/>
    </row>
    <row r="287" ht="15.0" customHeight="1">
      <c r="A287" s="81"/>
      <c r="B287" s="51"/>
      <c r="C287" s="51"/>
      <c r="D287" s="50"/>
      <c r="E287" s="50"/>
      <c r="F287" s="50"/>
      <c r="G287" s="50"/>
      <c r="H287" s="50"/>
      <c r="I287" s="82"/>
      <c r="J287" s="83"/>
      <c r="K287" s="83"/>
      <c r="L287" s="84"/>
      <c r="M287" s="84"/>
      <c r="N287" s="84"/>
      <c r="O287" s="85"/>
      <c r="P287" s="84"/>
      <c r="Q287" s="84"/>
      <c r="R287" s="84"/>
      <c r="S287" s="84"/>
      <c r="T287" s="84"/>
      <c r="U287" s="84"/>
      <c r="V287" s="84"/>
      <c r="W287" s="84"/>
      <c r="X287" s="86"/>
    </row>
    <row r="288" ht="15.0" customHeight="1">
      <c r="A288" s="81"/>
      <c r="B288" s="51"/>
      <c r="C288" s="51"/>
      <c r="D288" s="50"/>
      <c r="E288" s="50"/>
      <c r="F288" s="50"/>
      <c r="G288" s="50"/>
      <c r="H288" s="50"/>
      <c r="I288" s="82"/>
      <c r="J288" s="83"/>
      <c r="K288" s="83"/>
      <c r="L288" s="84"/>
      <c r="M288" s="84"/>
      <c r="N288" s="84"/>
      <c r="O288" s="85"/>
      <c r="P288" s="84"/>
      <c r="Q288" s="84"/>
      <c r="R288" s="84"/>
      <c r="S288" s="84"/>
      <c r="T288" s="84"/>
      <c r="U288" s="84"/>
      <c r="V288" s="84"/>
      <c r="W288" s="84"/>
      <c r="X288" s="86"/>
    </row>
    <row r="289" ht="15.0" customHeight="1">
      <c r="A289" s="81"/>
      <c r="B289" s="51"/>
      <c r="C289" s="51"/>
      <c r="D289" s="50"/>
      <c r="E289" s="50"/>
      <c r="F289" s="50"/>
      <c r="G289" s="50"/>
      <c r="H289" s="50"/>
      <c r="I289" s="82"/>
      <c r="J289" s="83"/>
      <c r="K289" s="83"/>
      <c r="L289" s="84"/>
      <c r="M289" s="84"/>
      <c r="N289" s="84"/>
      <c r="O289" s="85"/>
      <c r="P289" s="84"/>
      <c r="Q289" s="84"/>
      <c r="R289" s="84"/>
      <c r="S289" s="84"/>
      <c r="T289" s="84"/>
      <c r="U289" s="84"/>
      <c r="V289" s="84"/>
      <c r="W289" s="84"/>
      <c r="X289" s="86"/>
    </row>
    <row r="290" ht="15.0" customHeight="1">
      <c r="A290" s="81"/>
      <c r="B290" s="51"/>
      <c r="C290" s="51"/>
      <c r="D290" s="50"/>
      <c r="E290" s="50"/>
      <c r="F290" s="50"/>
      <c r="G290" s="50"/>
      <c r="H290" s="50"/>
      <c r="I290" s="82"/>
      <c r="J290" s="83"/>
      <c r="K290" s="83"/>
      <c r="L290" s="84"/>
      <c r="M290" s="84"/>
      <c r="N290" s="84"/>
      <c r="O290" s="85"/>
      <c r="P290" s="84"/>
      <c r="Q290" s="84"/>
      <c r="R290" s="84"/>
      <c r="S290" s="84"/>
      <c r="T290" s="84"/>
      <c r="U290" s="84"/>
      <c r="V290" s="84"/>
      <c r="W290" s="84"/>
      <c r="X290" s="86"/>
    </row>
    <row r="291" ht="15.0" customHeight="1">
      <c r="A291" s="81"/>
      <c r="B291" s="51"/>
      <c r="C291" s="51"/>
      <c r="D291" s="50"/>
      <c r="E291" s="50"/>
      <c r="F291" s="50"/>
      <c r="G291" s="50"/>
      <c r="H291" s="50"/>
      <c r="I291" s="82"/>
      <c r="J291" s="83"/>
      <c r="K291" s="83"/>
      <c r="L291" s="84"/>
      <c r="M291" s="84"/>
      <c r="N291" s="84"/>
      <c r="O291" s="85"/>
      <c r="P291" s="84"/>
      <c r="Q291" s="84"/>
      <c r="R291" s="84"/>
      <c r="S291" s="84"/>
      <c r="T291" s="84"/>
      <c r="U291" s="84"/>
      <c r="V291" s="84"/>
      <c r="W291" s="84"/>
      <c r="X291" s="86"/>
    </row>
    <row r="292" ht="15.0" customHeight="1">
      <c r="A292" s="81"/>
      <c r="B292" s="51"/>
      <c r="C292" s="51"/>
      <c r="D292" s="50"/>
      <c r="E292" s="50"/>
      <c r="F292" s="50"/>
      <c r="G292" s="50"/>
      <c r="H292" s="50"/>
      <c r="I292" s="82"/>
      <c r="J292" s="83"/>
      <c r="K292" s="83"/>
      <c r="L292" s="84"/>
      <c r="M292" s="84"/>
      <c r="N292" s="84"/>
      <c r="O292" s="85"/>
      <c r="P292" s="84"/>
      <c r="Q292" s="84"/>
      <c r="R292" s="84"/>
      <c r="S292" s="84"/>
      <c r="T292" s="84"/>
      <c r="U292" s="84"/>
      <c r="V292" s="84"/>
      <c r="W292" s="84"/>
      <c r="X292" s="86"/>
    </row>
    <row r="293" ht="15.0" customHeight="1">
      <c r="A293" s="81"/>
      <c r="B293" s="51"/>
      <c r="C293" s="51"/>
      <c r="D293" s="50"/>
      <c r="E293" s="50"/>
      <c r="F293" s="50"/>
      <c r="G293" s="50"/>
      <c r="H293" s="50"/>
      <c r="I293" s="82"/>
      <c r="J293" s="83"/>
      <c r="K293" s="83"/>
      <c r="L293" s="84"/>
      <c r="M293" s="84"/>
      <c r="N293" s="84"/>
      <c r="O293" s="85"/>
      <c r="P293" s="84"/>
      <c r="Q293" s="84"/>
      <c r="R293" s="84"/>
      <c r="S293" s="84"/>
      <c r="T293" s="84"/>
      <c r="U293" s="84"/>
      <c r="V293" s="84"/>
      <c r="W293" s="84"/>
      <c r="X293" s="86"/>
    </row>
    <row r="294" ht="15.0" customHeight="1">
      <c r="A294" s="81"/>
      <c r="B294" s="51"/>
      <c r="C294" s="51"/>
      <c r="D294" s="50"/>
      <c r="E294" s="50"/>
      <c r="F294" s="50"/>
      <c r="G294" s="50"/>
      <c r="H294" s="50"/>
      <c r="I294" s="82"/>
      <c r="J294" s="83"/>
      <c r="K294" s="83"/>
      <c r="L294" s="84"/>
      <c r="M294" s="84"/>
      <c r="N294" s="84"/>
      <c r="O294" s="85"/>
      <c r="P294" s="84"/>
      <c r="Q294" s="84"/>
      <c r="R294" s="84"/>
      <c r="S294" s="84"/>
      <c r="T294" s="84"/>
      <c r="U294" s="84"/>
      <c r="V294" s="84"/>
      <c r="W294" s="84"/>
      <c r="X294" s="86"/>
    </row>
    <row r="295" ht="15.0" customHeight="1">
      <c r="A295" s="81"/>
      <c r="B295" s="51"/>
      <c r="C295" s="51"/>
      <c r="D295" s="50"/>
      <c r="E295" s="50"/>
      <c r="F295" s="50"/>
      <c r="G295" s="50"/>
      <c r="H295" s="50"/>
      <c r="I295" s="82"/>
      <c r="J295" s="83"/>
      <c r="K295" s="83"/>
      <c r="L295" s="84"/>
      <c r="M295" s="84"/>
      <c r="N295" s="84"/>
      <c r="O295" s="85"/>
      <c r="P295" s="84"/>
      <c r="Q295" s="84"/>
      <c r="R295" s="84"/>
      <c r="S295" s="84"/>
      <c r="T295" s="84"/>
      <c r="U295" s="84"/>
      <c r="V295" s="84"/>
      <c r="W295" s="84"/>
      <c r="X295" s="86"/>
    </row>
    <row r="296" ht="15.0" customHeight="1">
      <c r="A296" s="81"/>
      <c r="B296" s="51"/>
      <c r="C296" s="51"/>
      <c r="D296" s="50"/>
      <c r="E296" s="50"/>
      <c r="F296" s="50"/>
      <c r="G296" s="50"/>
      <c r="H296" s="50"/>
      <c r="I296" s="82"/>
      <c r="J296" s="83"/>
      <c r="K296" s="83"/>
      <c r="L296" s="84"/>
      <c r="M296" s="84"/>
      <c r="N296" s="84"/>
      <c r="O296" s="85"/>
      <c r="P296" s="84"/>
      <c r="Q296" s="84"/>
      <c r="R296" s="84"/>
      <c r="S296" s="84"/>
      <c r="T296" s="84"/>
      <c r="U296" s="84"/>
      <c r="V296" s="84"/>
      <c r="W296" s="84"/>
      <c r="X296" s="86"/>
    </row>
    <row r="297" ht="15.0" customHeight="1">
      <c r="A297" s="81"/>
      <c r="B297" s="51"/>
      <c r="C297" s="51"/>
      <c r="D297" s="50"/>
      <c r="E297" s="50"/>
      <c r="F297" s="50"/>
      <c r="G297" s="50"/>
      <c r="H297" s="50"/>
      <c r="I297" s="82"/>
      <c r="J297" s="83"/>
      <c r="K297" s="83"/>
      <c r="L297" s="84"/>
      <c r="M297" s="84"/>
      <c r="N297" s="84"/>
      <c r="O297" s="85"/>
      <c r="P297" s="84"/>
      <c r="Q297" s="84"/>
      <c r="R297" s="84"/>
      <c r="S297" s="84"/>
      <c r="T297" s="84"/>
      <c r="U297" s="84"/>
      <c r="V297" s="84"/>
      <c r="W297" s="84"/>
      <c r="X297" s="86"/>
    </row>
    <row r="298" ht="15.0" customHeight="1">
      <c r="A298" s="81"/>
      <c r="B298" s="51"/>
      <c r="C298" s="51"/>
      <c r="D298" s="50"/>
      <c r="E298" s="50"/>
      <c r="F298" s="50"/>
      <c r="G298" s="50"/>
      <c r="H298" s="50"/>
      <c r="I298" s="82"/>
      <c r="J298" s="83"/>
      <c r="K298" s="83"/>
      <c r="L298" s="84"/>
      <c r="M298" s="84"/>
      <c r="N298" s="84"/>
      <c r="O298" s="85"/>
      <c r="P298" s="84"/>
      <c r="Q298" s="84"/>
      <c r="R298" s="84"/>
      <c r="S298" s="84"/>
      <c r="T298" s="84"/>
      <c r="U298" s="84"/>
      <c r="V298" s="84"/>
      <c r="W298" s="84"/>
      <c r="X298" s="86"/>
    </row>
    <row r="299" ht="15.0" customHeight="1">
      <c r="A299" s="81"/>
      <c r="B299" s="51"/>
      <c r="C299" s="51"/>
      <c r="D299" s="50"/>
      <c r="E299" s="50"/>
      <c r="F299" s="50"/>
      <c r="G299" s="50"/>
      <c r="H299" s="50"/>
      <c r="I299" s="82"/>
      <c r="J299" s="83"/>
      <c r="K299" s="83"/>
      <c r="L299" s="84"/>
      <c r="M299" s="84"/>
      <c r="N299" s="84"/>
      <c r="O299" s="85"/>
      <c r="P299" s="84"/>
      <c r="Q299" s="84"/>
      <c r="R299" s="84"/>
      <c r="S299" s="84"/>
      <c r="T299" s="84"/>
      <c r="U299" s="84"/>
      <c r="V299" s="84"/>
      <c r="W299" s="84"/>
      <c r="X299" s="86"/>
    </row>
    <row r="300" ht="15.0" customHeight="1">
      <c r="A300" s="81"/>
      <c r="B300" s="51"/>
      <c r="C300" s="51"/>
      <c r="D300" s="50"/>
      <c r="E300" s="50"/>
      <c r="F300" s="50"/>
      <c r="G300" s="50"/>
      <c r="H300" s="50"/>
      <c r="I300" s="82"/>
      <c r="J300" s="83"/>
      <c r="K300" s="83"/>
      <c r="L300" s="84"/>
      <c r="M300" s="84"/>
      <c r="N300" s="84"/>
      <c r="O300" s="85"/>
      <c r="P300" s="84"/>
      <c r="Q300" s="84"/>
      <c r="R300" s="84"/>
      <c r="S300" s="84"/>
      <c r="T300" s="84"/>
      <c r="U300" s="84"/>
      <c r="V300" s="84"/>
      <c r="W300" s="84"/>
      <c r="X300" s="86"/>
    </row>
    <row r="301" ht="15.0" customHeight="1">
      <c r="A301" s="81"/>
      <c r="B301" s="51"/>
      <c r="C301" s="51"/>
      <c r="D301" s="50"/>
      <c r="E301" s="50"/>
      <c r="F301" s="50"/>
      <c r="G301" s="50"/>
      <c r="H301" s="50"/>
      <c r="I301" s="82"/>
      <c r="J301" s="83"/>
      <c r="K301" s="83"/>
      <c r="L301" s="84"/>
      <c r="M301" s="84"/>
      <c r="N301" s="84"/>
      <c r="O301" s="85"/>
      <c r="P301" s="84"/>
      <c r="Q301" s="84"/>
      <c r="R301" s="84"/>
      <c r="S301" s="84"/>
      <c r="T301" s="84"/>
      <c r="U301" s="84"/>
      <c r="V301" s="84"/>
      <c r="W301" s="84"/>
      <c r="X301" s="86"/>
    </row>
    <row r="302" ht="15.0" customHeight="1">
      <c r="A302" s="81"/>
      <c r="B302" s="51"/>
      <c r="C302" s="51"/>
      <c r="D302" s="50"/>
      <c r="E302" s="50"/>
      <c r="F302" s="50"/>
      <c r="G302" s="50"/>
      <c r="H302" s="50"/>
      <c r="I302" s="82"/>
      <c r="J302" s="83"/>
      <c r="K302" s="83"/>
      <c r="L302" s="84"/>
      <c r="M302" s="84"/>
      <c r="N302" s="84"/>
      <c r="O302" s="85"/>
      <c r="P302" s="84"/>
      <c r="Q302" s="84"/>
      <c r="R302" s="84"/>
      <c r="S302" s="84"/>
      <c r="T302" s="84"/>
      <c r="U302" s="84"/>
      <c r="V302" s="84"/>
      <c r="W302" s="84"/>
      <c r="X302" s="86"/>
    </row>
    <row r="303" ht="15.0" customHeight="1">
      <c r="A303" s="81"/>
      <c r="B303" s="51"/>
      <c r="C303" s="51"/>
      <c r="D303" s="50"/>
      <c r="E303" s="50"/>
      <c r="F303" s="50"/>
      <c r="G303" s="50"/>
      <c r="H303" s="50"/>
      <c r="I303" s="82"/>
      <c r="J303" s="83"/>
      <c r="K303" s="83"/>
      <c r="L303" s="84"/>
      <c r="M303" s="84"/>
      <c r="N303" s="84"/>
      <c r="O303" s="85"/>
      <c r="P303" s="84"/>
      <c r="Q303" s="84"/>
      <c r="R303" s="84"/>
      <c r="S303" s="84"/>
      <c r="T303" s="84"/>
      <c r="U303" s="84"/>
      <c r="V303" s="84"/>
      <c r="W303" s="84"/>
      <c r="X303" s="86"/>
    </row>
    <row r="304" ht="15.0" customHeight="1">
      <c r="A304" s="81"/>
      <c r="B304" s="51"/>
      <c r="C304" s="51"/>
      <c r="D304" s="50"/>
      <c r="E304" s="50"/>
      <c r="F304" s="50"/>
      <c r="G304" s="50"/>
      <c r="H304" s="50"/>
      <c r="I304" s="82"/>
      <c r="J304" s="83"/>
      <c r="K304" s="83"/>
      <c r="L304" s="84"/>
      <c r="M304" s="84"/>
      <c r="N304" s="84"/>
      <c r="O304" s="85"/>
      <c r="P304" s="84"/>
      <c r="Q304" s="84"/>
      <c r="R304" s="84"/>
      <c r="S304" s="84"/>
      <c r="T304" s="84"/>
      <c r="U304" s="84"/>
      <c r="V304" s="84"/>
      <c r="W304" s="84"/>
      <c r="X304" s="86"/>
    </row>
    <row r="305" ht="15.0" customHeight="1">
      <c r="A305" s="81"/>
      <c r="B305" s="51"/>
      <c r="C305" s="51"/>
      <c r="D305" s="50"/>
      <c r="E305" s="50"/>
      <c r="F305" s="50"/>
      <c r="G305" s="50"/>
      <c r="H305" s="50"/>
      <c r="I305" s="82"/>
      <c r="J305" s="83"/>
      <c r="K305" s="83"/>
      <c r="L305" s="84"/>
      <c r="M305" s="84"/>
      <c r="N305" s="84"/>
      <c r="O305" s="85"/>
      <c r="P305" s="84"/>
      <c r="Q305" s="84"/>
      <c r="R305" s="84"/>
      <c r="S305" s="84"/>
      <c r="T305" s="84"/>
      <c r="U305" s="84"/>
      <c r="V305" s="84"/>
      <c r="W305" s="84"/>
      <c r="X305" s="86"/>
    </row>
    <row r="306" ht="15.0" customHeight="1">
      <c r="A306" s="81"/>
      <c r="B306" s="51"/>
      <c r="C306" s="51"/>
      <c r="D306" s="50"/>
      <c r="E306" s="50"/>
      <c r="F306" s="50"/>
      <c r="G306" s="50"/>
      <c r="H306" s="50"/>
      <c r="I306" s="82"/>
      <c r="J306" s="83"/>
      <c r="K306" s="83"/>
      <c r="L306" s="84"/>
      <c r="M306" s="84"/>
      <c r="N306" s="84"/>
      <c r="O306" s="85"/>
      <c r="P306" s="84"/>
      <c r="Q306" s="84"/>
      <c r="R306" s="84"/>
      <c r="S306" s="84"/>
      <c r="T306" s="84"/>
      <c r="U306" s="84"/>
      <c r="V306" s="84"/>
      <c r="W306" s="84"/>
      <c r="X306" s="86"/>
    </row>
    <row r="307" ht="15.0" customHeight="1">
      <c r="A307" s="81"/>
      <c r="B307" s="51"/>
      <c r="C307" s="51"/>
      <c r="D307" s="50"/>
      <c r="E307" s="50"/>
      <c r="F307" s="50"/>
      <c r="G307" s="50"/>
      <c r="H307" s="50"/>
      <c r="I307" s="82"/>
      <c r="J307" s="83"/>
      <c r="K307" s="83"/>
      <c r="L307" s="84"/>
      <c r="M307" s="84"/>
      <c r="N307" s="84"/>
      <c r="O307" s="85"/>
      <c r="P307" s="84"/>
      <c r="Q307" s="84"/>
      <c r="R307" s="84"/>
      <c r="S307" s="84"/>
      <c r="T307" s="84"/>
      <c r="U307" s="84"/>
      <c r="V307" s="84"/>
      <c r="W307" s="84"/>
      <c r="X307" s="86"/>
    </row>
    <row r="308" ht="15.0" customHeight="1">
      <c r="A308" s="81"/>
      <c r="B308" s="51"/>
      <c r="C308" s="51"/>
      <c r="D308" s="50"/>
      <c r="E308" s="50"/>
      <c r="F308" s="50"/>
      <c r="G308" s="50"/>
      <c r="H308" s="50"/>
      <c r="I308" s="82"/>
      <c r="J308" s="83"/>
      <c r="K308" s="83"/>
      <c r="L308" s="84"/>
      <c r="M308" s="84"/>
      <c r="N308" s="84"/>
      <c r="O308" s="85"/>
      <c r="P308" s="84"/>
      <c r="Q308" s="84"/>
      <c r="R308" s="84"/>
      <c r="S308" s="84"/>
      <c r="T308" s="84"/>
      <c r="U308" s="84"/>
      <c r="V308" s="84"/>
      <c r="W308" s="84"/>
      <c r="X308" s="86"/>
    </row>
    <row r="309" ht="15.0" customHeight="1">
      <c r="A309" s="81"/>
      <c r="B309" s="51"/>
      <c r="C309" s="51"/>
      <c r="D309" s="50"/>
      <c r="E309" s="50"/>
      <c r="F309" s="50"/>
      <c r="G309" s="50"/>
      <c r="H309" s="50"/>
      <c r="I309" s="82"/>
      <c r="J309" s="83"/>
      <c r="K309" s="83"/>
      <c r="L309" s="84"/>
      <c r="M309" s="84"/>
      <c r="N309" s="84"/>
      <c r="O309" s="85"/>
      <c r="P309" s="84"/>
      <c r="Q309" s="84"/>
      <c r="R309" s="84"/>
      <c r="S309" s="84"/>
      <c r="T309" s="84"/>
      <c r="U309" s="84"/>
      <c r="V309" s="84"/>
      <c r="W309" s="84"/>
      <c r="X309" s="86"/>
    </row>
    <row r="310" ht="15.0" customHeight="1">
      <c r="A310" s="81"/>
      <c r="B310" s="51"/>
      <c r="C310" s="51"/>
      <c r="D310" s="50"/>
      <c r="E310" s="50"/>
      <c r="F310" s="50"/>
      <c r="G310" s="50"/>
      <c r="H310" s="50"/>
      <c r="I310" s="82"/>
      <c r="J310" s="83"/>
      <c r="K310" s="83"/>
      <c r="L310" s="84"/>
      <c r="M310" s="84"/>
      <c r="N310" s="84"/>
      <c r="O310" s="85"/>
      <c r="P310" s="84"/>
      <c r="Q310" s="84"/>
      <c r="R310" s="84"/>
      <c r="S310" s="84"/>
      <c r="T310" s="84"/>
      <c r="U310" s="84"/>
      <c r="V310" s="84"/>
      <c r="W310" s="84"/>
      <c r="X310" s="86"/>
    </row>
    <row r="311" ht="15.0" customHeight="1">
      <c r="A311" s="81"/>
      <c r="B311" s="51"/>
      <c r="C311" s="51"/>
      <c r="D311" s="50"/>
      <c r="E311" s="50"/>
      <c r="F311" s="50"/>
      <c r="G311" s="50"/>
      <c r="H311" s="50"/>
      <c r="I311" s="82"/>
      <c r="J311" s="83"/>
      <c r="K311" s="83"/>
      <c r="L311" s="84"/>
      <c r="M311" s="84"/>
      <c r="N311" s="84"/>
      <c r="O311" s="85"/>
      <c r="P311" s="84"/>
      <c r="Q311" s="84"/>
      <c r="R311" s="84"/>
      <c r="S311" s="84"/>
      <c r="T311" s="84"/>
      <c r="U311" s="84"/>
      <c r="V311" s="84"/>
      <c r="W311" s="84"/>
      <c r="X311" s="86"/>
    </row>
    <row r="312" ht="15.0" customHeight="1">
      <c r="A312" s="81"/>
      <c r="B312" s="51"/>
      <c r="C312" s="51"/>
      <c r="D312" s="50"/>
      <c r="E312" s="50"/>
      <c r="F312" s="50"/>
      <c r="G312" s="50"/>
      <c r="H312" s="50"/>
      <c r="I312" s="82"/>
      <c r="J312" s="83"/>
      <c r="K312" s="83"/>
      <c r="L312" s="84"/>
      <c r="M312" s="84"/>
      <c r="N312" s="84"/>
      <c r="O312" s="85"/>
      <c r="P312" s="84"/>
      <c r="Q312" s="84"/>
      <c r="R312" s="84"/>
      <c r="S312" s="84"/>
      <c r="T312" s="84"/>
      <c r="U312" s="84"/>
      <c r="V312" s="84"/>
      <c r="W312" s="84"/>
      <c r="X312" s="86"/>
    </row>
    <row r="313" ht="15.0" customHeight="1">
      <c r="A313" s="81"/>
      <c r="B313" s="51"/>
      <c r="C313" s="51"/>
      <c r="D313" s="50"/>
      <c r="E313" s="50"/>
      <c r="F313" s="50"/>
      <c r="G313" s="50"/>
      <c r="H313" s="50"/>
      <c r="I313" s="82"/>
      <c r="J313" s="83"/>
      <c r="K313" s="83"/>
      <c r="L313" s="84"/>
      <c r="M313" s="84"/>
      <c r="N313" s="84"/>
      <c r="O313" s="85"/>
      <c r="P313" s="84"/>
      <c r="Q313" s="84"/>
      <c r="R313" s="84"/>
      <c r="S313" s="84"/>
      <c r="T313" s="84"/>
      <c r="U313" s="84"/>
      <c r="V313" s="84"/>
      <c r="W313" s="84"/>
      <c r="X313" s="86"/>
    </row>
    <row r="314" ht="15.0" customHeight="1">
      <c r="A314" s="81"/>
      <c r="B314" s="51"/>
      <c r="C314" s="51"/>
      <c r="D314" s="50"/>
      <c r="E314" s="50"/>
      <c r="F314" s="50"/>
      <c r="G314" s="50"/>
      <c r="H314" s="50"/>
      <c r="I314" s="82"/>
      <c r="J314" s="83"/>
      <c r="K314" s="83"/>
      <c r="L314" s="84"/>
      <c r="M314" s="84"/>
      <c r="N314" s="84"/>
      <c r="O314" s="85"/>
      <c r="P314" s="84"/>
      <c r="Q314" s="84"/>
      <c r="R314" s="84"/>
      <c r="S314" s="84"/>
      <c r="T314" s="84"/>
      <c r="U314" s="84"/>
      <c r="V314" s="84"/>
      <c r="W314" s="84"/>
      <c r="X314" s="86"/>
    </row>
    <row r="315" ht="15.0" customHeight="1">
      <c r="A315" s="81"/>
      <c r="B315" s="51"/>
      <c r="C315" s="51"/>
      <c r="D315" s="50"/>
      <c r="E315" s="50"/>
      <c r="F315" s="50"/>
      <c r="G315" s="50"/>
      <c r="H315" s="50"/>
      <c r="I315" s="82"/>
      <c r="J315" s="83"/>
      <c r="K315" s="83"/>
      <c r="L315" s="84"/>
      <c r="M315" s="84"/>
      <c r="N315" s="84"/>
      <c r="O315" s="85"/>
      <c r="P315" s="84"/>
      <c r="Q315" s="84"/>
      <c r="R315" s="84"/>
      <c r="S315" s="84"/>
      <c r="T315" s="84"/>
      <c r="U315" s="84"/>
      <c r="V315" s="84"/>
      <c r="W315" s="84"/>
      <c r="X315" s="86"/>
    </row>
    <row r="316" ht="15.0" customHeight="1">
      <c r="A316" s="81"/>
      <c r="B316" s="51"/>
      <c r="C316" s="51"/>
      <c r="D316" s="50"/>
      <c r="E316" s="50"/>
      <c r="F316" s="50"/>
      <c r="G316" s="50"/>
      <c r="H316" s="50"/>
      <c r="I316" s="82"/>
      <c r="J316" s="83"/>
      <c r="K316" s="83"/>
      <c r="L316" s="84"/>
      <c r="M316" s="84"/>
      <c r="N316" s="84"/>
      <c r="O316" s="85"/>
      <c r="P316" s="84"/>
      <c r="Q316" s="84"/>
      <c r="R316" s="84"/>
      <c r="S316" s="84"/>
      <c r="T316" s="84"/>
      <c r="U316" s="84"/>
      <c r="V316" s="84"/>
      <c r="W316" s="84"/>
      <c r="X316" s="86"/>
    </row>
    <row r="317" ht="15.0" customHeight="1">
      <c r="A317" s="81"/>
      <c r="B317" s="51"/>
      <c r="C317" s="51"/>
      <c r="D317" s="50"/>
      <c r="E317" s="50"/>
      <c r="F317" s="50"/>
      <c r="G317" s="50"/>
      <c r="H317" s="50"/>
      <c r="I317" s="82"/>
      <c r="J317" s="83"/>
      <c r="K317" s="83"/>
      <c r="L317" s="84"/>
      <c r="M317" s="84"/>
      <c r="N317" s="84"/>
      <c r="O317" s="85"/>
      <c r="P317" s="84"/>
      <c r="Q317" s="84"/>
      <c r="R317" s="84"/>
      <c r="S317" s="84"/>
      <c r="T317" s="84"/>
      <c r="U317" s="84"/>
      <c r="V317" s="84"/>
      <c r="W317" s="84"/>
      <c r="X317" s="86"/>
    </row>
    <row r="318" ht="15.0" customHeight="1">
      <c r="A318" s="81"/>
      <c r="B318" s="51"/>
      <c r="C318" s="51"/>
      <c r="D318" s="50"/>
      <c r="E318" s="50"/>
      <c r="F318" s="50"/>
      <c r="G318" s="50"/>
      <c r="H318" s="50"/>
      <c r="I318" s="82"/>
      <c r="J318" s="83"/>
      <c r="K318" s="83"/>
      <c r="L318" s="84"/>
      <c r="M318" s="84"/>
      <c r="N318" s="84"/>
      <c r="O318" s="85"/>
      <c r="P318" s="84"/>
      <c r="Q318" s="84"/>
      <c r="R318" s="84"/>
      <c r="S318" s="84"/>
      <c r="T318" s="84"/>
      <c r="U318" s="84"/>
      <c r="V318" s="84"/>
      <c r="W318" s="84"/>
      <c r="X318" s="86"/>
    </row>
    <row r="319" ht="15.0" customHeight="1">
      <c r="A319" s="81"/>
      <c r="B319" s="51"/>
      <c r="C319" s="51"/>
      <c r="D319" s="50"/>
      <c r="E319" s="50"/>
      <c r="F319" s="50"/>
      <c r="G319" s="50"/>
      <c r="H319" s="50"/>
      <c r="I319" s="82"/>
      <c r="J319" s="83"/>
      <c r="K319" s="83"/>
      <c r="L319" s="84"/>
      <c r="M319" s="84"/>
      <c r="N319" s="84"/>
      <c r="O319" s="85"/>
      <c r="P319" s="84"/>
      <c r="Q319" s="84"/>
      <c r="R319" s="84"/>
      <c r="S319" s="84"/>
      <c r="T319" s="84"/>
      <c r="U319" s="84"/>
      <c r="V319" s="84"/>
      <c r="W319" s="84"/>
      <c r="X319" s="86"/>
    </row>
    <row r="320" ht="15.0" customHeight="1">
      <c r="A320" s="81"/>
      <c r="B320" s="51"/>
      <c r="C320" s="51"/>
      <c r="D320" s="50"/>
      <c r="E320" s="50"/>
      <c r="F320" s="50"/>
      <c r="G320" s="50"/>
      <c r="H320" s="50"/>
      <c r="I320" s="82"/>
      <c r="J320" s="83"/>
      <c r="K320" s="83"/>
      <c r="L320" s="84"/>
      <c r="M320" s="84"/>
      <c r="N320" s="84"/>
      <c r="O320" s="85"/>
      <c r="P320" s="84"/>
      <c r="Q320" s="84"/>
      <c r="R320" s="84"/>
      <c r="S320" s="84"/>
      <c r="T320" s="84"/>
      <c r="U320" s="84"/>
      <c r="V320" s="84"/>
      <c r="W320" s="84"/>
      <c r="X320" s="86"/>
    </row>
    <row r="321" ht="15.0" customHeight="1">
      <c r="A321" s="81"/>
      <c r="B321" s="51"/>
      <c r="C321" s="51"/>
      <c r="D321" s="50"/>
      <c r="E321" s="50"/>
      <c r="F321" s="50"/>
      <c r="G321" s="50"/>
      <c r="H321" s="50"/>
      <c r="I321" s="82"/>
      <c r="J321" s="83"/>
      <c r="K321" s="83"/>
      <c r="L321" s="84"/>
      <c r="M321" s="84"/>
      <c r="N321" s="84"/>
      <c r="O321" s="85"/>
      <c r="P321" s="84"/>
      <c r="Q321" s="84"/>
      <c r="R321" s="84"/>
      <c r="S321" s="84"/>
      <c r="T321" s="84"/>
      <c r="U321" s="84"/>
      <c r="V321" s="84"/>
      <c r="W321" s="84"/>
      <c r="X321" s="86"/>
    </row>
    <row r="322" ht="15.0" customHeight="1">
      <c r="A322" s="81"/>
      <c r="B322" s="51"/>
      <c r="C322" s="51"/>
      <c r="D322" s="50"/>
      <c r="E322" s="50"/>
      <c r="F322" s="50"/>
      <c r="G322" s="50"/>
      <c r="H322" s="50"/>
      <c r="I322" s="82"/>
      <c r="J322" s="83"/>
      <c r="K322" s="83"/>
      <c r="L322" s="84"/>
      <c r="M322" s="84"/>
      <c r="N322" s="84"/>
      <c r="O322" s="85"/>
      <c r="P322" s="84"/>
      <c r="Q322" s="84"/>
      <c r="R322" s="84"/>
      <c r="S322" s="84"/>
      <c r="T322" s="84"/>
      <c r="U322" s="84"/>
      <c r="V322" s="84"/>
      <c r="W322" s="84"/>
      <c r="X322" s="86"/>
    </row>
    <row r="323" ht="15.0" customHeight="1">
      <c r="A323" s="81"/>
      <c r="B323" s="51"/>
      <c r="C323" s="51"/>
      <c r="D323" s="50"/>
      <c r="E323" s="50"/>
      <c r="F323" s="50"/>
      <c r="G323" s="50"/>
      <c r="H323" s="50"/>
      <c r="I323" s="82"/>
      <c r="J323" s="83"/>
      <c r="K323" s="83"/>
      <c r="L323" s="84"/>
      <c r="M323" s="84"/>
      <c r="N323" s="84"/>
      <c r="O323" s="85"/>
      <c r="P323" s="84"/>
      <c r="Q323" s="84"/>
      <c r="R323" s="84"/>
      <c r="S323" s="84"/>
      <c r="T323" s="84"/>
      <c r="U323" s="84"/>
      <c r="V323" s="84"/>
      <c r="W323" s="84"/>
      <c r="X323" s="86"/>
    </row>
    <row r="324" ht="15.0" customHeight="1">
      <c r="A324" s="81"/>
      <c r="B324" s="51"/>
      <c r="C324" s="51"/>
      <c r="D324" s="50"/>
      <c r="E324" s="50"/>
      <c r="F324" s="50"/>
      <c r="G324" s="50"/>
      <c r="H324" s="50"/>
      <c r="I324" s="82"/>
      <c r="J324" s="83"/>
      <c r="K324" s="83"/>
      <c r="L324" s="84"/>
      <c r="M324" s="84"/>
      <c r="N324" s="84"/>
      <c r="O324" s="85"/>
      <c r="P324" s="84"/>
      <c r="Q324" s="84"/>
      <c r="R324" s="84"/>
      <c r="S324" s="84"/>
      <c r="T324" s="84"/>
      <c r="U324" s="84"/>
      <c r="V324" s="84"/>
      <c r="W324" s="84"/>
      <c r="X324" s="86"/>
    </row>
    <row r="325" ht="15.0" customHeight="1">
      <c r="A325" s="81"/>
      <c r="B325" s="51"/>
      <c r="C325" s="51"/>
      <c r="D325" s="50"/>
      <c r="E325" s="50"/>
      <c r="F325" s="50"/>
      <c r="G325" s="50"/>
      <c r="H325" s="50"/>
      <c r="I325" s="82"/>
      <c r="J325" s="83"/>
      <c r="K325" s="83"/>
      <c r="L325" s="84"/>
      <c r="M325" s="84"/>
      <c r="N325" s="84"/>
      <c r="O325" s="85"/>
      <c r="P325" s="84"/>
      <c r="Q325" s="84"/>
      <c r="R325" s="84"/>
      <c r="S325" s="84"/>
      <c r="T325" s="84"/>
      <c r="U325" s="84"/>
      <c r="V325" s="84"/>
      <c r="W325" s="84"/>
      <c r="X325" s="86"/>
    </row>
    <row r="326" ht="15.0" customHeight="1">
      <c r="A326" s="81"/>
      <c r="B326" s="51"/>
      <c r="C326" s="51"/>
      <c r="D326" s="50"/>
      <c r="E326" s="50"/>
      <c r="F326" s="50"/>
      <c r="G326" s="50"/>
      <c r="H326" s="50"/>
      <c r="I326" s="82"/>
      <c r="J326" s="83"/>
      <c r="K326" s="83"/>
      <c r="L326" s="84"/>
      <c r="M326" s="84"/>
      <c r="N326" s="84"/>
      <c r="O326" s="85"/>
      <c r="P326" s="84"/>
      <c r="Q326" s="84"/>
      <c r="R326" s="84"/>
      <c r="S326" s="84"/>
      <c r="T326" s="84"/>
      <c r="U326" s="84"/>
      <c r="V326" s="84"/>
      <c r="W326" s="84"/>
      <c r="X326" s="86"/>
    </row>
    <row r="327" ht="15.0" customHeight="1">
      <c r="A327" s="81"/>
      <c r="B327" s="51"/>
      <c r="C327" s="51"/>
      <c r="D327" s="50"/>
      <c r="E327" s="50"/>
      <c r="F327" s="50"/>
      <c r="G327" s="50"/>
      <c r="H327" s="50"/>
      <c r="I327" s="82"/>
      <c r="J327" s="83"/>
      <c r="K327" s="83"/>
      <c r="L327" s="84"/>
      <c r="M327" s="84"/>
      <c r="N327" s="84"/>
      <c r="O327" s="85"/>
      <c r="P327" s="84"/>
      <c r="Q327" s="84"/>
      <c r="R327" s="84"/>
      <c r="S327" s="84"/>
      <c r="T327" s="84"/>
      <c r="U327" s="84"/>
      <c r="V327" s="84"/>
      <c r="W327" s="84"/>
      <c r="X327" s="86"/>
    </row>
    <row r="328" ht="15.0" customHeight="1">
      <c r="A328" s="81"/>
      <c r="B328" s="51"/>
      <c r="C328" s="51"/>
      <c r="D328" s="50"/>
      <c r="E328" s="50"/>
      <c r="F328" s="50"/>
      <c r="G328" s="50"/>
      <c r="H328" s="50"/>
      <c r="I328" s="82"/>
      <c r="J328" s="83"/>
      <c r="K328" s="83"/>
      <c r="L328" s="84"/>
      <c r="M328" s="84"/>
      <c r="N328" s="84"/>
      <c r="O328" s="85"/>
      <c r="P328" s="84"/>
      <c r="Q328" s="84"/>
      <c r="R328" s="84"/>
      <c r="S328" s="84"/>
      <c r="T328" s="84"/>
      <c r="U328" s="84"/>
      <c r="V328" s="84"/>
      <c r="W328" s="84"/>
      <c r="X328" s="86"/>
    </row>
    <row r="329" ht="15.0" customHeight="1">
      <c r="A329" s="81"/>
      <c r="B329" s="51"/>
      <c r="C329" s="51"/>
      <c r="D329" s="50"/>
      <c r="E329" s="50"/>
      <c r="F329" s="50"/>
      <c r="G329" s="50"/>
      <c r="H329" s="50"/>
      <c r="I329" s="82"/>
      <c r="J329" s="83"/>
      <c r="K329" s="83"/>
      <c r="L329" s="84"/>
      <c r="M329" s="84"/>
      <c r="N329" s="84"/>
      <c r="O329" s="85"/>
      <c r="P329" s="84"/>
      <c r="Q329" s="84"/>
      <c r="R329" s="84"/>
      <c r="S329" s="84"/>
      <c r="T329" s="84"/>
      <c r="U329" s="84"/>
      <c r="V329" s="84"/>
      <c r="W329" s="84"/>
      <c r="X329" s="86"/>
    </row>
    <row r="330" ht="15.0" customHeight="1">
      <c r="A330" s="81"/>
      <c r="B330" s="51"/>
      <c r="C330" s="51"/>
      <c r="D330" s="50"/>
      <c r="E330" s="50"/>
      <c r="F330" s="50"/>
      <c r="G330" s="50"/>
      <c r="H330" s="50"/>
      <c r="I330" s="82"/>
      <c r="J330" s="83"/>
      <c r="K330" s="83"/>
      <c r="L330" s="84"/>
      <c r="M330" s="84"/>
      <c r="N330" s="84"/>
      <c r="O330" s="85"/>
      <c r="P330" s="84"/>
      <c r="Q330" s="84"/>
      <c r="R330" s="84"/>
      <c r="S330" s="84"/>
      <c r="T330" s="84"/>
      <c r="U330" s="84"/>
      <c r="V330" s="84"/>
      <c r="W330" s="84"/>
      <c r="X330" s="86"/>
    </row>
    <row r="331" ht="15.0" customHeight="1">
      <c r="A331" s="81"/>
      <c r="B331" s="51"/>
      <c r="C331" s="51"/>
      <c r="D331" s="50"/>
      <c r="E331" s="50"/>
      <c r="F331" s="50"/>
      <c r="G331" s="50"/>
      <c r="H331" s="50"/>
      <c r="I331" s="82"/>
      <c r="J331" s="83"/>
      <c r="K331" s="83"/>
      <c r="L331" s="84"/>
      <c r="M331" s="84"/>
      <c r="N331" s="84"/>
      <c r="O331" s="85"/>
      <c r="P331" s="84"/>
      <c r="Q331" s="84"/>
      <c r="R331" s="84"/>
      <c r="S331" s="84"/>
      <c r="T331" s="84"/>
      <c r="U331" s="84"/>
      <c r="V331" s="84"/>
      <c r="W331" s="84"/>
      <c r="X331" s="86"/>
    </row>
    <row r="332" ht="15.0" customHeight="1">
      <c r="A332" s="81"/>
      <c r="B332" s="51"/>
      <c r="C332" s="51"/>
      <c r="D332" s="50"/>
      <c r="E332" s="50"/>
      <c r="F332" s="50"/>
      <c r="G332" s="50"/>
      <c r="H332" s="50"/>
      <c r="I332" s="82"/>
      <c r="J332" s="83"/>
      <c r="K332" s="83"/>
      <c r="L332" s="84"/>
      <c r="M332" s="84"/>
      <c r="N332" s="84"/>
      <c r="O332" s="85"/>
      <c r="P332" s="84"/>
      <c r="Q332" s="84"/>
      <c r="R332" s="84"/>
      <c r="S332" s="84"/>
      <c r="T332" s="84"/>
      <c r="U332" s="84"/>
      <c r="V332" s="84"/>
      <c r="W332" s="84"/>
      <c r="X332" s="86"/>
    </row>
    <row r="333" ht="15.0" customHeight="1">
      <c r="A333" s="81"/>
      <c r="B333" s="51"/>
      <c r="C333" s="51"/>
      <c r="D333" s="50"/>
      <c r="E333" s="50"/>
      <c r="F333" s="50"/>
      <c r="G333" s="50"/>
      <c r="H333" s="50"/>
      <c r="I333" s="82"/>
      <c r="J333" s="83"/>
      <c r="K333" s="83"/>
      <c r="L333" s="84"/>
      <c r="M333" s="84"/>
      <c r="N333" s="84"/>
      <c r="O333" s="85"/>
      <c r="P333" s="84"/>
      <c r="Q333" s="84"/>
      <c r="R333" s="84"/>
      <c r="S333" s="84"/>
      <c r="T333" s="84"/>
      <c r="U333" s="84"/>
      <c r="V333" s="84"/>
      <c r="W333" s="84"/>
      <c r="X333" s="86"/>
    </row>
    <row r="334" ht="15.0" customHeight="1">
      <c r="A334" s="81"/>
      <c r="B334" s="51"/>
      <c r="C334" s="51"/>
      <c r="D334" s="50"/>
      <c r="E334" s="50"/>
      <c r="F334" s="50"/>
      <c r="G334" s="50"/>
      <c r="H334" s="50"/>
      <c r="I334" s="82"/>
      <c r="J334" s="83"/>
      <c r="K334" s="83"/>
      <c r="L334" s="84"/>
      <c r="M334" s="84"/>
      <c r="N334" s="84"/>
      <c r="O334" s="85"/>
      <c r="P334" s="84"/>
      <c r="Q334" s="84"/>
      <c r="R334" s="84"/>
      <c r="S334" s="84"/>
      <c r="T334" s="84"/>
      <c r="U334" s="84"/>
      <c r="V334" s="84"/>
      <c r="W334" s="84"/>
      <c r="X334" s="86"/>
    </row>
    <row r="335" ht="15.0" customHeight="1">
      <c r="A335" s="81"/>
      <c r="B335" s="51"/>
      <c r="C335" s="51"/>
      <c r="D335" s="50"/>
      <c r="E335" s="50"/>
      <c r="F335" s="50"/>
      <c r="G335" s="50"/>
      <c r="H335" s="50"/>
      <c r="I335" s="82"/>
      <c r="J335" s="83"/>
      <c r="K335" s="83"/>
      <c r="L335" s="84"/>
      <c r="M335" s="84"/>
      <c r="N335" s="84"/>
      <c r="O335" s="85"/>
      <c r="P335" s="84"/>
      <c r="Q335" s="84"/>
      <c r="R335" s="84"/>
      <c r="S335" s="84"/>
      <c r="T335" s="84"/>
      <c r="U335" s="84"/>
      <c r="V335" s="84"/>
      <c r="W335" s="84"/>
      <c r="X335" s="86"/>
    </row>
    <row r="336" ht="15.0" customHeight="1">
      <c r="A336" s="81"/>
      <c r="B336" s="51"/>
      <c r="C336" s="51"/>
      <c r="D336" s="50"/>
      <c r="E336" s="50"/>
      <c r="F336" s="50"/>
      <c r="G336" s="50"/>
      <c r="H336" s="50"/>
      <c r="I336" s="82"/>
      <c r="J336" s="83"/>
      <c r="K336" s="83"/>
      <c r="L336" s="84"/>
      <c r="M336" s="84"/>
      <c r="N336" s="84"/>
      <c r="O336" s="85"/>
      <c r="P336" s="84"/>
      <c r="Q336" s="84"/>
      <c r="R336" s="84"/>
      <c r="S336" s="84"/>
      <c r="T336" s="84"/>
      <c r="U336" s="84"/>
      <c r="V336" s="84"/>
      <c r="W336" s="84"/>
      <c r="X336" s="86"/>
    </row>
    <row r="337" ht="15.0" customHeight="1">
      <c r="A337" s="81"/>
      <c r="B337" s="51"/>
      <c r="C337" s="51"/>
      <c r="D337" s="50"/>
      <c r="E337" s="50"/>
      <c r="F337" s="50"/>
      <c r="G337" s="50"/>
      <c r="H337" s="50"/>
      <c r="I337" s="82"/>
      <c r="J337" s="83"/>
      <c r="K337" s="83"/>
      <c r="L337" s="84"/>
      <c r="M337" s="84"/>
      <c r="N337" s="84"/>
      <c r="O337" s="85"/>
      <c r="P337" s="84"/>
      <c r="Q337" s="84"/>
      <c r="R337" s="84"/>
      <c r="S337" s="84"/>
      <c r="T337" s="84"/>
      <c r="U337" s="84"/>
      <c r="V337" s="84"/>
      <c r="W337" s="84"/>
      <c r="X337" s="86"/>
    </row>
    <row r="338" ht="15.0" customHeight="1">
      <c r="A338" s="81"/>
      <c r="B338" s="51"/>
      <c r="C338" s="51"/>
      <c r="D338" s="50"/>
      <c r="E338" s="50"/>
      <c r="F338" s="50"/>
      <c r="G338" s="50"/>
      <c r="H338" s="50"/>
      <c r="I338" s="82"/>
      <c r="J338" s="83"/>
      <c r="K338" s="83"/>
      <c r="L338" s="84"/>
      <c r="M338" s="84"/>
      <c r="N338" s="84"/>
      <c r="O338" s="85"/>
      <c r="P338" s="84"/>
      <c r="Q338" s="84"/>
      <c r="R338" s="84"/>
      <c r="S338" s="84"/>
      <c r="T338" s="84"/>
      <c r="U338" s="84"/>
      <c r="V338" s="84"/>
      <c r="W338" s="84"/>
      <c r="X338" s="86"/>
    </row>
    <row r="339" ht="15.0" customHeight="1">
      <c r="A339" s="81"/>
      <c r="B339" s="51"/>
      <c r="C339" s="51"/>
      <c r="D339" s="50"/>
      <c r="E339" s="50"/>
      <c r="F339" s="50"/>
      <c r="G339" s="50"/>
      <c r="H339" s="50"/>
      <c r="I339" s="82"/>
      <c r="J339" s="83"/>
      <c r="K339" s="83"/>
      <c r="L339" s="84"/>
      <c r="M339" s="84"/>
      <c r="N339" s="84"/>
      <c r="O339" s="85"/>
      <c r="P339" s="84"/>
      <c r="Q339" s="84"/>
      <c r="R339" s="84"/>
      <c r="S339" s="84"/>
      <c r="T339" s="84"/>
      <c r="U339" s="84"/>
      <c r="V339" s="84"/>
      <c r="W339" s="84"/>
      <c r="X339" s="86"/>
    </row>
    <row r="340" ht="15.0" customHeight="1">
      <c r="A340" s="81"/>
      <c r="B340" s="51"/>
      <c r="C340" s="51"/>
      <c r="D340" s="50"/>
      <c r="E340" s="50"/>
      <c r="F340" s="50"/>
      <c r="G340" s="50"/>
      <c r="H340" s="50"/>
      <c r="I340" s="82"/>
      <c r="J340" s="83"/>
      <c r="K340" s="83"/>
      <c r="L340" s="84"/>
      <c r="M340" s="84"/>
      <c r="N340" s="84"/>
      <c r="O340" s="85"/>
      <c r="P340" s="84"/>
      <c r="Q340" s="84"/>
      <c r="R340" s="84"/>
      <c r="S340" s="84"/>
      <c r="T340" s="84"/>
      <c r="U340" s="84"/>
      <c r="V340" s="84"/>
      <c r="W340" s="84"/>
      <c r="X340" s="86"/>
    </row>
    <row r="341" ht="15.0" customHeight="1">
      <c r="A341" s="81"/>
      <c r="B341" s="51"/>
      <c r="C341" s="51"/>
      <c r="D341" s="50"/>
      <c r="E341" s="50"/>
      <c r="F341" s="50"/>
      <c r="G341" s="50"/>
      <c r="H341" s="50"/>
      <c r="I341" s="82"/>
      <c r="J341" s="83"/>
      <c r="K341" s="83"/>
      <c r="L341" s="84"/>
      <c r="M341" s="84"/>
      <c r="N341" s="84"/>
      <c r="O341" s="85"/>
      <c r="P341" s="84"/>
      <c r="Q341" s="84"/>
      <c r="R341" s="84"/>
      <c r="S341" s="84"/>
      <c r="T341" s="84"/>
      <c r="U341" s="84"/>
      <c r="V341" s="84"/>
      <c r="W341" s="84"/>
      <c r="X341" s="86"/>
    </row>
    <row r="342" ht="15.0" customHeight="1">
      <c r="A342" s="81"/>
      <c r="B342" s="51"/>
      <c r="C342" s="51"/>
      <c r="D342" s="50"/>
      <c r="E342" s="50"/>
      <c r="F342" s="50"/>
      <c r="G342" s="50"/>
      <c r="H342" s="50"/>
      <c r="I342" s="82"/>
      <c r="J342" s="83"/>
      <c r="K342" s="83"/>
      <c r="L342" s="84"/>
      <c r="M342" s="84"/>
      <c r="N342" s="84"/>
      <c r="O342" s="85"/>
      <c r="P342" s="84"/>
      <c r="Q342" s="84"/>
      <c r="R342" s="84"/>
      <c r="S342" s="84"/>
      <c r="T342" s="84"/>
      <c r="U342" s="84"/>
      <c r="V342" s="84"/>
      <c r="W342" s="84"/>
      <c r="X342" s="86"/>
    </row>
    <row r="343" ht="15.0" customHeight="1">
      <c r="A343" s="81"/>
      <c r="B343" s="51"/>
      <c r="C343" s="51"/>
      <c r="D343" s="50"/>
      <c r="E343" s="50"/>
      <c r="F343" s="50"/>
      <c r="G343" s="50"/>
      <c r="H343" s="50"/>
      <c r="I343" s="82"/>
      <c r="J343" s="83"/>
      <c r="K343" s="83"/>
      <c r="L343" s="84"/>
      <c r="M343" s="84"/>
      <c r="N343" s="84"/>
      <c r="O343" s="85"/>
      <c r="P343" s="84"/>
      <c r="Q343" s="84"/>
      <c r="R343" s="84"/>
      <c r="S343" s="84"/>
      <c r="T343" s="84"/>
      <c r="U343" s="84"/>
      <c r="V343" s="84"/>
      <c r="W343" s="84"/>
      <c r="X343" s="86"/>
    </row>
    <row r="344" ht="15.0" customHeight="1">
      <c r="A344" s="81"/>
      <c r="B344" s="51"/>
      <c r="C344" s="51"/>
      <c r="D344" s="50"/>
      <c r="E344" s="50"/>
      <c r="F344" s="50"/>
      <c r="G344" s="50"/>
      <c r="H344" s="50"/>
      <c r="I344" s="82"/>
      <c r="J344" s="83"/>
      <c r="K344" s="83"/>
      <c r="L344" s="84"/>
      <c r="M344" s="84"/>
      <c r="N344" s="84"/>
      <c r="O344" s="85"/>
      <c r="P344" s="84"/>
      <c r="Q344" s="84"/>
      <c r="R344" s="84"/>
      <c r="S344" s="84"/>
      <c r="T344" s="84"/>
      <c r="U344" s="84"/>
      <c r="V344" s="84"/>
      <c r="W344" s="84"/>
      <c r="X344" s="86"/>
    </row>
    <row r="345" ht="15.0" customHeight="1">
      <c r="A345" s="81"/>
      <c r="B345" s="51"/>
      <c r="C345" s="51"/>
      <c r="D345" s="50"/>
      <c r="E345" s="50"/>
      <c r="F345" s="50"/>
      <c r="G345" s="50"/>
      <c r="H345" s="50"/>
      <c r="I345" s="82"/>
      <c r="J345" s="83"/>
      <c r="K345" s="83"/>
      <c r="L345" s="84"/>
      <c r="M345" s="84"/>
      <c r="N345" s="84"/>
      <c r="O345" s="85"/>
      <c r="P345" s="84"/>
      <c r="Q345" s="84"/>
      <c r="R345" s="84"/>
      <c r="S345" s="84"/>
      <c r="T345" s="84"/>
      <c r="U345" s="84"/>
      <c r="V345" s="84"/>
      <c r="W345" s="84"/>
      <c r="X345" s="86"/>
    </row>
    <row r="346" ht="15.0" customHeight="1">
      <c r="A346" s="81"/>
      <c r="B346" s="51"/>
      <c r="C346" s="51"/>
      <c r="D346" s="50"/>
      <c r="E346" s="50"/>
      <c r="F346" s="50"/>
      <c r="G346" s="50"/>
      <c r="H346" s="50"/>
      <c r="I346" s="82"/>
      <c r="J346" s="83"/>
      <c r="K346" s="83"/>
      <c r="L346" s="84"/>
      <c r="M346" s="84"/>
      <c r="N346" s="84"/>
      <c r="O346" s="85"/>
      <c r="P346" s="84"/>
      <c r="Q346" s="84"/>
      <c r="R346" s="84"/>
      <c r="S346" s="84"/>
      <c r="T346" s="84"/>
      <c r="U346" s="84"/>
      <c r="V346" s="84"/>
      <c r="W346" s="84"/>
      <c r="X346" s="86"/>
    </row>
    <row r="347" ht="15.0" customHeight="1">
      <c r="A347" s="81"/>
      <c r="B347" s="51"/>
      <c r="C347" s="51"/>
      <c r="D347" s="50"/>
      <c r="E347" s="50"/>
      <c r="F347" s="50"/>
      <c r="G347" s="50"/>
      <c r="H347" s="50"/>
      <c r="I347" s="82"/>
      <c r="J347" s="83"/>
      <c r="K347" s="83"/>
      <c r="L347" s="84"/>
      <c r="M347" s="84"/>
      <c r="N347" s="84"/>
      <c r="O347" s="85"/>
      <c r="P347" s="84"/>
      <c r="Q347" s="84"/>
      <c r="R347" s="84"/>
      <c r="S347" s="84"/>
      <c r="T347" s="84"/>
      <c r="U347" s="84"/>
      <c r="V347" s="84"/>
      <c r="W347" s="84"/>
      <c r="X347" s="86"/>
    </row>
    <row r="348" ht="15.0" customHeight="1">
      <c r="A348" s="81"/>
      <c r="B348" s="51"/>
      <c r="C348" s="51"/>
      <c r="D348" s="50"/>
      <c r="E348" s="50"/>
      <c r="F348" s="50"/>
      <c r="G348" s="50"/>
      <c r="H348" s="50"/>
      <c r="I348" s="82"/>
      <c r="J348" s="83"/>
      <c r="K348" s="83"/>
      <c r="L348" s="84"/>
      <c r="M348" s="84"/>
      <c r="N348" s="84"/>
      <c r="O348" s="85"/>
      <c r="P348" s="84"/>
      <c r="Q348" s="84"/>
      <c r="R348" s="84"/>
      <c r="S348" s="84"/>
      <c r="T348" s="84"/>
      <c r="U348" s="84"/>
      <c r="V348" s="84"/>
      <c r="W348" s="84"/>
      <c r="X348" s="86"/>
    </row>
    <row r="349" ht="15.0" customHeight="1">
      <c r="A349" s="81"/>
      <c r="B349" s="51"/>
      <c r="C349" s="51"/>
      <c r="D349" s="50"/>
      <c r="E349" s="50"/>
      <c r="F349" s="50"/>
      <c r="G349" s="50"/>
      <c r="H349" s="50"/>
      <c r="I349" s="82"/>
      <c r="J349" s="83"/>
      <c r="K349" s="83"/>
      <c r="L349" s="84"/>
      <c r="M349" s="84"/>
      <c r="N349" s="84"/>
      <c r="O349" s="85"/>
      <c r="P349" s="84"/>
      <c r="Q349" s="84"/>
      <c r="R349" s="84"/>
      <c r="S349" s="84"/>
      <c r="T349" s="84"/>
      <c r="U349" s="84"/>
      <c r="V349" s="84"/>
      <c r="W349" s="84"/>
      <c r="X349" s="86"/>
    </row>
    <row r="350" ht="15.0" customHeight="1">
      <c r="A350" s="81"/>
      <c r="B350" s="51"/>
      <c r="C350" s="51"/>
      <c r="D350" s="50"/>
      <c r="E350" s="50"/>
      <c r="F350" s="50"/>
      <c r="G350" s="50"/>
      <c r="H350" s="50"/>
      <c r="I350" s="82"/>
      <c r="J350" s="83"/>
      <c r="K350" s="83"/>
      <c r="L350" s="84"/>
      <c r="M350" s="84"/>
      <c r="N350" s="84"/>
      <c r="O350" s="85"/>
      <c r="P350" s="84"/>
      <c r="Q350" s="84"/>
      <c r="R350" s="84"/>
      <c r="S350" s="84"/>
      <c r="T350" s="84"/>
      <c r="U350" s="84"/>
      <c r="V350" s="84"/>
      <c r="W350" s="84"/>
      <c r="X350" s="86"/>
    </row>
    <row r="351" ht="15.0" customHeight="1">
      <c r="A351" s="81"/>
      <c r="B351" s="51"/>
      <c r="C351" s="51"/>
      <c r="D351" s="50"/>
      <c r="E351" s="50"/>
      <c r="F351" s="50"/>
      <c r="G351" s="50"/>
      <c r="H351" s="50"/>
      <c r="I351" s="82"/>
      <c r="J351" s="83"/>
      <c r="K351" s="83"/>
      <c r="L351" s="84"/>
      <c r="M351" s="84"/>
      <c r="N351" s="84"/>
      <c r="O351" s="85"/>
      <c r="P351" s="84"/>
      <c r="Q351" s="84"/>
      <c r="R351" s="84"/>
      <c r="S351" s="84"/>
      <c r="T351" s="84"/>
      <c r="U351" s="84"/>
      <c r="V351" s="84"/>
      <c r="W351" s="84"/>
      <c r="X351" s="86"/>
    </row>
    <row r="352" ht="15.0" customHeight="1">
      <c r="A352" s="81"/>
      <c r="B352" s="51"/>
      <c r="C352" s="51"/>
      <c r="D352" s="50"/>
      <c r="E352" s="50"/>
      <c r="F352" s="50"/>
      <c r="G352" s="50"/>
      <c r="H352" s="50"/>
      <c r="I352" s="82"/>
      <c r="J352" s="83"/>
      <c r="K352" s="83"/>
      <c r="L352" s="84"/>
      <c r="M352" s="84"/>
      <c r="N352" s="84"/>
      <c r="O352" s="85"/>
      <c r="P352" s="84"/>
      <c r="Q352" s="84"/>
      <c r="R352" s="84"/>
      <c r="S352" s="84"/>
      <c r="T352" s="84"/>
      <c r="U352" s="84"/>
      <c r="V352" s="84"/>
      <c r="W352" s="84"/>
      <c r="X352" s="86"/>
    </row>
    <row r="353" ht="15.0" customHeight="1">
      <c r="A353" s="81"/>
      <c r="B353" s="51"/>
      <c r="C353" s="51"/>
      <c r="D353" s="50"/>
      <c r="E353" s="50"/>
      <c r="F353" s="50"/>
      <c r="G353" s="50"/>
      <c r="H353" s="50"/>
      <c r="I353" s="82"/>
      <c r="J353" s="83"/>
      <c r="K353" s="83"/>
      <c r="L353" s="84"/>
      <c r="M353" s="84"/>
      <c r="N353" s="84"/>
      <c r="O353" s="85"/>
      <c r="P353" s="84"/>
      <c r="Q353" s="84"/>
      <c r="R353" s="84"/>
      <c r="S353" s="84"/>
      <c r="T353" s="84"/>
      <c r="U353" s="84"/>
      <c r="V353" s="84"/>
      <c r="W353" s="84"/>
      <c r="X353" s="86"/>
    </row>
    <row r="354" ht="15.0" customHeight="1">
      <c r="A354" s="81"/>
      <c r="B354" s="51"/>
      <c r="C354" s="51"/>
      <c r="D354" s="50"/>
      <c r="E354" s="50"/>
      <c r="F354" s="50"/>
      <c r="G354" s="50"/>
      <c r="H354" s="50"/>
      <c r="I354" s="82"/>
      <c r="J354" s="83"/>
      <c r="K354" s="83"/>
      <c r="L354" s="84"/>
      <c r="M354" s="84"/>
      <c r="N354" s="84"/>
      <c r="O354" s="85"/>
      <c r="P354" s="84"/>
      <c r="Q354" s="84"/>
      <c r="R354" s="84"/>
      <c r="S354" s="84"/>
      <c r="T354" s="84"/>
      <c r="U354" s="84"/>
      <c r="V354" s="84"/>
      <c r="W354" s="84"/>
      <c r="X354" s="86"/>
    </row>
    <row r="355" ht="15.0" customHeight="1">
      <c r="A355" s="81"/>
      <c r="B355" s="51"/>
      <c r="C355" s="51"/>
      <c r="D355" s="50"/>
      <c r="E355" s="50"/>
      <c r="F355" s="50"/>
      <c r="G355" s="50"/>
      <c r="H355" s="50"/>
      <c r="I355" s="82"/>
      <c r="J355" s="83"/>
      <c r="K355" s="83"/>
      <c r="L355" s="84"/>
      <c r="M355" s="84"/>
      <c r="N355" s="84"/>
      <c r="O355" s="85"/>
      <c r="P355" s="84"/>
      <c r="Q355" s="84"/>
      <c r="R355" s="84"/>
      <c r="S355" s="84"/>
      <c r="T355" s="84"/>
      <c r="U355" s="84"/>
      <c r="V355" s="84"/>
      <c r="W355" s="84"/>
      <c r="X355" s="86"/>
    </row>
    <row r="356" ht="15.0" customHeight="1">
      <c r="A356" s="81"/>
      <c r="B356" s="51"/>
      <c r="C356" s="51"/>
      <c r="D356" s="50"/>
      <c r="E356" s="50"/>
      <c r="F356" s="50"/>
      <c r="G356" s="50"/>
      <c r="H356" s="50"/>
      <c r="I356" s="82"/>
      <c r="J356" s="83"/>
      <c r="K356" s="83"/>
      <c r="L356" s="84"/>
      <c r="M356" s="84"/>
      <c r="N356" s="84"/>
      <c r="O356" s="85"/>
      <c r="P356" s="84"/>
      <c r="Q356" s="84"/>
      <c r="R356" s="84"/>
      <c r="S356" s="84"/>
      <c r="T356" s="84"/>
      <c r="U356" s="84"/>
      <c r="V356" s="84"/>
      <c r="W356" s="84"/>
      <c r="X356" s="86"/>
    </row>
    <row r="357" ht="15.0" customHeight="1">
      <c r="A357" s="81"/>
      <c r="B357" s="51"/>
      <c r="C357" s="51"/>
      <c r="D357" s="50"/>
      <c r="E357" s="50"/>
      <c r="F357" s="50"/>
      <c r="G357" s="50"/>
      <c r="H357" s="50"/>
      <c r="I357" s="82"/>
      <c r="J357" s="83"/>
      <c r="K357" s="83"/>
      <c r="L357" s="84"/>
      <c r="M357" s="84"/>
      <c r="N357" s="84"/>
      <c r="O357" s="85"/>
      <c r="P357" s="84"/>
      <c r="Q357" s="84"/>
      <c r="R357" s="84"/>
      <c r="S357" s="84"/>
      <c r="T357" s="84"/>
      <c r="U357" s="84"/>
      <c r="V357" s="84"/>
      <c r="W357" s="84"/>
      <c r="X357" s="86"/>
    </row>
    <row r="358" ht="15.0" customHeight="1">
      <c r="A358" s="81"/>
      <c r="B358" s="51"/>
      <c r="C358" s="51"/>
      <c r="D358" s="50"/>
      <c r="E358" s="50"/>
      <c r="F358" s="50"/>
      <c r="G358" s="50"/>
      <c r="H358" s="50"/>
      <c r="I358" s="82"/>
      <c r="J358" s="83"/>
      <c r="K358" s="83"/>
      <c r="L358" s="84"/>
      <c r="M358" s="84"/>
      <c r="N358" s="84"/>
      <c r="O358" s="85"/>
      <c r="P358" s="84"/>
      <c r="Q358" s="84"/>
      <c r="R358" s="84"/>
      <c r="S358" s="84"/>
      <c r="T358" s="84"/>
      <c r="U358" s="84"/>
      <c r="V358" s="84"/>
      <c r="W358" s="84"/>
      <c r="X358" s="86"/>
    </row>
    <row r="359" ht="15.0" customHeight="1">
      <c r="A359" s="81"/>
      <c r="B359" s="51"/>
      <c r="C359" s="51"/>
      <c r="D359" s="50"/>
      <c r="E359" s="50"/>
      <c r="F359" s="50"/>
      <c r="G359" s="50"/>
      <c r="H359" s="50"/>
      <c r="I359" s="82"/>
      <c r="J359" s="83"/>
      <c r="K359" s="83"/>
      <c r="L359" s="84"/>
      <c r="M359" s="84"/>
      <c r="N359" s="84"/>
      <c r="O359" s="85"/>
      <c r="P359" s="84"/>
      <c r="Q359" s="84"/>
      <c r="R359" s="84"/>
      <c r="S359" s="84"/>
      <c r="T359" s="84"/>
      <c r="U359" s="84"/>
      <c r="V359" s="84"/>
      <c r="W359" s="84"/>
      <c r="X359" s="86"/>
    </row>
    <row r="360" ht="15.0" customHeight="1">
      <c r="A360" s="81"/>
      <c r="B360" s="51"/>
      <c r="C360" s="51"/>
      <c r="D360" s="50"/>
      <c r="E360" s="50"/>
      <c r="F360" s="50"/>
      <c r="G360" s="50"/>
      <c r="H360" s="50"/>
      <c r="I360" s="82"/>
      <c r="J360" s="83"/>
      <c r="K360" s="83"/>
      <c r="L360" s="84"/>
      <c r="M360" s="84"/>
      <c r="N360" s="84"/>
      <c r="O360" s="85"/>
      <c r="P360" s="84"/>
      <c r="Q360" s="84"/>
      <c r="R360" s="84"/>
      <c r="S360" s="84"/>
      <c r="T360" s="84"/>
      <c r="U360" s="84"/>
      <c r="V360" s="84"/>
      <c r="W360" s="84"/>
      <c r="X360" s="86"/>
    </row>
    <row r="361" ht="15.0" customHeight="1">
      <c r="A361" s="81"/>
      <c r="B361" s="51"/>
      <c r="C361" s="51"/>
      <c r="D361" s="50"/>
      <c r="E361" s="50"/>
      <c r="F361" s="50"/>
      <c r="G361" s="50"/>
      <c r="H361" s="50"/>
      <c r="I361" s="82"/>
      <c r="J361" s="83"/>
      <c r="K361" s="83"/>
      <c r="L361" s="84"/>
      <c r="M361" s="84"/>
      <c r="N361" s="84"/>
      <c r="O361" s="85"/>
      <c r="P361" s="84"/>
      <c r="Q361" s="84"/>
      <c r="R361" s="84"/>
      <c r="S361" s="84"/>
      <c r="T361" s="84"/>
      <c r="U361" s="84"/>
      <c r="V361" s="84"/>
      <c r="W361" s="84"/>
      <c r="X361" s="86"/>
    </row>
    <row r="362" ht="15.0" customHeight="1">
      <c r="A362" s="81"/>
      <c r="B362" s="51"/>
      <c r="C362" s="51"/>
      <c r="D362" s="50"/>
      <c r="E362" s="50"/>
      <c r="F362" s="50"/>
      <c r="G362" s="50"/>
      <c r="H362" s="50"/>
      <c r="I362" s="82"/>
      <c r="J362" s="83"/>
      <c r="K362" s="83"/>
      <c r="L362" s="84"/>
      <c r="M362" s="84"/>
      <c r="N362" s="84"/>
      <c r="O362" s="85"/>
      <c r="P362" s="84"/>
      <c r="Q362" s="84"/>
      <c r="R362" s="84"/>
      <c r="S362" s="84"/>
      <c r="T362" s="84"/>
      <c r="U362" s="84"/>
      <c r="V362" s="84"/>
      <c r="W362" s="84"/>
      <c r="X362" s="86"/>
    </row>
    <row r="363" ht="15.0" customHeight="1">
      <c r="A363" s="81"/>
      <c r="B363" s="51"/>
      <c r="C363" s="51"/>
      <c r="D363" s="50"/>
      <c r="E363" s="50"/>
      <c r="F363" s="50"/>
      <c r="G363" s="50"/>
      <c r="H363" s="50"/>
      <c r="I363" s="82"/>
      <c r="J363" s="83"/>
      <c r="K363" s="83"/>
      <c r="L363" s="84"/>
      <c r="M363" s="84"/>
      <c r="N363" s="84"/>
      <c r="O363" s="85"/>
      <c r="P363" s="84"/>
      <c r="Q363" s="84"/>
      <c r="R363" s="84"/>
      <c r="S363" s="84"/>
      <c r="T363" s="84"/>
      <c r="U363" s="84"/>
      <c r="V363" s="84"/>
      <c r="W363" s="84"/>
      <c r="X363" s="86"/>
    </row>
    <row r="364" ht="15.0" customHeight="1">
      <c r="A364" s="81"/>
      <c r="B364" s="51"/>
      <c r="C364" s="51"/>
      <c r="D364" s="50"/>
      <c r="E364" s="50"/>
      <c r="F364" s="50"/>
      <c r="G364" s="50"/>
      <c r="H364" s="50"/>
      <c r="I364" s="82"/>
      <c r="J364" s="83"/>
      <c r="K364" s="83"/>
      <c r="L364" s="84"/>
      <c r="M364" s="84"/>
      <c r="N364" s="84"/>
      <c r="O364" s="85"/>
      <c r="P364" s="84"/>
      <c r="Q364" s="84"/>
      <c r="R364" s="84"/>
      <c r="S364" s="84"/>
      <c r="T364" s="84"/>
      <c r="U364" s="84"/>
      <c r="V364" s="84"/>
      <c r="W364" s="84"/>
      <c r="X364" s="86"/>
    </row>
    <row r="365" ht="15.0" customHeight="1">
      <c r="A365" s="81"/>
      <c r="B365" s="51"/>
      <c r="C365" s="51"/>
      <c r="D365" s="50"/>
      <c r="E365" s="50"/>
      <c r="F365" s="50"/>
      <c r="G365" s="50"/>
      <c r="H365" s="50"/>
      <c r="I365" s="82"/>
      <c r="J365" s="83"/>
      <c r="K365" s="83"/>
      <c r="L365" s="84"/>
      <c r="M365" s="84"/>
      <c r="N365" s="84"/>
      <c r="O365" s="85"/>
      <c r="P365" s="84"/>
      <c r="Q365" s="84"/>
      <c r="R365" s="84"/>
      <c r="S365" s="84"/>
      <c r="T365" s="84"/>
      <c r="U365" s="84"/>
      <c r="V365" s="84"/>
      <c r="W365" s="84"/>
      <c r="X365" s="86"/>
    </row>
    <row r="366" ht="15.0" customHeight="1">
      <c r="A366" s="81"/>
      <c r="B366" s="51"/>
      <c r="C366" s="51"/>
      <c r="D366" s="50"/>
      <c r="E366" s="50"/>
      <c r="F366" s="50"/>
      <c r="G366" s="50"/>
      <c r="H366" s="50"/>
      <c r="I366" s="82"/>
      <c r="J366" s="83"/>
      <c r="K366" s="83"/>
      <c r="L366" s="84"/>
      <c r="M366" s="84"/>
      <c r="N366" s="84"/>
      <c r="O366" s="85"/>
      <c r="P366" s="84"/>
      <c r="Q366" s="84"/>
      <c r="R366" s="84"/>
      <c r="S366" s="84"/>
      <c r="T366" s="84"/>
      <c r="U366" s="84"/>
      <c r="V366" s="84"/>
      <c r="W366" s="84"/>
      <c r="X366" s="86"/>
    </row>
    <row r="367" ht="15.0" customHeight="1">
      <c r="A367" s="81"/>
      <c r="B367" s="51"/>
      <c r="C367" s="51"/>
      <c r="D367" s="50"/>
      <c r="E367" s="50"/>
      <c r="F367" s="50"/>
      <c r="G367" s="50"/>
      <c r="H367" s="50"/>
      <c r="I367" s="82"/>
      <c r="J367" s="83"/>
      <c r="K367" s="83"/>
      <c r="L367" s="84"/>
      <c r="M367" s="84"/>
      <c r="N367" s="84"/>
      <c r="O367" s="85"/>
      <c r="P367" s="84"/>
      <c r="Q367" s="84"/>
      <c r="R367" s="84"/>
      <c r="S367" s="84"/>
      <c r="T367" s="84"/>
      <c r="U367" s="84"/>
      <c r="V367" s="84"/>
      <c r="W367" s="84"/>
      <c r="X367" s="86"/>
    </row>
    <row r="368" ht="15.0" customHeight="1">
      <c r="A368" s="81"/>
      <c r="B368" s="51"/>
      <c r="C368" s="51"/>
      <c r="D368" s="50"/>
      <c r="E368" s="50"/>
      <c r="F368" s="50"/>
      <c r="G368" s="50"/>
      <c r="H368" s="50"/>
      <c r="I368" s="82"/>
      <c r="J368" s="83"/>
      <c r="K368" s="83"/>
      <c r="L368" s="84"/>
      <c r="M368" s="84"/>
      <c r="N368" s="84"/>
      <c r="O368" s="85"/>
      <c r="P368" s="84"/>
      <c r="Q368" s="84"/>
      <c r="R368" s="84"/>
      <c r="S368" s="84"/>
      <c r="T368" s="84"/>
      <c r="U368" s="84"/>
      <c r="V368" s="84"/>
      <c r="W368" s="84"/>
      <c r="X368" s="86"/>
    </row>
    <row r="369" ht="15.0" customHeight="1">
      <c r="A369" s="81"/>
      <c r="B369" s="51"/>
      <c r="C369" s="51"/>
      <c r="D369" s="50"/>
      <c r="E369" s="50"/>
      <c r="F369" s="50"/>
      <c r="G369" s="50"/>
      <c r="H369" s="50"/>
      <c r="I369" s="82"/>
      <c r="J369" s="83"/>
      <c r="K369" s="83"/>
      <c r="L369" s="84"/>
      <c r="M369" s="84"/>
      <c r="N369" s="84"/>
      <c r="O369" s="85"/>
      <c r="P369" s="84"/>
      <c r="Q369" s="84"/>
      <c r="R369" s="84"/>
      <c r="S369" s="84"/>
      <c r="T369" s="84"/>
      <c r="U369" s="84"/>
      <c r="V369" s="84"/>
      <c r="W369" s="84"/>
      <c r="X369" s="86"/>
    </row>
    <row r="370" ht="15.0" customHeight="1">
      <c r="A370" s="81"/>
      <c r="B370" s="51"/>
      <c r="C370" s="51"/>
      <c r="D370" s="50"/>
      <c r="E370" s="50"/>
      <c r="F370" s="50"/>
      <c r="G370" s="50"/>
      <c r="H370" s="50"/>
      <c r="I370" s="82"/>
      <c r="J370" s="83"/>
      <c r="K370" s="83"/>
      <c r="L370" s="84"/>
      <c r="M370" s="84"/>
      <c r="N370" s="84"/>
      <c r="O370" s="85"/>
      <c r="P370" s="84"/>
      <c r="Q370" s="84"/>
      <c r="R370" s="84"/>
      <c r="S370" s="84"/>
      <c r="T370" s="84"/>
      <c r="U370" s="84"/>
      <c r="V370" s="84"/>
      <c r="W370" s="84"/>
      <c r="X370" s="86"/>
    </row>
    <row r="371" ht="15.0" customHeight="1">
      <c r="A371" s="81"/>
      <c r="B371" s="51"/>
      <c r="C371" s="51"/>
      <c r="D371" s="50"/>
      <c r="E371" s="50"/>
      <c r="F371" s="50"/>
      <c r="G371" s="50"/>
      <c r="H371" s="50"/>
      <c r="I371" s="82"/>
      <c r="J371" s="83"/>
      <c r="K371" s="83"/>
      <c r="L371" s="84"/>
      <c r="M371" s="84"/>
      <c r="N371" s="84"/>
      <c r="O371" s="85"/>
      <c r="P371" s="84"/>
      <c r="Q371" s="84"/>
      <c r="R371" s="84"/>
      <c r="S371" s="84"/>
      <c r="T371" s="84"/>
      <c r="U371" s="84"/>
      <c r="V371" s="84"/>
      <c r="W371" s="84"/>
      <c r="X371" s="86"/>
    </row>
    <row r="372" ht="15.0" customHeight="1">
      <c r="A372" s="81"/>
      <c r="B372" s="51"/>
      <c r="C372" s="51"/>
      <c r="D372" s="50"/>
      <c r="E372" s="50"/>
      <c r="F372" s="50"/>
      <c r="G372" s="50"/>
      <c r="H372" s="50"/>
      <c r="I372" s="82"/>
      <c r="J372" s="83"/>
      <c r="K372" s="83"/>
      <c r="L372" s="84"/>
      <c r="M372" s="84"/>
      <c r="N372" s="84"/>
      <c r="O372" s="85"/>
      <c r="P372" s="84"/>
      <c r="Q372" s="84"/>
      <c r="R372" s="84"/>
      <c r="S372" s="84"/>
      <c r="T372" s="84"/>
      <c r="U372" s="84"/>
      <c r="V372" s="84"/>
      <c r="W372" s="84"/>
      <c r="X372" s="86"/>
    </row>
    <row r="373" ht="15.0" customHeight="1">
      <c r="A373" s="81"/>
      <c r="B373" s="51"/>
      <c r="C373" s="51"/>
      <c r="D373" s="50"/>
      <c r="E373" s="50"/>
      <c r="F373" s="50"/>
      <c r="G373" s="50"/>
      <c r="H373" s="50"/>
      <c r="I373" s="82"/>
      <c r="J373" s="83"/>
      <c r="K373" s="83"/>
      <c r="L373" s="84"/>
      <c r="M373" s="84"/>
      <c r="N373" s="84"/>
      <c r="O373" s="85"/>
      <c r="P373" s="84"/>
      <c r="Q373" s="84"/>
      <c r="R373" s="84"/>
      <c r="S373" s="84"/>
      <c r="T373" s="84"/>
      <c r="U373" s="84"/>
      <c r="V373" s="84"/>
      <c r="W373" s="84"/>
      <c r="X373" s="86"/>
    </row>
    <row r="374" ht="15.0" customHeight="1">
      <c r="A374" s="81"/>
      <c r="B374" s="51"/>
      <c r="C374" s="51"/>
      <c r="D374" s="50"/>
      <c r="E374" s="50"/>
      <c r="F374" s="50"/>
      <c r="G374" s="50"/>
      <c r="H374" s="50"/>
      <c r="I374" s="82"/>
      <c r="J374" s="83"/>
      <c r="K374" s="83"/>
      <c r="L374" s="84"/>
      <c r="M374" s="84"/>
      <c r="N374" s="84"/>
      <c r="O374" s="85"/>
      <c r="P374" s="84"/>
      <c r="Q374" s="84"/>
      <c r="R374" s="84"/>
      <c r="S374" s="84"/>
      <c r="T374" s="84"/>
      <c r="U374" s="84"/>
      <c r="V374" s="84"/>
      <c r="W374" s="84"/>
      <c r="X374" s="86"/>
    </row>
    <row r="375" ht="15.0" customHeight="1">
      <c r="A375" s="81"/>
      <c r="B375" s="51"/>
      <c r="C375" s="51"/>
      <c r="D375" s="50"/>
      <c r="E375" s="50"/>
      <c r="F375" s="50"/>
      <c r="G375" s="50"/>
      <c r="H375" s="50"/>
      <c r="I375" s="82"/>
      <c r="J375" s="83"/>
      <c r="K375" s="83"/>
      <c r="L375" s="84"/>
      <c r="M375" s="84"/>
      <c r="N375" s="84"/>
      <c r="O375" s="85"/>
      <c r="P375" s="84"/>
      <c r="Q375" s="84"/>
      <c r="R375" s="84"/>
      <c r="S375" s="84"/>
      <c r="T375" s="84"/>
      <c r="U375" s="84"/>
      <c r="V375" s="84"/>
      <c r="W375" s="84"/>
      <c r="X375" s="86"/>
    </row>
    <row r="376" ht="15.0" customHeight="1">
      <c r="A376" s="81"/>
      <c r="B376" s="51"/>
      <c r="C376" s="51"/>
      <c r="D376" s="50"/>
      <c r="E376" s="50"/>
      <c r="F376" s="50"/>
      <c r="G376" s="50"/>
      <c r="H376" s="50"/>
      <c r="I376" s="82"/>
      <c r="J376" s="83"/>
      <c r="K376" s="83"/>
      <c r="L376" s="84"/>
      <c r="M376" s="84"/>
      <c r="N376" s="84"/>
      <c r="O376" s="85"/>
      <c r="P376" s="84"/>
      <c r="Q376" s="84"/>
      <c r="R376" s="84"/>
      <c r="S376" s="84"/>
      <c r="T376" s="84"/>
      <c r="U376" s="84"/>
      <c r="V376" s="84"/>
      <c r="W376" s="84"/>
      <c r="X376" s="86"/>
    </row>
    <row r="377" ht="15.0" customHeight="1">
      <c r="A377" s="81"/>
      <c r="B377" s="51"/>
      <c r="C377" s="51"/>
      <c r="D377" s="50"/>
      <c r="E377" s="50"/>
      <c r="F377" s="50"/>
      <c r="G377" s="50"/>
      <c r="H377" s="50"/>
      <c r="I377" s="82"/>
      <c r="J377" s="83"/>
      <c r="K377" s="83"/>
      <c r="L377" s="84"/>
      <c r="M377" s="84"/>
      <c r="N377" s="84"/>
      <c r="O377" s="85"/>
      <c r="P377" s="84"/>
      <c r="Q377" s="84"/>
      <c r="R377" s="84"/>
      <c r="S377" s="84"/>
      <c r="T377" s="84"/>
      <c r="U377" s="84"/>
      <c r="V377" s="84"/>
      <c r="W377" s="84"/>
      <c r="X377" s="86"/>
    </row>
    <row r="378" ht="15.0" customHeight="1">
      <c r="A378" s="81"/>
      <c r="B378" s="51"/>
      <c r="C378" s="51"/>
      <c r="D378" s="50"/>
      <c r="E378" s="50"/>
      <c r="F378" s="50"/>
      <c r="G378" s="50"/>
      <c r="H378" s="50"/>
      <c r="I378" s="82"/>
      <c r="J378" s="83"/>
      <c r="K378" s="83"/>
      <c r="L378" s="84"/>
      <c r="M378" s="84"/>
      <c r="N378" s="84"/>
      <c r="O378" s="85"/>
      <c r="P378" s="84"/>
      <c r="Q378" s="84"/>
      <c r="R378" s="84"/>
      <c r="S378" s="84"/>
      <c r="T378" s="84"/>
      <c r="U378" s="84"/>
      <c r="V378" s="84"/>
      <c r="W378" s="84"/>
      <c r="X378" s="86"/>
    </row>
    <row r="379" ht="15.0" customHeight="1">
      <c r="A379" s="81"/>
      <c r="B379" s="51"/>
      <c r="C379" s="51"/>
      <c r="D379" s="50"/>
      <c r="E379" s="50"/>
      <c r="F379" s="50"/>
      <c r="G379" s="50"/>
      <c r="H379" s="50"/>
      <c r="I379" s="82"/>
      <c r="J379" s="83"/>
      <c r="K379" s="83"/>
      <c r="L379" s="84"/>
      <c r="M379" s="84"/>
      <c r="N379" s="84"/>
      <c r="O379" s="85"/>
      <c r="P379" s="84"/>
      <c r="Q379" s="84"/>
      <c r="R379" s="84"/>
      <c r="S379" s="84"/>
      <c r="T379" s="84"/>
      <c r="U379" s="84"/>
      <c r="V379" s="84"/>
      <c r="W379" s="84"/>
      <c r="X379" s="86"/>
    </row>
    <row r="380" ht="15.0" customHeight="1">
      <c r="A380" s="81"/>
      <c r="B380" s="51"/>
      <c r="C380" s="51"/>
      <c r="D380" s="50"/>
      <c r="E380" s="50"/>
      <c r="F380" s="50"/>
      <c r="G380" s="50"/>
      <c r="H380" s="50"/>
      <c r="I380" s="82"/>
      <c r="J380" s="83"/>
      <c r="K380" s="83"/>
      <c r="L380" s="84"/>
      <c r="M380" s="84"/>
      <c r="N380" s="84"/>
      <c r="O380" s="85"/>
      <c r="P380" s="84"/>
      <c r="Q380" s="84"/>
      <c r="R380" s="84"/>
      <c r="S380" s="84"/>
      <c r="T380" s="84"/>
      <c r="U380" s="84"/>
      <c r="V380" s="84"/>
      <c r="W380" s="84"/>
      <c r="X380" s="86"/>
    </row>
    <row r="381" ht="15.0" customHeight="1">
      <c r="A381" s="81"/>
      <c r="B381" s="51"/>
      <c r="C381" s="51"/>
      <c r="D381" s="50"/>
      <c r="E381" s="50"/>
      <c r="F381" s="50"/>
      <c r="G381" s="50"/>
      <c r="H381" s="50"/>
      <c r="I381" s="82"/>
      <c r="J381" s="83"/>
      <c r="K381" s="83"/>
      <c r="L381" s="84"/>
      <c r="M381" s="84"/>
      <c r="N381" s="84"/>
      <c r="O381" s="85"/>
      <c r="P381" s="84"/>
      <c r="Q381" s="84"/>
      <c r="R381" s="84"/>
      <c r="S381" s="84"/>
      <c r="T381" s="84"/>
      <c r="U381" s="84"/>
      <c r="V381" s="84"/>
      <c r="W381" s="84"/>
      <c r="X381" s="86"/>
    </row>
    <row r="382" ht="15.0" customHeight="1">
      <c r="A382" s="81"/>
      <c r="B382" s="51"/>
      <c r="C382" s="51"/>
      <c r="D382" s="50"/>
      <c r="E382" s="50"/>
      <c r="F382" s="50"/>
      <c r="G382" s="50"/>
      <c r="H382" s="50"/>
      <c r="I382" s="82"/>
      <c r="J382" s="83"/>
      <c r="K382" s="83"/>
      <c r="L382" s="84"/>
      <c r="M382" s="84"/>
      <c r="N382" s="84"/>
      <c r="O382" s="85"/>
      <c r="P382" s="84"/>
      <c r="Q382" s="84"/>
      <c r="R382" s="84"/>
      <c r="S382" s="84"/>
      <c r="T382" s="84"/>
      <c r="U382" s="84"/>
      <c r="V382" s="84"/>
      <c r="W382" s="84"/>
      <c r="X382" s="86"/>
    </row>
    <row r="383" ht="15.0" customHeight="1">
      <c r="A383" s="81"/>
      <c r="B383" s="51"/>
      <c r="C383" s="51"/>
      <c r="D383" s="50"/>
      <c r="E383" s="50"/>
      <c r="F383" s="50"/>
      <c r="G383" s="50"/>
      <c r="H383" s="50"/>
      <c r="I383" s="82"/>
      <c r="J383" s="83"/>
      <c r="K383" s="83"/>
      <c r="L383" s="84"/>
      <c r="M383" s="84"/>
      <c r="N383" s="84"/>
      <c r="O383" s="85"/>
      <c r="P383" s="84"/>
      <c r="Q383" s="84"/>
      <c r="R383" s="84"/>
      <c r="S383" s="84"/>
      <c r="T383" s="84"/>
      <c r="U383" s="84"/>
      <c r="V383" s="84"/>
      <c r="W383" s="84"/>
      <c r="X383" s="86"/>
    </row>
    <row r="384" ht="15.0" customHeight="1">
      <c r="A384" s="81"/>
      <c r="B384" s="51"/>
      <c r="C384" s="51"/>
      <c r="D384" s="50"/>
      <c r="E384" s="50"/>
      <c r="F384" s="50"/>
      <c r="G384" s="50"/>
      <c r="H384" s="50"/>
      <c r="I384" s="82"/>
      <c r="J384" s="83"/>
      <c r="K384" s="83"/>
      <c r="L384" s="84"/>
      <c r="M384" s="84"/>
      <c r="N384" s="84"/>
      <c r="O384" s="85"/>
      <c r="P384" s="84"/>
      <c r="Q384" s="84"/>
      <c r="R384" s="84"/>
      <c r="S384" s="84"/>
      <c r="T384" s="84"/>
      <c r="U384" s="84"/>
      <c r="V384" s="84"/>
      <c r="W384" s="84"/>
      <c r="X384" s="86"/>
    </row>
    <row r="385" ht="15.0" customHeight="1">
      <c r="A385" s="81"/>
      <c r="B385" s="51"/>
      <c r="C385" s="51"/>
      <c r="D385" s="50"/>
      <c r="E385" s="50"/>
      <c r="F385" s="50"/>
      <c r="G385" s="50"/>
      <c r="H385" s="50"/>
      <c r="I385" s="82"/>
      <c r="J385" s="83"/>
      <c r="K385" s="83"/>
      <c r="L385" s="84"/>
      <c r="M385" s="84"/>
      <c r="N385" s="84"/>
      <c r="O385" s="85"/>
      <c r="P385" s="84"/>
      <c r="Q385" s="84"/>
      <c r="R385" s="84"/>
      <c r="S385" s="84"/>
      <c r="T385" s="84"/>
      <c r="U385" s="84"/>
      <c r="V385" s="84"/>
      <c r="W385" s="84"/>
      <c r="X385" s="86"/>
    </row>
    <row r="386" ht="15.0" customHeight="1">
      <c r="A386" s="81"/>
      <c r="B386" s="51"/>
      <c r="C386" s="51"/>
      <c r="D386" s="50"/>
      <c r="E386" s="50"/>
      <c r="F386" s="50"/>
      <c r="G386" s="50"/>
      <c r="H386" s="50"/>
      <c r="I386" s="82"/>
      <c r="J386" s="83"/>
      <c r="K386" s="83"/>
      <c r="L386" s="84"/>
      <c r="M386" s="84"/>
      <c r="N386" s="84"/>
      <c r="O386" s="85"/>
      <c r="P386" s="84"/>
      <c r="Q386" s="84"/>
      <c r="R386" s="84"/>
      <c r="S386" s="84"/>
      <c r="T386" s="84"/>
      <c r="U386" s="84"/>
      <c r="V386" s="84"/>
      <c r="W386" s="84"/>
      <c r="X386" s="86"/>
    </row>
    <row r="387" ht="15.0" customHeight="1">
      <c r="A387" s="81"/>
      <c r="B387" s="51"/>
      <c r="C387" s="51"/>
      <c r="D387" s="50"/>
      <c r="E387" s="50"/>
      <c r="F387" s="50"/>
      <c r="G387" s="50"/>
      <c r="H387" s="50"/>
      <c r="I387" s="82"/>
      <c r="J387" s="83"/>
      <c r="K387" s="83"/>
      <c r="L387" s="84"/>
      <c r="M387" s="84"/>
      <c r="N387" s="84"/>
      <c r="O387" s="85"/>
      <c r="P387" s="84"/>
      <c r="Q387" s="84"/>
      <c r="R387" s="84"/>
      <c r="S387" s="84"/>
      <c r="T387" s="84"/>
      <c r="U387" s="84"/>
      <c r="V387" s="84"/>
      <c r="W387" s="84"/>
      <c r="X387" s="86"/>
    </row>
    <row r="388" ht="15.0" customHeight="1">
      <c r="A388" s="81"/>
      <c r="B388" s="51"/>
      <c r="C388" s="51"/>
      <c r="D388" s="50"/>
      <c r="E388" s="50"/>
      <c r="F388" s="50"/>
      <c r="G388" s="50"/>
      <c r="H388" s="50"/>
      <c r="I388" s="82"/>
      <c r="J388" s="83"/>
      <c r="K388" s="83"/>
      <c r="L388" s="84"/>
      <c r="M388" s="84"/>
      <c r="N388" s="84"/>
      <c r="O388" s="85"/>
      <c r="P388" s="84"/>
      <c r="Q388" s="84"/>
      <c r="R388" s="84"/>
      <c r="S388" s="84"/>
      <c r="T388" s="84"/>
      <c r="U388" s="84"/>
      <c r="V388" s="84"/>
      <c r="W388" s="84"/>
      <c r="X388" s="86"/>
    </row>
    <row r="389" ht="15.0" customHeight="1">
      <c r="A389" s="81"/>
      <c r="B389" s="51"/>
      <c r="C389" s="51"/>
      <c r="D389" s="50"/>
      <c r="E389" s="50"/>
      <c r="F389" s="50"/>
      <c r="G389" s="50"/>
      <c r="H389" s="50"/>
      <c r="I389" s="82"/>
      <c r="J389" s="83"/>
      <c r="K389" s="83"/>
      <c r="L389" s="84"/>
      <c r="M389" s="84"/>
      <c r="N389" s="84"/>
      <c r="O389" s="85"/>
      <c r="P389" s="84"/>
      <c r="Q389" s="84"/>
      <c r="R389" s="84"/>
      <c r="S389" s="84"/>
      <c r="T389" s="84"/>
      <c r="U389" s="84"/>
      <c r="V389" s="84"/>
      <c r="W389" s="84"/>
      <c r="X389" s="86"/>
    </row>
    <row r="390" ht="15.0" customHeight="1">
      <c r="A390" s="81"/>
      <c r="B390" s="51"/>
      <c r="C390" s="51"/>
      <c r="D390" s="50"/>
      <c r="E390" s="50"/>
      <c r="F390" s="50"/>
      <c r="G390" s="50"/>
      <c r="H390" s="50"/>
      <c r="I390" s="82"/>
      <c r="J390" s="83"/>
      <c r="K390" s="83"/>
      <c r="L390" s="84"/>
      <c r="M390" s="84"/>
      <c r="N390" s="84"/>
      <c r="O390" s="85"/>
      <c r="P390" s="84"/>
      <c r="Q390" s="84"/>
      <c r="R390" s="84"/>
      <c r="S390" s="84"/>
      <c r="T390" s="84"/>
      <c r="U390" s="84"/>
      <c r="V390" s="84"/>
      <c r="W390" s="84"/>
      <c r="X390" s="86"/>
    </row>
    <row r="391" ht="15.0" customHeight="1">
      <c r="A391" s="81"/>
      <c r="B391" s="51"/>
      <c r="C391" s="51"/>
      <c r="D391" s="50"/>
      <c r="E391" s="50"/>
      <c r="F391" s="50"/>
      <c r="G391" s="50"/>
      <c r="H391" s="50"/>
      <c r="I391" s="82"/>
      <c r="J391" s="83"/>
      <c r="K391" s="83"/>
      <c r="L391" s="84"/>
      <c r="M391" s="84"/>
      <c r="N391" s="84"/>
      <c r="O391" s="85"/>
      <c r="P391" s="84"/>
      <c r="Q391" s="84"/>
      <c r="R391" s="84"/>
      <c r="S391" s="84"/>
      <c r="T391" s="84"/>
      <c r="U391" s="84"/>
      <c r="V391" s="84"/>
      <c r="W391" s="84"/>
      <c r="X391" s="86"/>
    </row>
    <row r="392" ht="15.0" customHeight="1">
      <c r="A392" s="81"/>
      <c r="B392" s="51"/>
      <c r="C392" s="51"/>
      <c r="D392" s="50"/>
      <c r="E392" s="50"/>
      <c r="F392" s="50"/>
      <c r="G392" s="50"/>
      <c r="H392" s="50"/>
      <c r="I392" s="82"/>
      <c r="J392" s="83"/>
      <c r="K392" s="83"/>
      <c r="L392" s="84"/>
      <c r="M392" s="84"/>
      <c r="N392" s="84"/>
      <c r="O392" s="85"/>
      <c r="P392" s="84"/>
      <c r="Q392" s="84"/>
      <c r="R392" s="84"/>
      <c r="S392" s="84"/>
      <c r="T392" s="84"/>
      <c r="U392" s="84"/>
      <c r="V392" s="84"/>
      <c r="W392" s="84"/>
      <c r="X392" s="86"/>
    </row>
    <row r="393" ht="15.0" customHeight="1">
      <c r="A393" s="81"/>
      <c r="B393" s="51"/>
      <c r="C393" s="51"/>
      <c r="D393" s="50"/>
      <c r="E393" s="50"/>
      <c r="F393" s="50"/>
      <c r="G393" s="50"/>
      <c r="H393" s="50"/>
      <c r="I393" s="82"/>
      <c r="J393" s="83"/>
      <c r="K393" s="83"/>
      <c r="L393" s="84"/>
      <c r="M393" s="84"/>
      <c r="N393" s="84"/>
      <c r="O393" s="85"/>
      <c r="P393" s="84"/>
      <c r="Q393" s="84"/>
      <c r="R393" s="84"/>
      <c r="S393" s="84"/>
      <c r="T393" s="84"/>
      <c r="U393" s="84"/>
      <c r="V393" s="84"/>
      <c r="W393" s="84"/>
      <c r="X393" s="86"/>
    </row>
    <row r="394" ht="15.0" customHeight="1">
      <c r="A394" s="81"/>
      <c r="B394" s="51"/>
      <c r="C394" s="51"/>
      <c r="D394" s="50"/>
      <c r="E394" s="50"/>
      <c r="F394" s="50"/>
      <c r="G394" s="50"/>
      <c r="H394" s="50"/>
      <c r="I394" s="82"/>
      <c r="J394" s="83"/>
      <c r="K394" s="83"/>
      <c r="L394" s="84"/>
      <c r="M394" s="84"/>
      <c r="N394" s="84"/>
      <c r="O394" s="85"/>
      <c r="P394" s="84"/>
      <c r="Q394" s="84"/>
      <c r="R394" s="84"/>
      <c r="S394" s="84"/>
      <c r="T394" s="84"/>
      <c r="U394" s="84"/>
      <c r="V394" s="84"/>
      <c r="W394" s="84"/>
      <c r="X394" s="86"/>
    </row>
    <row r="395" ht="15.0" customHeight="1">
      <c r="A395" s="81"/>
      <c r="B395" s="51"/>
      <c r="C395" s="51"/>
      <c r="D395" s="50"/>
      <c r="E395" s="50"/>
      <c r="F395" s="50"/>
      <c r="G395" s="50"/>
      <c r="H395" s="50"/>
      <c r="I395" s="82"/>
      <c r="J395" s="83"/>
      <c r="K395" s="83"/>
      <c r="L395" s="84"/>
      <c r="M395" s="84"/>
      <c r="N395" s="84"/>
      <c r="O395" s="85"/>
      <c r="P395" s="84"/>
      <c r="Q395" s="84"/>
      <c r="R395" s="84"/>
      <c r="S395" s="84"/>
      <c r="T395" s="84"/>
      <c r="U395" s="84"/>
      <c r="V395" s="84"/>
      <c r="W395" s="84"/>
      <c r="X395" s="86"/>
    </row>
    <row r="396" ht="15.0" customHeight="1">
      <c r="A396" s="81"/>
      <c r="B396" s="51"/>
      <c r="C396" s="51"/>
      <c r="D396" s="50"/>
      <c r="E396" s="50"/>
      <c r="F396" s="50"/>
      <c r="G396" s="50"/>
      <c r="H396" s="50"/>
      <c r="I396" s="82"/>
      <c r="J396" s="83"/>
      <c r="K396" s="83"/>
      <c r="L396" s="84"/>
      <c r="M396" s="84"/>
      <c r="N396" s="84"/>
      <c r="O396" s="85"/>
      <c r="P396" s="84"/>
      <c r="Q396" s="84"/>
      <c r="R396" s="84"/>
      <c r="S396" s="84"/>
      <c r="T396" s="84"/>
      <c r="U396" s="84"/>
      <c r="V396" s="84"/>
      <c r="W396" s="84"/>
      <c r="X396" s="86"/>
    </row>
    <row r="397" ht="15.0" customHeight="1">
      <c r="A397" s="81"/>
      <c r="B397" s="51"/>
      <c r="C397" s="51"/>
      <c r="D397" s="50"/>
      <c r="E397" s="50"/>
      <c r="F397" s="50"/>
      <c r="G397" s="50"/>
      <c r="H397" s="50"/>
      <c r="I397" s="82"/>
      <c r="J397" s="83"/>
      <c r="K397" s="83"/>
      <c r="L397" s="84"/>
      <c r="M397" s="84"/>
      <c r="N397" s="84"/>
      <c r="O397" s="85"/>
      <c r="P397" s="84"/>
      <c r="Q397" s="84"/>
      <c r="R397" s="84"/>
      <c r="S397" s="84"/>
      <c r="T397" s="84"/>
      <c r="U397" s="84"/>
      <c r="V397" s="84"/>
      <c r="W397" s="84"/>
      <c r="X397" s="86"/>
    </row>
    <row r="398" ht="15.0" customHeight="1">
      <c r="A398" s="81"/>
      <c r="B398" s="51"/>
      <c r="C398" s="51"/>
      <c r="D398" s="50"/>
      <c r="E398" s="50"/>
      <c r="F398" s="50"/>
      <c r="G398" s="50"/>
      <c r="H398" s="50"/>
      <c r="I398" s="82"/>
      <c r="J398" s="83"/>
      <c r="K398" s="83"/>
      <c r="L398" s="84"/>
      <c r="M398" s="84"/>
      <c r="N398" s="84"/>
      <c r="O398" s="85"/>
      <c r="P398" s="84"/>
      <c r="Q398" s="84"/>
      <c r="R398" s="84"/>
      <c r="S398" s="84"/>
      <c r="T398" s="84"/>
      <c r="U398" s="84"/>
      <c r="V398" s="84"/>
      <c r="W398" s="84"/>
      <c r="X398" s="86"/>
    </row>
    <row r="399" ht="15.0" customHeight="1">
      <c r="A399" s="81"/>
      <c r="B399" s="51"/>
      <c r="C399" s="51"/>
      <c r="D399" s="50"/>
      <c r="E399" s="50"/>
      <c r="F399" s="50"/>
      <c r="G399" s="50"/>
      <c r="H399" s="50"/>
      <c r="I399" s="82"/>
      <c r="J399" s="83"/>
      <c r="K399" s="83"/>
      <c r="L399" s="84"/>
      <c r="M399" s="84"/>
      <c r="N399" s="84"/>
      <c r="O399" s="85"/>
      <c r="P399" s="84"/>
      <c r="Q399" s="84"/>
      <c r="R399" s="84"/>
      <c r="S399" s="84"/>
      <c r="T399" s="84"/>
      <c r="U399" s="84"/>
      <c r="V399" s="84"/>
      <c r="W399" s="84"/>
      <c r="X399" s="86"/>
    </row>
    <row r="400" ht="15.0" customHeight="1">
      <c r="A400" s="81"/>
      <c r="B400" s="51"/>
      <c r="C400" s="51"/>
      <c r="D400" s="50"/>
      <c r="E400" s="50"/>
      <c r="F400" s="50"/>
      <c r="G400" s="50"/>
      <c r="H400" s="50"/>
      <c r="I400" s="82"/>
      <c r="J400" s="83"/>
      <c r="K400" s="83"/>
      <c r="L400" s="84"/>
      <c r="M400" s="84"/>
      <c r="N400" s="84"/>
      <c r="O400" s="85"/>
      <c r="P400" s="84"/>
      <c r="Q400" s="84"/>
      <c r="R400" s="84"/>
      <c r="S400" s="84"/>
      <c r="T400" s="84"/>
      <c r="U400" s="84"/>
      <c r="V400" s="84"/>
      <c r="W400" s="84"/>
      <c r="X400" s="86"/>
    </row>
    <row r="401" ht="15.0" customHeight="1">
      <c r="A401" s="81"/>
      <c r="B401" s="51"/>
      <c r="C401" s="51"/>
      <c r="D401" s="50"/>
      <c r="E401" s="50"/>
      <c r="F401" s="50"/>
      <c r="G401" s="50"/>
      <c r="H401" s="50"/>
      <c r="I401" s="82"/>
      <c r="J401" s="83"/>
      <c r="K401" s="83"/>
      <c r="L401" s="84"/>
      <c r="M401" s="84"/>
      <c r="N401" s="84"/>
      <c r="O401" s="85"/>
      <c r="P401" s="84"/>
      <c r="Q401" s="84"/>
      <c r="R401" s="84"/>
      <c r="S401" s="84"/>
      <c r="T401" s="84"/>
      <c r="U401" s="84"/>
      <c r="V401" s="84"/>
      <c r="W401" s="84"/>
      <c r="X401" s="86"/>
    </row>
    <row r="402" ht="15.0" customHeight="1">
      <c r="A402" s="81"/>
      <c r="B402" s="51"/>
      <c r="C402" s="51"/>
      <c r="D402" s="50"/>
      <c r="E402" s="50"/>
      <c r="F402" s="50"/>
      <c r="G402" s="50"/>
      <c r="H402" s="50"/>
      <c r="I402" s="82"/>
      <c r="J402" s="83"/>
      <c r="K402" s="83"/>
      <c r="L402" s="84"/>
      <c r="M402" s="84"/>
      <c r="N402" s="84"/>
      <c r="O402" s="85"/>
      <c r="P402" s="84"/>
      <c r="Q402" s="84"/>
      <c r="R402" s="84"/>
      <c r="S402" s="84"/>
      <c r="T402" s="84"/>
      <c r="U402" s="84"/>
      <c r="V402" s="84"/>
      <c r="W402" s="84"/>
      <c r="X402" s="86"/>
    </row>
    <row r="403" ht="15.0" customHeight="1">
      <c r="A403" s="81"/>
      <c r="B403" s="51"/>
      <c r="C403" s="51"/>
      <c r="D403" s="50"/>
      <c r="E403" s="50"/>
      <c r="F403" s="50"/>
      <c r="G403" s="50"/>
      <c r="H403" s="50"/>
      <c r="I403" s="82"/>
      <c r="J403" s="83"/>
      <c r="K403" s="83"/>
      <c r="L403" s="84"/>
      <c r="M403" s="84"/>
      <c r="N403" s="84"/>
      <c r="O403" s="85"/>
      <c r="P403" s="84"/>
      <c r="Q403" s="84"/>
      <c r="R403" s="84"/>
      <c r="S403" s="84"/>
      <c r="T403" s="84"/>
      <c r="U403" s="84"/>
      <c r="V403" s="84"/>
      <c r="W403" s="84"/>
      <c r="X403" s="86"/>
    </row>
    <row r="404" ht="15.0" customHeight="1">
      <c r="A404" s="81"/>
      <c r="B404" s="51"/>
      <c r="C404" s="51"/>
      <c r="D404" s="50"/>
      <c r="E404" s="50"/>
      <c r="F404" s="50"/>
      <c r="G404" s="50"/>
      <c r="H404" s="50"/>
      <c r="I404" s="82"/>
      <c r="J404" s="83"/>
      <c r="K404" s="83"/>
      <c r="L404" s="84"/>
      <c r="M404" s="84"/>
      <c r="N404" s="84"/>
      <c r="O404" s="85"/>
      <c r="P404" s="84"/>
      <c r="Q404" s="84"/>
      <c r="R404" s="84"/>
      <c r="S404" s="84"/>
      <c r="T404" s="84"/>
      <c r="U404" s="84"/>
      <c r="V404" s="84"/>
      <c r="W404" s="84"/>
      <c r="X404" s="86"/>
    </row>
    <row r="405" ht="15.0" customHeight="1">
      <c r="A405" s="81"/>
      <c r="B405" s="51"/>
      <c r="C405" s="51"/>
      <c r="D405" s="50"/>
      <c r="E405" s="50"/>
      <c r="F405" s="50"/>
      <c r="G405" s="50"/>
      <c r="H405" s="50"/>
      <c r="I405" s="82"/>
      <c r="J405" s="83"/>
      <c r="K405" s="83"/>
      <c r="L405" s="84"/>
      <c r="M405" s="84"/>
      <c r="N405" s="84"/>
      <c r="O405" s="85"/>
      <c r="P405" s="84"/>
      <c r="Q405" s="84"/>
      <c r="R405" s="84"/>
      <c r="S405" s="84"/>
      <c r="T405" s="84"/>
      <c r="U405" s="84"/>
      <c r="V405" s="84"/>
      <c r="W405" s="84"/>
      <c r="X405" s="86"/>
    </row>
    <row r="406" ht="15.0" customHeight="1">
      <c r="A406" s="81"/>
      <c r="B406" s="51"/>
      <c r="C406" s="51"/>
      <c r="D406" s="50"/>
      <c r="E406" s="50"/>
      <c r="F406" s="50"/>
      <c r="G406" s="50"/>
      <c r="H406" s="50"/>
      <c r="I406" s="82"/>
      <c r="J406" s="83"/>
      <c r="K406" s="83"/>
      <c r="L406" s="84"/>
      <c r="M406" s="84"/>
      <c r="N406" s="84"/>
      <c r="O406" s="85"/>
      <c r="P406" s="84"/>
      <c r="Q406" s="84"/>
      <c r="R406" s="84"/>
      <c r="S406" s="84"/>
      <c r="T406" s="84"/>
      <c r="U406" s="84"/>
      <c r="V406" s="84"/>
      <c r="W406" s="84"/>
      <c r="X406" s="86"/>
    </row>
    <row r="407" ht="15.0" customHeight="1">
      <c r="A407" s="81"/>
      <c r="B407" s="51"/>
      <c r="C407" s="51"/>
      <c r="D407" s="50"/>
      <c r="E407" s="50"/>
      <c r="F407" s="50"/>
      <c r="G407" s="50"/>
      <c r="H407" s="50"/>
      <c r="I407" s="82"/>
      <c r="J407" s="83"/>
      <c r="K407" s="83"/>
      <c r="L407" s="84"/>
      <c r="M407" s="84"/>
      <c r="N407" s="84"/>
      <c r="O407" s="85"/>
      <c r="P407" s="84"/>
      <c r="Q407" s="84"/>
      <c r="R407" s="84"/>
      <c r="S407" s="84"/>
      <c r="T407" s="84"/>
      <c r="U407" s="84"/>
      <c r="V407" s="84"/>
      <c r="W407" s="84"/>
      <c r="X407" s="86"/>
    </row>
    <row r="408" ht="15.0" customHeight="1">
      <c r="A408" s="81"/>
      <c r="B408" s="51"/>
      <c r="C408" s="51"/>
      <c r="D408" s="50"/>
      <c r="E408" s="50"/>
      <c r="F408" s="50"/>
      <c r="G408" s="50"/>
      <c r="H408" s="50"/>
      <c r="I408" s="82"/>
      <c r="J408" s="83"/>
      <c r="K408" s="83"/>
      <c r="L408" s="84"/>
      <c r="M408" s="84"/>
      <c r="N408" s="84"/>
      <c r="O408" s="85"/>
      <c r="P408" s="84"/>
      <c r="Q408" s="84"/>
      <c r="R408" s="84"/>
      <c r="S408" s="84"/>
      <c r="T408" s="84"/>
      <c r="U408" s="84"/>
      <c r="V408" s="84"/>
      <c r="W408" s="84"/>
      <c r="X408" s="86"/>
    </row>
    <row r="409" ht="15.0" customHeight="1">
      <c r="A409" s="81"/>
      <c r="B409" s="51"/>
      <c r="C409" s="51"/>
      <c r="D409" s="50"/>
      <c r="E409" s="50"/>
      <c r="F409" s="50"/>
      <c r="G409" s="50"/>
      <c r="H409" s="50"/>
      <c r="I409" s="82"/>
      <c r="J409" s="83"/>
      <c r="K409" s="83"/>
      <c r="L409" s="84"/>
      <c r="M409" s="84"/>
      <c r="N409" s="84"/>
      <c r="O409" s="85"/>
      <c r="P409" s="84"/>
      <c r="Q409" s="84"/>
      <c r="R409" s="84"/>
      <c r="S409" s="84"/>
      <c r="T409" s="84"/>
      <c r="U409" s="84"/>
      <c r="V409" s="84"/>
      <c r="W409" s="84"/>
      <c r="X409" s="86"/>
    </row>
    <row r="410" ht="15.0" customHeight="1">
      <c r="A410" s="81"/>
      <c r="B410" s="51"/>
      <c r="C410" s="51"/>
      <c r="D410" s="50"/>
      <c r="E410" s="50"/>
      <c r="F410" s="50"/>
      <c r="G410" s="50"/>
      <c r="H410" s="50"/>
      <c r="I410" s="82"/>
      <c r="J410" s="83"/>
      <c r="K410" s="83"/>
      <c r="L410" s="84"/>
      <c r="M410" s="84"/>
      <c r="N410" s="84"/>
      <c r="O410" s="85"/>
      <c r="P410" s="84"/>
      <c r="Q410" s="84"/>
      <c r="R410" s="84"/>
      <c r="S410" s="84"/>
      <c r="T410" s="84"/>
      <c r="U410" s="84"/>
      <c r="V410" s="84"/>
      <c r="W410" s="84"/>
      <c r="X410" s="86"/>
    </row>
    <row r="411" ht="15.0" customHeight="1">
      <c r="A411" s="81"/>
      <c r="B411" s="51"/>
      <c r="C411" s="51"/>
      <c r="D411" s="50"/>
      <c r="E411" s="50"/>
      <c r="F411" s="50"/>
      <c r="G411" s="50"/>
      <c r="H411" s="50"/>
      <c r="I411" s="82"/>
      <c r="J411" s="83"/>
      <c r="K411" s="83"/>
      <c r="L411" s="84"/>
      <c r="M411" s="84"/>
      <c r="N411" s="84"/>
      <c r="O411" s="85"/>
      <c r="P411" s="84"/>
      <c r="Q411" s="84"/>
      <c r="R411" s="84"/>
      <c r="S411" s="84"/>
      <c r="T411" s="84"/>
      <c r="U411" s="84"/>
      <c r="V411" s="84"/>
      <c r="W411" s="84"/>
      <c r="X411" s="86"/>
    </row>
    <row r="412" ht="15.0" customHeight="1">
      <c r="A412" s="81"/>
      <c r="B412" s="51"/>
      <c r="C412" s="51"/>
      <c r="D412" s="50"/>
      <c r="E412" s="50"/>
      <c r="F412" s="50"/>
      <c r="G412" s="50"/>
      <c r="H412" s="50"/>
      <c r="I412" s="82"/>
      <c r="J412" s="83"/>
      <c r="K412" s="83"/>
      <c r="L412" s="84"/>
      <c r="M412" s="84"/>
      <c r="N412" s="84"/>
      <c r="O412" s="85"/>
      <c r="P412" s="84"/>
      <c r="Q412" s="84"/>
      <c r="R412" s="84"/>
      <c r="S412" s="84"/>
      <c r="T412" s="84"/>
      <c r="U412" s="84"/>
      <c r="V412" s="84"/>
      <c r="W412" s="84"/>
      <c r="X412" s="86"/>
    </row>
    <row r="413" ht="15.0" customHeight="1">
      <c r="A413" s="81"/>
      <c r="B413" s="51"/>
      <c r="C413" s="51"/>
      <c r="D413" s="50"/>
      <c r="E413" s="50"/>
      <c r="F413" s="50"/>
      <c r="G413" s="50"/>
      <c r="H413" s="50"/>
      <c r="I413" s="82"/>
      <c r="J413" s="83"/>
      <c r="K413" s="83"/>
      <c r="L413" s="84"/>
      <c r="M413" s="84"/>
      <c r="N413" s="84"/>
      <c r="O413" s="85"/>
      <c r="P413" s="84"/>
      <c r="Q413" s="84"/>
      <c r="R413" s="84"/>
      <c r="S413" s="84"/>
      <c r="T413" s="84"/>
      <c r="U413" s="84"/>
      <c r="V413" s="84"/>
      <c r="W413" s="84"/>
      <c r="X413" s="86"/>
    </row>
    <row r="414" ht="15.0" customHeight="1">
      <c r="A414" s="81"/>
      <c r="B414" s="51"/>
      <c r="C414" s="51"/>
      <c r="D414" s="50"/>
      <c r="E414" s="50"/>
      <c r="F414" s="50"/>
      <c r="G414" s="50"/>
      <c r="H414" s="50"/>
      <c r="I414" s="82"/>
      <c r="J414" s="83"/>
      <c r="K414" s="83"/>
      <c r="L414" s="84"/>
      <c r="M414" s="84"/>
      <c r="N414" s="84"/>
      <c r="O414" s="85"/>
      <c r="P414" s="84"/>
      <c r="Q414" s="84"/>
      <c r="R414" s="84"/>
      <c r="S414" s="84"/>
      <c r="T414" s="84"/>
      <c r="U414" s="84"/>
      <c r="V414" s="84"/>
      <c r="W414" s="84"/>
      <c r="X414" s="86"/>
    </row>
    <row r="415" ht="15.0" customHeight="1">
      <c r="A415" s="81"/>
      <c r="B415" s="51"/>
      <c r="C415" s="51"/>
      <c r="D415" s="50"/>
      <c r="E415" s="50"/>
      <c r="F415" s="50"/>
      <c r="G415" s="50"/>
      <c r="H415" s="50"/>
      <c r="I415" s="82"/>
      <c r="J415" s="83"/>
      <c r="K415" s="83"/>
      <c r="L415" s="84"/>
      <c r="M415" s="84"/>
      <c r="N415" s="84"/>
      <c r="O415" s="85"/>
      <c r="P415" s="84"/>
      <c r="Q415" s="84"/>
      <c r="R415" s="84"/>
      <c r="S415" s="84"/>
      <c r="T415" s="84"/>
      <c r="U415" s="84"/>
      <c r="V415" s="84"/>
      <c r="W415" s="84"/>
      <c r="X415" s="86"/>
    </row>
    <row r="416" ht="15.0" customHeight="1">
      <c r="A416" s="81"/>
      <c r="B416" s="51"/>
      <c r="C416" s="51"/>
      <c r="D416" s="50"/>
      <c r="E416" s="50"/>
      <c r="F416" s="50"/>
      <c r="G416" s="50"/>
      <c r="H416" s="50"/>
      <c r="I416" s="82"/>
      <c r="J416" s="83"/>
      <c r="K416" s="83"/>
      <c r="L416" s="84"/>
      <c r="M416" s="84"/>
      <c r="N416" s="84"/>
      <c r="O416" s="85"/>
      <c r="P416" s="84"/>
      <c r="Q416" s="84"/>
      <c r="R416" s="84"/>
      <c r="S416" s="84"/>
      <c r="T416" s="84"/>
      <c r="U416" s="84"/>
      <c r="V416" s="84"/>
      <c r="W416" s="84"/>
      <c r="X416" s="86"/>
    </row>
    <row r="417" ht="15.0" customHeight="1">
      <c r="A417" s="81"/>
      <c r="B417" s="51"/>
      <c r="C417" s="51"/>
      <c r="D417" s="50"/>
      <c r="E417" s="50"/>
      <c r="F417" s="50"/>
      <c r="G417" s="50"/>
      <c r="H417" s="50"/>
      <c r="I417" s="82"/>
      <c r="J417" s="83"/>
      <c r="K417" s="83"/>
      <c r="L417" s="84"/>
      <c r="M417" s="84"/>
      <c r="N417" s="84"/>
      <c r="O417" s="85"/>
      <c r="P417" s="84"/>
      <c r="Q417" s="84"/>
      <c r="R417" s="84"/>
      <c r="S417" s="84"/>
      <c r="T417" s="84"/>
      <c r="U417" s="84"/>
      <c r="V417" s="84"/>
      <c r="W417" s="84"/>
      <c r="X417" s="86"/>
    </row>
    <row r="418" ht="15.0" customHeight="1">
      <c r="A418" s="81"/>
      <c r="B418" s="51"/>
      <c r="C418" s="51"/>
      <c r="D418" s="50"/>
      <c r="E418" s="50"/>
      <c r="F418" s="50"/>
      <c r="G418" s="50"/>
      <c r="H418" s="50"/>
      <c r="I418" s="82"/>
      <c r="J418" s="83"/>
      <c r="K418" s="83"/>
      <c r="L418" s="84"/>
      <c r="M418" s="84"/>
      <c r="N418" s="84"/>
      <c r="O418" s="85"/>
      <c r="P418" s="84"/>
      <c r="Q418" s="84"/>
      <c r="R418" s="84"/>
      <c r="S418" s="84"/>
      <c r="T418" s="84"/>
      <c r="U418" s="84"/>
      <c r="V418" s="84"/>
      <c r="W418" s="84"/>
      <c r="X418" s="86"/>
    </row>
    <row r="419" ht="15.0" customHeight="1">
      <c r="A419" s="81"/>
      <c r="B419" s="51"/>
      <c r="C419" s="51"/>
      <c r="D419" s="50"/>
      <c r="E419" s="50"/>
      <c r="F419" s="50"/>
      <c r="G419" s="50"/>
      <c r="H419" s="50"/>
      <c r="I419" s="82"/>
      <c r="J419" s="83"/>
      <c r="K419" s="83"/>
      <c r="L419" s="84"/>
      <c r="M419" s="84"/>
      <c r="N419" s="84"/>
      <c r="O419" s="85"/>
      <c r="P419" s="84"/>
      <c r="Q419" s="84"/>
      <c r="R419" s="84"/>
      <c r="S419" s="84"/>
      <c r="T419" s="84"/>
      <c r="U419" s="84"/>
      <c r="V419" s="84"/>
      <c r="W419" s="84"/>
      <c r="X419" s="86"/>
    </row>
    <row r="420" ht="15.0" customHeight="1">
      <c r="A420" s="81"/>
      <c r="B420" s="51"/>
      <c r="C420" s="51"/>
      <c r="D420" s="50"/>
      <c r="E420" s="50"/>
      <c r="F420" s="50"/>
      <c r="G420" s="50"/>
      <c r="H420" s="50"/>
      <c r="I420" s="82"/>
      <c r="J420" s="83"/>
      <c r="K420" s="83"/>
      <c r="L420" s="84"/>
      <c r="M420" s="84"/>
      <c r="N420" s="84"/>
      <c r="O420" s="85"/>
      <c r="P420" s="84"/>
      <c r="Q420" s="84"/>
      <c r="R420" s="84"/>
      <c r="S420" s="84"/>
      <c r="T420" s="84"/>
      <c r="U420" s="84"/>
      <c r="V420" s="84"/>
      <c r="W420" s="84"/>
      <c r="X420" s="86"/>
    </row>
    <row r="421" ht="15.0" customHeight="1">
      <c r="A421" s="81"/>
      <c r="B421" s="51"/>
      <c r="C421" s="51"/>
      <c r="D421" s="50"/>
      <c r="E421" s="50"/>
      <c r="F421" s="50"/>
      <c r="G421" s="50"/>
      <c r="H421" s="50"/>
      <c r="I421" s="82"/>
      <c r="J421" s="83"/>
      <c r="K421" s="83"/>
      <c r="L421" s="84"/>
      <c r="M421" s="84"/>
      <c r="N421" s="84"/>
      <c r="O421" s="85"/>
      <c r="P421" s="84"/>
      <c r="Q421" s="84"/>
      <c r="R421" s="84"/>
      <c r="S421" s="84"/>
      <c r="T421" s="84"/>
      <c r="U421" s="84"/>
      <c r="V421" s="84"/>
      <c r="W421" s="84"/>
      <c r="X421" s="86"/>
    </row>
    <row r="422" ht="15.0" customHeight="1">
      <c r="A422" s="81"/>
      <c r="B422" s="51"/>
      <c r="C422" s="51"/>
      <c r="D422" s="50"/>
      <c r="E422" s="50"/>
      <c r="F422" s="50"/>
      <c r="G422" s="50"/>
      <c r="H422" s="50"/>
      <c r="I422" s="82"/>
      <c r="J422" s="83"/>
      <c r="K422" s="83"/>
      <c r="L422" s="84"/>
      <c r="M422" s="84"/>
      <c r="N422" s="84"/>
      <c r="O422" s="85"/>
      <c r="P422" s="84"/>
      <c r="Q422" s="84"/>
      <c r="R422" s="84"/>
      <c r="S422" s="84"/>
      <c r="T422" s="84"/>
      <c r="U422" s="84"/>
      <c r="V422" s="84"/>
      <c r="W422" s="84"/>
      <c r="X422" s="86"/>
    </row>
    <row r="423" ht="15.0" customHeight="1">
      <c r="A423" s="81"/>
      <c r="B423" s="51"/>
      <c r="C423" s="51"/>
      <c r="D423" s="50"/>
      <c r="E423" s="50"/>
      <c r="F423" s="50"/>
      <c r="G423" s="50"/>
      <c r="H423" s="50"/>
      <c r="I423" s="82"/>
      <c r="J423" s="83"/>
      <c r="K423" s="83"/>
      <c r="L423" s="84"/>
      <c r="M423" s="84"/>
      <c r="N423" s="84"/>
      <c r="O423" s="85"/>
      <c r="P423" s="84"/>
      <c r="Q423" s="84"/>
      <c r="R423" s="84"/>
      <c r="S423" s="84"/>
      <c r="T423" s="84"/>
      <c r="U423" s="84"/>
      <c r="V423" s="84"/>
      <c r="W423" s="84"/>
      <c r="X423" s="86"/>
    </row>
    <row r="424" ht="15.0" customHeight="1">
      <c r="A424" s="81"/>
      <c r="B424" s="51"/>
      <c r="C424" s="51"/>
      <c r="D424" s="50"/>
      <c r="E424" s="50"/>
      <c r="F424" s="50"/>
      <c r="G424" s="50"/>
      <c r="H424" s="50"/>
      <c r="I424" s="82"/>
      <c r="J424" s="83"/>
      <c r="K424" s="83"/>
      <c r="L424" s="84"/>
      <c r="M424" s="84"/>
      <c r="N424" s="84"/>
      <c r="O424" s="85"/>
      <c r="P424" s="84"/>
      <c r="Q424" s="84"/>
      <c r="R424" s="84"/>
      <c r="S424" s="84"/>
      <c r="T424" s="84"/>
      <c r="U424" s="84"/>
      <c r="V424" s="84"/>
      <c r="W424" s="84"/>
      <c r="X424" s="86"/>
    </row>
    <row r="425" ht="15.0" customHeight="1">
      <c r="A425" s="81"/>
      <c r="B425" s="51"/>
      <c r="C425" s="51"/>
      <c r="D425" s="50"/>
      <c r="E425" s="50"/>
      <c r="F425" s="50"/>
      <c r="G425" s="50"/>
      <c r="H425" s="50"/>
      <c r="I425" s="82"/>
      <c r="J425" s="83"/>
      <c r="K425" s="83"/>
      <c r="L425" s="84"/>
      <c r="M425" s="84"/>
      <c r="N425" s="84"/>
      <c r="O425" s="85"/>
      <c r="P425" s="84"/>
      <c r="Q425" s="84"/>
      <c r="R425" s="84"/>
      <c r="S425" s="84"/>
      <c r="T425" s="84"/>
      <c r="U425" s="84"/>
      <c r="V425" s="84"/>
      <c r="W425" s="84"/>
      <c r="X425" s="86"/>
    </row>
    <row r="426" ht="15.0" customHeight="1">
      <c r="A426" s="81"/>
      <c r="B426" s="51"/>
      <c r="C426" s="51"/>
      <c r="D426" s="50"/>
      <c r="E426" s="50"/>
      <c r="F426" s="50"/>
      <c r="G426" s="50"/>
      <c r="H426" s="50"/>
      <c r="I426" s="82"/>
      <c r="J426" s="83"/>
      <c r="K426" s="83"/>
      <c r="L426" s="84"/>
      <c r="M426" s="84"/>
      <c r="N426" s="84"/>
      <c r="O426" s="85"/>
      <c r="P426" s="84"/>
      <c r="Q426" s="84"/>
      <c r="R426" s="84"/>
      <c r="S426" s="84"/>
      <c r="T426" s="84"/>
      <c r="U426" s="84"/>
      <c r="V426" s="84"/>
      <c r="W426" s="84"/>
      <c r="X426" s="86"/>
    </row>
    <row r="427" ht="15.0" customHeight="1">
      <c r="A427" s="81"/>
      <c r="B427" s="51"/>
      <c r="C427" s="51"/>
      <c r="D427" s="50"/>
      <c r="E427" s="50"/>
      <c r="F427" s="50"/>
      <c r="G427" s="50"/>
      <c r="H427" s="50"/>
      <c r="I427" s="82"/>
      <c r="J427" s="83"/>
      <c r="K427" s="83"/>
      <c r="L427" s="84"/>
      <c r="M427" s="84"/>
      <c r="N427" s="84"/>
      <c r="O427" s="85"/>
      <c r="P427" s="84"/>
      <c r="Q427" s="84"/>
      <c r="R427" s="84"/>
      <c r="S427" s="84"/>
      <c r="T427" s="84"/>
      <c r="U427" s="84"/>
      <c r="V427" s="84"/>
      <c r="W427" s="84"/>
      <c r="X427" s="86"/>
    </row>
    <row r="428" ht="15.0" customHeight="1">
      <c r="A428" s="81"/>
      <c r="B428" s="51"/>
      <c r="C428" s="51"/>
      <c r="D428" s="50"/>
      <c r="E428" s="50"/>
      <c r="F428" s="50"/>
      <c r="G428" s="50"/>
      <c r="H428" s="50"/>
      <c r="I428" s="82"/>
      <c r="J428" s="83"/>
      <c r="K428" s="83"/>
      <c r="L428" s="84"/>
      <c r="M428" s="84"/>
      <c r="N428" s="84"/>
      <c r="O428" s="85"/>
      <c r="P428" s="84"/>
      <c r="Q428" s="84"/>
      <c r="R428" s="84"/>
      <c r="S428" s="84"/>
      <c r="T428" s="84"/>
      <c r="U428" s="84"/>
      <c r="V428" s="84"/>
      <c r="W428" s="84"/>
      <c r="X428" s="86"/>
    </row>
    <row r="429" ht="15.0" customHeight="1">
      <c r="A429" s="81"/>
      <c r="B429" s="51"/>
      <c r="C429" s="51"/>
      <c r="D429" s="50"/>
      <c r="E429" s="50"/>
      <c r="F429" s="50"/>
      <c r="G429" s="50"/>
      <c r="H429" s="50"/>
      <c r="I429" s="82"/>
      <c r="J429" s="83"/>
      <c r="K429" s="83"/>
      <c r="L429" s="84"/>
      <c r="M429" s="84"/>
      <c r="N429" s="84"/>
      <c r="O429" s="85"/>
      <c r="P429" s="84"/>
      <c r="Q429" s="84"/>
      <c r="R429" s="84"/>
      <c r="S429" s="84"/>
      <c r="T429" s="84"/>
      <c r="U429" s="84"/>
      <c r="V429" s="84"/>
      <c r="W429" s="84"/>
      <c r="X429" s="86"/>
    </row>
    <row r="430" ht="15.0" customHeight="1">
      <c r="A430" s="81"/>
      <c r="B430" s="51"/>
      <c r="C430" s="51"/>
      <c r="D430" s="50"/>
      <c r="E430" s="50"/>
      <c r="F430" s="50"/>
      <c r="G430" s="50"/>
      <c r="H430" s="50"/>
      <c r="I430" s="82"/>
      <c r="J430" s="83"/>
      <c r="K430" s="83"/>
      <c r="L430" s="84"/>
      <c r="M430" s="84"/>
      <c r="N430" s="84"/>
      <c r="O430" s="85"/>
      <c r="P430" s="84"/>
      <c r="Q430" s="84"/>
      <c r="R430" s="84"/>
      <c r="S430" s="84"/>
      <c r="T430" s="84"/>
      <c r="U430" s="84"/>
      <c r="V430" s="84"/>
      <c r="W430" s="84"/>
      <c r="X430" s="86"/>
    </row>
    <row r="431" ht="15.0" customHeight="1">
      <c r="A431" s="81"/>
      <c r="B431" s="51"/>
      <c r="C431" s="51"/>
      <c r="D431" s="50"/>
      <c r="E431" s="50"/>
      <c r="F431" s="50"/>
      <c r="G431" s="50"/>
      <c r="H431" s="50"/>
      <c r="I431" s="82"/>
      <c r="J431" s="83"/>
      <c r="K431" s="83"/>
      <c r="L431" s="84"/>
      <c r="M431" s="84"/>
      <c r="N431" s="84"/>
      <c r="O431" s="85"/>
      <c r="P431" s="84"/>
      <c r="Q431" s="84"/>
      <c r="R431" s="84"/>
      <c r="S431" s="84"/>
      <c r="T431" s="84"/>
      <c r="U431" s="84"/>
      <c r="V431" s="84"/>
      <c r="W431" s="84"/>
      <c r="X431" s="86"/>
    </row>
    <row r="432" ht="15.0" customHeight="1">
      <c r="A432" s="81"/>
      <c r="B432" s="51"/>
      <c r="C432" s="51"/>
      <c r="D432" s="50"/>
      <c r="E432" s="50"/>
      <c r="F432" s="50"/>
      <c r="G432" s="50"/>
      <c r="H432" s="50"/>
      <c r="I432" s="82"/>
      <c r="J432" s="83"/>
      <c r="K432" s="83"/>
      <c r="L432" s="84"/>
      <c r="M432" s="84"/>
      <c r="N432" s="84"/>
      <c r="O432" s="85"/>
      <c r="P432" s="84"/>
      <c r="Q432" s="84"/>
      <c r="R432" s="84"/>
      <c r="S432" s="84"/>
      <c r="T432" s="84"/>
      <c r="U432" s="84"/>
      <c r="V432" s="84"/>
      <c r="W432" s="84"/>
      <c r="X432" s="86"/>
    </row>
    <row r="433" ht="15.0" customHeight="1">
      <c r="A433" s="81"/>
      <c r="B433" s="51"/>
      <c r="C433" s="51"/>
      <c r="D433" s="50"/>
      <c r="E433" s="50"/>
      <c r="F433" s="50"/>
      <c r="G433" s="50"/>
      <c r="H433" s="50"/>
      <c r="I433" s="82"/>
      <c r="J433" s="83"/>
      <c r="K433" s="83"/>
      <c r="L433" s="84"/>
      <c r="M433" s="84"/>
      <c r="N433" s="84"/>
      <c r="O433" s="85"/>
      <c r="P433" s="84"/>
      <c r="Q433" s="84"/>
      <c r="R433" s="84"/>
      <c r="S433" s="84"/>
      <c r="T433" s="84"/>
      <c r="U433" s="84"/>
      <c r="V433" s="84"/>
      <c r="W433" s="84"/>
      <c r="X433" s="86"/>
    </row>
    <row r="434" ht="15.0" customHeight="1">
      <c r="A434" s="81"/>
      <c r="B434" s="51"/>
      <c r="C434" s="51"/>
      <c r="D434" s="50"/>
      <c r="E434" s="50"/>
      <c r="F434" s="50"/>
      <c r="G434" s="50"/>
      <c r="H434" s="50"/>
      <c r="I434" s="82"/>
      <c r="J434" s="83"/>
      <c r="K434" s="83"/>
      <c r="L434" s="84"/>
      <c r="M434" s="84"/>
      <c r="N434" s="84"/>
      <c r="O434" s="85"/>
      <c r="P434" s="84"/>
      <c r="Q434" s="84"/>
      <c r="R434" s="84"/>
      <c r="S434" s="84"/>
      <c r="T434" s="84"/>
      <c r="U434" s="84"/>
      <c r="V434" s="84"/>
      <c r="W434" s="84"/>
      <c r="X434" s="86"/>
    </row>
    <row r="435" ht="15.0" customHeight="1">
      <c r="A435" s="81"/>
      <c r="B435" s="51"/>
      <c r="C435" s="51"/>
      <c r="D435" s="50"/>
      <c r="E435" s="50"/>
      <c r="F435" s="50"/>
      <c r="G435" s="50"/>
      <c r="H435" s="50"/>
      <c r="I435" s="82"/>
      <c r="J435" s="83"/>
      <c r="K435" s="83"/>
      <c r="L435" s="84"/>
      <c r="M435" s="84"/>
      <c r="N435" s="84"/>
      <c r="O435" s="85"/>
      <c r="P435" s="84"/>
      <c r="Q435" s="84"/>
      <c r="R435" s="84"/>
      <c r="S435" s="84"/>
      <c r="T435" s="84"/>
      <c r="U435" s="84"/>
      <c r="V435" s="84"/>
      <c r="W435" s="84"/>
      <c r="X435" s="86"/>
    </row>
    <row r="436" ht="15.0" customHeight="1">
      <c r="A436" s="81"/>
      <c r="B436" s="51"/>
      <c r="C436" s="51"/>
      <c r="D436" s="50"/>
      <c r="E436" s="50"/>
      <c r="F436" s="50"/>
      <c r="G436" s="50"/>
      <c r="H436" s="50"/>
      <c r="I436" s="82"/>
      <c r="J436" s="83"/>
      <c r="K436" s="83"/>
      <c r="L436" s="84"/>
      <c r="M436" s="84"/>
      <c r="N436" s="84"/>
      <c r="O436" s="85"/>
      <c r="P436" s="84"/>
      <c r="Q436" s="84"/>
      <c r="R436" s="84"/>
      <c r="S436" s="84"/>
      <c r="T436" s="84"/>
      <c r="U436" s="84"/>
      <c r="V436" s="84"/>
      <c r="W436" s="84"/>
      <c r="X436" s="86"/>
    </row>
    <row r="437" ht="15.0" customHeight="1">
      <c r="A437" s="81"/>
      <c r="B437" s="51"/>
      <c r="C437" s="51"/>
      <c r="D437" s="50"/>
      <c r="E437" s="50"/>
      <c r="F437" s="50"/>
      <c r="G437" s="50"/>
      <c r="H437" s="50"/>
      <c r="I437" s="82"/>
      <c r="J437" s="83"/>
      <c r="K437" s="83"/>
      <c r="L437" s="84"/>
      <c r="M437" s="84"/>
      <c r="N437" s="84"/>
      <c r="O437" s="85"/>
      <c r="P437" s="84"/>
      <c r="Q437" s="84"/>
      <c r="R437" s="84"/>
      <c r="S437" s="84"/>
      <c r="T437" s="84"/>
      <c r="U437" s="84"/>
      <c r="V437" s="84"/>
      <c r="W437" s="84"/>
      <c r="X437" s="86"/>
    </row>
    <row r="438" ht="15.0" customHeight="1">
      <c r="A438" s="81"/>
      <c r="B438" s="51"/>
      <c r="C438" s="51"/>
      <c r="D438" s="50"/>
      <c r="E438" s="50"/>
      <c r="F438" s="50"/>
      <c r="G438" s="50"/>
      <c r="H438" s="50"/>
      <c r="I438" s="82"/>
      <c r="J438" s="83"/>
      <c r="K438" s="83"/>
      <c r="L438" s="84"/>
      <c r="M438" s="84"/>
      <c r="N438" s="84"/>
      <c r="O438" s="85"/>
      <c r="P438" s="84"/>
      <c r="Q438" s="84"/>
      <c r="R438" s="84"/>
      <c r="S438" s="84"/>
      <c r="T438" s="84"/>
      <c r="U438" s="84"/>
      <c r="V438" s="84"/>
      <c r="W438" s="84"/>
      <c r="X438" s="86"/>
    </row>
    <row r="439" ht="15.0" customHeight="1">
      <c r="A439" s="81"/>
      <c r="B439" s="51"/>
      <c r="C439" s="51"/>
      <c r="D439" s="50"/>
      <c r="E439" s="50"/>
      <c r="F439" s="50"/>
      <c r="G439" s="50"/>
      <c r="H439" s="50"/>
      <c r="I439" s="82"/>
      <c r="J439" s="83"/>
      <c r="K439" s="83"/>
      <c r="L439" s="84"/>
      <c r="M439" s="84"/>
      <c r="N439" s="84"/>
      <c r="O439" s="85"/>
      <c r="P439" s="84"/>
      <c r="Q439" s="84"/>
      <c r="R439" s="84"/>
      <c r="S439" s="84"/>
      <c r="T439" s="84"/>
      <c r="U439" s="84"/>
      <c r="V439" s="84"/>
      <c r="W439" s="84"/>
      <c r="X439" s="86"/>
    </row>
    <row r="440" ht="15.0" customHeight="1">
      <c r="A440" s="81"/>
      <c r="B440" s="51"/>
      <c r="C440" s="51"/>
      <c r="D440" s="50"/>
      <c r="E440" s="50"/>
      <c r="F440" s="50"/>
      <c r="G440" s="50"/>
      <c r="H440" s="50"/>
      <c r="I440" s="82"/>
      <c r="J440" s="83"/>
      <c r="K440" s="83"/>
      <c r="L440" s="84"/>
      <c r="M440" s="84"/>
      <c r="N440" s="84"/>
      <c r="O440" s="85"/>
      <c r="P440" s="84"/>
      <c r="Q440" s="84"/>
      <c r="R440" s="84"/>
      <c r="S440" s="84"/>
      <c r="T440" s="84"/>
      <c r="U440" s="84"/>
      <c r="V440" s="84"/>
      <c r="W440" s="84"/>
      <c r="X440" s="86"/>
    </row>
    <row r="441" ht="15.0" customHeight="1">
      <c r="A441" s="81"/>
      <c r="B441" s="51"/>
      <c r="C441" s="51"/>
      <c r="D441" s="50"/>
      <c r="E441" s="50"/>
      <c r="F441" s="50"/>
      <c r="G441" s="50"/>
      <c r="H441" s="50"/>
      <c r="I441" s="82"/>
      <c r="J441" s="83"/>
      <c r="K441" s="83"/>
      <c r="L441" s="84"/>
      <c r="M441" s="84"/>
      <c r="N441" s="84"/>
      <c r="O441" s="85"/>
      <c r="P441" s="84"/>
      <c r="Q441" s="84"/>
      <c r="R441" s="84"/>
      <c r="S441" s="84"/>
      <c r="T441" s="84"/>
      <c r="U441" s="84"/>
      <c r="V441" s="84"/>
      <c r="W441" s="84"/>
      <c r="X441" s="86"/>
    </row>
    <row r="442" ht="15.0" customHeight="1">
      <c r="A442" s="81"/>
      <c r="B442" s="51"/>
      <c r="C442" s="51"/>
      <c r="D442" s="50"/>
      <c r="E442" s="50"/>
      <c r="F442" s="50"/>
      <c r="G442" s="50"/>
      <c r="H442" s="50"/>
      <c r="I442" s="82"/>
      <c r="J442" s="83"/>
      <c r="K442" s="83"/>
      <c r="L442" s="84"/>
      <c r="M442" s="84"/>
      <c r="N442" s="84"/>
      <c r="O442" s="85"/>
      <c r="P442" s="84"/>
      <c r="Q442" s="84"/>
      <c r="R442" s="84"/>
      <c r="S442" s="84"/>
      <c r="T442" s="84"/>
      <c r="U442" s="84"/>
      <c r="V442" s="84"/>
      <c r="W442" s="84"/>
      <c r="X442" s="86"/>
    </row>
    <row r="443" ht="15.0" customHeight="1">
      <c r="A443" s="81"/>
      <c r="B443" s="51"/>
      <c r="C443" s="51"/>
      <c r="D443" s="50"/>
      <c r="E443" s="50"/>
      <c r="F443" s="50"/>
      <c r="G443" s="50"/>
      <c r="H443" s="50"/>
      <c r="I443" s="82"/>
      <c r="J443" s="83"/>
      <c r="K443" s="83"/>
      <c r="L443" s="84"/>
      <c r="M443" s="84"/>
      <c r="N443" s="84"/>
      <c r="O443" s="85"/>
      <c r="P443" s="84"/>
      <c r="Q443" s="84"/>
      <c r="R443" s="84"/>
      <c r="S443" s="84"/>
      <c r="T443" s="84"/>
      <c r="U443" s="84"/>
      <c r="V443" s="84"/>
      <c r="W443" s="84"/>
      <c r="X443" s="86"/>
    </row>
    <row r="444" ht="15.0" customHeight="1">
      <c r="A444" s="81"/>
      <c r="B444" s="51"/>
      <c r="C444" s="51"/>
      <c r="D444" s="50"/>
      <c r="E444" s="50"/>
      <c r="F444" s="50"/>
      <c r="G444" s="50"/>
      <c r="H444" s="50"/>
      <c r="I444" s="82"/>
      <c r="J444" s="83"/>
      <c r="K444" s="83"/>
      <c r="L444" s="84"/>
      <c r="M444" s="84"/>
      <c r="N444" s="84"/>
      <c r="O444" s="85"/>
      <c r="P444" s="84"/>
      <c r="Q444" s="84"/>
      <c r="R444" s="84"/>
      <c r="S444" s="84"/>
      <c r="T444" s="84"/>
      <c r="U444" s="84"/>
      <c r="V444" s="84"/>
      <c r="W444" s="84"/>
      <c r="X444" s="86"/>
    </row>
    <row r="445" ht="15.0" customHeight="1">
      <c r="A445" s="81"/>
      <c r="B445" s="51"/>
      <c r="C445" s="51"/>
      <c r="D445" s="50"/>
      <c r="E445" s="50"/>
      <c r="F445" s="50"/>
      <c r="G445" s="50"/>
      <c r="H445" s="50"/>
      <c r="I445" s="82"/>
      <c r="J445" s="83"/>
      <c r="K445" s="83"/>
      <c r="L445" s="84"/>
      <c r="M445" s="84"/>
      <c r="N445" s="84"/>
      <c r="O445" s="85"/>
      <c r="P445" s="84"/>
      <c r="Q445" s="84"/>
      <c r="R445" s="84"/>
      <c r="S445" s="84"/>
      <c r="T445" s="84"/>
      <c r="U445" s="84"/>
      <c r="V445" s="84"/>
      <c r="W445" s="84"/>
      <c r="X445" s="86"/>
    </row>
    <row r="446" ht="15.0" customHeight="1">
      <c r="A446" s="81"/>
      <c r="B446" s="51"/>
      <c r="C446" s="51"/>
      <c r="D446" s="50"/>
      <c r="E446" s="50"/>
      <c r="F446" s="50"/>
      <c r="G446" s="50"/>
      <c r="H446" s="50"/>
      <c r="I446" s="82"/>
      <c r="J446" s="83"/>
      <c r="K446" s="83"/>
      <c r="L446" s="84"/>
      <c r="M446" s="84"/>
      <c r="N446" s="84"/>
      <c r="O446" s="85"/>
      <c r="P446" s="84"/>
      <c r="Q446" s="84"/>
      <c r="R446" s="84"/>
      <c r="S446" s="84"/>
      <c r="T446" s="84"/>
      <c r="U446" s="84"/>
      <c r="V446" s="84"/>
      <c r="W446" s="84"/>
      <c r="X446" s="86"/>
    </row>
    <row r="447" ht="15.0" customHeight="1">
      <c r="A447" s="81"/>
      <c r="B447" s="51"/>
      <c r="C447" s="51"/>
      <c r="D447" s="50"/>
      <c r="E447" s="50"/>
      <c r="F447" s="50"/>
      <c r="G447" s="50"/>
      <c r="H447" s="50"/>
      <c r="I447" s="82"/>
      <c r="J447" s="83"/>
      <c r="K447" s="83"/>
      <c r="L447" s="84"/>
      <c r="M447" s="84"/>
      <c r="N447" s="84"/>
      <c r="O447" s="85"/>
      <c r="P447" s="84"/>
      <c r="Q447" s="84"/>
      <c r="R447" s="84"/>
      <c r="S447" s="84"/>
      <c r="T447" s="84"/>
      <c r="U447" s="84"/>
      <c r="V447" s="84"/>
      <c r="W447" s="84"/>
      <c r="X447" s="86"/>
    </row>
    <row r="448" ht="15.0" customHeight="1">
      <c r="A448" s="81"/>
      <c r="B448" s="51"/>
      <c r="C448" s="51"/>
      <c r="D448" s="50"/>
      <c r="E448" s="50"/>
      <c r="F448" s="50"/>
      <c r="G448" s="50"/>
      <c r="H448" s="50"/>
      <c r="I448" s="82"/>
      <c r="J448" s="83"/>
      <c r="K448" s="83"/>
      <c r="L448" s="84"/>
      <c r="M448" s="84"/>
      <c r="N448" s="84"/>
      <c r="O448" s="85"/>
      <c r="P448" s="84"/>
      <c r="Q448" s="84"/>
      <c r="R448" s="84"/>
      <c r="S448" s="84"/>
      <c r="T448" s="84"/>
      <c r="U448" s="84"/>
      <c r="V448" s="84"/>
      <c r="W448" s="84"/>
      <c r="X448" s="86"/>
    </row>
    <row r="449" ht="15.0" customHeight="1">
      <c r="A449" s="81"/>
      <c r="B449" s="51"/>
      <c r="C449" s="51"/>
      <c r="D449" s="50"/>
      <c r="E449" s="50"/>
      <c r="F449" s="50"/>
      <c r="G449" s="50"/>
      <c r="H449" s="50"/>
      <c r="I449" s="82"/>
      <c r="J449" s="83"/>
      <c r="K449" s="83"/>
      <c r="L449" s="84"/>
      <c r="M449" s="84"/>
      <c r="N449" s="84"/>
      <c r="O449" s="85"/>
      <c r="P449" s="84"/>
      <c r="Q449" s="84"/>
      <c r="R449" s="84"/>
      <c r="S449" s="84"/>
      <c r="T449" s="84"/>
      <c r="U449" s="84"/>
      <c r="V449" s="84"/>
      <c r="W449" s="84"/>
      <c r="X449" s="86"/>
    </row>
    <row r="450" ht="15.0" customHeight="1">
      <c r="A450" s="81"/>
      <c r="B450" s="51"/>
      <c r="C450" s="51"/>
      <c r="D450" s="50"/>
      <c r="E450" s="50"/>
      <c r="F450" s="50"/>
      <c r="G450" s="50"/>
      <c r="H450" s="50"/>
      <c r="I450" s="82"/>
      <c r="J450" s="83"/>
      <c r="K450" s="83"/>
      <c r="L450" s="84"/>
      <c r="M450" s="84"/>
      <c r="N450" s="84"/>
      <c r="O450" s="85"/>
      <c r="P450" s="84"/>
      <c r="Q450" s="84"/>
      <c r="R450" s="84"/>
      <c r="S450" s="84"/>
      <c r="T450" s="84"/>
      <c r="U450" s="84"/>
      <c r="V450" s="84"/>
      <c r="W450" s="84"/>
      <c r="X450" s="86"/>
    </row>
    <row r="451" ht="15.0" customHeight="1">
      <c r="A451" s="81"/>
      <c r="B451" s="51"/>
      <c r="C451" s="51"/>
      <c r="D451" s="50"/>
      <c r="E451" s="50"/>
      <c r="F451" s="50"/>
      <c r="G451" s="50"/>
      <c r="H451" s="50"/>
      <c r="I451" s="82"/>
      <c r="J451" s="83"/>
      <c r="K451" s="83"/>
      <c r="L451" s="84"/>
      <c r="M451" s="84"/>
      <c r="N451" s="84"/>
      <c r="O451" s="85"/>
      <c r="P451" s="84"/>
      <c r="Q451" s="84"/>
      <c r="R451" s="84"/>
      <c r="S451" s="84"/>
      <c r="T451" s="84"/>
      <c r="U451" s="84"/>
      <c r="V451" s="84"/>
      <c r="W451" s="84"/>
      <c r="X451" s="86"/>
    </row>
    <row r="452" ht="15.0" customHeight="1">
      <c r="A452" s="81"/>
      <c r="B452" s="51"/>
      <c r="C452" s="51"/>
      <c r="D452" s="50"/>
      <c r="E452" s="50"/>
      <c r="F452" s="50"/>
      <c r="G452" s="50"/>
      <c r="H452" s="50"/>
      <c r="I452" s="82"/>
      <c r="J452" s="83"/>
      <c r="K452" s="83"/>
      <c r="L452" s="84"/>
      <c r="M452" s="84"/>
      <c r="N452" s="84"/>
      <c r="O452" s="85"/>
      <c r="P452" s="84"/>
      <c r="Q452" s="84"/>
      <c r="R452" s="84"/>
      <c r="S452" s="84"/>
      <c r="T452" s="84"/>
      <c r="U452" s="84"/>
      <c r="V452" s="84"/>
      <c r="W452" s="84"/>
      <c r="X452" s="86"/>
    </row>
    <row r="453" ht="15.0" customHeight="1">
      <c r="A453" s="81"/>
      <c r="B453" s="51"/>
      <c r="C453" s="51"/>
      <c r="D453" s="50"/>
      <c r="E453" s="50"/>
      <c r="F453" s="50"/>
      <c r="G453" s="50"/>
      <c r="H453" s="50"/>
      <c r="I453" s="82"/>
      <c r="J453" s="83"/>
      <c r="K453" s="83"/>
      <c r="L453" s="84"/>
      <c r="M453" s="84"/>
      <c r="N453" s="84"/>
      <c r="O453" s="85"/>
      <c r="P453" s="84"/>
      <c r="Q453" s="84"/>
      <c r="R453" s="84"/>
      <c r="S453" s="84"/>
      <c r="T453" s="84"/>
      <c r="U453" s="84"/>
      <c r="V453" s="84"/>
      <c r="W453" s="84"/>
      <c r="X453" s="86"/>
    </row>
    <row r="454" ht="15.0" customHeight="1">
      <c r="A454" s="81"/>
      <c r="B454" s="51"/>
      <c r="C454" s="51"/>
      <c r="D454" s="50"/>
      <c r="E454" s="50"/>
      <c r="F454" s="50"/>
      <c r="G454" s="50"/>
      <c r="H454" s="50"/>
      <c r="I454" s="82"/>
      <c r="J454" s="83"/>
      <c r="K454" s="83"/>
      <c r="L454" s="84"/>
      <c r="M454" s="84"/>
      <c r="N454" s="84"/>
      <c r="O454" s="85"/>
      <c r="P454" s="84"/>
      <c r="Q454" s="84"/>
      <c r="R454" s="84"/>
      <c r="S454" s="84"/>
      <c r="T454" s="84"/>
      <c r="U454" s="84"/>
      <c r="V454" s="84"/>
      <c r="W454" s="84"/>
      <c r="X454" s="86"/>
    </row>
    <row r="455" ht="15.0" customHeight="1">
      <c r="A455" s="81"/>
      <c r="B455" s="51"/>
      <c r="C455" s="51"/>
      <c r="D455" s="50"/>
      <c r="E455" s="50"/>
      <c r="F455" s="50"/>
      <c r="G455" s="50"/>
      <c r="H455" s="50"/>
      <c r="I455" s="82"/>
      <c r="J455" s="83"/>
      <c r="K455" s="83"/>
      <c r="L455" s="84"/>
      <c r="M455" s="84"/>
      <c r="N455" s="84"/>
      <c r="O455" s="85"/>
      <c r="P455" s="84"/>
      <c r="Q455" s="84"/>
      <c r="R455" s="84"/>
      <c r="S455" s="84"/>
      <c r="T455" s="84"/>
      <c r="U455" s="84"/>
      <c r="V455" s="84"/>
      <c r="W455" s="84"/>
      <c r="X455" s="86"/>
    </row>
    <row r="456" ht="15.0" customHeight="1">
      <c r="A456" s="81"/>
      <c r="B456" s="51"/>
      <c r="C456" s="51"/>
      <c r="D456" s="50"/>
      <c r="E456" s="50"/>
      <c r="F456" s="50"/>
      <c r="G456" s="50"/>
      <c r="H456" s="50"/>
      <c r="I456" s="82"/>
      <c r="J456" s="83"/>
      <c r="K456" s="83"/>
      <c r="L456" s="84"/>
      <c r="M456" s="84"/>
      <c r="N456" s="84"/>
      <c r="O456" s="85"/>
      <c r="P456" s="84"/>
      <c r="Q456" s="84"/>
      <c r="R456" s="84"/>
      <c r="S456" s="84"/>
      <c r="T456" s="84"/>
      <c r="U456" s="84"/>
      <c r="V456" s="84"/>
      <c r="W456" s="84"/>
      <c r="X456" s="86"/>
    </row>
    <row r="457" ht="15.0" customHeight="1">
      <c r="A457" s="81"/>
      <c r="B457" s="51"/>
      <c r="C457" s="51"/>
      <c r="D457" s="50"/>
      <c r="E457" s="50"/>
      <c r="F457" s="50"/>
      <c r="G457" s="50"/>
      <c r="H457" s="50"/>
      <c r="I457" s="82"/>
      <c r="J457" s="83"/>
      <c r="K457" s="83"/>
      <c r="L457" s="84"/>
      <c r="M457" s="84"/>
      <c r="N457" s="84"/>
      <c r="O457" s="85"/>
      <c r="P457" s="84"/>
      <c r="Q457" s="84"/>
      <c r="R457" s="84"/>
      <c r="S457" s="84"/>
      <c r="T457" s="84"/>
      <c r="U457" s="84"/>
      <c r="V457" s="84"/>
      <c r="W457" s="84"/>
      <c r="X457" s="86"/>
    </row>
    <row r="458" ht="15.0" customHeight="1">
      <c r="A458" s="81"/>
      <c r="B458" s="51"/>
      <c r="C458" s="51"/>
      <c r="D458" s="50"/>
      <c r="E458" s="50"/>
      <c r="F458" s="50"/>
      <c r="G458" s="50"/>
      <c r="H458" s="50"/>
      <c r="I458" s="82"/>
      <c r="J458" s="83"/>
      <c r="K458" s="83"/>
      <c r="L458" s="84"/>
      <c r="M458" s="84"/>
      <c r="N458" s="84"/>
      <c r="O458" s="85"/>
      <c r="P458" s="84"/>
      <c r="Q458" s="84"/>
      <c r="R458" s="84"/>
      <c r="S458" s="84"/>
      <c r="T458" s="84"/>
      <c r="U458" s="84"/>
      <c r="V458" s="84"/>
      <c r="W458" s="84"/>
      <c r="X458" s="86"/>
    </row>
    <row r="459" ht="15.0" customHeight="1">
      <c r="A459" s="81"/>
      <c r="B459" s="51"/>
      <c r="C459" s="51"/>
      <c r="D459" s="50"/>
      <c r="E459" s="50"/>
      <c r="F459" s="50"/>
      <c r="G459" s="50"/>
      <c r="H459" s="50"/>
      <c r="I459" s="82"/>
      <c r="J459" s="83"/>
      <c r="K459" s="83"/>
      <c r="L459" s="84"/>
      <c r="M459" s="84"/>
      <c r="N459" s="84"/>
      <c r="O459" s="85"/>
      <c r="P459" s="84"/>
      <c r="Q459" s="84"/>
      <c r="R459" s="84"/>
      <c r="S459" s="84"/>
      <c r="T459" s="84"/>
      <c r="U459" s="84"/>
      <c r="V459" s="84"/>
      <c r="W459" s="84"/>
      <c r="X459" s="86"/>
    </row>
    <row r="460" ht="15.0" customHeight="1">
      <c r="A460" s="81"/>
      <c r="B460" s="51"/>
      <c r="C460" s="51"/>
      <c r="D460" s="50"/>
      <c r="E460" s="50"/>
      <c r="F460" s="50"/>
      <c r="G460" s="50"/>
      <c r="H460" s="50"/>
      <c r="I460" s="82"/>
      <c r="J460" s="83"/>
      <c r="K460" s="83"/>
      <c r="L460" s="84"/>
      <c r="M460" s="84"/>
      <c r="N460" s="84"/>
      <c r="O460" s="85"/>
      <c r="P460" s="84"/>
      <c r="Q460" s="84"/>
      <c r="R460" s="84"/>
      <c r="S460" s="84"/>
      <c r="T460" s="84"/>
      <c r="U460" s="84"/>
      <c r="V460" s="84"/>
      <c r="W460" s="84"/>
      <c r="X460" s="86"/>
    </row>
    <row r="461" ht="15.0" customHeight="1">
      <c r="A461" s="81"/>
      <c r="B461" s="51"/>
      <c r="C461" s="51"/>
      <c r="D461" s="50"/>
      <c r="E461" s="50"/>
      <c r="F461" s="50"/>
      <c r="G461" s="50"/>
      <c r="H461" s="50"/>
      <c r="I461" s="82"/>
      <c r="J461" s="83"/>
      <c r="K461" s="83"/>
      <c r="L461" s="84"/>
      <c r="M461" s="84"/>
      <c r="N461" s="84"/>
      <c r="O461" s="85"/>
      <c r="P461" s="84"/>
      <c r="Q461" s="84"/>
      <c r="R461" s="84"/>
      <c r="S461" s="84"/>
      <c r="T461" s="84"/>
      <c r="U461" s="84"/>
      <c r="V461" s="84"/>
      <c r="W461" s="84"/>
      <c r="X461" s="86"/>
    </row>
    <row r="462" ht="15.0" customHeight="1">
      <c r="A462" s="81"/>
      <c r="B462" s="51"/>
      <c r="C462" s="51"/>
      <c r="D462" s="50"/>
      <c r="E462" s="50"/>
      <c r="F462" s="50"/>
      <c r="G462" s="50"/>
      <c r="H462" s="50"/>
      <c r="I462" s="82"/>
      <c r="J462" s="83"/>
      <c r="K462" s="83"/>
      <c r="L462" s="84"/>
      <c r="M462" s="84"/>
      <c r="N462" s="84"/>
      <c r="O462" s="85"/>
      <c r="P462" s="84"/>
      <c r="Q462" s="84"/>
      <c r="R462" s="84"/>
      <c r="S462" s="84"/>
      <c r="T462" s="84"/>
      <c r="U462" s="84"/>
      <c r="V462" s="84"/>
      <c r="W462" s="84"/>
      <c r="X462" s="86"/>
    </row>
    <row r="463" ht="15.0" customHeight="1">
      <c r="A463" s="81"/>
      <c r="B463" s="51"/>
      <c r="C463" s="51"/>
      <c r="D463" s="50"/>
      <c r="E463" s="50"/>
      <c r="F463" s="50"/>
      <c r="G463" s="50"/>
      <c r="H463" s="50"/>
      <c r="I463" s="82"/>
      <c r="J463" s="83"/>
      <c r="K463" s="83"/>
      <c r="L463" s="84"/>
      <c r="M463" s="84"/>
      <c r="N463" s="84"/>
      <c r="O463" s="85"/>
      <c r="P463" s="84"/>
      <c r="Q463" s="84"/>
      <c r="R463" s="84"/>
      <c r="S463" s="84"/>
      <c r="T463" s="84"/>
      <c r="U463" s="84"/>
      <c r="V463" s="84"/>
      <c r="W463" s="84"/>
      <c r="X463" s="86"/>
    </row>
    <row r="464" ht="15.0" customHeight="1">
      <c r="A464" s="81"/>
      <c r="B464" s="51"/>
      <c r="C464" s="51"/>
      <c r="D464" s="50"/>
      <c r="E464" s="50"/>
      <c r="F464" s="50"/>
      <c r="G464" s="50"/>
      <c r="H464" s="50"/>
      <c r="I464" s="82"/>
      <c r="J464" s="83"/>
      <c r="K464" s="83"/>
      <c r="L464" s="84"/>
      <c r="M464" s="84"/>
      <c r="N464" s="84"/>
      <c r="O464" s="85"/>
      <c r="P464" s="84"/>
      <c r="Q464" s="84"/>
      <c r="R464" s="84"/>
      <c r="S464" s="84"/>
      <c r="T464" s="84"/>
      <c r="U464" s="84"/>
      <c r="V464" s="84"/>
      <c r="W464" s="84"/>
      <c r="X464" s="86"/>
    </row>
    <row r="465" ht="15.0" customHeight="1">
      <c r="A465" s="81"/>
      <c r="B465" s="51"/>
      <c r="C465" s="51"/>
      <c r="D465" s="50"/>
      <c r="E465" s="50"/>
      <c r="F465" s="50"/>
      <c r="G465" s="50"/>
      <c r="H465" s="50"/>
      <c r="I465" s="82"/>
      <c r="J465" s="83"/>
      <c r="K465" s="83"/>
      <c r="L465" s="84"/>
      <c r="M465" s="84"/>
      <c r="N465" s="84"/>
      <c r="O465" s="85"/>
      <c r="P465" s="84"/>
      <c r="Q465" s="84"/>
      <c r="R465" s="84"/>
      <c r="S465" s="84"/>
      <c r="T465" s="84"/>
      <c r="U465" s="84"/>
      <c r="V465" s="84"/>
      <c r="W465" s="84"/>
      <c r="X465" s="86"/>
    </row>
    <row r="466" ht="15.0" customHeight="1">
      <c r="A466" s="81"/>
      <c r="B466" s="51"/>
      <c r="C466" s="51"/>
      <c r="D466" s="50"/>
      <c r="E466" s="50"/>
      <c r="F466" s="50"/>
      <c r="G466" s="50"/>
      <c r="H466" s="50"/>
      <c r="I466" s="82"/>
      <c r="J466" s="83"/>
      <c r="K466" s="83"/>
      <c r="L466" s="84"/>
      <c r="M466" s="84"/>
      <c r="N466" s="84"/>
      <c r="O466" s="85"/>
      <c r="P466" s="84"/>
      <c r="Q466" s="84"/>
      <c r="R466" s="84"/>
      <c r="S466" s="84"/>
      <c r="T466" s="84"/>
      <c r="U466" s="84"/>
      <c r="V466" s="84"/>
      <c r="W466" s="84"/>
      <c r="X466" s="86"/>
    </row>
    <row r="467" ht="15.0" customHeight="1">
      <c r="A467" s="81"/>
      <c r="B467" s="51"/>
      <c r="C467" s="51"/>
      <c r="D467" s="50"/>
      <c r="E467" s="50"/>
      <c r="F467" s="50"/>
      <c r="G467" s="50"/>
      <c r="H467" s="50"/>
      <c r="I467" s="82"/>
      <c r="J467" s="83"/>
      <c r="K467" s="83"/>
      <c r="L467" s="84"/>
      <c r="M467" s="84"/>
      <c r="N467" s="84"/>
      <c r="O467" s="85"/>
      <c r="P467" s="84"/>
      <c r="Q467" s="84"/>
      <c r="R467" s="84"/>
      <c r="S467" s="84"/>
      <c r="T467" s="84"/>
      <c r="U467" s="84"/>
      <c r="V467" s="84"/>
      <c r="W467" s="84"/>
      <c r="X467" s="86"/>
    </row>
    <row r="468" ht="15.0" customHeight="1">
      <c r="A468" s="81"/>
      <c r="B468" s="51"/>
      <c r="C468" s="51"/>
      <c r="D468" s="50"/>
      <c r="E468" s="50"/>
      <c r="F468" s="50"/>
      <c r="G468" s="50"/>
      <c r="H468" s="50"/>
      <c r="I468" s="82"/>
      <c r="J468" s="83"/>
      <c r="K468" s="83"/>
      <c r="L468" s="84"/>
      <c r="M468" s="84"/>
      <c r="N468" s="84"/>
      <c r="O468" s="85"/>
      <c r="P468" s="84"/>
      <c r="Q468" s="84"/>
      <c r="R468" s="84"/>
      <c r="S468" s="84"/>
      <c r="T468" s="84"/>
      <c r="U468" s="84"/>
      <c r="V468" s="84"/>
      <c r="W468" s="84"/>
      <c r="X468" s="86"/>
    </row>
    <row r="469" ht="15.0" customHeight="1">
      <c r="A469" s="81"/>
      <c r="B469" s="51"/>
      <c r="C469" s="51"/>
      <c r="D469" s="50"/>
      <c r="E469" s="50"/>
      <c r="F469" s="50"/>
      <c r="G469" s="50"/>
      <c r="H469" s="50"/>
      <c r="I469" s="82"/>
      <c r="J469" s="83"/>
      <c r="K469" s="83"/>
      <c r="L469" s="84"/>
      <c r="M469" s="84"/>
      <c r="N469" s="84"/>
      <c r="O469" s="85"/>
      <c r="P469" s="84"/>
      <c r="Q469" s="84"/>
      <c r="R469" s="84"/>
      <c r="S469" s="84"/>
      <c r="T469" s="84"/>
      <c r="U469" s="84"/>
      <c r="V469" s="84"/>
      <c r="W469" s="84"/>
      <c r="X469" s="86"/>
    </row>
    <row r="470" ht="15.0" customHeight="1">
      <c r="A470" s="81"/>
      <c r="B470" s="51"/>
      <c r="C470" s="51"/>
      <c r="D470" s="50"/>
      <c r="E470" s="50"/>
      <c r="F470" s="50"/>
      <c r="G470" s="50"/>
      <c r="H470" s="50"/>
      <c r="I470" s="82"/>
      <c r="J470" s="83"/>
      <c r="K470" s="83"/>
      <c r="L470" s="84"/>
      <c r="M470" s="84"/>
      <c r="N470" s="84"/>
      <c r="O470" s="85"/>
      <c r="P470" s="84"/>
      <c r="Q470" s="84"/>
      <c r="R470" s="84"/>
      <c r="S470" s="84"/>
      <c r="T470" s="84"/>
      <c r="U470" s="84"/>
      <c r="V470" s="84"/>
      <c r="W470" s="84"/>
      <c r="X470" s="86"/>
    </row>
    <row r="471" ht="15.0" customHeight="1">
      <c r="A471" s="81"/>
      <c r="B471" s="51"/>
      <c r="C471" s="51"/>
      <c r="D471" s="50"/>
      <c r="E471" s="50"/>
      <c r="F471" s="50"/>
      <c r="G471" s="50"/>
      <c r="H471" s="50"/>
      <c r="I471" s="82"/>
      <c r="J471" s="83"/>
      <c r="K471" s="83"/>
      <c r="L471" s="84"/>
      <c r="M471" s="84"/>
      <c r="N471" s="84"/>
      <c r="O471" s="85"/>
      <c r="P471" s="84"/>
      <c r="Q471" s="84"/>
      <c r="R471" s="84"/>
      <c r="S471" s="84"/>
      <c r="T471" s="84"/>
      <c r="U471" s="84"/>
      <c r="V471" s="84"/>
      <c r="W471" s="84"/>
      <c r="X471" s="86"/>
    </row>
    <row r="472" ht="15.0" customHeight="1">
      <c r="A472" s="81"/>
      <c r="B472" s="51"/>
      <c r="C472" s="51"/>
      <c r="D472" s="50"/>
      <c r="E472" s="50"/>
      <c r="F472" s="50"/>
      <c r="G472" s="50"/>
      <c r="H472" s="50"/>
      <c r="I472" s="82"/>
      <c r="J472" s="83"/>
      <c r="K472" s="83"/>
      <c r="L472" s="84"/>
      <c r="M472" s="84"/>
      <c r="N472" s="84"/>
      <c r="O472" s="85"/>
      <c r="P472" s="84"/>
      <c r="Q472" s="84"/>
      <c r="R472" s="84"/>
      <c r="S472" s="84"/>
      <c r="T472" s="84"/>
      <c r="U472" s="84"/>
      <c r="V472" s="84"/>
      <c r="W472" s="84"/>
      <c r="X472" s="86"/>
    </row>
    <row r="473" ht="15.0" customHeight="1">
      <c r="A473" s="81"/>
      <c r="B473" s="51"/>
      <c r="C473" s="51"/>
      <c r="D473" s="50"/>
      <c r="E473" s="50"/>
      <c r="F473" s="50"/>
      <c r="G473" s="50"/>
      <c r="H473" s="50"/>
      <c r="I473" s="82"/>
      <c r="J473" s="83"/>
      <c r="K473" s="83"/>
      <c r="L473" s="84"/>
      <c r="M473" s="84"/>
      <c r="N473" s="84"/>
      <c r="O473" s="85"/>
      <c r="P473" s="84"/>
      <c r="Q473" s="84"/>
      <c r="R473" s="84"/>
      <c r="S473" s="84"/>
      <c r="T473" s="84"/>
      <c r="U473" s="84"/>
      <c r="V473" s="84"/>
      <c r="W473" s="84"/>
      <c r="X473" s="86"/>
    </row>
    <row r="474" ht="15.0" customHeight="1">
      <c r="A474" s="81"/>
      <c r="B474" s="51"/>
      <c r="C474" s="51"/>
      <c r="D474" s="50"/>
      <c r="E474" s="50"/>
      <c r="F474" s="50"/>
      <c r="G474" s="50"/>
      <c r="H474" s="50"/>
      <c r="I474" s="82"/>
      <c r="J474" s="83"/>
      <c r="K474" s="83"/>
      <c r="L474" s="84"/>
      <c r="M474" s="84"/>
      <c r="N474" s="84"/>
      <c r="O474" s="85"/>
      <c r="P474" s="84"/>
      <c r="Q474" s="84"/>
      <c r="R474" s="84"/>
      <c r="S474" s="84"/>
      <c r="T474" s="84"/>
      <c r="U474" s="84"/>
      <c r="V474" s="84"/>
      <c r="W474" s="84"/>
      <c r="X474" s="86"/>
    </row>
    <row r="475" ht="15.0" customHeight="1">
      <c r="A475" s="81"/>
      <c r="B475" s="51"/>
      <c r="C475" s="51"/>
      <c r="D475" s="50"/>
      <c r="E475" s="50"/>
      <c r="F475" s="50"/>
      <c r="G475" s="50"/>
      <c r="H475" s="50"/>
      <c r="I475" s="82"/>
      <c r="J475" s="83"/>
      <c r="K475" s="83"/>
      <c r="L475" s="84"/>
      <c r="M475" s="84"/>
      <c r="N475" s="84"/>
      <c r="O475" s="85"/>
      <c r="P475" s="84"/>
      <c r="Q475" s="84"/>
      <c r="R475" s="84"/>
      <c r="S475" s="84"/>
      <c r="T475" s="84"/>
      <c r="U475" s="84"/>
      <c r="V475" s="84"/>
      <c r="W475" s="84"/>
      <c r="X475" s="86"/>
    </row>
    <row r="476" ht="15.0" customHeight="1">
      <c r="A476" s="81"/>
      <c r="B476" s="51"/>
      <c r="C476" s="51"/>
      <c r="D476" s="50"/>
      <c r="E476" s="50"/>
      <c r="F476" s="50"/>
      <c r="G476" s="50"/>
      <c r="H476" s="50"/>
      <c r="I476" s="82"/>
      <c r="J476" s="83"/>
      <c r="K476" s="83"/>
      <c r="L476" s="84"/>
      <c r="M476" s="84"/>
      <c r="N476" s="84"/>
      <c r="O476" s="85"/>
      <c r="P476" s="84"/>
      <c r="Q476" s="84"/>
      <c r="R476" s="84"/>
      <c r="S476" s="84"/>
      <c r="T476" s="84"/>
      <c r="U476" s="84"/>
      <c r="V476" s="84"/>
      <c r="W476" s="84"/>
      <c r="X476" s="86"/>
    </row>
    <row r="477" ht="15.0" customHeight="1">
      <c r="A477" s="81"/>
      <c r="B477" s="51"/>
      <c r="C477" s="51"/>
      <c r="D477" s="50"/>
      <c r="E477" s="50"/>
      <c r="F477" s="50"/>
      <c r="G477" s="50"/>
      <c r="H477" s="50"/>
      <c r="I477" s="82"/>
      <c r="J477" s="83"/>
      <c r="K477" s="83"/>
      <c r="L477" s="84"/>
      <c r="M477" s="84"/>
      <c r="N477" s="84"/>
      <c r="O477" s="85"/>
      <c r="P477" s="84"/>
      <c r="Q477" s="84"/>
      <c r="R477" s="84"/>
      <c r="S477" s="84"/>
      <c r="T477" s="84"/>
      <c r="U477" s="84"/>
      <c r="V477" s="84"/>
      <c r="W477" s="84"/>
      <c r="X477" s="86"/>
    </row>
    <row r="478" ht="15.0" customHeight="1">
      <c r="A478" s="81"/>
      <c r="B478" s="51"/>
      <c r="C478" s="51"/>
      <c r="D478" s="50"/>
      <c r="E478" s="50"/>
      <c r="F478" s="50"/>
      <c r="G478" s="50"/>
      <c r="H478" s="50"/>
      <c r="I478" s="82"/>
      <c r="J478" s="83"/>
      <c r="K478" s="83"/>
      <c r="L478" s="84"/>
      <c r="M478" s="84"/>
      <c r="N478" s="84"/>
      <c r="O478" s="85"/>
      <c r="P478" s="84"/>
      <c r="Q478" s="84"/>
      <c r="R478" s="84"/>
      <c r="S478" s="84"/>
      <c r="T478" s="84"/>
      <c r="U478" s="84"/>
      <c r="V478" s="84"/>
      <c r="W478" s="84"/>
      <c r="X478" s="86"/>
    </row>
    <row r="479" ht="15.0" customHeight="1">
      <c r="A479" s="81"/>
      <c r="B479" s="51"/>
      <c r="C479" s="51"/>
      <c r="D479" s="50"/>
      <c r="E479" s="50"/>
      <c r="F479" s="50"/>
      <c r="G479" s="50"/>
      <c r="H479" s="50"/>
      <c r="I479" s="82"/>
      <c r="J479" s="83"/>
      <c r="K479" s="83"/>
      <c r="L479" s="84"/>
      <c r="M479" s="84"/>
      <c r="N479" s="84"/>
      <c r="O479" s="85"/>
      <c r="P479" s="84"/>
      <c r="Q479" s="84"/>
      <c r="R479" s="84"/>
      <c r="S479" s="84"/>
      <c r="T479" s="84"/>
      <c r="U479" s="84"/>
      <c r="V479" s="84"/>
      <c r="W479" s="84"/>
      <c r="X479" s="86"/>
    </row>
    <row r="480" ht="15.0" customHeight="1">
      <c r="A480" s="81"/>
      <c r="B480" s="51"/>
      <c r="C480" s="51"/>
      <c r="D480" s="50"/>
      <c r="E480" s="50"/>
      <c r="F480" s="50"/>
      <c r="G480" s="50"/>
      <c r="H480" s="50"/>
      <c r="I480" s="82"/>
      <c r="J480" s="83"/>
      <c r="K480" s="83"/>
      <c r="L480" s="84"/>
      <c r="M480" s="84"/>
      <c r="N480" s="84"/>
      <c r="O480" s="85"/>
      <c r="P480" s="84"/>
      <c r="Q480" s="84"/>
      <c r="R480" s="84"/>
      <c r="S480" s="84"/>
      <c r="T480" s="84"/>
      <c r="U480" s="84"/>
      <c r="V480" s="84"/>
      <c r="W480" s="84"/>
      <c r="X480" s="86"/>
    </row>
    <row r="481" ht="15.0" customHeight="1">
      <c r="A481" s="81"/>
      <c r="B481" s="51"/>
      <c r="C481" s="51"/>
      <c r="D481" s="50"/>
      <c r="E481" s="50"/>
      <c r="F481" s="50"/>
      <c r="G481" s="50"/>
      <c r="H481" s="50"/>
      <c r="I481" s="82"/>
      <c r="J481" s="83"/>
      <c r="K481" s="83"/>
      <c r="L481" s="84"/>
      <c r="M481" s="84"/>
      <c r="N481" s="84"/>
      <c r="O481" s="85"/>
      <c r="P481" s="84"/>
      <c r="Q481" s="84"/>
      <c r="R481" s="84"/>
      <c r="S481" s="84"/>
      <c r="T481" s="84"/>
      <c r="U481" s="84"/>
      <c r="V481" s="84"/>
      <c r="W481" s="84"/>
      <c r="X481" s="86"/>
    </row>
    <row r="482" ht="15.0" customHeight="1">
      <c r="A482" s="81"/>
      <c r="B482" s="51"/>
      <c r="C482" s="51"/>
      <c r="D482" s="50"/>
      <c r="E482" s="50"/>
      <c r="F482" s="50"/>
      <c r="G482" s="50"/>
      <c r="H482" s="50"/>
      <c r="I482" s="82"/>
      <c r="J482" s="83"/>
      <c r="K482" s="83"/>
      <c r="L482" s="84"/>
      <c r="M482" s="84"/>
      <c r="N482" s="84"/>
      <c r="O482" s="85"/>
      <c r="P482" s="84"/>
      <c r="Q482" s="84"/>
      <c r="R482" s="84"/>
      <c r="S482" s="84"/>
      <c r="T482" s="84"/>
      <c r="U482" s="84"/>
      <c r="V482" s="84"/>
      <c r="W482" s="84"/>
      <c r="X482" s="86"/>
    </row>
    <row r="483" ht="15.0" customHeight="1">
      <c r="A483" s="81"/>
      <c r="B483" s="51"/>
      <c r="C483" s="51"/>
      <c r="D483" s="50"/>
      <c r="E483" s="50"/>
      <c r="F483" s="50"/>
      <c r="G483" s="50"/>
      <c r="H483" s="50"/>
      <c r="I483" s="82"/>
      <c r="J483" s="83"/>
      <c r="K483" s="83"/>
      <c r="L483" s="84"/>
      <c r="M483" s="84"/>
      <c r="N483" s="84"/>
      <c r="O483" s="85"/>
      <c r="P483" s="84"/>
      <c r="Q483" s="84"/>
      <c r="R483" s="84"/>
      <c r="S483" s="84"/>
      <c r="T483" s="84"/>
      <c r="U483" s="84"/>
      <c r="V483" s="84"/>
      <c r="W483" s="84"/>
      <c r="X483" s="86"/>
    </row>
    <row r="484" ht="15.0" customHeight="1">
      <c r="A484" s="81"/>
      <c r="B484" s="51"/>
      <c r="C484" s="51"/>
      <c r="D484" s="50"/>
      <c r="E484" s="50"/>
      <c r="F484" s="50"/>
      <c r="G484" s="50"/>
      <c r="H484" s="50"/>
      <c r="I484" s="82"/>
      <c r="J484" s="83"/>
      <c r="K484" s="83"/>
      <c r="L484" s="84"/>
      <c r="M484" s="84"/>
      <c r="N484" s="84"/>
      <c r="O484" s="85"/>
      <c r="P484" s="84"/>
      <c r="Q484" s="84"/>
      <c r="R484" s="84"/>
      <c r="S484" s="84"/>
      <c r="T484" s="84"/>
      <c r="U484" s="84"/>
      <c r="V484" s="84"/>
      <c r="W484" s="84"/>
      <c r="X484" s="86"/>
    </row>
    <row r="485" ht="15.0" customHeight="1">
      <c r="A485" s="81"/>
      <c r="B485" s="51"/>
      <c r="C485" s="51"/>
      <c r="D485" s="50"/>
      <c r="E485" s="50"/>
      <c r="F485" s="50"/>
      <c r="G485" s="50"/>
      <c r="H485" s="50"/>
      <c r="I485" s="82"/>
      <c r="J485" s="83"/>
      <c r="K485" s="83"/>
      <c r="L485" s="84"/>
      <c r="M485" s="84"/>
      <c r="N485" s="84"/>
      <c r="O485" s="85"/>
      <c r="P485" s="84"/>
      <c r="Q485" s="84"/>
      <c r="R485" s="84"/>
      <c r="S485" s="84"/>
      <c r="T485" s="84"/>
      <c r="U485" s="84"/>
      <c r="V485" s="84"/>
      <c r="W485" s="84"/>
      <c r="X485" s="86"/>
    </row>
    <row r="486" ht="15.0" customHeight="1">
      <c r="A486" s="81"/>
      <c r="B486" s="51"/>
      <c r="C486" s="51"/>
      <c r="D486" s="50"/>
      <c r="E486" s="50"/>
      <c r="F486" s="50"/>
      <c r="G486" s="50"/>
      <c r="H486" s="50"/>
      <c r="I486" s="82"/>
      <c r="J486" s="83"/>
      <c r="K486" s="83"/>
      <c r="L486" s="84"/>
      <c r="M486" s="84"/>
      <c r="N486" s="84"/>
      <c r="O486" s="85"/>
      <c r="P486" s="84"/>
      <c r="Q486" s="84"/>
      <c r="R486" s="84"/>
      <c r="S486" s="84"/>
      <c r="T486" s="84"/>
      <c r="U486" s="84"/>
      <c r="V486" s="84"/>
      <c r="W486" s="84"/>
      <c r="X486" s="86"/>
    </row>
    <row r="487" ht="15.0" customHeight="1">
      <c r="A487" s="81"/>
      <c r="B487" s="51"/>
      <c r="C487" s="51"/>
      <c r="D487" s="50"/>
      <c r="E487" s="50"/>
      <c r="F487" s="50"/>
      <c r="G487" s="50"/>
      <c r="H487" s="50"/>
      <c r="I487" s="82"/>
      <c r="J487" s="83"/>
      <c r="K487" s="83"/>
      <c r="L487" s="84"/>
      <c r="M487" s="84"/>
      <c r="N487" s="84"/>
      <c r="O487" s="85"/>
      <c r="P487" s="84"/>
      <c r="Q487" s="84"/>
      <c r="R487" s="84"/>
      <c r="S487" s="84"/>
      <c r="T487" s="84"/>
      <c r="U487" s="84"/>
      <c r="V487" s="84"/>
      <c r="W487" s="84"/>
      <c r="X487" s="86"/>
    </row>
    <row r="488" ht="15.0" customHeight="1">
      <c r="A488" s="81"/>
      <c r="B488" s="51"/>
      <c r="C488" s="51"/>
      <c r="D488" s="50"/>
      <c r="E488" s="50"/>
      <c r="F488" s="50"/>
      <c r="G488" s="50"/>
      <c r="H488" s="50"/>
      <c r="I488" s="82"/>
      <c r="J488" s="83"/>
      <c r="K488" s="83"/>
      <c r="L488" s="84"/>
      <c r="M488" s="84"/>
      <c r="N488" s="84"/>
      <c r="O488" s="85"/>
      <c r="P488" s="84"/>
      <c r="Q488" s="84"/>
      <c r="R488" s="84"/>
      <c r="S488" s="84"/>
      <c r="T488" s="84"/>
      <c r="U488" s="84"/>
      <c r="V488" s="84"/>
      <c r="W488" s="84"/>
      <c r="X488" s="86"/>
    </row>
    <row r="489" ht="15.0" customHeight="1">
      <c r="A489" s="81"/>
      <c r="B489" s="51"/>
      <c r="C489" s="51"/>
      <c r="D489" s="50"/>
      <c r="E489" s="50"/>
      <c r="F489" s="50"/>
      <c r="G489" s="50"/>
      <c r="H489" s="50"/>
      <c r="I489" s="82"/>
      <c r="J489" s="83"/>
      <c r="K489" s="83"/>
      <c r="L489" s="84"/>
      <c r="M489" s="84"/>
      <c r="N489" s="84"/>
      <c r="O489" s="85"/>
      <c r="P489" s="84"/>
      <c r="Q489" s="84"/>
      <c r="R489" s="84"/>
      <c r="S489" s="84"/>
      <c r="T489" s="84"/>
      <c r="U489" s="84"/>
      <c r="V489" s="84"/>
      <c r="W489" s="84"/>
      <c r="X489" s="86"/>
    </row>
    <row r="490" ht="15.0" customHeight="1">
      <c r="A490" s="81"/>
      <c r="B490" s="51"/>
      <c r="C490" s="51"/>
      <c r="D490" s="50"/>
      <c r="E490" s="50"/>
      <c r="F490" s="50"/>
      <c r="G490" s="50"/>
      <c r="H490" s="50"/>
      <c r="I490" s="82"/>
      <c r="J490" s="83"/>
      <c r="K490" s="83"/>
      <c r="L490" s="84"/>
      <c r="M490" s="84"/>
      <c r="N490" s="84"/>
      <c r="O490" s="85"/>
      <c r="P490" s="84"/>
      <c r="Q490" s="84"/>
      <c r="R490" s="84"/>
      <c r="S490" s="84"/>
      <c r="T490" s="84"/>
      <c r="U490" s="84"/>
      <c r="V490" s="84"/>
      <c r="W490" s="84"/>
      <c r="X490" s="86"/>
    </row>
    <row r="491" ht="15.0" customHeight="1">
      <c r="A491" s="81"/>
      <c r="B491" s="51"/>
      <c r="C491" s="51"/>
      <c r="D491" s="50"/>
      <c r="E491" s="50"/>
      <c r="F491" s="50"/>
      <c r="G491" s="50"/>
      <c r="H491" s="50"/>
      <c r="I491" s="82"/>
      <c r="J491" s="83"/>
      <c r="K491" s="83"/>
      <c r="L491" s="84"/>
      <c r="M491" s="84"/>
      <c r="N491" s="84"/>
      <c r="O491" s="85"/>
      <c r="P491" s="84"/>
      <c r="Q491" s="84"/>
      <c r="R491" s="84"/>
      <c r="S491" s="84"/>
      <c r="T491" s="84"/>
      <c r="U491" s="84"/>
      <c r="V491" s="84"/>
      <c r="W491" s="84"/>
      <c r="X491" s="86"/>
    </row>
    <row r="492" ht="15.0" customHeight="1">
      <c r="A492" s="81"/>
      <c r="B492" s="51"/>
      <c r="C492" s="51"/>
      <c r="D492" s="50"/>
      <c r="E492" s="50"/>
      <c r="F492" s="50"/>
      <c r="G492" s="50"/>
      <c r="H492" s="50"/>
      <c r="I492" s="82"/>
      <c r="J492" s="83"/>
      <c r="K492" s="83"/>
      <c r="L492" s="84"/>
      <c r="M492" s="84"/>
      <c r="N492" s="84"/>
      <c r="O492" s="85"/>
      <c r="P492" s="84"/>
      <c r="Q492" s="84"/>
      <c r="R492" s="84"/>
      <c r="S492" s="84"/>
      <c r="T492" s="84"/>
      <c r="U492" s="84"/>
      <c r="V492" s="84"/>
      <c r="W492" s="84"/>
      <c r="X492" s="86"/>
    </row>
    <row r="493" ht="15.0" customHeight="1">
      <c r="A493" s="81"/>
      <c r="B493" s="51"/>
      <c r="C493" s="51"/>
      <c r="D493" s="50"/>
      <c r="E493" s="50"/>
      <c r="F493" s="50"/>
      <c r="G493" s="50"/>
      <c r="H493" s="50"/>
      <c r="I493" s="82"/>
      <c r="J493" s="83"/>
      <c r="K493" s="83"/>
      <c r="L493" s="84"/>
      <c r="M493" s="84"/>
      <c r="N493" s="84"/>
      <c r="O493" s="85"/>
      <c r="P493" s="84"/>
      <c r="Q493" s="84"/>
      <c r="R493" s="84"/>
      <c r="S493" s="84"/>
      <c r="T493" s="84"/>
      <c r="U493" s="84"/>
      <c r="V493" s="84"/>
      <c r="W493" s="84"/>
      <c r="X493" s="86"/>
    </row>
    <row r="494" ht="15.0" customHeight="1">
      <c r="A494" s="81"/>
      <c r="B494" s="51"/>
      <c r="C494" s="51"/>
      <c r="D494" s="50"/>
      <c r="E494" s="50"/>
      <c r="F494" s="50"/>
      <c r="G494" s="50"/>
      <c r="H494" s="50"/>
      <c r="I494" s="82"/>
      <c r="J494" s="83"/>
      <c r="K494" s="83"/>
      <c r="L494" s="84"/>
      <c r="M494" s="84"/>
      <c r="N494" s="84"/>
      <c r="O494" s="85"/>
      <c r="P494" s="84"/>
      <c r="Q494" s="84"/>
      <c r="R494" s="84"/>
      <c r="S494" s="84"/>
      <c r="T494" s="84"/>
      <c r="U494" s="84"/>
      <c r="V494" s="84"/>
      <c r="W494" s="84"/>
      <c r="X494" s="86"/>
    </row>
    <row r="495" ht="15.0" customHeight="1">
      <c r="A495" s="81"/>
      <c r="B495" s="51"/>
      <c r="C495" s="51"/>
      <c r="D495" s="50"/>
      <c r="E495" s="50"/>
      <c r="F495" s="50"/>
      <c r="G495" s="50"/>
      <c r="H495" s="50"/>
      <c r="I495" s="82"/>
      <c r="J495" s="83"/>
      <c r="K495" s="83"/>
      <c r="L495" s="84"/>
      <c r="M495" s="84"/>
      <c r="N495" s="84"/>
      <c r="O495" s="85"/>
      <c r="P495" s="84"/>
      <c r="Q495" s="84"/>
      <c r="R495" s="84"/>
      <c r="S495" s="84"/>
      <c r="T495" s="84"/>
      <c r="U495" s="84"/>
      <c r="V495" s="84"/>
      <c r="W495" s="84"/>
      <c r="X495" s="86"/>
    </row>
    <row r="496" ht="15.0" customHeight="1">
      <c r="A496" s="81"/>
      <c r="B496" s="51"/>
      <c r="C496" s="51"/>
      <c r="D496" s="50"/>
      <c r="E496" s="50"/>
      <c r="F496" s="50"/>
      <c r="G496" s="50"/>
      <c r="H496" s="50"/>
      <c r="I496" s="82"/>
      <c r="J496" s="83"/>
      <c r="K496" s="83"/>
      <c r="L496" s="84"/>
      <c r="M496" s="84"/>
      <c r="N496" s="84"/>
      <c r="O496" s="85"/>
      <c r="P496" s="84"/>
      <c r="Q496" s="84"/>
      <c r="R496" s="84"/>
      <c r="S496" s="84"/>
      <c r="T496" s="84"/>
      <c r="U496" s="84"/>
      <c r="V496" s="84"/>
      <c r="W496" s="84"/>
      <c r="X496" s="86"/>
    </row>
    <row r="497" ht="15.0" customHeight="1">
      <c r="A497" s="81"/>
      <c r="B497" s="51"/>
      <c r="C497" s="51"/>
      <c r="D497" s="50"/>
      <c r="E497" s="50"/>
      <c r="F497" s="50"/>
      <c r="G497" s="50"/>
      <c r="H497" s="50"/>
      <c r="I497" s="82"/>
      <c r="J497" s="83"/>
      <c r="K497" s="83"/>
      <c r="L497" s="84"/>
      <c r="M497" s="84"/>
      <c r="N497" s="84"/>
      <c r="O497" s="85"/>
      <c r="P497" s="84"/>
      <c r="Q497" s="84"/>
      <c r="R497" s="84"/>
      <c r="S497" s="84"/>
      <c r="T497" s="84"/>
      <c r="U497" s="84"/>
      <c r="V497" s="84"/>
      <c r="W497" s="84"/>
      <c r="X497" s="86"/>
    </row>
    <row r="498" ht="15.0" customHeight="1">
      <c r="A498" s="81"/>
      <c r="B498" s="51"/>
      <c r="C498" s="51"/>
      <c r="D498" s="50"/>
      <c r="E498" s="50"/>
      <c r="F498" s="50"/>
      <c r="G498" s="50"/>
      <c r="H498" s="50"/>
      <c r="I498" s="82"/>
      <c r="J498" s="83"/>
      <c r="K498" s="83"/>
      <c r="L498" s="84"/>
      <c r="M498" s="84"/>
      <c r="N498" s="84"/>
      <c r="O498" s="85"/>
      <c r="P498" s="84"/>
      <c r="Q498" s="84"/>
      <c r="R498" s="84"/>
      <c r="S498" s="84"/>
      <c r="T498" s="84"/>
      <c r="U498" s="84"/>
      <c r="V498" s="84"/>
      <c r="W498" s="84"/>
      <c r="X498" s="86"/>
    </row>
    <row r="499" ht="15.0" customHeight="1">
      <c r="A499" s="81"/>
      <c r="B499" s="51"/>
      <c r="C499" s="51"/>
      <c r="D499" s="50"/>
      <c r="E499" s="50"/>
      <c r="F499" s="50"/>
      <c r="G499" s="50"/>
      <c r="H499" s="50"/>
      <c r="I499" s="82"/>
      <c r="J499" s="83"/>
      <c r="K499" s="83"/>
      <c r="L499" s="84"/>
      <c r="M499" s="84"/>
      <c r="N499" s="84"/>
      <c r="O499" s="85"/>
      <c r="P499" s="84"/>
      <c r="Q499" s="84"/>
      <c r="R499" s="84"/>
      <c r="S499" s="84"/>
      <c r="T499" s="84"/>
      <c r="U499" s="84"/>
      <c r="V499" s="84"/>
      <c r="W499" s="84"/>
      <c r="X499" s="86"/>
    </row>
    <row r="500" ht="15.0" customHeight="1">
      <c r="A500" s="81"/>
      <c r="B500" s="51"/>
      <c r="C500" s="51"/>
      <c r="D500" s="50"/>
      <c r="E500" s="50"/>
      <c r="F500" s="50"/>
      <c r="G500" s="50"/>
      <c r="H500" s="50"/>
      <c r="I500" s="82"/>
      <c r="J500" s="83"/>
      <c r="K500" s="83"/>
      <c r="L500" s="84"/>
      <c r="M500" s="84"/>
      <c r="N500" s="84"/>
      <c r="O500" s="85"/>
      <c r="P500" s="84"/>
      <c r="Q500" s="84"/>
      <c r="R500" s="84"/>
      <c r="S500" s="84"/>
      <c r="T500" s="84"/>
      <c r="U500" s="84"/>
      <c r="V500" s="84"/>
      <c r="W500" s="84"/>
      <c r="X500" s="86"/>
    </row>
    <row r="501" ht="15.0" customHeight="1">
      <c r="A501" s="81"/>
      <c r="B501" s="51"/>
      <c r="C501" s="51"/>
      <c r="D501" s="50"/>
      <c r="E501" s="50"/>
      <c r="F501" s="50"/>
      <c r="G501" s="50"/>
      <c r="H501" s="50"/>
      <c r="I501" s="82"/>
      <c r="J501" s="83"/>
      <c r="K501" s="83"/>
      <c r="L501" s="84"/>
      <c r="M501" s="84"/>
      <c r="N501" s="84"/>
      <c r="O501" s="85"/>
      <c r="P501" s="84"/>
      <c r="Q501" s="84"/>
      <c r="R501" s="84"/>
      <c r="S501" s="84"/>
      <c r="T501" s="84"/>
      <c r="U501" s="84"/>
      <c r="V501" s="84"/>
      <c r="W501" s="84"/>
      <c r="X501" s="86"/>
    </row>
    <row r="502" ht="15.0" customHeight="1">
      <c r="A502" s="81"/>
      <c r="B502" s="51"/>
      <c r="C502" s="51"/>
      <c r="D502" s="50"/>
      <c r="E502" s="50"/>
      <c r="F502" s="50"/>
      <c r="G502" s="50"/>
      <c r="H502" s="50"/>
      <c r="I502" s="82"/>
      <c r="J502" s="83"/>
      <c r="K502" s="83"/>
      <c r="L502" s="84"/>
      <c r="M502" s="84"/>
      <c r="N502" s="84"/>
      <c r="O502" s="85"/>
      <c r="P502" s="84"/>
      <c r="Q502" s="84"/>
      <c r="R502" s="84"/>
      <c r="S502" s="84"/>
      <c r="T502" s="84"/>
      <c r="U502" s="84"/>
      <c r="V502" s="84"/>
      <c r="W502" s="84"/>
      <c r="X502" s="86"/>
    </row>
    <row r="503" ht="15.0" customHeight="1">
      <c r="A503" s="81"/>
      <c r="B503" s="51"/>
      <c r="C503" s="51"/>
      <c r="D503" s="50"/>
      <c r="E503" s="50"/>
      <c r="F503" s="50"/>
      <c r="G503" s="50"/>
      <c r="H503" s="50"/>
      <c r="I503" s="82"/>
      <c r="J503" s="83"/>
      <c r="K503" s="83"/>
      <c r="L503" s="84"/>
      <c r="M503" s="84"/>
      <c r="N503" s="84"/>
      <c r="O503" s="85"/>
      <c r="P503" s="84"/>
      <c r="Q503" s="84"/>
      <c r="R503" s="84"/>
      <c r="S503" s="84"/>
      <c r="T503" s="84"/>
      <c r="U503" s="84"/>
      <c r="V503" s="84"/>
      <c r="W503" s="84"/>
      <c r="X503" s="86"/>
    </row>
    <row r="504" ht="15.0" customHeight="1">
      <c r="A504" s="81"/>
      <c r="B504" s="51"/>
      <c r="C504" s="51"/>
      <c r="D504" s="50"/>
      <c r="E504" s="50"/>
      <c r="F504" s="50"/>
      <c r="G504" s="50"/>
      <c r="H504" s="50"/>
      <c r="I504" s="82"/>
      <c r="J504" s="83"/>
      <c r="K504" s="83"/>
      <c r="L504" s="84"/>
      <c r="M504" s="84"/>
      <c r="N504" s="84"/>
      <c r="O504" s="85"/>
      <c r="P504" s="84"/>
      <c r="Q504" s="84"/>
      <c r="R504" s="84"/>
      <c r="S504" s="84"/>
      <c r="T504" s="84"/>
      <c r="U504" s="84"/>
      <c r="V504" s="84"/>
      <c r="W504" s="84"/>
      <c r="X504" s="86"/>
    </row>
    <row r="505" ht="15.0" customHeight="1">
      <c r="A505" s="81"/>
      <c r="B505" s="51"/>
      <c r="C505" s="51"/>
      <c r="D505" s="50"/>
      <c r="E505" s="50"/>
      <c r="F505" s="50"/>
      <c r="G505" s="50"/>
      <c r="H505" s="50"/>
      <c r="I505" s="82"/>
      <c r="J505" s="83"/>
      <c r="K505" s="83"/>
      <c r="L505" s="84"/>
      <c r="M505" s="84"/>
      <c r="N505" s="84"/>
      <c r="O505" s="85"/>
      <c r="P505" s="84"/>
      <c r="Q505" s="84"/>
      <c r="R505" s="84"/>
      <c r="S505" s="84"/>
      <c r="T505" s="84"/>
      <c r="U505" s="84"/>
      <c r="V505" s="84"/>
      <c r="W505" s="84"/>
      <c r="X505" s="86"/>
    </row>
    <row r="506" ht="15.0" customHeight="1">
      <c r="A506" s="81"/>
      <c r="B506" s="51"/>
      <c r="C506" s="51"/>
      <c r="D506" s="50"/>
      <c r="E506" s="50"/>
      <c r="F506" s="50"/>
      <c r="G506" s="50"/>
      <c r="H506" s="50"/>
      <c r="I506" s="82"/>
      <c r="J506" s="83"/>
      <c r="K506" s="83"/>
      <c r="L506" s="84"/>
      <c r="M506" s="84"/>
      <c r="N506" s="84"/>
      <c r="O506" s="85"/>
      <c r="P506" s="84"/>
      <c r="Q506" s="84"/>
      <c r="R506" s="84"/>
      <c r="S506" s="84"/>
      <c r="T506" s="84"/>
      <c r="U506" s="84"/>
      <c r="V506" s="84"/>
      <c r="W506" s="84"/>
      <c r="X506" s="86"/>
    </row>
    <row r="507" ht="15.0" customHeight="1">
      <c r="A507" s="81"/>
      <c r="B507" s="51"/>
      <c r="C507" s="51"/>
      <c r="D507" s="50"/>
      <c r="E507" s="50"/>
      <c r="F507" s="50"/>
      <c r="G507" s="50"/>
      <c r="H507" s="50"/>
      <c r="I507" s="82"/>
      <c r="J507" s="83"/>
      <c r="K507" s="83"/>
      <c r="L507" s="84"/>
      <c r="M507" s="84"/>
      <c r="N507" s="84"/>
      <c r="O507" s="85"/>
      <c r="P507" s="84"/>
      <c r="Q507" s="84"/>
      <c r="R507" s="84"/>
      <c r="S507" s="84"/>
      <c r="T507" s="84"/>
      <c r="U507" s="84"/>
      <c r="V507" s="84"/>
      <c r="W507" s="84"/>
      <c r="X507" s="86"/>
    </row>
    <row r="508" ht="15.0" customHeight="1">
      <c r="A508" s="81"/>
      <c r="B508" s="51"/>
      <c r="C508" s="51"/>
      <c r="D508" s="50"/>
      <c r="E508" s="50"/>
      <c r="F508" s="50"/>
      <c r="G508" s="50"/>
      <c r="H508" s="50"/>
      <c r="I508" s="82"/>
      <c r="J508" s="83"/>
      <c r="K508" s="83"/>
      <c r="L508" s="84"/>
      <c r="M508" s="84"/>
      <c r="N508" s="84"/>
      <c r="O508" s="85"/>
      <c r="P508" s="84"/>
      <c r="Q508" s="84"/>
      <c r="R508" s="84"/>
      <c r="S508" s="84"/>
      <c r="T508" s="84"/>
      <c r="U508" s="84"/>
      <c r="V508" s="84"/>
      <c r="W508" s="84"/>
      <c r="X508" s="86"/>
    </row>
    <row r="509" ht="15.0" customHeight="1">
      <c r="A509" s="81"/>
      <c r="B509" s="51"/>
      <c r="C509" s="51"/>
      <c r="D509" s="50"/>
      <c r="E509" s="50"/>
      <c r="F509" s="50"/>
      <c r="G509" s="50"/>
      <c r="H509" s="50"/>
      <c r="I509" s="82"/>
      <c r="J509" s="83"/>
      <c r="K509" s="83"/>
      <c r="L509" s="84"/>
      <c r="M509" s="84"/>
      <c r="N509" s="84"/>
      <c r="O509" s="85"/>
      <c r="P509" s="84"/>
      <c r="Q509" s="84"/>
      <c r="R509" s="84"/>
      <c r="S509" s="84"/>
      <c r="T509" s="84"/>
      <c r="U509" s="84"/>
      <c r="V509" s="84"/>
      <c r="W509" s="84"/>
      <c r="X509" s="86"/>
    </row>
    <row r="510" ht="15.0" customHeight="1">
      <c r="A510" s="81"/>
      <c r="B510" s="51"/>
      <c r="C510" s="51"/>
      <c r="D510" s="50"/>
      <c r="E510" s="50"/>
      <c r="F510" s="50"/>
      <c r="G510" s="50"/>
      <c r="H510" s="50"/>
      <c r="I510" s="82"/>
      <c r="J510" s="83"/>
      <c r="K510" s="83"/>
      <c r="L510" s="84"/>
      <c r="M510" s="84"/>
      <c r="N510" s="84"/>
      <c r="O510" s="85"/>
      <c r="P510" s="84"/>
      <c r="Q510" s="84"/>
      <c r="R510" s="84"/>
      <c r="S510" s="84"/>
      <c r="T510" s="84"/>
      <c r="U510" s="84"/>
      <c r="V510" s="84"/>
      <c r="W510" s="84"/>
      <c r="X510" s="86"/>
    </row>
    <row r="511" ht="15.0" customHeight="1">
      <c r="A511" s="81"/>
      <c r="B511" s="51"/>
      <c r="C511" s="51"/>
      <c r="D511" s="50"/>
      <c r="E511" s="50"/>
      <c r="F511" s="50"/>
      <c r="G511" s="50"/>
      <c r="H511" s="50"/>
      <c r="I511" s="82"/>
      <c r="J511" s="83"/>
      <c r="K511" s="83"/>
      <c r="L511" s="84"/>
      <c r="M511" s="84"/>
      <c r="N511" s="84"/>
      <c r="O511" s="85"/>
      <c r="P511" s="84"/>
      <c r="Q511" s="84"/>
      <c r="R511" s="84"/>
      <c r="S511" s="84"/>
      <c r="T511" s="84"/>
      <c r="U511" s="84"/>
      <c r="V511" s="84"/>
      <c r="W511" s="84"/>
      <c r="X511" s="86"/>
    </row>
    <row r="512" ht="15.0" customHeight="1">
      <c r="A512" s="81"/>
      <c r="B512" s="51"/>
      <c r="C512" s="51"/>
      <c r="D512" s="50"/>
      <c r="E512" s="50"/>
      <c r="F512" s="50"/>
      <c r="G512" s="50"/>
      <c r="H512" s="50"/>
      <c r="I512" s="82"/>
      <c r="J512" s="83"/>
      <c r="K512" s="83"/>
      <c r="L512" s="84"/>
      <c r="M512" s="84"/>
      <c r="N512" s="84"/>
      <c r="O512" s="85"/>
      <c r="P512" s="84"/>
      <c r="Q512" s="84"/>
      <c r="R512" s="84"/>
      <c r="S512" s="84"/>
      <c r="T512" s="84"/>
      <c r="U512" s="84"/>
      <c r="V512" s="84"/>
      <c r="W512" s="84"/>
      <c r="X512" s="86"/>
    </row>
    <row r="513" ht="15.0" customHeight="1">
      <c r="A513" s="81"/>
      <c r="B513" s="51"/>
      <c r="C513" s="51"/>
      <c r="D513" s="50"/>
      <c r="E513" s="50"/>
      <c r="F513" s="50"/>
      <c r="G513" s="50"/>
      <c r="H513" s="50"/>
      <c r="I513" s="82"/>
      <c r="J513" s="83"/>
      <c r="K513" s="83"/>
      <c r="L513" s="84"/>
      <c r="M513" s="84"/>
      <c r="N513" s="84"/>
      <c r="O513" s="85"/>
      <c r="P513" s="84"/>
      <c r="Q513" s="84"/>
      <c r="R513" s="84"/>
      <c r="S513" s="84"/>
      <c r="T513" s="84"/>
      <c r="U513" s="84"/>
      <c r="V513" s="84"/>
      <c r="W513" s="84"/>
      <c r="X513" s="86"/>
    </row>
    <row r="514" ht="15.0" customHeight="1">
      <c r="A514" s="81"/>
      <c r="B514" s="51"/>
      <c r="C514" s="51"/>
      <c r="D514" s="50"/>
      <c r="E514" s="50"/>
      <c r="F514" s="50"/>
      <c r="G514" s="50"/>
      <c r="H514" s="50"/>
      <c r="I514" s="82"/>
      <c r="J514" s="83"/>
      <c r="K514" s="83"/>
      <c r="L514" s="84"/>
      <c r="M514" s="84"/>
      <c r="N514" s="84"/>
      <c r="O514" s="85"/>
      <c r="P514" s="84"/>
      <c r="Q514" s="84"/>
      <c r="R514" s="84"/>
      <c r="S514" s="84"/>
      <c r="T514" s="84"/>
      <c r="U514" s="84"/>
      <c r="V514" s="84"/>
      <c r="W514" s="84"/>
      <c r="X514" s="86"/>
    </row>
    <row r="515" ht="15.0" customHeight="1">
      <c r="A515" s="81"/>
      <c r="B515" s="51"/>
      <c r="C515" s="51"/>
      <c r="D515" s="50"/>
      <c r="E515" s="50"/>
      <c r="F515" s="50"/>
      <c r="G515" s="50"/>
      <c r="H515" s="50"/>
      <c r="I515" s="82"/>
      <c r="J515" s="83"/>
      <c r="K515" s="83"/>
      <c r="L515" s="84"/>
      <c r="M515" s="84"/>
      <c r="N515" s="84"/>
      <c r="O515" s="85"/>
      <c r="P515" s="84"/>
      <c r="Q515" s="84"/>
      <c r="R515" s="84"/>
      <c r="S515" s="84"/>
      <c r="T515" s="84"/>
      <c r="U515" s="84"/>
      <c r="V515" s="84"/>
      <c r="W515" s="84"/>
      <c r="X515" s="86"/>
    </row>
    <row r="516" ht="15.0" customHeight="1">
      <c r="A516" s="81"/>
      <c r="B516" s="51"/>
      <c r="C516" s="51"/>
      <c r="D516" s="50"/>
      <c r="E516" s="50"/>
      <c r="F516" s="50"/>
      <c r="G516" s="50"/>
      <c r="H516" s="50"/>
      <c r="I516" s="82"/>
      <c r="J516" s="83"/>
      <c r="K516" s="83"/>
      <c r="L516" s="84"/>
      <c r="M516" s="84"/>
      <c r="N516" s="84"/>
      <c r="O516" s="85"/>
      <c r="P516" s="84"/>
      <c r="Q516" s="84"/>
      <c r="R516" s="84"/>
      <c r="S516" s="84"/>
      <c r="T516" s="84"/>
      <c r="U516" s="84"/>
      <c r="V516" s="84"/>
      <c r="W516" s="84"/>
      <c r="X516" s="86"/>
    </row>
    <row r="517" ht="15.0" customHeight="1">
      <c r="A517" s="81"/>
      <c r="B517" s="51"/>
      <c r="C517" s="51"/>
      <c r="D517" s="50"/>
      <c r="E517" s="50"/>
      <c r="F517" s="50"/>
      <c r="G517" s="50"/>
      <c r="H517" s="50"/>
      <c r="I517" s="82"/>
      <c r="J517" s="83"/>
      <c r="K517" s="83"/>
      <c r="L517" s="84"/>
      <c r="M517" s="84"/>
      <c r="N517" s="84"/>
      <c r="O517" s="85"/>
      <c r="P517" s="84"/>
      <c r="Q517" s="84"/>
      <c r="R517" s="84"/>
      <c r="S517" s="84"/>
      <c r="T517" s="84"/>
      <c r="U517" s="84"/>
      <c r="V517" s="84"/>
      <c r="W517" s="84"/>
      <c r="X517" s="86"/>
    </row>
    <row r="518" ht="15.0" customHeight="1">
      <c r="A518" s="81"/>
      <c r="B518" s="51"/>
      <c r="C518" s="51"/>
      <c r="D518" s="50"/>
      <c r="E518" s="50"/>
      <c r="F518" s="50"/>
      <c r="G518" s="50"/>
      <c r="H518" s="50"/>
      <c r="I518" s="82"/>
      <c r="J518" s="83"/>
      <c r="K518" s="83"/>
      <c r="L518" s="84"/>
      <c r="M518" s="84"/>
      <c r="N518" s="84"/>
      <c r="O518" s="85"/>
      <c r="P518" s="84"/>
      <c r="Q518" s="84"/>
      <c r="R518" s="84"/>
      <c r="S518" s="84"/>
      <c r="T518" s="84"/>
      <c r="U518" s="84"/>
      <c r="V518" s="84"/>
      <c r="W518" s="84"/>
      <c r="X518" s="86"/>
    </row>
    <row r="519" ht="15.0" customHeight="1">
      <c r="A519" s="81"/>
      <c r="B519" s="51"/>
      <c r="C519" s="51"/>
      <c r="D519" s="50"/>
      <c r="E519" s="50"/>
      <c r="F519" s="50"/>
      <c r="G519" s="50"/>
      <c r="H519" s="50"/>
      <c r="I519" s="82"/>
      <c r="J519" s="83"/>
      <c r="K519" s="83"/>
      <c r="L519" s="84"/>
      <c r="M519" s="84"/>
      <c r="N519" s="84"/>
      <c r="O519" s="85"/>
      <c r="P519" s="84"/>
      <c r="Q519" s="84"/>
      <c r="R519" s="84"/>
      <c r="S519" s="84"/>
      <c r="T519" s="84"/>
      <c r="U519" s="84"/>
      <c r="V519" s="84"/>
      <c r="W519" s="84"/>
      <c r="X519" s="86"/>
    </row>
    <row r="520" ht="15.0" customHeight="1">
      <c r="A520" s="81"/>
      <c r="B520" s="51"/>
      <c r="C520" s="51"/>
      <c r="D520" s="50"/>
      <c r="E520" s="50"/>
      <c r="F520" s="50"/>
      <c r="G520" s="50"/>
      <c r="H520" s="50"/>
      <c r="I520" s="82"/>
      <c r="J520" s="83"/>
      <c r="K520" s="83"/>
      <c r="L520" s="84"/>
      <c r="M520" s="84"/>
      <c r="N520" s="84"/>
      <c r="O520" s="85"/>
      <c r="P520" s="84"/>
      <c r="Q520" s="84"/>
      <c r="R520" s="84"/>
      <c r="S520" s="84"/>
      <c r="T520" s="84"/>
      <c r="U520" s="84"/>
      <c r="V520" s="84"/>
      <c r="W520" s="84"/>
      <c r="X520" s="86"/>
    </row>
    <row r="521" ht="15.0" customHeight="1">
      <c r="A521" s="81"/>
      <c r="B521" s="51"/>
      <c r="C521" s="51"/>
      <c r="D521" s="50"/>
      <c r="E521" s="50"/>
      <c r="F521" s="50"/>
      <c r="G521" s="50"/>
      <c r="H521" s="50"/>
      <c r="I521" s="82"/>
      <c r="J521" s="83"/>
      <c r="K521" s="83"/>
      <c r="L521" s="84"/>
      <c r="M521" s="84"/>
      <c r="N521" s="84"/>
      <c r="O521" s="85"/>
      <c r="P521" s="84"/>
      <c r="Q521" s="84"/>
      <c r="R521" s="84"/>
      <c r="S521" s="84"/>
      <c r="T521" s="84"/>
      <c r="U521" s="84"/>
      <c r="V521" s="84"/>
      <c r="W521" s="84"/>
      <c r="X521" s="86"/>
    </row>
    <row r="522" ht="15.0" customHeight="1">
      <c r="A522" s="81"/>
      <c r="B522" s="51"/>
      <c r="C522" s="51"/>
      <c r="D522" s="50"/>
      <c r="E522" s="50"/>
      <c r="F522" s="50"/>
      <c r="G522" s="50"/>
      <c r="H522" s="50"/>
      <c r="I522" s="82"/>
      <c r="J522" s="83"/>
      <c r="K522" s="83"/>
      <c r="L522" s="84"/>
      <c r="M522" s="84"/>
      <c r="N522" s="84"/>
      <c r="O522" s="85"/>
      <c r="P522" s="84"/>
      <c r="Q522" s="84"/>
      <c r="R522" s="84"/>
      <c r="S522" s="84"/>
      <c r="T522" s="84"/>
      <c r="U522" s="84"/>
      <c r="V522" s="84"/>
      <c r="W522" s="84"/>
      <c r="X522" s="86"/>
    </row>
    <row r="523" ht="15.0" customHeight="1">
      <c r="A523" s="81"/>
      <c r="B523" s="51"/>
      <c r="C523" s="51"/>
      <c r="D523" s="50"/>
      <c r="E523" s="50"/>
      <c r="F523" s="50"/>
      <c r="G523" s="50"/>
      <c r="H523" s="50"/>
      <c r="I523" s="82"/>
      <c r="J523" s="83"/>
      <c r="K523" s="83"/>
      <c r="L523" s="84"/>
      <c r="M523" s="84"/>
      <c r="N523" s="84"/>
      <c r="O523" s="85"/>
      <c r="P523" s="84"/>
      <c r="Q523" s="84"/>
      <c r="R523" s="84"/>
      <c r="S523" s="84"/>
      <c r="T523" s="84"/>
      <c r="U523" s="84"/>
      <c r="V523" s="84"/>
      <c r="W523" s="84"/>
      <c r="X523" s="86"/>
    </row>
    <row r="524" ht="15.0" customHeight="1">
      <c r="A524" s="81"/>
      <c r="B524" s="51"/>
      <c r="C524" s="51"/>
      <c r="D524" s="50"/>
      <c r="E524" s="50"/>
      <c r="F524" s="50"/>
      <c r="G524" s="50"/>
      <c r="H524" s="50"/>
      <c r="I524" s="82"/>
      <c r="J524" s="83"/>
      <c r="K524" s="83"/>
      <c r="L524" s="84"/>
      <c r="M524" s="84"/>
      <c r="N524" s="84"/>
      <c r="O524" s="85"/>
      <c r="P524" s="84"/>
      <c r="Q524" s="84"/>
      <c r="R524" s="84"/>
      <c r="S524" s="84"/>
      <c r="T524" s="84"/>
      <c r="U524" s="84"/>
      <c r="V524" s="84"/>
      <c r="W524" s="84"/>
      <c r="X524" s="86"/>
    </row>
    <row r="525" ht="15.0" customHeight="1">
      <c r="A525" s="81"/>
      <c r="B525" s="51"/>
      <c r="C525" s="51"/>
      <c r="D525" s="50"/>
      <c r="E525" s="50"/>
      <c r="F525" s="50"/>
      <c r="G525" s="50"/>
      <c r="H525" s="50"/>
      <c r="I525" s="82"/>
      <c r="J525" s="83"/>
      <c r="K525" s="83"/>
      <c r="L525" s="84"/>
      <c r="M525" s="84"/>
      <c r="N525" s="84"/>
      <c r="O525" s="85"/>
      <c r="P525" s="84"/>
      <c r="Q525" s="84"/>
      <c r="R525" s="84"/>
      <c r="S525" s="84"/>
      <c r="T525" s="84"/>
      <c r="U525" s="84"/>
      <c r="V525" s="84"/>
      <c r="W525" s="84"/>
      <c r="X525" s="86"/>
    </row>
    <row r="526" ht="15.0" customHeight="1">
      <c r="A526" s="81"/>
      <c r="B526" s="51"/>
      <c r="C526" s="51"/>
      <c r="D526" s="50"/>
      <c r="E526" s="50"/>
      <c r="F526" s="50"/>
      <c r="G526" s="50"/>
      <c r="H526" s="50"/>
      <c r="I526" s="82"/>
      <c r="J526" s="83"/>
      <c r="K526" s="83"/>
      <c r="L526" s="84"/>
      <c r="M526" s="84"/>
      <c r="N526" s="84"/>
      <c r="O526" s="85"/>
      <c r="P526" s="84"/>
      <c r="Q526" s="84"/>
      <c r="R526" s="84"/>
      <c r="S526" s="84"/>
      <c r="T526" s="84"/>
      <c r="U526" s="84"/>
      <c r="V526" s="84"/>
      <c r="W526" s="84"/>
      <c r="X526" s="86"/>
    </row>
    <row r="527" ht="15.0" customHeight="1">
      <c r="A527" s="81"/>
      <c r="B527" s="51"/>
      <c r="C527" s="51"/>
      <c r="D527" s="50"/>
      <c r="E527" s="50"/>
      <c r="F527" s="50"/>
      <c r="G527" s="50"/>
      <c r="H527" s="50"/>
      <c r="I527" s="82"/>
      <c r="J527" s="83"/>
      <c r="K527" s="83"/>
      <c r="L527" s="84"/>
      <c r="M527" s="84"/>
      <c r="N527" s="84"/>
      <c r="O527" s="85"/>
      <c r="P527" s="84"/>
      <c r="Q527" s="84"/>
      <c r="R527" s="84"/>
      <c r="S527" s="84"/>
      <c r="T527" s="84"/>
      <c r="U527" s="84"/>
      <c r="V527" s="84"/>
      <c r="W527" s="84"/>
      <c r="X527" s="86"/>
    </row>
    <row r="528" ht="15.0" customHeight="1">
      <c r="A528" s="81"/>
      <c r="B528" s="51"/>
      <c r="C528" s="51"/>
      <c r="D528" s="50"/>
      <c r="E528" s="50"/>
      <c r="F528" s="50"/>
      <c r="G528" s="50"/>
      <c r="H528" s="50"/>
      <c r="I528" s="82"/>
      <c r="J528" s="83"/>
      <c r="K528" s="83"/>
      <c r="L528" s="84"/>
      <c r="M528" s="84"/>
      <c r="N528" s="84"/>
      <c r="O528" s="85"/>
      <c r="P528" s="84"/>
      <c r="Q528" s="84"/>
      <c r="R528" s="84"/>
      <c r="S528" s="84"/>
      <c r="T528" s="84"/>
      <c r="U528" s="84"/>
      <c r="V528" s="84"/>
      <c r="W528" s="84"/>
      <c r="X528" s="86"/>
    </row>
    <row r="529" ht="15.0" customHeight="1">
      <c r="A529" s="81"/>
      <c r="B529" s="51"/>
      <c r="C529" s="51"/>
      <c r="D529" s="50"/>
      <c r="E529" s="50"/>
      <c r="F529" s="50"/>
      <c r="G529" s="50"/>
      <c r="H529" s="50"/>
      <c r="I529" s="82"/>
      <c r="J529" s="83"/>
      <c r="K529" s="83"/>
      <c r="L529" s="84"/>
      <c r="M529" s="84"/>
      <c r="N529" s="84"/>
      <c r="O529" s="85"/>
      <c r="P529" s="84"/>
      <c r="Q529" s="84"/>
      <c r="R529" s="84"/>
      <c r="S529" s="84"/>
      <c r="T529" s="84"/>
      <c r="U529" s="84"/>
      <c r="V529" s="84"/>
      <c r="W529" s="84"/>
      <c r="X529" s="86"/>
    </row>
    <row r="530" ht="15.0" customHeight="1">
      <c r="A530" s="81"/>
      <c r="B530" s="51"/>
      <c r="C530" s="51"/>
      <c r="D530" s="50"/>
      <c r="E530" s="50"/>
      <c r="F530" s="50"/>
      <c r="G530" s="50"/>
      <c r="H530" s="50"/>
      <c r="I530" s="82"/>
      <c r="J530" s="83"/>
      <c r="K530" s="83"/>
      <c r="L530" s="84"/>
      <c r="M530" s="84"/>
      <c r="N530" s="84"/>
      <c r="O530" s="85"/>
      <c r="P530" s="84"/>
      <c r="Q530" s="84"/>
      <c r="R530" s="84"/>
      <c r="S530" s="84"/>
      <c r="T530" s="84"/>
      <c r="U530" s="84"/>
      <c r="V530" s="84"/>
      <c r="W530" s="84"/>
      <c r="X530" s="86"/>
    </row>
    <row r="531" ht="15.0" customHeight="1">
      <c r="A531" s="81"/>
      <c r="B531" s="51"/>
      <c r="C531" s="51"/>
      <c r="D531" s="50"/>
      <c r="E531" s="50"/>
      <c r="F531" s="50"/>
      <c r="G531" s="50"/>
      <c r="H531" s="50"/>
      <c r="I531" s="82"/>
      <c r="J531" s="83"/>
      <c r="K531" s="83"/>
      <c r="L531" s="84"/>
      <c r="M531" s="84"/>
      <c r="N531" s="84"/>
      <c r="O531" s="85"/>
      <c r="P531" s="84"/>
      <c r="Q531" s="84"/>
      <c r="R531" s="84"/>
      <c r="S531" s="84"/>
      <c r="T531" s="84"/>
      <c r="U531" s="84"/>
      <c r="V531" s="84"/>
      <c r="W531" s="84"/>
      <c r="X531" s="86"/>
    </row>
    <row r="532" ht="15.0" customHeight="1">
      <c r="A532" s="81"/>
      <c r="B532" s="51"/>
      <c r="C532" s="51"/>
      <c r="D532" s="50"/>
      <c r="E532" s="50"/>
      <c r="F532" s="50"/>
      <c r="G532" s="50"/>
      <c r="H532" s="50"/>
      <c r="I532" s="82"/>
      <c r="J532" s="83"/>
      <c r="K532" s="83"/>
      <c r="L532" s="84"/>
      <c r="M532" s="84"/>
      <c r="N532" s="84"/>
      <c r="O532" s="85"/>
      <c r="P532" s="84"/>
      <c r="Q532" s="84"/>
      <c r="R532" s="84"/>
      <c r="S532" s="84"/>
      <c r="T532" s="84"/>
      <c r="U532" s="84"/>
      <c r="V532" s="84"/>
      <c r="W532" s="84"/>
      <c r="X532" s="86"/>
    </row>
    <row r="533" ht="15.0" customHeight="1">
      <c r="A533" s="81"/>
      <c r="B533" s="51"/>
      <c r="C533" s="51"/>
      <c r="D533" s="50"/>
      <c r="E533" s="50"/>
      <c r="F533" s="50"/>
      <c r="G533" s="50"/>
      <c r="H533" s="50"/>
      <c r="I533" s="82"/>
      <c r="J533" s="83"/>
      <c r="K533" s="83"/>
      <c r="L533" s="84"/>
      <c r="M533" s="84"/>
      <c r="N533" s="84"/>
      <c r="O533" s="85"/>
      <c r="P533" s="84"/>
      <c r="Q533" s="84"/>
      <c r="R533" s="84"/>
      <c r="S533" s="84"/>
      <c r="T533" s="84"/>
      <c r="U533" s="84"/>
      <c r="V533" s="84"/>
      <c r="W533" s="84"/>
      <c r="X533" s="86"/>
    </row>
    <row r="534" ht="15.0" customHeight="1">
      <c r="A534" s="81"/>
      <c r="B534" s="51"/>
      <c r="C534" s="51"/>
      <c r="D534" s="50"/>
      <c r="E534" s="50"/>
      <c r="F534" s="50"/>
      <c r="G534" s="50"/>
      <c r="H534" s="50"/>
      <c r="I534" s="82"/>
      <c r="J534" s="83"/>
      <c r="K534" s="83"/>
      <c r="L534" s="84"/>
      <c r="M534" s="84"/>
      <c r="N534" s="84"/>
      <c r="O534" s="85"/>
      <c r="P534" s="84"/>
      <c r="Q534" s="84"/>
      <c r="R534" s="84"/>
      <c r="S534" s="84"/>
      <c r="T534" s="84"/>
      <c r="U534" s="84"/>
      <c r="V534" s="84"/>
      <c r="W534" s="84"/>
      <c r="X534" s="86"/>
    </row>
    <row r="535" ht="15.0" customHeight="1">
      <c r="A535" s="81"/>
      <c r="B535" s="51"/>
      <c r="C535" s="51"/>
      <c r="D535" s="50"/>
      <c r="E535" s="50"/>
      <c r="F535" s="50"/>
      <c r="G535" s="50"/>
      <c r="H535" s="50"/>
      <c r="I535" s="82"/>
      <c r="J535" s="83"/>
      <c r="K535" s="83"/>
      <c r="L535" s="84"/>
      <c r="M535" s="84"/>
      <c r="N535" s="84"/>
      <c r="O535" s="85"/>
      <c r="P535" s="84"/>
      <c r="Q535" s="84"/>
      <c r="R535" s="84"/>
      <c r="S535" s="84"/>
      <c r="T535" s="84"/>
      <c r="U535" s="84"/>
      <c r="V535" s="84"/>
      <c r="W535" s="84"/>
      <c r="X535" s="86"/>
    </row>
    <row r="536" ht="15.0" customHeight="1">
      <c r="A536" s="81"/>
      <c r="B536" s="51"/>
      <c r="C536" s="51"/>
      <c r="D536" s="50"/>
      <c r="E536" s="50"/>
      <c r="F536" s="50"/>
      <c r="G536" s="50"/>
      <c r="H536" s="50"/>
      <c r="I536" s="82"/>
      <c r="J536" s="83"/>
      <c r="K536" s="83"/>
      <c r="L536" s="84"/>
      <c r="M536" s="84"/>
      <c r="N536" s="84"/>
      <c r="O536" s="85"/>
      <c r="P536" s="84"/>
      <c r="Q536" s="84"/>
      <c r="R536" s="84"/>
      <c r="S536" s="84"/>
      <c r="T536" s="84"/>
      <c r="U536" s="84"/>
      <c r="V536" s="84"/>
      <c r="W536" s="84"/>
      <c r="X536" s="86"/>
    </row>
    <row r="537" ht="15.0" customHeight="1">
      <c r="A537" s="81"/>
      <c r="B537" s="51"/>
      <c r="C537" s="51"/>
      <c r="D537" s="50"/>
      <c r="E537" s="50"/>
      <c r="F537" s="50"/>
      <c r="G537" s="50"/>
      <c r="H537" s="50"/>
      <c r="I537" s="82"/>
      <c r="J537" s="83"/>
      <c r="K537" s="83"/>
      <c r="L537" s="84"/>
      <c r="M537" s="84"/>
      <c r="N537" s="84"/>
      <c r="O537" s="85"/>
      <c r="P537" s="84"/>
      <c r="Q537" s="84"/>
      <c r="R537" s="84"/>
      <c r="S537" s="84"/>
      <c r="T537" s="84"/>
      <c r="U537" s="84"/>
      <c r="V537" s="84"/>
      <c r="W537" s="84"/>
      <c r="X537" s="86"/>
    </row>
    <row r="538" ht="15.0" customHeight="1">
      <c r="A538" s="81"/>
      <c r="B538" s="51"/>
      <c r="C538" s="51"/>
      <c r="D538" s="50"/>
      <c r="E538" s="50"/>
      <c r="F538" s="50"/>
      <c r="G538" s="50"/>
      <c r="H538" s="50"/>
      <c r="I538" s="82"/>
      <c r="J538" s="83"/>
      <c r="K538" s="83"/>
      <c r="L538" s="84"/>
      <c r="M538" s="84"/>
      <c r="N538" s="84"/>
      <c r="O538" s="85"/>
      <c r="P538" s="84"/>
      <c r="Q538" s="84"/>
      <c r="R538" s="84"/>
      <c r="S538" s="84"/>
      <c r="T538" s="84"/>
      <c r="U538" s="84"/>
      <c r="V538" s="84"/>
      <c r="W538" s="84"/>
      <c r="X538" s="86"/>
    </row>
    <row r="539" ht="15.0" customHeight="1">
      <c r="A539" s="81"/>
      <c r="B539" s="51"/>
      <c r="C539" s="51"/>
      <c r="D539" s="50"/>
      <c r="E539" s="50"/>
      <c r="F539" s="50"/>
      <c r="G539" s="50"/>
      <c r="H539" s="50"/>
      <c r="I539" s="82"/>
      <c r="J539" s="83"/>
      <c r="K539" s="83"/>
      <c r="L539" s="84"/>
      <c r="M539" s="84"/>
      <c r="N539" s="84"/>
      <c r="O539" s="85"/>
      <c r="P539" s="84"/>
      <c r="Q539" s="84"/>
      <c r="R539" s="84"/>
      <c r="S539" s="84"/>
      <c r="T539" s="84"/>
      <c r="U539" s="84"/>
      <c r="V539" s="84"/>
      <c r="W539" s="84"/>
      <c r="X539" s="86"/>
    </row>
    <row r="540" ht="15.0" customHeight="1">
      <c r="A540" s="81"/>
      <c r="B540" s="51"/>
      <c r="C540" s="51"/>
      <c r="D540" s="50"/>
      <c r="E540" s="50"/>
      <c r="F540" s="50"/>
      <c r="G540" s="50"/>
      <c r="H540" s="50"/>
      <c r="I540" s="82"/>
      <c r="J540" s="83"/>
      <c r="K540" s="83"/>
      <c r="L540" s="84"/>
      <c r="M540" s="84"/>
      <c r="N540" s="84"/>
      <c r="O540" s="85"/>
      <c r="P540" s="84"/>
      <c r="Q540" s="84"/>
      <c r="R540" s="84"/>
      <c r="S540" s="84"/>
      <c r="T540" s="84"/>
      <c r="U540" s="84"/>
      <c r="V540" s="84"/>
      <c r="W540" s="84"/>
      <c r="X540" s="86"/>
    </row>
    <row r="541" ht="15.0" customHeight="1">
      <c r="A541" s="81"/>
      <c r="B541" s="51"/>
      <c r="C541" s="51"/>
      <c r="D541" s="50"/>
      <c r="E541" s="50"/>
      <c r="F541" s="50"/>
      <c r="G541" s="50"/>
      <c r="H541" s="50"/>
      <c r="I541" s="82"/>
      <c r="J541" s="83"/>
      <c r="K541" s="83"/>
      <c r="L541" s="84"/>
      <c r="M541" s="84"/>
      <c r="N541" s="84"/>
      <c r="O541" s="85"/>
      <c r="P541" s="84"/>
      <c r="Q541" s="84"/>
      <c r="R541" s="84"/>
      <c r="S541" s="84"/>
      <c r="T541" s="84"/>
      <c r="U541" s="84"/>
      <c r="V541" s="84"/>
      <c r="W541" s="84"/>
      <c r="X541" s="86"/>
    </row>
    <row r="542" ht="15.0" customHeight="1">
      <c r="A542" s="81"/>
      <c r="B542" s="51"/>
      <c r="C542" s="51"/>
      <c r="D542" s="50"/>
      <c r="E542" s="50"/>
      <c r="F542" s="50"/>
      <c r="G542" s="50"/>
      <c r="H542" s="50"/>
      <c r="I542" s="82"/>
      <c r="J542" s="83"/>
      <c r="K542" s="83"/>
      <c r="L542" s="84"/>
      <c r="M542" s="84"/>
      <c r="N542" s="84"/>
      <c r="O542" s="85"/>
      <c r="P542" s="84"/>
      <c r="Q542" s="84"/>
      <c r="R542" s="84"/>
      <c r="S542" s="84"/>
      <c r="T542" s="84"/>
      <c r="U542" s="84"/>
      <c r="V542" s="84"/>
      <c r="W542" s="84"/>
      <c r="X542" s="86"/>
    </row>
    <row r="543" ht="15.0" customHeight="1">
      <c r="A543" s="81"/>
      <c r="B543" s="51"/>
      <c r="C543" s="51"/>
      <c r="D543" s="50"/>
      <c r="E543" s="50"/>
      <c r="F543" s="50"/>
      <c r="G543" s="50"/>
      <c r="H543" s="50"/>
      <c r="I543" s="82"/>
      <c r="J543" s="83"/>
      <c r="K543" s="83"/>
      <c r="L543" s="84"/>
      <c r="M543" s="84"/>
      <c r="N543" s="84"/>
      <c r="O543" s="85"/>
      <c r="P543" s="84"/>
      <c r="Q543" s="84"/>
      <c r="R543" s="84"/>
      <c r="S543" s="84"/>
      <c r="T543" s="84"/>
      <c r="U543" s="84"/>
      <c r="V543" s="84"/>
      <c r="W543" s="84"/>
      <c r="X543" s="86"/>
    </row>
    <row r="544" ht="15.0" customHeight="1">
      <c r="A544" s="81"/>
      <c r="B544" s="51"/>
      <c r="C544" s="51"/>
      <c r="D544" s="50"/>
      <c r="E544" s="50"/>
      <c r="F544" s="50"/>
      <c r="G544" s="50"/>
      <c r="H544" s="50"/>
      <c r="I544" s="82"/>
      <c r="J544" s="83"/>
      <c r="K544" s="83"/>
      <c r="L544" s="84"/>
      <c r="M544" s="84"/>
      <c r="N544" s="84"/>
      <c r="O544" s="85"/>
      <c r="P544" s="84"/>
      <c r="Q544" s="84"/>
      <c r="R544" s="84"/>
      <c r="S544" s="84"/>
      <c r="T544" s="84"/>
      <c r="U544" s="84"/>
      <c r="V544" s="84"/>
      <c r="W544" s="84"/>
      <c r="X544" s="86"/>
    </row>
    <row r="545" ht="15.0" customHeight="1">
      <c r="A545" s="81"/>
      <c r="B545" s="51"/>
      <c r="C545" s="51"/>
      <c r="D545" s="50"/>
      <c r="E545" s="50"/>
      <c r="F545" s="50"/>
      <c r="G545" s="50"/>
      <c r="H545" s="50"/>
      <c r="I545" s="82"/>
      <c r="J545" s="83"/>
      <c r="K545" s="83"/>
      <c r="L545" s="84"/>
      <c r="M545" s="84"/>
      <c r="N545" s="84"/>
      <c r="O545" s="85"/>
      <c r="P545" s="84"/>
      <c r="Q545" s="84"/>
      <c r="R545" s="84"/>
      <c r="S545" s="84"/>
      <c r="T545" s="84"/>
      <c r="U545" s="84"/>
      <c r="V545" s="84"/>
      <c r="W545" s="84"/>
      <c r="X545" s="86"/>
    </row>
    <row r="546" ht="15.0" customHeight="1">
      <c r="A546" s="81"/>
      <c r="B546" s="51"/>
      <c r="C546" s="51"/>
      <c r="D546" s="50"/>
      <c r="E546" s="50"/>
      <c r="F546" s="50"/>
      <c r="G546" s="50"/>
      <c r="H546" s="50"/>
      <c r="I546" s="82"/>
      <c r="J546" s="83"/>
      <c r="K546" s="83"/>
      <c r="L546" s="84"/>
      <c r="M546" s="84"/>
      <c r="N546" s="84"/>
      <c r="O546" s="85"/>
      <c r="P546" s="84"/>
      <c r="Q546" s="84"/>
      <c r="R546" s="84"/>
      <c r="S546" s="84"/>
      <c r="T546" s="84"/>
      <c r="U546" s="84"/>
      <c r="V546" s="84"/>
      <c r="W546" s="84"/>
      <c r="X546" s="86"/>
    </row>
    <row r="547" ht="15.0" customHeight="1">
      <c r="A547" s="81"/>
      <c r="B547" s="51"/>
      <c r="C547" s="51"/>
      <c r="D547" s="50"/>
      <c r="E547" s="50"/>
      <c r="F547" s="50"/>
      <c r="G547" s="50"/>
      <c r="H547" s="50"/>
      <c r="I547" s="82"/>
      <c r="J547" s="83"/>
      <c r="K547" s="83"/>
      <c r="L547" s="84"/>
      <c r="M547" s="84"/>
      <c r="N547" s="84"/>
      <c r="O547" s="85"/>
      <c r="P547" s="84"/>
      <c r="Q547" s="84"/>
      <c r="R547" s="84"/>
      <c r="S547" s="84"/>
      <c r="T547" s="84"/>
      <c r="U547" s="84"/>
      <c r="V547" s="84"/>
      <c r="W547" s="84"/>
      <c r="X547" s="86"/>
    </row>
    <row r="548" ht="15.0" customHeight="1">
      <c r="A548" s="81"/>
      <c r="B548" s="51"/>
      <c r="C548" s="51"/>
      <c r="D548" s="50"/>
      <c r="E548" s="50"/>
      <c r="F548" s="50"/>
      <c r="G548" s="50"/>
      <c r="H548" s="50"/>
      <c r="I548" s="82"/>
      <c r="J548" s="83"/>
      <c r="K548" s="83"/>
      <c r="L548" s="84"/>
      <c r="M548" s="84"/>
      <c r="N548" s="84"/>
      <c r="O548" s="85"/>
      <c r="P548" s="84"/>
      <c r="Q548" s="84"/>
      <c r="R548" s="84"/>
      <c r="S548" s="84"/>
      <c r="T548" s="84"/>
      <c r="U548" s="84"/>
      <c r="V548" s="84"/>
      <c r="W548" s="84"/>
      <c r="X548" s="86"/>
    </row>
    <row r="549" ht="15.0" customHeight="1">
      <c r="A549" s="81"/>
      <c r="B549" s="51"/>
      <c r="C549" s="51"/>
      <c r="D549" s="50"/>
      <c r="E549" s="50"/>
      <c r="F549" s="50"/>
      <c r="G549" s="50"/>
      <c r="H549" s="50"/>
      <c r="I549" s="82"/>
      <c r="J549" s="83"/>
      <c r="K549" s="83"/>
      <c r="L549" s="84"/>
      <c r="M549" s="84"/>
      <c r="N549" s="84"/>
      <c r="O549" s="85"/>
      <c r="P549" s="84"/>
      <c r="Q549" s="84"/>
      <c r="R549" s="84"/>
      <c r="S549" s="84"/>
      <c r="T549" s="84"/>
      <c r="U549" s="84"/>
      <c r="V549" s="84"/>
      <c r="W549" s="84"/>
      <c r="X549" s="86"/>
    </row>
    <row r="550" ht="15.0" customHeight="1">
      <c r="A550" s="81"/>
      <c r="B550" s="51"/>
      <c r="C550" s="51"/>
      <c r="D550" s="50"/>
      <c r="E550" s="50"/>
      <c r="F550" s="50"/>
      <c r="G550" s="50"/>
      <c r="H550" s="50"/>
      <c r="I550" s="82"/>
      <c r="J550" s="83"/>
      <c r="K550" s="83"/>
      <c r="L550" s="84"/>
      <c r="M550" s="84"/>
      <c r="N550" s="84"/>
      <c r="O550" s="85"/>
      <c r="P550" s="84"/>
      <c r="Q550" s="84"/>
      <c r="R550" s="84"/>
      <c r="S550" s="84"/>
      <c r="T550" s="84"/>
      <c r="U550" s="84"/>
      <c r="V550" s="84"/>
      <c r="W550" s="84"/>
      <c r="X550" s="86"/>
    </row>
    <row r="551" ht="15.0" customHeight="1">
      <c r="A551" s="81"/>
      <c r="B551" s="51"/>
      <c r="C551" s="51"/>
      <c r="D551" s="50"/>
      <c r="E551" s="50"/>
      <c r="F551" s="50"/>
      <c r="G551" s="50"/>
      <c r="H551" s="50"/>
      <c r="I551" s="82"/>
      <c r="J551" s="83"/>
      <c r="K551" s="83"/>
      <c r="L551" s="84"/>
      <c r="M551" s="84"/>
      <c r="N551" s="84"/>
      <c r="O551" s="85"/>
      <c r="P551" s="84"/>
      <c r="Q551" s="84"/>
      <c r="R551" s="84"/>
      <c r="S551" s="84"/>
      <c r="T551" s="84"/>
      <c r="U551" s="84"/>
      <c r="V551" s="84"/>
      <c r="W551" s="84"/>
      <c r="X551" s="86"/>
    </row>
    <row r="552" ht="15.0" customHeight="1">
      <c r="A552" s="81"/>
      <c r="B552" s="51"/>
      <c r="C552" s="51"/>
      <c r="D552" s="50"/>
      <c r="E552" s="50"/>
      <c r="F552" s="50"/>
      <c r="G552" s="50"/>
      <c r="H552" s="50"/>
      <c r="I552" s="82"/>
      <c r="J552" s="83"/>
      <c r="K552" s="83"/>
      <c r="L552" s="84"/>
      <c r="M552" s="84"/>
      <c r="N552" s="84"/>
      <c r="O552" s="85"/>
      <c r="P552" s="84"/>
      <c r="Q552" s="84"/>
      <c r="R552" s="84"/>
      <c r="S552" s="84"/>
      <c r="T552" s="84"/>
      <c r="U552" s="84"/>
      <c r="V552" s="84"/>
      <c r="W552" s="84"/>
      <c r="X552" s="86"/>
    </row>
    <row r="553" ht="15.0" customHeight="1">
      <c r="A553" s="81"/>
      <c r="B553" s="51"/>
      <c r="C553" s="51"/>
      <c r="D553" s="50"/>
      <c r="E553" s="50"/>
      <c r="F553" s="50"/>
      <c r="G553" s="50"/>
      <c r="H553" s="50"/>
      <c r="I553" s="82"/>
      <c r="J553" s="83"/>
      <c r="K553" s="83"/>
      <c r="L553" s="84"/>
      <c r="M553" s="84"/>
      <c r="N553" s="84"/>
      <c r="O553" s="85"/>
      <c r="P553" s="84"/>
      <c r="Q553" s="84"/>
      <c r="R553" s="84"/>
      <c r="S553" s="84"/>
      <c r="T553" s="84"/>
      <c r="U553" s="84"/>
      <c r="V553" s="84"/>
      <c r="W553" s="84"/>
      <c r="X553" s="86"/>
    </row>
    <row r="554" ht="15.0" customHeight="1">
      <c r="A554" s="81"/>
      <c r="B554" s="51"/>
      <c r="C554" s="51"/>
      <c r="D554" s="50"/>
      <c r="E554" s="50"/>
      <c r="F554" s="50"/>
      <c r="G554" s="50"/>
      <c r="H554" s="50"/>
      <c r="I554" s="82"/>
      <c r="J554" s="83"/>
      <c r="K554" s="83"/>
      <c r="L554" s="84"/>
      <c r="M554" s="84"/>
      <c r="N554" s="84"/>
      <c r="O554" s="85"/>
      <c r="P554" s="84"/>
      <c r="Q554" s="84"/>
      <c r="R554" s="84"/>
      <c r="S554" s="84"/>
      <c r="T554" s="84"/>
      <c r="U554" s="84"/>
      <c r="V554" s="84"/>
      <c r="W554" s="84"/>
      <c r="X554" s="86"/>
    </row>
    <row r="555" ht="15.0" customHeight="1">
      <c r="A555" s="81"/>
      <c r="B555" s="51"/>
      <c r="C555" s="51"/>
      <c r="D555" s="50"/>
      <c r="E555" s="50"/>
      <c r="F555" s="50"/>
      <c r="G555" s="50"/>
      <c r="H555" s="50"/>
      <c r="I555" s="82"/>
      <c r="J555" s="83"/>
      <c r="K555" s="83"/>
      <c r="L555" s="84"/>
      <c r="M555" s="84"/>
      <c r="N555" s="84"/>
      <c r="O555" s="85"/>
      <c r="P555" s="84"/>
      <c r="Q555" s="84"/>
      <c r="R555" s="84"/>
      <c r="S555" s="84"/>
      <c r="T555" s="84"/>
      <c r="U555" s="84"/>
      <c r="V555" s="84"/>
      <c r="W555" s="84"/>
      <c r="X555" s="86"/>
    </row>
    <row r="556" ht="15.0" customHeight="1">
      <c r="A556" s="81"/>
      <c r="B556" s="51"/>
      <c r="C556" s="51"/>
      <c r="D556" s="50"/>
      <c r="E556" s="50"/>
      <c r="F556" s="50"/>
      <c r="G556" s="50"/>
      <c r="H556" s="50"/>
      <c r="I556" s="82"/>
      <c r="J556" s="83"/>
      <c r="K556" s="83"/>
      <c r="L556" s="84"/>
      <c r="M556" s="84"/>
      <c r="N556" s="84"/>
      <c r="O556" s="85"/>
      <c r="P556" s="84"/>
      <c r="Q556" s="84"/>
      <c r="R556" s="84"/>
      <c r="S556" s="84"/>
      <c r="T556" s="84"/>
      <c r="U556" s="84"/>
      <c r="V556" s="84"/>
      <c r="W556" s="84"/>
      <c r="X556" s="86"/>
    </row>
    <row r="557" ht="15.0" customHeight="1">
      <c r="A557" s="81"/>
      <c r="B557" s="51"/>
      <c r="C557" s="51"/>
      <c r="D557" s="50"/>
      <c r="E557" s="50"/>
      <c r="F557" s="50"/>
      <c r="G557" s="50"/>
      <c r="H557" s="50"/>
      <c r="I557" s="82"/>
      <c r="J557" s="83"/>
      <c r="K557" s="83"/>
      <c r="L557" s="84"/>
      <c r="M557" s="84"/>
      <c r="N557" s="84"/>
      <c r="O557" s="85"/>
      <c r="P557" s="84"/>
      <c r="Q557" s="84"/>
      <c r="R557" s="84"/>
      <c r="S557" s="84"/>
      <c r="T557" s="84"/>
      <c r="U557" s="84"/>
      <c r="V557" s="84"/>
      <c r="W557" s="84"/>
      <c r="X557" s="86"/>
    </row>
    <row r="558" ht="15.0" customHeight="1">
      <c r="A558" s="81"/>
      <c r="B558" s="51"/>
      <c r="C558" s="51"/>
      <c r="D558" s="50"/>
      <c r="E558" s="50"/>
      <c r="F558" s="50"/>
      <c r="G558" s="50"/>
      <c r="H558" s="50"/>
      <c r="I558" s="82"/>
      <c r="J558" s="83"/>
      <c r="K558" s="83"/>
      <c r="L558" s="84"/>
      <c r="M558" s="84"/>
      <c r="N558" s="84"/>
      <c r="O558" s="85"/>
      <c r="P558" s="84"/>
      <c r="Q558" s="84"/>
      <c r="R558" s="84"/>
      <c r="S558" s="84"/>
      <c r="T558" s="84"/>
      <c r="U558" s="84"/>
      <c r="V558" s="84"/>
      <c r="W558" s="84"/>
      <c r="X558" s="86"/>
    </row>
    <row r="559" ht="15.0" customHeight="1">
      <c r="A559" s="81"/>
      <c r="B559" s="51"/>
      <c r="C559" s="51"/>
      <c r="D559" s="50"/>
      <c r="E559" s="50"/>
      <c r="F559" s="50"/>
      <c r="G559" s="50"/>
      <c r="H559" s="50"/>
      <c r="I559" s="82"/>
      <c r="J559" s="83"/>
      <c r="K559" s="83"/>
      <c r="L559" s="84"/>
      <c r="M559" s="84"/>
      <c r="N559" s="84"/>
      <c r="O559" s="85"/>
      <c r="P559" s="84"/>
      <c r="Q559" s="84"/>
      <c r="R559" s="84"/>
      <c r="S559" s="84"/>
      <c r="T559" s="84"/>
      <c r="U559" s="84"/>
      <c r="V559" s="84"/>
      <c r="W559" s="84"/>
      <c r="X559" s="86"/>
    </row>
    <row r="560" ht="15.0" customHeight="1">
      <c r="A560" s="81"/>
      <c r="B560" s="51"/>
      <c r="C560" s="51"/>
      <c r="D560" s="50"/>
      <c r="E560" s="50"/>
      <c r="F560" s="50"/>
      <c r="G560" s="50"/>
      <c r="H560" s="50"/>
      <c r="I560" s="82"/>
      <c r="J560" s="83"/>
      <c r="K560" s="83"/>
      <c r="L560" s="84"/>
      <c r="M560" s="84"/>
      <c r="N560" s="84"/>
      <c r="O560" s="85"/>
      <c r="P560" s="84"/>
      <c r="Q560" s="84"/>
      <c r="R560" s="84"/>
      <c r="S560" s="84"/>
      <c r="T560" s="84"/>
      <c r="U560" s="84"/>
      <c r="V560" s="84"/>
      <c r="W560" s="84"/>
      <c r="X560" s="86"/>
    </row>
    <row r="561" ht="15.0" customHeight="1">
      <c r="A561" s="81"/>
      <c r="B561" s="51"/>
      <c r="C561" s="51"/>
      <c r="D561" s="50"/>
      <c r="E561" s="50"/>
      <c r="F561" s="50"/>
      <c r="G561" s="50"/>
      <c r="H561" s="50"/>
      <c r="I561" s="82"/>
      <c r="J561" s="83"/>
      <c r="K561" s="83"/>
      <c r="L561" s="84"/>
      <c r="M561" s="84"/>
      <c r="N561" s="84"/>
      <c r="O561" s="85"/>
      <c r="P561" s="84"/>
      <c r="Q561" s="84"/>
      <c r="R561" s="84"/>
      <c r="S561" s="84"/>
      <c r="T561" s="84"/>
      <c r="U561" s="84"/>
      <c r="V561" s="84"/>
      <c r="W561" s="84"/>
      <c r="X561" s="86"/>
    </row>
    <row r="562" ht="15.0" customHeight="1">
      <c r="A562" s="81"/>
      <c r="B562" s="51"/>
      <c r="C562" s="51"/>
      <c r="D562" s="50"/>
      <c r="E562" s="50"/>
      <c r="F562" s="50"/>
      <c r="G562" s="50"/>
      <c r="H562" s="50"/>
      <c r="I562" s="82"/>
      <c r="J562" s="83"/>
      <c r="K562" s="83"/>
      <c r="L562" s="84"/>
      <c r="M562" s="84"/>
      <c r="N562" s="84"/>
      <c r="O562" s="85"/>
      <c r="P562" s="84"/>
      <c r="Q562" s="84"/>
      <c r="R562" s="84"/>
      <c r="S562" s="84"/>
      <c r="T562" s="84"/>
      <c r="U562" s="84"/>
      <c r="V562" s="84"/>
      <c r="W562" s="84"/>
      <c r="X562" s="86"/>
    </row>
    <row r="563" ht="15.0" customHeight="1">
      <c r="A563" s="81"/>
      <c r="B563" s="51"/>
      <c r="C563" s="51"/>
      <c r="D563" s="50"/>
      <c r="E563" s="50"/>
      <c r="F563" s="50"/>
      <c r="G563" s="50"/>
      <c r="H563" s="50"/>
      <c r="I563" s="82"/>
      <c r="J563" s="83"/>
      <c r="K563" s="83"/>
      <c r="L563" s="84"/>
      <c r="M563" s="84"/>
      <c r="N563" s="84"/>
      <c r="O563" s="85"/>
      <c r="P563" s="84"/>
      <c r="Q563" s="84"/>
      <c r="R563" s="84"/>
      <c r="S563" s="84"/>
      <c r="T563" s="84"/>
      <c r="U563" s="84"/>
      <c r="V563" s="84"/>
      <c r="W563" s="84"/>
      <c r="X563" s="86"/>
    </row>
    <row r="564" ht="15.0" customHeight="1">
      <c r="A564" s="81"/>
      <c r="B564" s="51"/>
      <c r="C564" s="51"/>
      <c r="D564" s="50"/>
      <c r="E564" s="50"/>
      <c r="F564" s="50"/>
      <c r="G564" s="50"/>
      <c r="H564" s="50"/>
      <c r="I564" s="82"/>
      <c r="J564" s="83"/>
      <c r="K564" s="83"/>
      <c r="L564" s="84"/>
      <c r="M564" s="84"/>
      <c r="N564" s="84"/>
      <c r="O564" s="85"/>
      <c r="P564" s="84"/>
      <c r="Q564" s="84"/>
      <c r="R564" s="84"/>
      <c r="S564" s="84"/>
      <c r="T564" s="84"/>
      <c r="U564" s="84"/>
      <c r="V564" s="84"/>
      <c r="W564" s="84"/>
      <c r="X564" s="86"/>
    </row>
    <row r="565" ht="15.0" customHeight="1">
      <c r="A565" s="81"/>
      <c r="B565" s="51"/>
      <c r="C565" s="51"/>
      <c r="D565" s="50"/>
      <c r="E565" s="50"/>
      <c r="F565" s="50"/>
      <c r="G565" s="50"/>
      <c r="H565" s="50"/>
      <c r="I565" s="82"/>
      <c r="J565" s="83"/>
      <c r="K565" s="83"/>
      <c r="L565" s="84"/>
      <c r="M565" s="84"/>
      <c r="N565" s="84"/>
      <c r="O565" s="85"/>
      <c r="P565" s="84"/>
      <c r="Q565" s="84"/>
      <c r="R565" s="84"/>
      <c r="S565" s="84"/>
      <c r="T565" s="84"/>
      <c r="U565" s="84"/>
      <c r="V565" s="84"/>
      <c r="W565" s="84"/>
      <c r="X565" s="86"/>
    </row>
    <row r="566" ht="15.0" customHeight="1">
      <c r="A566" s="81"/>
      <c r="B566" s="51"/>
      <c r="C566" s="51"/>
      <c r="D566" s="50"/>
      <c r="E566" s="50"/>
      <c r="F566" s="50"/>
      <c r="G566" s="50"/>
      <c r="H566" s="50"/>
      <c r="I566" s="82"/>
      <c r="J566" s="83"/>
      <c r="K566" s="83"/>
      <c r="L566" s="84"/>
      <c r="M566" s="84"/>
      <c r="N566" s="84"/>
      <c r="O566" s="85"/>
      <c r="P566" s="84"/>
      <c r="Q566" s="84"/>
      <c r="R566" s="84"/>
      <c r="S566" s="84"/>
      <c r="T566" s="84"/>
      <c r="U566" s="84"/>
      <c r="V566" s="84"/>
      <c r="W566" s="84"/>
      <c r="X566" s="86"/>
    </row>
    <row r="567" ht="15.0" customHeight="1">
      <c r="A567" s="81"/>
      <c r="B567" s="51"/>
      <c r="C567" s="51"/>
      <c r="D567" s="50"/>
      <c r="E567" s="50"/>
      <c r="F567" s="50"/>
      <c r="G567" s="50"/>
      <c r="H567" s="50"/>
      <c r="I567" s="82"/>
      <c r="J567" s="83"/>
      <c r="K567" s="83"/>
      <c r="L567" s="84"/>
      <c r="M567" s="84"/>
      <c r="N567" s="84"/>
      <c r="O567" s="85"/>
      <c r="P567" s="84"/>
      <c r="Q567" s="84"/>
      <c r="R567" s="84"/>
      <c r="S567" s="84"/>
      <c r="T567" s="84"/>
      <c r="U567" s="84"/>
      <c r="V567" s="84"/>
      <c r="W567" s="84"/>
      <c r="X567" s="86"/>
    </row>
    <row r="568" ht="15.0" customHeight="1">
      <c r="A568" s="81"/>
      <c r="B568" s="51"/>
      <c r="C568" s="51"/>
      <c r="D568" s="50"/>
      <c r="E568" s="50"/>
      <c r="F568" s="50"/>
      <c r="G568" s="50"/>
      <c r="H568" s="50"/>
      <c r="I568" s="82"/>
      <c r="J568" s="83"/>
      <c r="K568" s="83"/>
      <c r="L568" s="84"/>
      <c r="M568" s="84"/>
      <c r="N568" s="84"/>
      <c r="O568" s="85"/>
      <c r="P568" s="84"/>
      <c r="Q568" s="84"/>
      <c r="R568" s="84"/>
      <c r="S568" s="84"/>
      <c r="T568" s="84"/>
      <c r="U568" s="84"/>
      <c r="V568" s="84"/>
      <c r="W568" s="84"/>
      <c r="X568" s="86"/>
    </row>
    <row r="569" ht="15.0" customHeight="1">
      <c r="A569" s="81"/>
      <c r="B569" s="51"/>
      <c r="C569" s="51"/>
      <c r="D569" s="50"/>
      <c r="E569" s="50"/>
      <c r="F569" s="50"/>
      <c r="G569" s="50"/>
      <c r="H569" s="50"/>
      <c r="I569" s="82"/>
      <c r="J569" s="83"/>
      <c r="K569" s="83"/>
      <c r="L569" s="84"/>
      <c r="M569" s="84"/>
      <c r="N569" s="84"/>
      <c r="O569" s="85"/>
      <c r="P569" s="84"/>
      <c r="Q569" s="84"/>
      <c r="R569" s="84"/>
      <c r="S569" s="84"/>
      <c r="T569" s="84"/>
      <c r="U569" s="84"/>
      <c r="V569" s="84"/>
      <c r="W569" s="84"/>
      <c r="X569" s="86"/>
    </row>
    <row r="570" ht="15.0" customHeight="1">
      <c r="A570" s="81"/>
      <c r="B570" s="51"/>
      <c r="C570" s="51"/>
      <c r="D570" s="50"/>
      <c r="E570" s="50"/>
      <c r="F570" s="50"/>
      <c r="G570" s="50"/>
      <c r="H570" s="50"/>
      <c r="I570" s="82"/>
      <c r="J570" s="83"/>
      <c r="K570" s="83"/>
      <c r="L570" s="84"/>
      <c r="M570" s="84"/>
      <c r="N570" s="84"/>
      <c r="O570" s="85"/>
      <c r="P570" s="84"/>
      <c r="Q570" s="84"/>
      <c r="R570" s="84"/>
      <c r="S570" s="84"/>
      <c r="T570" s="84"/>
      <c r="U570" s="84"/>
      <c r="V570" s="84"/>
      <c r="W570" s="84"/>
      <c r="X570" s="86"/>
    </row>
    <row r="571" ht="15.0" customHeight="1">
      <c r="A571" s="81"/>
      <c r="B571" s="51"/>
      <c r="C571" s="51"/>
      <c r="D571" s="50"/>
      <c r="E571" s="50"/>
      <c r="F571" s="50"/>
      <c r="G571" s="50"/>
      <c r="H571" s="50"/>
      <c r="I571" s="82"/>
      <c r="J571" s="83"/>
      <c r="K571" s="83"/>
      <c r="L571" s="84"/>
      <c r="M571" s="84"/>
      <c r="N571" s="84"/>
      <c r="O571" s="85"/>
      <c r="P571" s="84"/>
      <c r="Q571" s="84"/>
      <c r="R571" s="84"/>
      <c r="S571" s="84"/>
      <c r="T571" s="84"/>
      <c r="U571" s="84"/>
      <c r="V571" s="84"/>
      <c r="W571" s="84"/>
      <c r="X571" s="86"/>
    </row>
    <row r="572" ht="15.0" customHeight="1">
      <c r="A572" s="81"/>
      <c r="B572" s="51"/>
      <c r="C572" s="51"/>
      <c r="D572" s="50"/>
      <c r="E572" s="50"/>
      <c r="F572" s="50"/>
      <c r="G572" s="50"/>
      <c r="H572" s="50"/>
      <c r="I572" s="82"/>
      <c r="J572" s="83"/>
      <c r="K572" s="83"/>
      <c r="L572" s="84"/>
      <c r="M572" s="84"/>
      <c r="N572" s="84"/>
      <c r="O572" s="85"/>
      <c r="P572" s="84"/>
      <c r="Q572" s="84"/>
      <c r="R572" s="84"/>
      <c r="S572" s="84"/>
      <c r="T572" s="84"/>
      <c r="U572" s="84"/>
      <c r="V572" s="84"/>
      <c r="W572" s="84"/>
      <c r="X572" s="86"/>
    </row>
    <row r="573" ht="15.0" customHeight="1">
      <c r="A573" s="81"/>
      <c r="B573" s="51"/>
      <c r="C573" s="51"/>
      <c r="D573" s="50"/>
      <c r="E573" s="50"/>
      <c r="F573" s="50"/>
      <c r="G573" s="50"/>
      <c r="H573" s="50"/>
      <c r="I573" s="82"/>
      <c r="J573" s="83"/>
      <c r="K573" s="83"/>
      <c r="L573" s="84"/>
      <c r="M573" s="84"/>
      <c r="N573" s="84"/>
      <c r="O573" s="85"/>
      <c r="P573" s="84"/>
      <c r="Q573" s="84"/>
      <c r="R573" s="84"/>
      <c r="S573" s="84"/>
      <c r="T573" s="84"/>
      <c r="U573" s="84"/>
      <c r="V573" s="84"/>
      <c r="W573" s="84"/>
      <c r="X573" s="86"/>
    </row>
    <row r="574" ht="15.0" customHeight="1">
      <c r="A574" s="81"/>
      <c r="B574" s="51"/>
      <c r="C574" s="51"/>
      <c r="D574" s="50"/>
      <c r="E574" s="50"/>
      <c r="F574" s="50"/>
      <c r="G574" s="50"/>
      <c r="H574" s="50"/>
      <c r="I574" s="82"/>
      <c r="J574" s="83"/>
      <c r="K574" s="83"/>
      <c r="L574" s="84"/>
      <c r="M574" s="84"/>
      <c r="N574" s="84"/>
      <c r="O574" s="85"/>
      <c r="P574" s="84"/>
      <c r="Q574" s="84"/>
      <c r="R574" s="84"/>
      <c r="S574" s="84"/>
      <c r="T574" s="84"/>
      <c r="U574" s="84"/>
      <c r="V574" s="84"/>
      <c r="W574" s="84"/>
      <c r="X574" s="86"/>
    </row>
    <row r="575" ht="15.0" customHeight="1">
      <c r="A575" s="81"/>
      <c r="B575" s="51"/>
      <c r="C575" s="51"/>
      <c r="D575" s="50"/>
      <c r="E575" s="50"/>
      <c r="F575" s="50"/>
      <c r="G575" s="50"/>
      <c r="H575" s="50"/>
      <c r="I575" s="82"/>
      <c r="J575" s="83"/>
      <c r="K575" s="83"/>
      <c r="L575" s="84"/>
      <c r="M575" s="84"/>
      <c r="N575" s="84"/>
      <c r="O575" s="85"/>
      <c r="P575" s="84"/>
      <c r="Q575" s="84"/>
      <c r="R575" s="84"/>
      <c r="S575" s="84"/>
      <c r="T575" s="84"/>
      <c r="U575" s="84"/>
      <c r="V575" s="84"/>
      <c r="W575" s="84"/>
      <c r="X575" s="86"/>
    </row>
    <row r="576" ht="15.0" customHeight="1">
      <c r="A576" s="81"/>
      <c r="B576" s="51"/>
      <c r="C576" s="51"/>
      <c r="D576" s="50"/>
      <c r="E576" s="50"/>
      <c r="F576" s="50"/>
      <c r="G576" s="50"/>
      <c r="H576" s="50"/>
      <c r="I576" s="82"/>
      <c r="J576" s="83"/>
      <c r="K576" s="83"/>
      <c r="L576" s="84"/>
      <c r="M576" s="84"/>
      <c r="N576" s="84"/>
      <c r="O576" s="85"/>
      <c r="P576" s="84"/>
      <c r="Q576" s="84"/>
      <c r="R576" s="84"/>
      <c r="S576" s="84"/>
      <c r="T576" s="84"/>
      <c r="U576" s="84"/>
      <c r="V576" s="84"/>
      <c r="W576" s="84"/>
      <c r="X576" s="86"/>
    </row>
    <row r="577" ht="15.0" customHeight="1">
      <c r="A577" s="81"/>
      <c r="B577" s="51"/>
      <c r="C577" s="51"/>
      <c r="D577" s="50"/>
      <c r="E577" s="50"/>
      <c r="F577" s="50"/>
      <c r="G577" s="50"/>
      <c r="H577" s="50"/>
      <c r="I577" s="82"/>
      <c r="J577" s="83"/>
      <c r="K577" s="83"/>
      <c r="L577" s="84"/>
      <c r="M577" s="84"/>
      <c r="N577" s="84"/>
      <c r="O577" s="85"/>
      <c r="P577" s="84"/>
      <c r="Q577" s="84"/>
      <c r="R577" s="84"/>
      <c r="S577" s="84"/>
      <c r="T577" s="84"/>
      <c r="U577" s="84"/>
      <c r="V577" s="84"/>
      <c r="W577" s="84"/>
      <c r="X577" s="86"/>
    </row>
    <row r="578" ht="15.0" customHeight="1">
      <c r="A578" s="81"/>
      <c r="B578" s="51"/>
      <c r="C578" s="51"/>
      <c r="D578" s="50"/>
      <c r="E578" s="50"/>
      <c r="F578" s="50"/>
      <c r="G578" s="50"/>
      <c r="H578" s="50"/>
      <c r="I578" s="82"/>
      <c r="J578" s="83"/>
      <c r="K578" s="83"/>
      <c r="L578" s="84"/>
      <c r="M578" s="84"/>
      <c r="N578" s="84"/>
      <c r="O578" s="85"/>
      <c r="P578" s="84"/>
      <c r="Q578" s="84"/>
      <c r="R578" s="84"/>
      <c r="S578" s="84"/>
      <c r="T578" s="84"/>
      <c r="U578" s="84"/>
      <c r="V578" s="84"/>
      <c r="W578" s="84"/>
      <c r="X578" s="86"/>
    </row>
    <row r="579" ht="15.0" customHeight="1">
      <c r="A579" s="81"/>
      <c r="B579" s="51"/>
      <c r="C579" s="51"/>
      <c r="D579" s="50"/>
      <c r="E579" s="50"/>
      <c r="F579" s="50"/>
      <c r="G579" s="50"/>
      <c r="H579" s="50"/>
      <c r="I579" s="82"/>
      <c r="J579" s="83"/>
      <c r="K579" s="83"/>
      <c r="L579" s="84"/>
      <c r="M579" s="84"/>
      <c r="N579" s="84"/>
      <c r="O579" s="85"/>
      <c r="P579" s="84"/>
      <c r="Q579" s="84"/>
      <c r="R579" s="84"/>
      <c r="S579" s="84"/>
      <c r="T579" s="84"/>
      <c r="U579" s="84"/>
      <c r="V579" s="84"/>
      <c r="W579" s="84"/>
      <c r="X579" s="86"/>
    </row>
    <row r="580" ht="15.0" customHeight="1">
      <c r="A580" s="81"/>
      <c r="B580" s="51"/>
      <c r="C580" s="51"/>
      <c r="D580" s="50"/>
      <c r="E580" s="50"/>
      <c r="F580" s="50"/>
      <c r="G580" s="50"/>
      <c r="H580" s="50"/>
      <c r="I580" s="82"/>
      <c r="J580" s="83"/>
      <c r="K580" s="83"/>
      <c r="L580" s="84"/>
      <c r="M580" s="84"/>
      <c r="N580" s="84"/>
      <c r="O580" s="85"/>
      <c r="P580" s="84"/>
      <c r="Q580" s="84"/>
      <c r="R580" s="84"/>
      <c r="S580" s="84"/>
      <c r="T580" s="84"/>
      <c r="U580" s="84"/>
      <c r="V580" s="84"/>
      <c r="W580" s="84"/>
      <c r="X580" s="86"/>
    </row>
    <row r="581" ht="15.0" customHeight="1">
      <c r="A581" s="81"/>
      <c r="B581" s="51"/>
      <c r="C581" s="51"/>
      <c r="D581" s="50"/>
      <c r="E581" s="50"/>
      <c r="F581" s="50"/>
      <c r="G581" s="50"/>
      <c r="H581" s="50"/>
      <c r="I581" s="82"/>
      <c r="J581" s="83"/>
      <c r="K581" s="83"/>
      <c r="L581" s="84"/>
      <c r="M581" s="84"/>
      <c r="N581" s="84"/>
      <c r="O581" s="85"/>
      <c r="P581" s="84"/>
      <c r="Q581" s="84"/>
      <c r="R581" s="84"/>
      <c r="S581" s="84"/>
      <c r="T581" s="84"/>
      <c r="U581" s="84"/>
      <c r="V581" s="84"/>
      <c r="W581" s="84"/>
      <c r="X581" s="86"/>
    </row>
    <row r="582" ht="15.0" customHeight="1">
      <c r="A582" s="81"/>
      <c r="B582" s="51"/>
      <c r="C582" s="51"/>
      <c r="D582" s="50"/>
      <c r="E582" s="50"/>
      <c r="F582" s="50"/>
      <c r="G582" s="50"/>
      <c r="H582" s="50"/>
      <c r="I582" s="82"/>
      <c r="J582" s="83"/>
      <c r="K582" s="83"/>
      <c r="L582" s="84"/>
      <c r="M582" s="84"/>
      <c r="N582" s="84"/>
      <c r="O582" s="85"/>
      <c r="P582" s="84"/>
      <c r="Q582" s="84"/>
      <c r="R582" s="84"/>
      <c r="S582" s="84"/>
      <c r="T582" s="84"/>
      <c r="U582" s="84"/>
      <c r="V582" s="84"/>
      <c r="W582" s="84"/>
      <c r="X582" s="86"/>
    </row>
    <row r="583" ht="15.0" customHeight="1">
      <c r="A583" s="81"/>
      <c r="B583" s="51"/>
      <c r="C583" s="51"/>
      <c r="D583" s="50"/>
      <c r="E583" s="50"/>
      <c r="F583" s="50"/>
      <c r="G583" s="50"/>
      <c r="H583" s="50"/>
      <c r="I583" s="82"/>
      <c r="J583" s="83"/>
      <c r="K583" s="83"/>
      <c r="L583" s="84"/>
      <c r="M583" s="84"/>
      <c r="N583" s="84"/>
      <c r="O583" s="85"/>
      <c r="P583" s="84"/>
      <c r="Q583" s="84"/>
      <c r="R583" s="84"/>
      <c r="S583" s="84"/>
      <c r="T583" s="84"/>
      <c r="U583" s="84"/>
      <c r="V583" s="84"/>
      <c r="W583" s="84"/>
      <c r="X583" s="86"/>
    </row>
    <row r="584" ht="15.0" customHeight="1">
      <c r="A584" s="81"/>
      <c r="B584" s="51"/>
      <c r="C584" s="51"/>
      <c r="D584" s="50"/>
      <c r="E584" s="50"/>
      <c r="F584" s="50"/>
      <c r="G584" s="50"/>
      <c r="H584" s="50"/>
      <c r="I584" s="82"/>
      <c r="J584" s="83"/>
      <c r="K584" s="83"/>
      <c r="L584" s="84"/>
      <c r="M584" s="84"/>
      <c r="N584" s="84"/>
      <c r="O584" s="85"/>
      <c r="P584" s="84"/>
      <c r="Q584" s="84"/>
      <c r="R584" s="84"/>
      <c r="S584" s="84"/>
      <c r="T584" s="84"/>
      <c r="U584" s="84"/>
      <c r="V584" s="84"/>
      <c r="W584" s="84"/>
      <c r="X584" s="86"/>
    </row>
    <row r="585" ht="15.0" customHeight="1">
      <c r="A585" s="81"/>
      <c r="B585" s="51"/>
      <c r="C585" s="51"/>
      <c r="D585" s="50"/>
      <c r="E585" s="50"/>
      <c r="F585" s="50"/>
      <c r="G585" s="50"/>
      <c r="H585" s="50"/>
      <c r="I585" s="82"/>
      <c r="J585" s="83"/>
      <c r="K585" s="83"/>
      <c r="L585" s="84"/>
      <c r="M585" s="84"/>
      <c r="N585" s="84"/>
      <c r="O585" s="85"/>
      <c r="P585" s="84"/>
      <c r="Q585" s="84"/>
      <c r="R585" s="84"/>
      <c r="S585" s="84"/>
      <c r="T585" s="84"/>
      <c r="U585" s="84"/>
      <c r="V585" s="84"/>
      <c r="W585" s="84"/>
      <c r="X585" s="86"/>
    </row>
    <row r="586" ht="15.0" customHeight="1">
      <c r="A586" s="81"/>
      <c r="B586" s="51"/>
      <c r="C586" s="51"/>
      <c r="D586" s="50"/>
      <c r="E586" s="50"/>
      <c r="F586" s="50"/>
      <c r="G586" s="50"/>
      <c r="H586" s="50"/>
      <c r="I586" s="82"/>
      <c r="J586" s="83"/>
      <c r="K586" s="83"/>
      <c r="L586" s="84"/>
      <c r="M586" s="84"/>
      <c r="N586" s="84"/>
      <c r="O586" s="85"/>
      <c r="P586" s="84"/>
      <c r="Q586" s="84"/>
      <c r="R586" s="84"/>
      <c r="S586" s="84"/>
      <c r="T586" s="84"/>
      <c r="U586" s="84"/>
      <c r="V586" s="84"/>
      <c r="W586" s="84"/>
      <c r="X586" s="86"/>
    </row>
    <row r="587" ht="15.0" customHeight="1">
      <c r="A587" s="81"/>
      <c r="B587" s="51"/>
      <c r="C587" s="51"/>
      <c r="D587" s="50"/>
      <c r="E587" s="50"/>
      <c r="F587" s="50"/>
      <c r="G587" s="50"/>
      <c r="H587" s="50"/>
      <c r="I587" s="82"/>
      <c r="J587" s="83"/>
      <c r="K587" s="83"/>
      <c r="L587" s="84"/>
      <c r="M587" s="84"/>
      <c r="N587" s="84"/>
      <c r="O587" s="85"/>
      <c r="P587" s="84"/>
      <c r="Q587" s="84"/>
      <c r="R587" s="84"/>
      <c r="S587" s="84"/>
      <c r="T587" s="84"/>
      <c r="U587" s="84"/>
      <c r="V587" s="84"/>
      <c r="W587" s="84"/>
      <c r="X587" s="86"/>
    </row>
    <row r="588" ht="15.0" customHeight="1">
      <c r="A588" s="81"/>
      <c r="B588" s="51"/>
      <c r="C588" s="51"/>
      <c r="D588" s="50"/>
      <c r="E588" s="50"/>
      <c r="F588" s="50"/>
      <c r="G588" s="50"/>
      <c r="H588" s="50"/>
      <c r="I588" s="82"/>
      <c r="J588" s="83"/>
      <c r="K588" s="83"/>
      <c r="L588" s="84"/>
      <c r="M588" s="84"/>
      <c r="N588" s="84"/>
      <c r="O588" s="85"/>
      <c r="P588" s="84"/>
      <c r="Q588" s="84"/>
      <c r="R588" s="84"/>
      <c r="S588" s="84"/>
      <c r="T588" s="84"/>
      <c r="U588" s="84"/>
      <c r="V588" s="84"/>
      <c r="W588" s="84"/>
      <c r="X588" s="86"/>
    </row>
    <row r="589" ht="15.0" customHeight="1">
      <c r="A589" s="81"/>
      <c r="B589" s="51"/>
      <c r="C589" s="51"/>
      <c r="D589" s="50"/>
      <c r="E589" s="50"/>
      <c r="F589" s="50"/>
      <c r="G589" s="50"/>
      <c r="H589" s="50"/>
      <c r="I589" s="82"/>
      <c r="J589" s="83"/>
      <c r="K589" s="83"/>
      <c r="L589" s="84"/>
      <c r="M589" s="84"/>
      <c r="N589" s="84"/>
      <c r="O589" s="85"/>
      <c r="P589" s="84"/>
      <c r="Q589" s="84"/>
      <c r="R589" s="84"/>
      <c r="S589" s="84"/>
      <c r="T589" s="84"/>
      <c r="U589" s="84"/>
      <c r="V589" s="84"/>
      <c r="W589" s="84"/>
      <c r="X589" s="86"/>
    </row>
    <row r="590" ht="15.0" customHeight="1">
      <c r="A590" s="81"/>
      <c r="B590" s="51"/>
      <c r="C590" s="51"/>
      <c r="D590" s="50"/>
      <c r="E590" s="50"/>
      <c r="F590" s="50"/>
      <c r="G590" s="50"/>
      <c r="H590" s="50"/>
      <c r="I590" s="82"/>
      <c r="J590" s="83"/>
      <c r="K590" s="83"/>
      <c r="L590" s="84"/>
      <c r="M590" s="84"/>
      <c r="N590" s="84"/>
      <c r="O590" s="85"/>
      <c r="P590" s="84"/>
      <c r="Q590" s="84"/>
      <c r="R590" s="84"/>
      <c r="S590" s="84"/>
      <c r="T590" s="84"/>
      <c r="U590" s="84"/>
      <c r="V590" s="84"/>
      <c r="W590" s="84"/>
      <c r="X590" s="86"/>
    </row>
    <row r="591" ht="15.0" customHeight="1">
      <c r="A591" s="81"/>
      <c r="B591" s="51"/>
      <c r="C591" s="51"/>
      <c r="D591" s="50"/>
      <c r="E591" s="50"/>
      <c r="F591" s="50"/>
      <c r="G591" s="50"/>
      <c r="H591" s="50"/>
      <c r="I591" s="82"/>
      <c r="J591" s="83"/>
      <c r="K591" s="83"/>
      <c r="L591" s="84"/>
      <c r="M591" s="84"/>
      <c r="N591" s="84"/>
      <c r="O591" s="85"/>
      <c r="P591" s="84"/>
      <c r="Q591" s="84"/>
      <c r="R591" s="84"/>
      <c r="S591" s="84"/>
      <c r="T591" s="84"/>
      <c r="U591" s="84"/>
      <c r="V591" s="84"/>
      <c r="W591" s="84"/>
      <c r="X591" s="86"/>
    </row>
    <row r="592" ht="15.0" customHeight="1">
      <c r="A592" s="81"/>
      <c r="B592" s="51"/>
      <c r="C592" s="51"/>
      <c r="D592" s="50"/>
      <c r="E592" s="50"/>
      <c r="F592" s="50"/>
      <c r="G592" s="50"/>
      <c r="H592" s="50"/>
      <c r="I592" s="82"/>
      <c r="J592" s="83"/>
      <c r="K592" s="83"/>
      <c r="L592" s="84"/>
      <c r="M592" s="84"/>
      <c r="N592" s="84"/>
      <c r="O592" s="85"/>
      <c r="P592" s="84"/>
      <c r="Q592" s="84"/>
      <c r="R592" s="84"/>
      <c r="S592" s="84"/>
      <c r="T592" s="84"/>
      <c r="U592" s="84"/>
      <c r="V592" s="84"/>
      <c r="W592" s="84"/>
      <c r="X592" s="86"/>
    </row>
    <row r="593" ht="15.0" customHeight="1">
      <c r="A593" s="81"/>
      <c r="B593" s="51"/>
      <c r="C593" s="51"/>
      <c r="D593" s="50"/>
      <c r="E593" s="50"/>
      <c r="F593" s="50"/>
      <c r="G593" s="50"/>
      <c r="H593" s="50"/>
      <c r="I593" s="82"/>
      <c r="J593" s="83"/>
      <c r="K593" s="83"/>
      <c r="L593" s="84"/>
      <c r="M593" s="84"/>
      <c r="N593" s="84"/>
      <c r="O593" s="85"/>
      <c r="P593" s="84"/>
      <c r="Q593" s="84"/>
      <c r="R593" s="84"/>
      <c r="S593" s="84"/>
      <c r="T593" s="84"/>
      <c r="U593" s="84"/>
      <c r="V593" s="84"/>
      <c r="W593" s="84"/>
      <c r="X593" s="86"/>
    </row>
    <row r="594" ht="15.0" customHeight="1">
      <c r="A594" s="81"/>
      <c r="B594" s="51"/>
      <c r="C594" s="51"/>
      <c r="D594" s="50"/>
      <c r="E594" s="50"/>
      <c r="F594" s="50"/>
      <c r="G594" s="50"/>
      <c r="H594" s="50"/>
      <c r="I594" s="82"/>
      <c r="J594" s="83"/>
      <c r="K594" s="83"/>
      <c r="L594" s="84"/>
      <c r="M594" s="84"/>
      <c r="N594" s="84"/>
      <c r="O594" s="85"/>
      <c r="P594" s="84"/>
      <c r="Q594" s="84"/>
      <c r="R594" s="84"/>
      <c r="S594" s="84"/>
      <c r="T594" s="84"/>
      <c r="U594" s="84"/>
      <c r="V594" s="84"/>
      <c r="W594" s="84"/>
      <c r="X594" s="86"/>
    </row>
    <row r="595" ht="15.0" customHeight="1">
      <c r="A595" s="81"/>
      <c r="B595" s="51"/>
      <c r="C595" s="51"/>
      <c r="D595" s="50"/>
      <c r="E595" s="50"/>
      <c r="F595" s="50"/>
      <c r="G595" s="50"/>
      <c r="H595" s="50"/>
      <c r="I595" s="82"/>
      <c r="J595" s="83"/>
      <c r="K595" s="83"/>
      <c r="L595" s="84"/>
      <c r="M595" s="84"/>
      <c r="N595" s="84"/>
      <c r="O595" s="85"/>
      <c r="P595" s="84"/>
      <c r="Q595" s="84"/>
      <c r="R595" s="84"/>
      <c r="S595" s="84"/>
      <c r="T595" s="84"/>
      <c r="U595" s="84"/>
      <c r="V595" s="84"/>
      <c r="W595" s="84"/>
      <c r="X595" s="86"/>
    </row>
    <row r="596" ht="15.0" customHeight="1">
      <c r="A596" s="81"/>
      <c r="B596" s="51"/>
      <c r="C596" s="51"/>
      <c r="D596" s="50"/>
      <c r="E596" s="50"/>
      <c r="F596" s="50"/>
      <c r="G596" s="50"/>
      <c r="H596" s="50"/>
      <c r="I596" s="82"/>
      <c r="J596" s="83"/>
      <c r="K596" s="83"/>
      <c r="L596" s="84"/>
      <c r="M596" s="84"/>
      <c r="N596" s="84"/>
      <c r="O596" s="85"/>
      <c r="P596" s="84"/>
      <c r="Q596" s="84"/>
      <c r="R596" s="84"/>
      <c r="S596" s="84"/>
      <c r="T596" s="84"/>
      <c r="U596" s="84"/>
      <c r="V596" s="84"/>
      <c r="W596" s="84"/>
      <c r="X596" s="86"/>
    </row>
    <row r="597" ht="15.0" customHeight="1">
      <c r="A597" s="81"/>
      <c r="B597" s="51"/>
      <c r="C597" s="51"/>
      <c r="D597" s="50"/>
      <c r="E597" s="50"/>
      <c r="F597" s="50"/>
      <c r="G597" s="50"/>
      <c r="H597" s="50"/>
      <c r="I597" s="82"/>
      <c r="J597" s="83"/>
      <c r="K597" s="83"/>
      <c r="L597" s="84"/>
      <c r="M597" s="84"/>
      <c r="N597" s="84"/>
      <c r="O597" s="85"/>
      <c r="P597" s="84"/>
      <c r="Q597" s="84"/>
      <c r="R597" s="84"/>
      <c r="S597" s="84"/>
      <c r="T597" s="84"/>
      <c r="U597" s="84"/>
      <c r="V597" s="84"/>
      <c r="W597" s="84"/>
      <c r="X597" s="86"/>
    </row>
    <row r="598" ht="15.0" customHeight="1">
      <c r="A598" s="81"/>
      <c r="B598" s="51"/>
      <c r="C598" s="51"/>
      <c r="D598" s="50"/>
      <c r="E598" s="50"/>
      <c r="F598" s="50"/>
      <c r="G598" s="50"/>
      <c r="H598" s="50"/>
      <c r="I598" s="82"/>
      <c r="J598" s="83"/>
      <c r="K598" s="83"/>
      <c r="L598" s="84"/>
      <c r="M598" s="84"/>
      <c r="N598" s="84"/>
      <c r="O598" s="85"/>
      <c r="P598" s="84"/>
      <c r="Q598" s="84"/>
      <c r="R598" s="84"/>
      <c r="S598" s="84"/>
      <c r="T598" s="84"/>
      <c r="U598" s="84"/>
      <c r="V598" s="84"/>
      <c r="W598" s="84"/>
      <c r="X598" s="86"/>
    </row>
    <row r="599" ht="15.0" customHeight="1">
      <c r="A599" s="81"/>
      <c r="B599" s="51"/>
      <c r="C599" s="51"/>
      <c r="D599" s="50"/>
      <c r="E599" s="50"/>
      <c r="F599" s="50"/>
      <c r="G599" s="50"/>
      <c r="H599" s="50"/>
      <c r="I599" s="82"/>
      <c r="J599" s="83"/>
      <c r="K599" s="83"/>
      <c r="L599" s="84"/>
      <c r="M599" s="84"/>
      <c r="N599" s="84"/>
      <c r="O599" s="85"/>
      <c r="P599" s="84"/>
      <c r="Q599" s="84"/>
      <c r="R599" s="84"/>
      <c r="S599" s="84"/>
      <c r="T599" s="84"/>
      <c r="U599" s="84"/>
      <c r="V599" s="84"/>
      <c r="W599" s="84"/>
      <c r="X599" s="86"/>
    </row>
    <row r="600" ht="15.0" customHeight="1">
      <c r="A600" s="81"/>
      <c r="B600" s="51"/>
      <c r="C600" s="51"/>
      <c r="D600" s="50"/>
      <c r="E600" s="50"/>
      <c r="F600" s="50"/>
      <c r="G600" s="50"/>
      <c r="H600" s="50"/>
      <c r="I600" s="82"/>
      <c r="J600" s="83"/>
      <c r="K600" s="83"/>
      <c r="L600" s="84"/>
      <c r="M600" s="84"/>
      <c r="N600" s="84"/>
      <c r="O600" s="85"/>
      <c r="P600" s="84"/>
      <c r="Q600" s="84"/>
      <c r="R600" s="84"/>
      <c r="S600" s="84"/>
      <c r="T600" s="84"/>
      <c r="U600" s="84"/>
      <c r="V600" s="84"/>
      <c r="W600" s="84"/>
      <c r="X600" s="86"/>
    </row>
    <row r="601" ht="15.0" customHeight="1">
      <c r="A601" s="81"/>
      <c r="B601" s="51"/>
      <c r="C601" s="51"/>
      <c r="D601" s="50"/>
      <c r="E601" s="50"/>
      <c r="F601" s="50"/>
      <c r="G601" s="50"/>
      <c r="H601" s="50"/>
      <c r="I601" s="82"/>
      <c r="J601" s="83"/>
      <c r="K601" s="83"/>
      <c r="L601" s="84"/>
      <c r="M601" s="84"/>
      <c r="N601" s="84"/>
      <c r="O601" s="85"/>
      <c r="P601" s="84"/>
      <c r="Q601" s="84"/>
      <c r="R601" s="84"/>
      <c r="S601" s="84"/>
      <c r="T601" s="84"/>
      <c r="U601" s="84"/>
      <c r="V601" s="84"/>
      <c r="W601" s="84"/>
      <c r="X601" s="86"/>
    </row>
    <row r="602" ht="15.0" customHeight="1">
      <c r="A602" s="81"/>
      <c r="B602" s="51"/>
      <c r="C602" s="51"/>
      <c r="D602" s="50"/>
      <c r="E602" s="50"/>
      <c r="F602" s="50"/>
      <c r="G602" s="50"/>
      <c r="H602" s="50"/>
      <c r="I602" s="82"/>
      <c r="J602" s="83"/>
      <c r="K602" s="83"/>
      <c r="L602" s="84"/>
      <c r="M602" s="84"/>
      <c r="N602" s="84"/>
      <c r="O602" s="85"/>
      <c r="P602" s="84"/>
      <c r="Q602" s="84"/>
      <c r="R602" s="84"/>
      <c r="S602" s="84"/>
      <c r="T602" s="84"/>
      <c r="U602" s="84"/>
      <c r="V602" s="84"/>
      <c r="W602" s="84"/>
      <c r="X602" s="86"/>
    </row>
    <row r="603" ht="15.0" customHeight="1">
      <c r="A603" s="81"/>
      <c r="B603" s="51"/>
      <c r="C603" s="51"/>
      <c r="D603" s="50"/>
      <c r="E603" s="50"/>
      <c r="F603" s="50"/>
      <c r="G603" s="50"/>
      <c r="H603" s="50"/>
      <c r="I603" s="82"/>
      <c r="J603" s="83"/>
      <c r="K603" s="83"/>
      <c r="L603" s="84"/>
      <c r="M603" s="84"/>
      <c r="N603" s="84"/>
      <c r="O603" s="85"/>
      <c r="P603" s="84"/>
      <c r="Q603" s="84"/>
      <c r="R603" s="84"/>
      <c r="S603" s="84"/>
      <c r="T603" s="84"/>
      <c r="U603" s="84"/>
      <c r="V603" s="84"/>
      <c r="W603" s="84"/>
      <c r="X603" s="86"/>
    </row>
    <row r="604" ht="15.0" customHeight="1">
      <c r="A604" s="81"/>
      <c r="B604" s="51"/>
      <c r="C604" s="51"/>
      <c r="D604" s="50"/>
      <c r="E604" s="50"/>
      <c r="F604" s="50"/>
      <c r="G604" s="50"/>
      <c r="H604" s="50"/>
      <c r="I604" s="82"/>
      <c r="J604" s="83"/>
      <c r="K604" s="83"/>
      <c r="L604" s="84"/>
      <c r="M604" s="84"/>
      <c r="N604" s="84"/>
      <c r="O604" s="85"/>
      <c r="P604" s="84"/>
      <c r="Q604" s="84"/>
      <c r="R604" s="84"/>
      <c r="S604" s="84"/>
      <c r="T604" s="84"/>
      <c r="U604" s="84"/>
      <c r="V604" s="84"/>
      <c r="W604" s="84"/>
      <c r="X604" s="86"/>
    </row>
    <row r="605" ht="15.0" customHeight="1">
      <c r="A605" s="81"/>
      <c r="B605" s="51"/>
      <c r="C605" s="51"/>
      <c r="D605" s="50"/>
      <c r="E605" s="50"/>
      <c r="F605" s="50"/>
      <c r="G605" s="50"/>
      <c r="H605" s="50"/>
      <c r="I605" s="82"/>
      <c r="J605" s="83"/>
      <c r="K605" s="83"/>
      <c r="L605" s="84"/>
      <c r="M605" s="84"/>
      <c r="N605" s="84"/>
      <c r="O605" s="85"/>
      <c r="P605" s="84"/>
      <c r="Q605" s="84"/>
      <c r="R605" s="84"/>
      <c r="S605" s="84"/>
      <c r="T605" s="84"/>
      <c r="U605" s="84"/>
      <c r="V605" s="84"/>
      <c r="W605" s="84"/>
      <c r="X605" s="86"/>
    </row>
    <row r="606" ht="15.0" customHeight="1">
      <c r="A606" s="81"/>
      <c r="B606" s="51"/>
      <c r="C606" s="51"/>
      <c r="D606" s="50"/>
      <c r="E606" s="50"/>
      <c r="F606" s="50"/>
      <c r="G606" s="50"/>
      <c r="H606" s="50"/>
      <c r="I606" s="82"/>
      <c r="J606" s="83"/>
      <c r="K606" s="83"/>
      <c r="L606" s="84"/>
      <c r="M606" s="84"/>
      <c r="N606" s="84"/>
      <c r="O606" s="85"/>
      <c r="P606" s="84"/>
      <c r="Q606" s="84"/>
      <c r="R606" s="84"/>
      <c r="S606" s="84"/>
      <c r="T606" s="84"/>
      <c r="U606" s="84"/>
      <c r="V606" s="84"/>
      <c r="W606" s="84"/>
      <c r="X606" s="86"/>
    </row>
    <row r="607" ht="15.0" customHeight="1">
      <c r="A607" s="81"/>
      <c r="B607" s="51"/>
      <c r="C607" s="51"/>
      <c r="D607" s="50"/>
      <c r="E607" s="50"/>
      <c r="F607" s="50"/>
      <c r="G607" s="50"/>
      <c r="H607" s="50"/>
      <c r="I607" s="82"/>
      <c r="J607" s="83"/>
      <c r="K607" s="83"/>
      <c r="L607" s="84"/>
      <c r="M607" s="84"/>
      <c r="N607" s="84"/>
      <c r="O607" s="85"/>
      <c r="P607" s="84"/>
      <c r="Q607" s="84"/>
      <c r="R607" s="84"/>
      <c r="S607" s="84"/>
      <c r="T607" s="84"/>
      <c r="U607" s="84"/>
      <c r="V607" s="84"/>
      <c r="W607" s="84"/>
      <c r="X607" s="86"/>
    </row>
    <row r="608" ht="15.0" customHeight="1">
      <c r="A608" s="81"/>
      <c r="B608" s="51"/>
      <c r="C608" s="51"/>
      <c r="D608" s="50"/>
      <c r="E608" s="50"/>
      <c r="F608" s="50"/>
      <c r="G608" s="50"/>
      <c r="H608" s="50"/>
      <c r="I608" s="82"/>
      <c r="J608" s="83"/>
      <c r="K608" s="83"/>
      <c r="L608" s="84"/>
      <c r="M608" s="84"/>
      <c r="N608" s="84"/>
      <c r="O608" s="85"/>
      <c r="P608" s="84"/>
      <c r="Q608" s="84"/>
      <c r="R608" s="84"/>
      <c r="S608" s="84"/>
      <c r="T608" s="84"/>
      <c r="U608" s="84"/>
      <c r="V608" s="84"/>
      <c r="W608" s="84"/>
      <c r="X608" s="86"/>
    </row>
    <row r="609" ht="15.0" customHeight="1">
      <c r="A609" s="81"/>
      <c r="B609" s="51"/>
      <c r="C609" s="51"/>
      <c r="D609" s="50"/>
      <c r="E609" s="50"/>
      <c r="F609" s="50"/>
      <c r="G609" s="50"/>
      <c r="H609" s="50"/>
      <c r="I609" s="82"/>
      <c r="J609" s="83"/>
      <c r="K609" s="83"/>
      <c r="L609" s="84"/>
      <c r="M609" s="84"/>
      <c r="N609" s="84"/>
      <c r="O609" s="85"/>
      <c r="P609" s="84"/>
      <c r="Q609" s="84"/>
      <c r="R609" s="84"/>
      <c r="S609" s="84"/>
      <c r="T609" s="84"/>
      <c r="U609" s="84"/>
      <c r="V609" s="84"/>
      <c r="W609" s="84"/>
      <c r="X609" s="86"/>
    </row>
    <row r="610" ht="15.0" customHeight="1">
      <c r="A610" s="81"/>
      <c r="B610" s="51"/>
      <c r="C610" s="51"/>
      <c r="D610" s="50"/>
      <c r="E610" s="50"/>
      <c r="F610" s="50"/>
      <c r="G610" s="50"/>
      <c r="H610" s="50"/>
      <c r="I610" s="82"/>
      <c r="J610" s="83"/>
      <c r="K610" s="83"/>
      <c r="L610" s="84"/>
      <c r="M610" s="84"/>
      <c r="N610" s="84"/>
      <c r="O610" s="85"/>
      <c r="P610" s="84"/>
      <c r="Q610" s="84"/>
      <c r="R610" s="84"/>
      <c r="S610" s="84"/>
      <c r="T610" s="84"/>
      <c r="U610" s="84"/>
      <c r="V610" s="84"/>
      <c r="W610" s="84"/>
      <c r="X610" s="86"/>
    </row>
    <row r="611" ht="15.0" customHeight="1">
      <c r="A611" s="81"/>
      <c r="B611" s="51"/>
      <c r="C611" s="51"/>
      <c r="D611" s="50"/>
      <c r="E611" s="50"/>
      <c r="F611" s="50"/>
      <c r="G611" s="50"/>
      <c r="H611" s="50"/>
      <c r="I611" s="82"/>
      <c r="J611" s="83"/>
      <c r="K611" s="83"/>
      <c r="L611" s="84"/>
      <c r="M611" s="84"/>
      <c r="N611" s="84"/>
      <c r="O611" s="85"/>
      <c r="P611" s="84"/>
      <c r="Q611" s="84"/>
      <c r="R611" s="84"/>
      <c r="S611" s="84"/>
      <c r="T611" s="84"/>
      <c r="U611" s="84"/>
      <c r="V611" s="84"/>
      <c r="W611" s="84"/>
      <c r="X611" s="86"/>
    </row>
    <row r="612" ht="15.0" customHeight="1">
      <c r="A612" s="81"/>
      <c r="B612" s="51"/>
      <c r="C612" s="51"/>
      <c r="D612" s="50"/>
      <c r="E612" s="50"/>
      <c r="F612" s="50"/>
      <c r="G612" s="50"/>
      <c r="H612" s="50"/>
      <c r="I612" s="82"/>
      <c r="J612" s="83"/>
      <c r="K612" s="83"/>
      <c r="L612" s="84"/>
      <c r="M612" s="84"/>
      <c r="N612" s="84"/>
      <c r="O612" s="85"/>
      <c r="P612" s="84"/>
      <c r="Q612" s="84"/>
      <c r="R612" s="84"/>
      <c r="S612" s="84"/>
      <c r="T612" s="84"/>
      <c r="U612" s="84"/>
      <c r="V612" s="84"/>
      <c r="W612" s="84"/>
      <c r="X612" s="86"/>
    </row>
    <row r="613" ht="15.0" customHeight="1">
      <c r="A613" s="81"/>
      <c r="B613" s="51"/>
      <c r="C613" s="51"/>
      <c r="D613" s="50"/>
      <c r="E613" s="50"/>
      <c r="F613" s="50"/>
      <c r="G613" s="50"/>
      <c r="H613" s="50"/>
      <c r="I613" s="82"/>
      <c r="J613" s="83"/>
      <c r="K613" s="83"/>
      <c r="L613" s="84"/>
      <c r="M613" s="84"/>
      <c r="N613" s="84"/>
      <c r="O613" s="85"/>
      <c r="P613" s="84"/>
      <c r="Q613" s="84"/>
      <c r="R613" s="84"/>
      <c r="S613" s="84"/>
      <c r="T613" s="84"/>
      <c r="U613" s="84"/>
      <c r="V613" s="84"/>
      <c r="W613" s="84"/>
      <c r="X613" s="86"/>
    </row>
    <row r="614" ht="15.0" customHeight="1">
      <c r="A614" s="81"/>
      <c r="B614" s="51"/>
      <c r="C614" s="51"/>
      <c r="D614" s="50"/>
      <c r="E614" s="50"/>
      <c r="F614" s="50"/>
      <c r="G614" s="50"/>
      <c r="H614" s="50"/>
      <c r="I614" s="82"/>
      <c r="J614" s="83"/>
      <c r="K614" s="83"/>
      <c r="L614" s="84"/>
      <c r="M614" s="84"/>
      <c r="N614" s="84"/>
      <c r="O614" s="85"/>
      <c r="P614" s="84"/>
      <c r="Q614" s="84"/>
      <c r="R614" s="84"/>
      <c r="S614" s="84"/>
      <c r="T614" s="84"/>
      <c r="U614" s="84"/>
      <c r="V614" s="84"/>
      <c r="W614" s="84"/>
      <c r="X614" s="86"/>
    </row>
    <row r="615" ht="15.0" customHeight="1">
      <c r="A615" s="81"/>
      <c r="B615" s="51"/>
      <c r="C615" s="51"/>
      <c r="D615" s="50"/>
      <c r="E615" s="50"/>
      <c r="F615" s="50"/>
      <c r="G615" s="50"/>
      <c r="H615" s="50"/>
      <c r="I615" s="82"/>
      <c r="J615" s="83"/>
      <c r="K615" s="83"/>
      <c r="L615" s="84"/>
      <c r="M615" s="84"/>
      <c r="N615" s="84"/>
      <c r="O615" s="85"/>
      <c r="P615" s="84"/>
      <c r="Q615" s="84"/>
      <c r="R615" s="84"/>
      <c r="S615" s="84"/>
      <c r="T615" s="84"/>
      <c r="U615" s="84"/>
      <c r="V615" s="84"/>
      <c r="W615" s="84"/>
      <c r="X615" s="86"/>
    </row>
    <row r="616" ht="15.0" customHeight="1">
      <c r="A616" s="81"/>
      <c r="B616" s="51"/>
      <c r="C616" s="51"/>
      <c r="D616" s="50"/>
      <c r="E616" s="50"/>
      <c r="F616" s="50"/>
      <c r="G616" s="50"/>
      <c r="H616" s="50"/>
      <c r="I616" s="82"/>
      <c r="J616" s="83"/>
      <c r="K616" s="83"/>
      <c r="L616" s="84"/>
      <c r="M616" s="84"/>
      <c r="N616" s="84"/>
      <c r="O616" s="85"/>
      <c r="P616" s="84"/>
      <c r="Q616" s="84"/>
      <c r="R616" s="84"/>
      <c r="S616" s="84"/>
      <c r="T616" s="84"/>
      <c r="U616" s="84"/>
      <c r="V616" s="84"/>
      <c r="W616" s="84"/>
      <c r="X616" s="86"/>
    </row>
    <row r="617" ht="15.0" customHeight="1">
      <c r="A617" s="81"/>
      <c r="B617" s="51"/>
      <c r="C617" s="51"/>
      <c r="D617" s="50"/>
      <c r="E617" s="50"/>
      <c r="F617" s="50"/>
      <c r="G617" s="50"/>
      <c r="H617" s="50"/>
      <c r="I617" s="82"/>
      <c r="J617" s="83"/>
      <c r="K617" s="83"/>
      <c r="L617" s="84"/>
      <c r="M617" s="84"/>
      <c r="N617" s="84"/>
      <c r="O617" s="85"/>
      <c r="P617" s="84"/>
      <c r="Q617" s="84"/>
      <c r="R617" s="84"/>
      <c r="S617" s="84"/>
      <c r="T617" s="84"/>
      <c r="U617" s="84"/>
      <c r="V617" s="84"/>
      <c r="W617" s="84"/>
      <c r="X617" s="86"/>
    </row>
    <row r="618" ht="15.0" customHeight="1">
      <c r="A618" s="81"/>
      <c r="B618" s="51"/>
      <c r="C618" s="51"/>
      <c r="D618" s="50"/>
      <c r="E618" s="50"/>
      <c r="F618" s="50"/>
      <c r="G618" s="50"/>
      <c r="H618" s="50"/>
      <c r="I618" s="82"/>
      <c r="J618" s="83"/>
      <c r="K618" s="83"/>
      <c r="L618" s="84"/>
      <c r="M618" s="84"/>
      <c r="N618" s="84"/>
      <c r="O618" s="85"/>
      <c r="P618" s="84"/>
      <c r="Q618" s="84"/>
      <c r="R618" s="84"/>
      <c r="S618" s="84"/>
      <c r="T618" s="84"/>
      <c r="U618" s="84"/>
      <c r="V618" s="84"/>
      <c r="W618" s="84"/>
      <c r="X618" s="86"/>
    </row>
    <row r="619" ht="15.0" customHeight="1">
      <c r="A619" s="81"/>
      <c r="B619" s="51"/>
      <c r="C619" s="51"/>
      <c r="D619" s="50"/>
      <c r="E619" s="50"/>
      <c r="F619" s="50"/>
      <c r="G619" s="50"/>
      <c r="H619" s="50"/>
      <c r="I619" s="82"/>
      <c r="J619" s="83"/>
      <c r="K619" s="83"/>
      <c r="L619" s="84"/>
      <c r="M619" s="84"/>
      <c r="N619" s="84"/>
      <c r="O619" s="85"/>
      <c r="P619" s="84"/>
      <c r="Q619" s="84"/>
      <c r="R619" s="84"/>
      <c r="S619" s="84"/>
      <c r="T619" s="84"/>
      <c r="U619" s="84"/>
      <c r="V619" s="84"/>
      <c r="W619" s="84"/>
      <c r="X619" s="86"/>
    </row>
    <row r="620" ht="15.0" customHeight="1">
      <c r="A620" s="81"/>
      <c r="B620" s="51"/>
      <c r="C620" s="51"/>
      <c r="D620" s="50"/>
      <c r="E620" s="50"/>
      <c r="F620" s="50"/>
      <c r="G620" s="50"/>
      <c r="H620" s="50"/>
      <c r="I620" s="82"/>
      <c r="J620" s="83"/>
      <c r="K620" s="83"/>
      <c r="L620" s="84"/>
      <c r="M620" s="84"/>
      <c r="N620" s="84"/>
      <c r="O620" s="85"/>
      <c r="P620" s="84"/>
      <c r="Q620" s="84"/>
      <c r="R620" s="84"/>
      <c r="S620" s="84"/>
      <c r="T620" s="84"/>
      <c r="U620" s="84"/>
      <c r="V620" s="84"/>
      <c r="W620" s="84"/>
      <c r="X620" s="86"/>
    </row>
    <row r="621" ht="15.0" customHeight="1">
      <c r="A621" s="81"/>
      <c r="B621" s="51"/>
      <c r="C621" s="51"/>
      <c r="D621" s="50"/>
      <c r="E621" s="50"/>
      <c r="F621" s="50"/>
      <c r="G621" s="50"/>
      <c r="H621" s="50"/>
      <c r="I621" s="82"/>
      <c r="J621" s="83"/>
      <c r="K621" s="83"/>
      <c r="L621" s="84"/>
      <c r="M621" s="84"/>
      <c r="N621" s="84"/>
      <c r="O621" s="85"/>
      <c r="P621" s="84"/>
      <c r="Q621" s="84"/>
      <c r="R621" s="84"/>
      <c r="S621" s="84"/>
      <c r="T621" s="84"/>
      <c r="U621" s="84"/>
      <c r="V621" s="84"/>
      <c r="W621" s="84"/>
      <c r="X621" s="86"/>
    </row>
    <row r="622" ht="15.0" customHeight="1">
      <c r="A622" s="81"/>
      <c r="B622" s="51"/>
      <c r="C622" s="51"/>
      <c r="D622" s="50"/>
      <c r="E622" s="50"/>
      <c r="F622" s="50"/>
      <c r="G622" s="50"/>
      <c r="H622" s="50"/>
      <c r="I622" s="82"/>
      <c r="J622" s="83"/>
      <c r="K622" s="83"/>
      <c r="L622" s="84"/>
      <c r="M622" s="84"/>
      <c r="N622" s="84"/>
      <c r="O622" s="85"/>
      <c r="P622" s="84"/>
      <c r="Q622" s="84"/>
      <c r="R622" s="84"/>
      <c r="S622" s="84"/>
      <c r="T622" s="84"/>
      <c r="U622" s="84"/>
      <c r="V622" s="84"/>
      <c r="W622" s="84"/>
      <c r="X622" s="86"/>
    </row>
    <row r="623" ht="15.0" customHeight="1">
      <c r="A623" s="81"/>
      <c r="B623" s="51"/>
      <c r="C623" s="51"/>
      <c r="D623" s="50"/>
      <c r="E623" s="50"/>
      <c r="F623" s="50"/>
      <c r="G623" s="50"/>
      <c r="H623" s="50"/>
      <c r="I623" s="82"/>
      <c r="J623" s="83"/>
      <c r="K623" s="83"/>
      <c r="L623" s="84"/>
      <c r="M623" s="84"/>
      <c r="N623" s="84"/>
      <c r="O623" s="85"/>
      <c r="P623" s="84"/>
      <c r="Q623" s="84"/>
      <c r="R623" s="84"/>
      <c r="S623" s="84"/>
      <c r="T623" s="84"/>
      <c r="U623" s="84"/>
      <c r="V623" s="84"/>
      <c r="W623" s="84"/>
      <c r="X623" s="86"/>
    </row>
    <row r="624" ht="15.0" customHeight="1">
      <c r="A624" s="81"/>
      <c r="B624" s="51"/>
      <c r="C624" s="51"/>
      <c r="D624" s="50"/>
      <c r="E624" s="50"/>
      <c r="F624" s="50"/>
      <c r="G624" s="50"/>
      <c r="H624" s="50"/>
      <c r="I624" s="82"/>
      <c r="J624" s="83"/>
      <c r="K624" s="83"/>
      <c r="L624" s="84"/>
      <c r="M624" s="84"/>
      <c r="N624" s="84"/>
      <c r="O624" s="85"/>
      <c r="P624" s="84"/>
      <c r="Q624" s="84"/>
      <c r="R624" s="84"/>
      <c r="S624" s="84"/>
      <c r="T624" s="84"/>
      <c r="U624" s="84"/>
      <c r="V624" s="84"/>
      <c r="W624" s="84"/>
      <c r="X624" s="86"/>
    </row>
    <row r="625" ht="15.0" customHeight="1">
      <c r="A625" s="81"/>
      <c r="B625" s="51"/>
      <c r="C625" s="51"/>
      <c r="D625" s="50"/>
      <c r="E625" s="50"/>
      <c r="F625" s="50"/>
      <c r="G625" s="50"/>
      <c r="H625" s="50"/>
      <c r="I625" s="82"/>
      <c r="J625" s="83"/>
      <c r="K625" s="83"/>
      <c r="L625" s="84"/>
      <c r="M625" s="84"/>
      <c r="N625" s="84"/>
      <c r="O625" s="85"/>
      <c r="P625" s="84"/>
      <c r="Q625" s="84"/>
      <c r="R625" s="84"/>
      <c r="S625" s="84"/>
      <c r="T625" s="84"/>
      <c r="U625" s="84"/>
      <c r="V625" s="84"/>
      <c r="W625" s="84"/>
      <c r="X625" s="86"/>
    </row>
    <row r="626" ht="15.0" customHeight="1">
      <c r="A626" s="81"/>
      <c r="B626" s="51"/>
      <c r="C626" s="51"/>
      <c r="D626" s="50"/>
      <c r="E626" s="50"/>
      <c r="F626" s="50"/>
      <c r="G626" s="50"/>
      <c r="H626" s="50"/>
      <c r="I626" s="82"/>
      <c r="J626" s="83"/>
      <c r="K626" s="83"/>
      <c r="L626" s="84"/>
      <c r="M626" s="84"/>
      <c r="N626" s="84"/>
      <c r="O626" s="85"/>
      <c r="P626" s="84"/>
      <c r="Q626" s="84"/>
      <c r="R626" s="84"/>
      <c r="S626" s="84"/>
      <c r="T626" s="84"/>
      <c r="U626" s="84"/>
      <c r="V626" s="84"/>
      <c r="W626" s="84"/>
      <c r="X626" s="86"/>
    </row>
    <row r="627" ht="15.0" customHeight="1">
      <c r="A627" s="81"/>
      <c r="B627" s="51"/>
      <c r="C627" s="51"/>
      <c r="D627" s="50"/>
      <c r="E627" s="50"/>
      <c r="F627" s="50"/>
      <c r="G627" s="50"/>
      <c r="H627" s="50"/>
      <c r="I627" s="82"/>
      <c r="J627" s="83"/>
      <c r="K627" s="83"/>
      <c r="L627" s="84"/>
      <c r="M627" s="84"/>
      <c r="N627" s="84"/>
      <c r="O627" s="85"/>
      <c r="P627" s="84"/>
      <c r="Q627" s="84"/>
      <c r="R627" s="84"/>
      <c r="S627" s="84"/>
      <c r="T627" s="84"/>
      <c r="U627" s="84"/>
      <c r="V627" s="84"/>
      <c r="W627" s="84"/>
      <c r="X627" s="86"/>
    </row>
    <row r="628" ht="15.0" customHeight="1">
      <c r="A628" s="81"/>
      <c r="B628" s="51"/>
      <c r="C628" s="51"/>
      <c r="D628" s="50"/>
      <c r="E628" s="50"/>
      <c r="F628" s="50"/>
      <c r="G628" s="50"/>
      <c r="H628" s="50"/>
      <c r="I628" s="82"/>
      <c r="J628" s="83"/>
      <c r="K628" s="83"/>
      <c r="L628" s="84"/>
      <c r="M628" s="84"/>
      <c r="N628" s="84"/>
      <c r="O628" s="85"/>
      <c r="P628" s="84"/>
      <c r="Q628" s="84"/>
      <c r="R628" s="84"/>
      <c r="S628" s="84"/>
      <c r="T628" s="84"/>
      <c r="U628" s="84"/>
      <c r="V628" s="84"/>
      <c r="W628" s="84"/>
      <c r="X628" s="86"/>
    </row>
    <row r="629" ht="15.0" customHeight="1">
      <c r="A629" s="81"/>
      <c r="B629" s="51"/>
      <c r="C629" s="51"/>
      <c r="D629" s="50"/>
      <c r="E629" s="50"/>
      <c r="F629" s="50"/>
      <c r="G629" s="50"/>
      <c r="H629" s="50"/>
      <c r="I629" s="82"/>
      <c r="J629" s="83"/>
      <c r="K629" s="83"/>
      <c r="L629" s="84"/>
      <c r="M629" s="84"/>
      <c r="N629" s="84"/>
      <c r="O629" s="85"/>
      <c r="P629" s="84"/>
      <c r="Q629" s="84"/>
      <c r="R629" s="84"/>
      <c r="S629" s="84"/>
      <c r="T629" s="84"/>
      <c r="U629" s="84"/>
      <c r="V629" s="84"/>
      <c r="W629" s="84"/>
      <c r="X629" s="86"/>
    </row>
    <row r="630" ht="15.0" customHeight="1">
      <c r="A630" s="81"/>
      <c r="B630" s="51"/>
      <c r="C630" s="51"/>
      <c r="D630" s="50"/>
      <c r="E630" s="50"/>
      <c r="F630" s="50"/>
      <c r="G630" s="50"/>
      <c r="H630" s="50"/>
      <c r="I630" s="82"/>
      <c r="J630" s="83"/>
      <c r="K630" s="83"/>
      <c r="L630" s="84"/>
      <c r="M630" s="84"/>
      <c r="N630" s="84"/>
      <c r="O630" s="85"/>
      <c r="P630" s="84"/>
      <c r="Q630" s="84"/>
      <c r="R630" s="84"/>
      <c r="S630" s="84"/>
      <c r="T630" s="84"/>
      <c r="U630" s="84"/>
      <c r="V630" s="84"/>
      <c r="W630" s="84"/>
      <c r="X630" s="86"/>
    </row>
    <row r="631" ht="15.0" customHeight="1">
      <c r="A631" s="81"/>
      <c r="B631" s="51"/>
      <c r="C631" s="51"/>
      <c r="D631" s="50"/>
      <c r="E631" s="50"/>
      <c r="F631" s="50"/>
      <c r="G631" s="50"/>
      <c r="H631" s="50"/>
      <c r="I631" s="82"/>
      <c r="J631" s="83"/>
      <c r="K631" s="83"/>
      <c r="L631" s="84"/>
      <c r="M631" s="84"/>
      <c r="N631" s="84"/>
      <c r="O631" s="85"/>
      <c r="P631" s="84"/>
      <c r="Q631" s="84"/>
      <c r="R631" s="84"/>
      <c r="S631" s="84"/>
      <c r="T631" s="84"/>
      <c r="U631" s="84"/>
      <c r="V631" s="84"/>
      <c r="W631" s="84"/>
      <c r="X631" s="86"/>
    </row>
    <row r="632" ht="15.0" customHeight="1">
      <c r="A632" s="81"/>
      <c r="B632" s="51"/>
      <c r="C632" s="51"/>
      <c r="D632" s="50"/>
      <c r="E632" s="50"/>
      <c r="F632" s="50"/>
      <c r="G632" s="50"/>
      <c r="H632" s="50"/>
      <c r="I632" s="82"/>
      <c r="J632" s="83"/>
      <c r="K632" s="83"/>
      <c r="L632" s="84"/>
      <c r="M632" s="84"/>
      <c r="N632" s="84"/>
      <c r="O632" s="85"/>
      <c r="P632" s="84"/>
      <c r="Q632" s="84"/>
      <c r="R632" s="84"/>
      <c r="S632" s="84"/>
      <c r="T632" s="84"/>
      <c r="U632" s="84"/>
      <c r="V632" s="84"/>
      <c r="W632" s="84"/>
      <c r="X632" s="86"/>
    </row>
    <row r="633" ht="15.0" customHeight="1">
      <c r="A633" s="81"/>
      <c r="B633" s="51"/>
      <c r="C633" s="51"/>
      <c r="D633" s="50"/>
      <c r="E633" s="50"/>
      <c r="F633" s="50"/>
      <c r="G633" s="50"/>
      <c r="H633" s="50"/>
      <c r="I633" s="82"/>
      <c r="J633" s="83"/>
      <c r="K633" s="83"/>
      <c r="L633" s="84"/>
      <c r="M633" s="84"/>
      <c r="N633" s="84"/>
      <c r="O633" s="85"/>
      <c r="P633" s="84"/>
      <c r="Q633" s="84"/>
      <c r="R633" s="84"/>
      <c r="S633" s="84"/>
      <c r="T633" s="84"/>
      <c r="U633" s="84"/>
      <c r="V633" s="84"/>
      <c r="W633" s="84"/>
      <c r="X633" s="86"/>
    </row>
    <row r="634" ht="15.0" customHeight="1">
      <c r="A634" s="81"/>
      <c r="B634" s="51"/>
      <c r="C634" s="51"/>
      <c r="D634" s="50"/>
      <c r="E634" s="50"/>
      <c r="F634" s="50"/>
      <c r="G634" s="50"/>
      <c r="H634" s="50"/>
      <c r="I634" s="82"/>
      <c r="J634" s="83"/>
      <c r="K634" s="83"/>
      <c r="L634" s="84"/>
      <c r="M634" s="84"/>
      <c r="N634" s="84"/>
      <c r="O634" s="85"/>
      <c r="P634" s="84"/>
      <c r="Q634" s="84"/>
      <c r="R634" s="84"/>
      <c r="S634" s="84"/>
      <c r="T634" s="84"/>
      <c r="U634" s="84"/>
      <c r="V634" s="84"/>
      <c r="W634" s="84"/>
      <c r="X634" s="86"/>
    </row>
    <row r="635" ht="15.0" customHeight="1">
      <c r="A635" s="81"/>
      <c r="B635" s="51"/>
      <c r="C635" s="51"/>
      <c r="D635" s="50"/>
      <c r="E635" s="50"/>
      <c r="F635" s="50"/>
      <c r="G635" s="50"/>
      <c r="H635" s="50"/>
      <c r="I635" s="82"/>
      <c r="J635" s="83"/>
      <c r="K635" s="83"/>
      <c r="L635" s="84"/>
      <c r="M635" s="84"/>
      <c r="N635" s="84"/>
      <c r="O635" s="85"/>
      <c r="P635" s="84"/>
      <c r="Q635" s="84"/>
      <c r="R635" s="84"/>
      <c r="S635" s="84"/>
      <c r="T635" s="84"/>
      <c r="U635" s="84"/>
      <c r="V635" s="84"/>
      <c r="W635" s="84"/>
      <c r="X635" s="86"/>
    </row>
    <row r="636" ht="15.0" customHeight="1">
      <c r="A636" s="81"/>
      <c r="B636" s="51"/>
      <c r="C636" s="51"/>
      <c r="D636" s="50"/>
      <c r="E636" s="50"/>
      <c r="F636" s="50"/>
      <c r="G636" s="50"/>
      <c r="H636" s="50"/>
      <c r="I636" s="82"/>
      <c r="J636" s="83"/>
      <c r="K636" s="83"/>
      <c r="L636" s="84"/>
      <c r="M636" s="84"/>
      <c r="N636" s="84"/>
      <c r="O636" s="85"/>
      <c r="P636" s="84"/>
      <c r="Q636" s="84"/>
      <c r="R636" s="84"/>
      <c r="S636" s="84"/>
      <c r="T636" s="84"/>
      <c r="U636" s="84"/>
      <c r="V636" s="84"/>
      <c r="W636" s="84"/>
      <c r="X636" s="86"/>
    </row>
    <row r="637" ht="15.0" customHeight="1">
      <c r="A637" s="81"/>
      <c r="B637" s="51"/>
      <c r="C637" s="51"/>
      <c r="D637" s="50"/>
      <c r="E637" s="50"/>
      <c r="F637" s="50"/>
      <c r="G637" s="50"/>
      <c r="H637" s="50"/>
      <c r="I637" s="82"/>
      <c r="J637" s="83"/>
      <c r="K637" s="83"/>
      <c r="L637" s="84"/>
      <c r="M637" s="84"/>
      <c r="N637" s="84"/>
      <c r="O637" s="85"/>
      <c r="P637" s="84"/>
      <c r="Q637" s="84"/>
      <c r="R637" s="84"/>
      <c r="S637" s="84"/>
      <c r="T637" s="84"/>
      <c r="U637" s="84"/>
      <c r="V637" s="84"/>
      <c r="W637" s="84"/>
      <c r="X637" s="86"/>
    </row>
    <row r="638" ht="15.0" customHeight="1">
      <c r="A638" s="81"/>
      <c r="B638" s="51"/>
      <c r="C638" s="51"/>
      <c r="D638" s="50"/>
      <c r="E638" s="50"/>
      <c r="F638" s="50"/>
      <c r="G638" s="50"/>
      <c r="H638" s="50"/>
      <c r="I638" s="82"/>
      <c r="J638" s="83"/>
      <c r="K638" s="83"/>
      <c r="L638" s="84"/>
      <c r="M638" s="84"/>
      <c r="N638" s="84"/>
      <c r="O638" s="85"/>
      <c r="P638" s="84"/>
      <c r="Q638" s="84"/>
      <c r="R638" s="84"/>
      <c r="S638" s="84"/>
      <c r="T638" s="84"/>
      <c r="U638" s="84"/>
      <c r="V638" s="84"/>
      <c r="W638" s="84"/>
      <c r="X638" s="86"/>
    </row>
    <row r="639" ht="15.0" customHeight="1">
      <c r="A639" s="81"/>
      <c r="B639" s="51"/>
      <c r="C639" s="51"/>
      <c r="D639" s="50"/>
      <c r="E639" s="50"/>
      <c r="F639" s="50"/>
      <c r="G639" s="50"/>
      <c r="H639" s="50"/>
      <c r="I639" s="82"/>
      <c r="J639" s="83"/>
      <c r="K639" s="83"/>
      <c r="L639" s="84"/>
      <c r="M639" s="84"/>
      <c r="N639" s="84"/>
      <c r="O639" s="85"/>
      <c r="P639" s="84"/>
      <c r="Q639" s="84"/>
      <c r="R639" s="84"/>
      <c r="S639" s="84"/>
      <c r="T639" s="84"/>
      <c r="U639" s="84"/>
      <c r="V639" s="84"/>
      <c r="W639" s="84"/>
      <c r="X639" s="86"/>
    </row>
    <row r="640" ht="15.0" customHeight="1">
      <c r="A640" s="81"/>
      <c r="B640" s="51"/>
      <c r="C640" s="51"/>
      <c r="D640" s="50"/>
      <c r="E640" s="50"/>
      <c r="F640" s="50"/>
      <c r="G640" s="50"/>
      <c r="H640" s="50"/>
      <c r="I640" s="82"/>
      <c r="J640" s="83"/>
      <c r="K640" s="83"/>
      <c r="L640" s="84"/>
      <c r="M640" s="84"/>
      <c r="N640" s="84"/>
      <c r="O640" s="85"/>
      <c r="P640" s="84"/>
      <c r="Q640" s="84"/>
      <c r="R640" s="84"/>
      <c r="S640" s="84"/>
      <c r="T640" s="84"/>
      <c r="U640" s="84"/>
      <c r="V640" s="84"/>
      <c r="W640" s="84"/>
      <c r="X640" s="86"/>
    </row>
    <row r="641" ht="15.0" customHeight="1">
      <c r="A641" s="81"/>
      <c r="B641" s="51"/>
      <c r="C641" s="51"/>
      <c r="D641" s="50"/>
      <c r="E641" s="50"/>
      <c r="F641" s="50"/>
      <c r="G641" s="50"/>
      <c r="H641" s="50"/>
      <c r="I641" s="82"/>
      <c r="J641" s="83"/>
      <c r="K641" s="83"/>
      <c r="L641" s="84"/>
      <c r="M641" s="84"/>
      <c r="N641" s="84"/>
      <c r="O641" s="85"/>
      <c r="P641" s="84"/>
      <c r="Q641" s="84"/>
      <c r="R641" s="84"/>
      <c r="S641" s="84"/>
      <c r="T641" s="84"/>
      <c r="U641" s="84"/>
      <c r="V641" s="84"/>
      <c r="W641" s="84"/>
      <c r="X641" s="86"/>
    </row>
    <row r="642" ht="15.0" customHeight="1">
      <c r="A642" s="81"/>
      <c r="B642" s="51"/>
      <c r="C642" s="51"/>
      <c r="D642" s="50"/>
      <c r="E642" s="50"/>
      <c r="F642" s="50"/>
      <c r="G642" s="50"/>
      <c r="H642" s="50"/>
      <c r="I642" s="82"/>
      <c r="J642" s="83"/>
      <c r="K642" s="83"/>
      <c r="L642" s="84"/>
      <c r="M642" s="84"/>
      <c r="N642" s="84"/>
      <c r="O642" s="85"/>
      <c r="P642" s="84"/>
      <c r="Q642" s="84"/>
      <c r="R642" s="84"/>
      <c r="S642" s="84"/>
      <c r="T642" s="84"/>
      <c r="U642" s="84"/>
      <c r="V642" s="84"/>
      <c r="W642" s="84"/>
      <c r="X642" s="86"/>
    </row>
    <row r="643" ht="15.0" customHeight="1">
      <c r="A643" s="81"/>
      <c r="B643" s="51"/>
      <c r="C643" s="51"/>
      <c r="D643" s="50"/>
      <c r="E643" s="50"/>
      <c r="F643" s="50"/>
      <c r="G643" s="50"/>
      <c r="H643" s="50"/>
      <c r="I643" s="82"/>
      <c r="J643" s="83"/>
      <c r="K643" s="83"/>
      <c r="L643" s="84"/>
      <c r="M643" s="84"/>
      <c r="N643" s="84"/>
      <c r="O643" s="85"/>
      <c r="P643" s="84"/>
      <c r="Q643" s="84"/>
      <c r="R643" s="84"/>
      <c r="S643" s="84"/>
      <c r="T643" s="84"/>
      <c r="U643" s="84"/>
      <c r="V643" s="84"/>
      <c r="W643" s="84"/>
      <c r="X643" s="86"/>
    </row>
    <row r="644" ht="15.0" customHeight="1">
      <c r="A644" s="81"/>
      <c r="B644" s="51"/>
      <c r="C644" s="51"/>
      <c r="D644" s="50"/>
      <c r="E644" s="50"/>
      <c r="F644" s="50"/>
      <c r="G644" s="50"/>
      <c r="H644" s="50"/>
      <c r="I644" s="82"/>
      <c r="J644" s="83"/>
      <c r="K644" s="83"/>
      <c r="L644" s="84"/>
      <c r="M644" s="84"/>
      <c r="N644" s="84"/>
      <c r="O644" s="85"/>
      <c r="P644" s="84"/>
      <c r="Q644" s="84"/>
      <c r="R644" s="84"/>
      <c r="S644" s="84"/>
      <c r="T644" s="84"/>
      <c r="U644" s="84"/>
      <c r="V644" s="84"/>
      <c r="W644" s="84"/>
      <c r="X644" s="86"/>
    </row>
    <row r="645" ht="15.0" customHeight="1">
      <c r="A645" s="81"/>
      <c r="B645" s="51"/>
      <c r="C645" s="51"/>
      <c r="D645" s="50"/>
      <c r="E645" s="50"/>
      <c r="F645" s="50"/>
      <c r="G645" s="50"/>
      <c r="H645" s="50"/>
      <c r="I645" s="82"/>
      <c r="J645" s="83"/>
      <c r="K645" s="83"/>
      <c r="L645" s="84"/>
      <c r="M645" s="84"/>
      <c r="N645" s="84"/>
      <c r="O645" s="85"/>
      <c r="P645" s="84"/>
      <c r="Q645" s="84"/>
      <c r="R645" s="84"/>
      <c r="S645" s="84"/>
      <c r="T645" s="84"/>
      <c r="U645" s="84"/>
      <c r="V645" s="84"/>
      <c r="W645" s="84"/>
      <c r="X645" s="86"/>
    </row>
    <row r="646" ht="15.0" customHeight="1">
      <c r="A646" s="81"/>
      <c r="B646" s="51"/>
      <c r="C646" s="51"/>
      <c r="D646" s="50"/>
      <c r="E646" s="50"/>
      <c r="F646" s="50"/>
      <c r="G646" s="50"/>
      <c r="H646" s="50"/>
      <c r="I646" s="82"/>
      <c r="J646" s="83"/>
      <c r="K646" s="83"/>
      <c r="L646" s="84"/>
      <c r="M646" s="84"/>
      <c r="N646" s="84"/>
      <c r="O646" s="85"/>
      <c r="P646" s="84"/>
      <c r="Q646" s="84"/>
      <c r="R646" s="84"/>
      <c r="S646" s="84"/>
      <c r="T646" s="84"/>
      <c r="U646" s="84"/>
      <c r="V646" s="84"/>
      <c r="W646" s="84"/>
      <c r="X646" s="86"/>
    </row>
    <row r="647" ht="15.0" customHeight="1">
      <c r="A647" s="81"/>
      <c r="B647" s="51"/>
      <c r="C647" s="51"/>
      <c r="D647" s="50"/>
      <c r="E647" s="50"/>
      <c r="F647" s="50"/>
      <c r="G647" s="50"/>
      <c r="H647" s="50"/>
      <c r="I647" s="82"/>
      <c r="J647" s="83"/>
      <c r="K647" s="83"/>
      <c r="L647" s="84"/>
      <c r="M647" s="84"/>
      <c r="N647" s="84"/>
      <c r="O647" s="85"/>
      <c r="P647" s="84"/>
      <c r="Q647" s="84"/>
      <c r="R647" s="84"/>
      <c r="S647" s="84"/>
      <c r="T647" s="84"/>
      <c r="U647" s="84"/>
      <c r="V647" s="84"/>
      <c r="W647" s="84"/>
      <c r="X647" s="86"/>
    </row>
    <row r="648" ht="15.0" customHeight="1">
      <c r="A648" s="81"/>
      <c r="B648" s="51"/>
      <c r="C648" s="51"/>
      <c r="D648" s="50"/>
      <c r="E648" s="50"/>
      <c r="F648" s="50"/>
      <c r="G648" s="50"/>
      <c r="H648" s="50"/>
      <c r="I648" s="82"/>
      <c r="J648" s="83"/>
      <c r="K648" s="83"/>
      <c r="L648" s="84"/>
      <c r="M648" s="84"/>
      <c r="N648" s="84"/>
      <c r="O648" s="85"/>
      <c r="P648" s="84"/>
      <c r="Q648" s="84"/>
      <c r="R648" s="84"/>
      <c r="S648" s="84"/>
      <c r="T648" s="84"/>
      <c r="U648" s="84"/>
      <c r="V648" s="84"/>
      <c r="W648" s="84"/>
      <c r="X648" s="86"/>
    </row>
    <row r="649" ht="15.0" customHeight="1">
      <c r="A649" s="81"/>
      <c r="B649" s="51"/>
      <c r="C649" s="51"/>
      <c r="D649" s="50"/>
      <c r="E649" s="50"/>
      <c r="F649" s="50"/>
      <c r="G649" s="50"/>
      <c r="H649" s="50"/>
      <c r="I649" s="82"/>
      <c r="J649" s="83"/>
      <c r="K649" s="83"/>
      <c r="L649" s="84"/>
      <c r="M649" s="84"/>
      <c r="N649" s="84"/>
      <c r="O649" s="85"/>
      <c r="P649" s="84"/>
      <c r="Q649" s="84"/>
      <c r="R649" s="84"/>
      <c r="S649" s="84"/>
      <c r="T649" s="84"/>
      <c r="U649" s="84"/>
      <c r="V649" s="84"/>
      <c r="W649" s="84"/>
      <c r="X649" s="86"/>
    </row>
    <row r="650" ht="15.0" customHeight="1">
      <c r="A650" s="81"/>
      <c r="B650" s="51"/>
      <c r="C650" s="51"/>
      <c r="D650" s="50"/>
      <c r="E650" s="50"/>
      <c r="F650" s="50"/>
      <c r="G650" s="50"/>
      <c r="H650" s="50"/>
      <c r="I650" s="82"/>
      <c r="J650" s="83"/>
      <c r="K650" s="83"/>
      <c r="L650" s="84"/>
      <c r="M650" s="84"/>
      <c r="N650" s="84"/>
      <c r="O650" s="85"/>
      <c r="P650" s="84"/>
      <c r="Q650" s="84"/>
      <c r="R650" s="84"/>
      <c r="S650" s="84"/>
      <c r="T650" s="84"/>
      <c r="U650" s="84"/>
      <c r="V650" s="84"/>
      <c r="W650" s="84"/>
      <c r="X650" s="86"/>
    </row>
    <row r="651" ht="15.0" customHeight="1">
      <c r="A651" s="81"/>
      <c r="B651" s="51"/>
      <c r="C651" s="51"/>
      <c r="D651" s="50"/>
      <c r="E651" s="50"/>
      <c r="F651" s="50"/>
      <c r="G651" s="50"/>
      <c r="H651" s="50"/>
      <c r="I651" s="82"/>
      <c r="J651" s="83"/>
      <c r="K651" s="83"/>
      <c r="L651" s="84"/>
      <c r="M651" s="84"/>
      <c r="N651" s="84"/>
      <c r="O651" s="85"/>
      <c r="P651" s="84"/>
      <c r="Q651" s="84"/>
      <c r="R651" s="84"/>
      <c r="S651" s="84"/>
      <c r="T651" s="84"/>
      <c r="U651" s="84"/>
      <c r="V651" s="84"/>
      <c r="W651" s="84"/>
      <c r="X651" s="86"/>
    </row>
    <row r="652" ht="15.0" customHeight="1">
      <c r="A652" s="81"/>
      <c r="B652" s="51"/>
      <c r="C652" s="51"/>
      <c r="D652" s="50"/>
      <c r="E652" s="50"/>
      <c r="F652" s="50"/>
      <c r="G652" s="50"/>
      <c r="H652" s="50"/>
      <c r="I652" s="82"/>
      <c r="J652" s="83"/>
      <c r="K652" s="83"/>
      <c r="L652" s="84"/>
      <c r="M652" s="84"/>
      <c r="N652" s="84"/>
      <c r="O652" s="85"/>
      <c r="P652" s="84"/>
      <c r="Q652" s="84"/>
      <c r="R652" s="84"/>
      <c r="S652" s="84"/>
      <c r="T652" s="84"/>
      <c r="U652" s="84"/>
      <c r="V652" s="84"/>
      <c r="W652" s="84"/>
      <c r="X652" s="86"/>
    </row>
    <row r="653" ht="15.0" customHeight="1">
      <c r="A653" s="81"/>
      <c r="B653" s="51"/>
      <c r="C653" s="51"/>
      <c r="D653" s="50"/>
      <c r="E653" s="50"/>
      <c r="F653" s="50"/>
      <c r="G653" s="50"/>
      <c r="H653" s="50"/>
      <c r="I653" s="82"/>
      <c r="J653" s="83"/>
      <c r="K653" s="83"/>
      <c r="L653" s="84"/>
      <c r="M653" s="84"/>
      <c r="N653" s="84"/>
      <c r="O653" s="85"/>
      <c r="P653" s="84"/>
      <c r="Q653" s="84"/>
      <c r="R653" s="84"/>
      <c r="S653" s="84"/>
      <c r="T653" s="84"/>
      <c r="U653" s="84"/>
      <c r="V653" s="84"/>
      <c r="W653" s="84"/>
      <c r="X653" s="86"/>
    </row>
    <row r="654" ht="15.0" customHeight="1">
      <c r="A654" s="81"/>
      <c r="B654" s="51"/>
      <c r="C654" s="51"/>
      <c r="D654" s="50"/>
      <c r="E654" s="50"/>
      <c r="F654" s="50"/>
      <c r="G654" s="50"/>
      <c r="H654" s="50"/>
      <c r="I654" s="82"/>
      <c r="J654" s="83"/>
      <c r="K654" s="83"/>
      <c r="L654" s="84"/>
      <c r="M654" s="84"/>
      <c r="N654" s="84"/>
      <c r="O654" s="85"/>
      <c r="P654" s="84"/>
      <c r="Q654" s="84"/>
      <c r="R654" s="84"/>
      <c r="S654" s="84"/>
      <c r="T654" s="84"/>
      <c r="U654" s="84"/>
      <c r="V654" s="84"/>
      <c r="W654" s="84"/>
      <c r="X654" s="86"/>
    </row>
    <row r="655" ht="15.0" customHeight="1">
      <c r="A655" s="81"/>
      <c r="B655" s="51"/>
      <c r="C655" s="51"/>
      <c r="D655" s="50"/>
      <c r="E655" s="50"/>
      <c r="F655" s="50"/>
      <c r="G655" s="50"/>
      <c r="H655" s="50"/>
      <c r="I655" s="82"/>
      <c r="J655" s="83"/>
      <c r="K655" s="83"/>
      <c r="L655" s="84"/>
      <c r="M655" s="84"/>
      <c r="N655" s="84"/>
      <c r="O655" s="85"/>
      <c r="P655" s="84"/>
      <c r="Q655" s="84"/>
      <c r="R655" s="84"/>
      <c r="S655" s="84"/>
      <c r="T655" s="84"/>
      <c r="U655" s="84"/>
      <c r="V655" s="84"/>
      <c r="W655" s="84"/>
      <c r="X655" s="86"/>
    </row>
    <row r="656" ht="15.0" customHeight="1">
      <c r="A656" s="81"/>
      <c r="B656" s="51"/>
      <c r="C656" s="51"/>
      <c r="D656" s="50"/>
      <c r="E656" s="50"/>
      <c r="F656" s="50"/>
      <c r="G656" s="50"/>
      <c r="H656" s="50"/>
      <c r="I656" s="82"/>
      <c r="J656" s="83"/>
      <c r="K656" s="83"/>
      <c r="L656" s="84"/>
      <c r="M656" s="84"/>
      <c r="N656" s="84"/>
      <c r="O656" s="85"/>
      <c r="P656" s="84"/>
      <c r="Q656" s="84"/>
      <c r="R656" s="84"/>
      <c r="S656" s="84"/>
      <c r="T656" s="84"/>
      <c r="U656" s="84"/>
      <c r="V656" s="84"/>
      <c r="W656" s="84"/>
      <c r="X656" s="86"/>
    </row>
    <row r="657" ht="15.0" customHeight="1">
      <c r="A657" s="81"/>
      <c r="B657" s="51"/>
      <c r="C657" s="51"/>
      <c r="D657" s="50"/>
      <c r="E657" s="50"/>
      <c r="F657" s="50"/>
      <c r="G657" s="50"/>
      <c r="H657" s="50"/>
      <c r="I657" s="82"/>
      <c r="J657" s="83"/>
      <c r="K657" s="83"/>
      <c r="L657" s="84"/>
      <c r="M657" s="84"/>
      <c r="N657" s="84"/>
      <c r="O657" s="85"/>
      <c r="P657" s="84"/>
      <c r="Q657" s="84"/>
      <c r="R657" s="84"/>
      <c r="S657" s="84"/>
      <c r="T657" s="84"/>
      <c r="U657" s="84"/>
      <c r="V657" s="84"/>
      <c r="W657" s="84"/>
      <c r="X657" s="86"/>
    </row>
    <row r="658" ht="15.0" customHeight="1">
      <c r="A658" s="81"/>
      <c r="B658" s="51"/>
      <c r="C658" s="51"/>
      <c r="D658" s="50"/>
      <c r="E658" s="50"/>
      <c r="F658" s="50"/>
      <c r="G658" s="50"/>
      <c r="H658" s="50"/>
      <c r="I658" s="82"/>
      <c r="J658" s="83"/>
      <c r="K658" s="83"/>
      <c r="L658" s="84"/>
      <c r="M658" s="84"/>
      <c r="N658" s="84"/>
      <c r="O658" s="85"/>
      <c r="P658" s="84"/>
      <c r="Q658" s="84"/>
      <c r="R658" s="84"/>
      <c r="S658" s="84"/>
      <c r="T658" s="84"/>
      <c r="U658" s="84"/>
      <c r="V658" s="84"/>
      <c r="W658" s="84"/>
      <c r="X658" s="86"/>
    </row>
    <row r="659" ht="15.0" customHeight="1">
      <c r="A659" s="81"/>
      <c r="B659" s="51"/>
      <c r="C659" s="51"/>
      <c r="D659" s="50"/>
      <c r="E659" s="50"/>
      <c r="F659" s="50"/>
      <c r="G659" s="50"/>
      <c r="H659" s="50"/>
      <c r="I659" s="82"/>
      <c r="J659" s="83"/>
      <c r="K659" s="83"/>
      <c r="L659" s="84"/>
      <c r="M659" s="84"/>
      <c r="N659" s="84"/>
      <c r="O659" s="85"/>
      <c r="P659" s="84"/>
      <c r="Q659" s="84"/>
      <c r="R659" s="84"/>
      <c r="S659" s="84"/>
      <c r="T659" s="84"/>
      <c r="U659" s="84"/>
      <c r="V659" s="84"/>
      <c r="W659" s="84"/>
      <c r="X659" s="86"/>
    </row>
    <row r="660" ht="15.0" customHeight="1">
      <c r="A660" s="81"/>
      <c r="B660" s="51"/>
      <c r="C660" s="51"/>
      <c r="D660" s="50"/>
      <c r="E660" s="50"/>
      <c r="F660" s="50"/>
      <c r="G660" s="50"/>
      <c r="H660" s="50"/>
      <c r="I660" s="82"/>
      <c r="J660" s="83"/>
      <c r="K660" s="83"/>
      <c r="L660" s="84"/>
      <c r="M660" s="84"/>
      <c r="N660" s="84"/>
      <c r="O660" s="85"/>
      <c r="P660" s="84"/>
      <c r="Q660" s="84"/>
      <c r="R660" s="84"/>
      <c r="S660" s="84"/>
      <c r="T660" s="84"/>
      <c r="U660" s="84"/>
      <c r="V660" s="84"/>
      <c r="W660" s="84"/>
      <c r="X660" s="86"/>
    </row>
    <row r="661" ht="15.0" customHeight="1">
      <c r="A661" s="81"/>
      <c r="B661" s="51"/>
      <c r="C661" s="51"/>
      <c r="D661" s="50"/>
      <c r="E661" s="50"/>
      <c r="F661" s="50"/>
      <c r="G661" s="50"/>
      <c r="H661" s="50"/>
      <c r="I661" s="82"/>
      <c r="J661" s="83"/>
      <c r="K661" s="83"/>
      <c r="L661" s="84"/>
      <c r="M661" s="84"/>
      <c r="N661" s="84"/>
      <c r="O661" s="85"/>
      <c r="P661" s="84"/>
      <c r="Q661" s="84"/>
      <c r="R661" s="84"/>
      <c r="S661" s="84"/>
      <c r="T661" s="84"/>
      <c r="U661" s="84"/>
      <c r="V661" s="84"/>
      <c r="W661" s="84"/>
      <c r="X661" s="86"/>
    </row>
    <row r="662" ht="15.0" customHeight="1">
      <c r="A662" s="81"/>
      <c r="B662" s="51"/>
      <c r="C662" s="51"/>
      <c r="D662" s="50"/>
      <c r="E662" s="50"/>
      <c r="F662" s="50"/>
      <c r="G662" s="50"/>
      <c r="H662" s="50"/>
      <c r="I662" s="82"/>
      <c r="J662" s="83"/>
      <c r="K662" s="83"/>
      <c r="L662" s="84"/>
      <c r="M662" s="84"/>
      <c r="N662" s="84"/>
      <c r="O662" s="85"/>
      <c r="P662" s="84"/>
      <c r="Q662" s="84"/>
      <c r="R662" s="84"/>
      <c r="S662" s="84"/>
      <c r="T662" s="84"/>
      <c r="U662" s="84"/>
      <c r="V662" s="84"/>
      <c r="W662" s="84"/>
      <c r="X662" s="86"/>
    </row>
    <row r="663" ht="15.0" customHeight="1">
      <c r="A663" s="81"/>
      <c r="B663" s="51"/>
      <c r="C663" s="51"/>
      <c r="D663" s="50"/>
      <c r="E663" s="50"/>
      <c r="F663" s="50"/>
      <c r="G663" s="50"/>
      <c r="H663" s="50"/>
      <c r="I663" s="82"/>
      <c r="J663" s="83"/>
      <c r="K663" s="83"/>
      <c r="L663" s="84"/>
      <c r="M663" s="84"/>
      <c r="N663" s="84"/>
      <c r="O663" s="85"/>
      <c r="P663" s="84"/>
      <c r="Q663" s="84"/>
      <c r="R663" s="84"/>
      <c r="S663" s="84"/>
      <c r="T663" s="84"/>
      <c r="U663" s="84"/>
      <c r="V663" s="84"/>
      <c r="W663" s="84"/>
      <c r="X663" s="86"/>
    </row>
    <row r="664" ht="15.0" customHeight="1">
      <c r="A664" s="81"/>
      <c r="B664" s="51"/>
      <c r="C664" s="51"/>
      <c r="D664" s="50"/>
      <c r="E664" s="50"/>
      <c r="F664" s="50"/>
      <c r="G664" s="50"/>
      <c r="H664" s="50"/>
      <c r="I664" s="82"/>
      <c r="J664" s="83"/>
      <c r="K664" s="83"/>
      <c r="L664" s="84"/>
      <c r="M664" s="84"/>
      <c r="N664" s="84"/>
      <c r="O664" s="85"/>
      <c r="P664" s="84"/>
      <c r="Q664" s="84"/>
      <c r="R664" s="84"/>
      <c r="S664" s="84"/>
      <c r="T664" s="84"/>
      <c r="U664" s="84"/>
      <c r="V664" s="84"/>
      <c r="W664" s="84"/>
      <c r="X664" s="86"/>
    </row>
    <row r="665" ht="15.0" customHeight="1">
      <c r="A665" s="81"/>
      <c r="B665" s="51"/>
      <c r="C665" s="51"/>
      <c r="D665" s="50"/>
      <c r="E665" s="50"/>
      <c r="F665" s="50"/>
      <c r="G665" s="50"/>
      <c r="H665" s="50"/>
      <c r="I665" s="82"/>
      <c r="J665" s="83"/>
      <c r="K665" s="83"/>
      <c r="L665" s="84"/>
      <c r="M665" s="84"/>
      <c r="N665" s="84"/>
      <c r="O665" s="85"/>
      <c r="P665" s="84"/>
      <c r="Q665" s="84"/>
      <c r="R665" s="84"/>
      <c r="S665" s="84"/>
      <c r="T665" s="84"/>
      <c r="U665" s="84"/>
      <c r="V665" s="84"/>
      <c r="W665" s="84"/>
      <c r="X665" s="86"/>
    </row>
    <row r="666" ht="15.0" customHeight="1">
      <c r="A666" s="81"/>
      <c r="B666" s="51"/>
      <c r="C666" s="51"/>
      <c r="D666" s="50"/>
      <c r="E666" s="50"/>
      <c r="F666" s="50"/>
      <c r="G666" s="50"/>
      <c r="H666" s="50"/>
      <c r="I666" s="82"/>
      <c r="J666" s="83"/>
      <c r="K666" s="83"/>
      <c r="L666" s="84"/>
      <c r="M666" s="84"/>
      <c r="N666" s="84"/>
      <c r="O666" s="85"/>
      <c r="P666" s="84"/>
      <c r="Q666" s="84"/>
      <c r="R666" s="84"/>
      <c r="S666" s="84"/>
      <c r="T666" s="84"/>
      <c r="U666" s="84"/>
      <c r="V666" s="84"/>
      <c r="W666" s="84"/>
      <c r="X666" s="86"/>
    </row>
    <row r="667" ht="15.0" customHeight="1">
      <c r="A667" s="81"/>
      <c r="B667" s="51"/>
      <c r="C667" s="51"/>
      <c r="D667" s="50"/>
      <c r="E667" s="50"/>
      <c r="F667" s="50"/>
      <c r="G667" s="50"/>
      <c r="H667" s="50"/>
      <c r="I667" s="82"/>
      <c r="J667" s="83"/>
      <c r="K667" s="83"/>
      <c r="L667" s="84"/>
      <c r="M667" s="84"/>
      <c r="N667" s="84"/>
      <c r="O667" s="85"/>
      <c r="P667" s="84"/>
      <c r="Q667" s="84"/>
      <c r="R667" s="84"/>
      <c r="S667" s="84"/>
      <c r="T667" s="84"/>
      <c r="U667" s="84"/>
      <c r="V667" s="84"/>
      <c r="W667" s="84"/>
      <c r="X667" s="86"/>
    </row>
    <row r="668" ht="15.0" customHeight="1">
      <c r="A668" s="81"/>
      <c r="B668" s="51"/>
      <c r="C668" s="51"/>
      <c r="D668" s="50"/>
      <c r="E668" s="50"/>
      <c r="F668" s="50"/>
      <c r="G668" s="50"/>
      <c r="H668" s="50"/>
      <c r="I668" s="82"/>
      <c r="J668" s="83"/>
      <c r="K668" s="83"/>
      <c r="L668" s="84"/>
      <c r="M668" s="84"/>
      <c r="N668" s="84"/>
      <c r="O668" s="85"/>
      <c r="P668" s="84"/>
      <c r="Q668" s="84"/>
      <c r="R668" s="84"/>
      <c r="S668" s="84"/>
      <c r="T668" s="84"/>
      <c r="U668" s="84"/>
      <c r="V668" s="84"/>
      <c r="W668" s="84"/>
      <c r="X668" s="86"/>
    </row>
    <row r="669" ht="15.0" customHeight="1">
      <c r="A669" s="81"/>
      <c r="B669" s="51"/>
      <c r="C669" s="51"/>
      <c r="D669" s="50"/>
      <c r="E669" s="50"/>
      <c r="F669" s="50"/>
      <c r="G669" s="50"/>
      <c r="H669" s="50"/>
      <c r="I669" s="82"/>
      <c r="J669" s="83"/>
      <c r="K669" s="83"/>
      <c r="L669" s="84"/>
      <c r="M669" s="84"/>
      <c r="N669" s="84"/>
      <c r="O669" s="85"/>
      <c r="P669" s="84"/>
      <c r="Q669" s="84"/>
      <c r="R669" s="84"/>
      <c r="S669" s="84"/>
      <c r="T669" s="84"/>
      <c r="U669" s="84"/>
      <c r="V669" s="84"/>
      <c r="W669" s="84"/>
      <c r="X669" s="86"/>
    </row>
    <row r="670" ht="15.0" customHeight="1">
      <c r="A670" s="81"/>
      <c r="B670" s="51"/>
      <c r="C670" s="51"/>
      <c r="D670" s="50"/>
      <c r="E670" s="50"/>
      <c r="F670" s="50"/>
      <c r="G670" s="50"/>
      <c r="H670" s="50"/>
      <c r="I670" s="82"/>
      <c r="J670" s="83"/>
      <c r="K670" s="83"/>
      <c r="L670" s="84"/>
      <c r="M670" s="84"/>
      <c r="N670" s="84"/>
      <c r="O670" s="85"/>
      <c r="P670" s="84"/>
      <c r="Q670" s="84"/>
      <c r="R670" s="84"/>
      <c r="S670" s="84"/>
      <c r="T670" s="84"/>
      <c r="U670" s="84"/>
      <c r="V670" s="84"/>
      <c r="W670" s="84"/>
      <c r="X670" s="86"/>
    </row>
    <row r="671" ht="15.0" customHeight="1">
      <c r="A671" s="81"/>
      <c r="B671" s="51"/>
      <c r="C671" s="51"/>
      <c r="D671" s="50"/>
      <c r="E671" s="50"/>
      <c r="F671" s="50"/>
      <c r="G671" s="50"/>
      <c r="H671" s="50"/>
      <c r="I671" s="82"/>
      <c r="J671" s="83"/>
      <c r="K671" s="83"/>
      <c r="L671" s="84"/>
      <c r="M671" s="84"/>
      <c r="N671" s="84"/>
      <c r="O671" s="85"/>
      <c r="P671" s="84"/>
      <c r="Q671" s="84"/>
      <c r="R671" s="84"/>
      <c r="S671" s="84"/>
      <c r="T671" s="84"/>
      <c r="U671" s="84"/>
      <c r="V671" s="84"/>
      <c r="W671" s="84"/>
      <c r="X671" s="86"/>
    </row>
    <row r="672" ht="15.0" customHeight="1">
      <c r="A672" s="81"/>
      <c r="B672" s="51"/>
      <c r="C672" s="51"/>
      <c r="D672" s="50"/>
      <c r="E672" s="50"/>
      <c r="F672" s="50"/>
      <c r="G672" s="50"/>
      <c r="H672" s="50"/>
      <c r="I672" s="82"/>
      <c r="J672" s="83"/>
      <c r="K672" s="83"/>
      <c r="L672" s="84"/>
      <c r="M672" s="84"/>
      <c r="N672" s="84"/>
      <c r="O672" s="85"/>
      <c r="P672" s="84"/>
      <c r="Q672" s="84"/>
      <c r="R672" s="84"/>
      <c r="S672" s="84"/>
      <c r="T672" s="84"/>
      <c r="U672" s="84"/>
      <c r="V672" s="84"/>
      <c r="W672" s="84"/>
      <c r="X672" s="86"/>
    </row>
    <row r="673" ht="15.0" customHeight="1">
      <c r="A673" s="81"/>
      <c r="B673" s="51"/>
      <c r="C673" s="51"/>
      <c r="D673" s="50"/>
      <c r="E673" s="50"/>
      <c r="F673" s="50"/>
      <c r="G673" s="50"/>
      <c r="H673" s="50"/>
      <c r="I673" s="82"/>
      <c r="J673" s="83"/>
      <c r="K673" s="83"/>
      <c r="L673" s="84"/>
      <c r="M673" s="84"/>
      <c r="N673" s="84"/>
      <c r="O673" s="85"/>
      <c r="P673" s="84"/>
      <c r="Q673" s="84"/>
      <c r="R673" s="84"/>
      <c r="S673" s="84"/>
      <c r="T673" s="84"/>
      <c r="U673" s="84"/>
      <c r="V673" s="84"/>
      <c r="W673" s="84"/>
      <c r="X673" s="86"/>
    </row>
    <row r="674" ht="15.0" customHeight="1">
      <c r="A674" s="81"/>
      <c r="B674" s="51"/>
      <c r="C674" s="51"/>
      <c r="D674" s="50"/>
      <c r="E674" s="50"/>
      <c r="F674" s="50"/>
      <c r="G674" s="50"/>
      <c r="H674" s="50"/>
      <c r="I674" s="82"/>
      <c r="J674" s="83"/>
      <c r="K674" s="83"/>
      <c r="L674" s="84"/>
      <c r="M674" s="84"/>
      <c r="N674" s="84"/>
      <c r="O674" s="85"/>
      <c r="P674" s="84"/>
      <c r="Q674" s="84"/>
      <c r="R674" s="84"/>
      <c r="S674" s="84"/>
      <c r="T674" s="84"/>
      <c r="U674" s="84"/>
      <c r="V674" s="84"/>
      <c r="W674" s="84"/>
      <c r="X674" s="86"/>
    </row>
    <row r="675" ht="15.0" customHeight="1">
      <c r="A675" s="81"/>
      <c r="B675" s="51"/>
      <c r="C675" s="51"/>
      <c r="D675" s="50"/>
      <c r="E675" s="50"/>
      <c r="F675" s="50"/>
      <c r="G675" s="50"/>
      <c r="H675" s="50"/>
      <c r="I675" s="82"/>
      <c r="J675" s="83"/>
      <c r="K675" s="83"/>
      <c r="L675" s="84"/>
      <c r="M675" s="84"/>
      <c r="N675" s="84"/>
      <c r="O675" s="85"/>
      <c r="P675" s="84"/>
      <c r="Q675" s="84"/>
      <c r="R675" s="84"/>
      <c r="S675" s="84"/>
      <c r="T675" s="84"/>
      <c r="U675" s="84"/>
      <c r="V675" s="84"/>
      <c r="W675" s="84"/>
      <c r="X675" s="86"/>
    </row>
    <row r="676" ht="15.0" customHeight="1">
      <c r="A676" s="81"/>
      <c r="B676" s="51"/>
      <c r="C676" s="51"/>
      <c r="D676" s="50"/>
      <c r="E676" s="50"/>
      <c r="F676" s="50"/>
      <c r="G676" s="50"/>
      <c r="H676" s="50"/>
      <c r="I676" s="82"/>
      <c r="J676" s="83"/>
      <c r="K676" s="83"/>
      <c r="L676" s="84"/>
      <c r="M676" s="84"/>
      <c r="N676" s="84"/>
      <c r="O676" s="85"/>
      <c r="P676" s="84"/>
      <c r="Q676" s="84"/>
      <c r="R676" s="84"/>
      <c r="S676" s="84"/>
      <c r="T676" s="84"/>
      <c r="U676" s="84"/>
      <c r="V676" s="84"/>
      <c r="W676" s="84"/>
      <c r="X676" s="86"/>
    </row>
    <row r="677" ht="15.0" customHeight="1">
      <c r="A677" s="81"/>
      <c r="B677" s="51"/>
      <c r="C677" s="51"/>
      <c r="D677" s="50"/>
      <c r="E677" s="50"/>
      <c r="F677" s="50"/>
      <c r="G677" s="50"/>
      <c r="H677" s="50"/>
      <c r="I677" s="82"/>
      <c r="J677" s="83"/>
      <c r="K677" s="83"/>
      <c r="L677" s="84"/>
      <c r="M677" s="84"/>
      <c r="N677" s="84"/>
      <c r="O677" s="85"/>
      <c r="P677" s="84"/>
      <c r="Q677" s="84"/>
      <c r="R677" s="84"/>
      <c r="S677" s="84"/>
      <c r="T677" s="84"/>
      <c r="U677" s="84"/>
      <c r="V677" s="84"/>
      <c r="W677" s="84"/>
      <c r="X677" s="86"/>
    </row>
    <row r="678" ht="15.0" customHeight="1">
      <c r="A678" s="81"/>
      <c r="B678" s="51"/>
      <c r="C678" s="51"/>
      <c r="D678" s="50"/>
      <c r="E678" s="50"/>
      <c r="F678" s="50"/>
      <c r="G678" s="50"/>
      <c r="H678" s="50"/>
      <c r="I678" s="82"/>
      <c r="J678" s="83"/>
      <c r="K678" s="83"/>
      <c r="L678" s="84"/>
      <c r="M678" s="84"/>
      <c r="N678" s="84"/>
      <c r="O678" s="85"/>
      <c r="P678" s="84"/>
      <c r="Q678" s="84"/>
      <c r="R678" s="84"/>
      <c r="S678" s="84"/>
      <c r="T678" s="84"/>
      <c r="U678" s="84"/>
      <c r="V678" s="84"/>
      <c r="W678" s="84"/>
      <c r="X678" s="86"/>
    </row>
    <row r="679" ht="15.0" customHeight="1">
      <c r="A679" s="81"/>
      <c r="B679" s="51"/>
      <c r="C679" s="51"/>
      <c r="D679" s="50"/>
      <c r="E679" s="50"/>
      <c r="F679" s="50"/>
      <c r="G679" s="50"/>
      <c r="H679" s="50"/>
      <c r="I679" s="82"/>
      <c r="J679" s="83"/>
      <c r="K679" s="83"/>
      <c r="L679" s="84"/>
      <c r="M679" s="84"/>
      <c r="N679" s="84"/>
      <c r="O679" s="85"/>
      <c r="P679" s="84"/>
      <c r="Q679" s="84"/>
      <c r="R679" s="84"/>
      <c r="S679" s="84"/>
      <c r="T679" s="84"/>
      <c r="U679" s="84"/>
      <c r="V679" s="84"/>
      <c r="W679" s="84"/>
      <c r="X679" s="86"/>
    </row>
    <row r="680" ht="15.0" customHeight="1">
      <c r="A680" s="81"/>
      <c r="B680" s="51"/>
      <c r="C680" s="51"/>
      <c r="D680" s="50"/>
      <c r="E680" s="50"/>
      <c r="F680" s="50"/>
      <c r="G680" s="50"/>
      <c r="H680" s="50"/>
      <c r="I680" s="82"/>
      <c r="J680" s="83"/>
      <c r="K680" s="83"/>
      <c r="L680" s="84"/>
      <c r="M680" s="84"/>
      <c r="N680" s="84"/>
      <c r="O680" s="85"/>
      <c r="P680" s="84"/>
      <c r="Q680" s="84"/>
      <c r="R680" s="84"/>
      <c r="S680" s="84"/>
      <c r="T680" s="84"/>
      <c r="U680" s="84"/>
      <c r="V680" s="84"/>
      <c r="W680" s="84"/>
      <c r="X680" s="86"/>
    </row>
    <row r="681" ht="15.0" customHeight="1">
      <c r="A681" s="81"/>
      <c r="B681" s="51"/>
      <c r="C681" s="51"/>
      <c r="D681" s="50"/>
      <c r="E681" s="50"/>
      <c r="F681" s="50"/>
      <c r="G681" s="50"/>
      <c r="H681" s="50"/>
      <c r="I681" s="82"/>
      <c r="J681" s="83"/>
      <c r="K681" s="83"/>
      <c r="L681" s="84"/>
      <c r="M681" s="84"/>
      <c r="N681" s="84"/>
      <c r="O681" s="85"/>
      <c r="P681" s="84"/>
      <c r="Q681" s="84"/>
      <c r="R681" s="84"/>
      <c r="S681" s="84"/>
      <c r="T681" s="84"/>
      <c r="U681" s="84"/>
      <c r="V681" s="84"/>
      <c r="W681" s="84"/>
      <c r="X681" s="86"/>
    </row>
    <row r="682" ht="15.0" customHeight="1">
      <c r="A682" s="81"/>
      <c r="B682" s="51"/>
      <c r="C682" s="51"/>
      <c r="D682" s="50"/>
      <c r="E682" s="50"/>
      <c r="F682" s="50"/>
      <c r="G682" s="50"/>
      <c r="H682" s="50"/>
      <c r="I682" s="82"/>
      <c r="J682" s="83"/>
      <c r="K682" s="83"/>
      <c r="L682" s="84"/>
      <c r="M682" s="84"/>
      <c r="N682" s="84"/>
      <c r="O682" s="85"/>
      <c r="P682" s="84"/>
      <c r="Q682" s="84"/>
      <c r="R682" s="84"/>
      <c r="S682" s="84"/>
      <c r="T682" s="84"/>
      <c r="U682" s="84"/>
      <c r="V682" s="84"/>
      <c r="W682" s="84"/>
      <c r="X682" s="86"/>
    </row>
    <row r="683" ht="15.0" customHeight="1">
      <c r="A683" s="81"/>
      <c r="B683" s="51"/>
      <c r="C683" s="51"/>
      <c r="D683" s="50"/>
      <c r="E683" s="50"/>
      <c r="F683" s="50"/>
      <c r="G683" s="50"/>
      <c r="H683" s="50"/>
      <c r="I683" s="82"/>
      <c r="J683" s="83"/>
      <c r="K683" s="83"/>
      <c r="L683" s="84"/>
      <c r="M683" s="84"/>
      <c r="N683" s="84"/>
      <c r="O683" s="85"/>
      <c r="P683" s="84"/>
      <c r="Q683" s="84"/>
      <c r="R683" s="84"/>
      <c r="S683" s="84"/>
      <c r="T683" s="84"/>
      <c r="U683" s="84"/>
      <c r="V683" s="84"/>
      <c r="W683" s="84"/>
      <c r="X683" s="86"/>
    </row>
    <row r="684" ht="15.0" customHeight="1">
      <c r="A684" s="81"/>
      <c r="B684" s="51"/>
      <c r="C684" s="51"/>
      <c r="D684" s="50"/>
      <c r="E684" s="50"/>
      <c r="F684" s="50"/>
      <c r="G684" s="50"/>
      <c r="H684" s="50"/>
      <c r="I684" s="82"/>
      <c r="J684" s="83"/>
      <c r="K684" s="83"/>
      <c r="L684" s="84"/>
      <c r="M684" s="84"/>
      <c r="N684" s="84"/>
      <c r="O684" s="85"/>
      <c r="P684" s="84"/>
      <c r="Q684" s="84"/>
      <c r="R684" s="84"/>
      <c r="S684" s="84"/>
      <c r="T684" s="84"/>
      <c r="U684" s="84"/>
      <c r="V684" s="84"/>
      <c r="W684" s="84"/>
      <c r="X684" s="86"/>
    </row>
    <row r="685" ht="15.0" customHeight="1">
      <c r="A685" s="81"/>
      <c r="B685" s="51"/>
      <c r="C685" s="51"/>
      <c r="D685" s="50"/>
      <c r="E685" s="50"/>
      <c r="F685" s="50"/>
      <c r="G685" s="50"/>
      <c r="H685" s="50"/>
      <c r="I685" s="82"/>
      <c r="J685" s="83"/>
      <c r="K685" s="83"/>
      <c r="L685" s="84"/>
      <c r="M685" s="84"/>
      <c r="N685" s="84"/>
      <c r="O685" s="85"/>
      <c r="P685" s="84"/>
      <c r="Q685" s="84"/>
      <c r="R685" s="84"/>
      <c r="S685" s="84"/>
      <c r="T685" s="84"/>
      <c r="U685" s="84"/>
      <c r="V685" s="84"/>
      <c r="W685" s="84"/>
      <c r="X685" s="86"/>
    </row>
    <row r="686" ht="15.0" customHeight="1">
      <c r="A686" s="81"/>
      <c r="B686" s="51"/>
      <c r="C686" s="51"/>
      <c r="D686" s="50"/>
      <c r="E686" s="50"/>
      <c r="F686" s="50"/>
      <c r="G686" s="50"/>
      <c r="H686" s="50"/>
      <c r="I686" s="82"/>
      <c r="J686" s="83"/>
      <c r="K686" s="83"/>
      <c r="L686" s="84"/>
      <c r="M686" s="84"/>
      <c r="N686" s="84"/>
      <c r="O686" s="85"/>
      <c r="P686" s="84"/>
      <c r="Q686" s="84"/>
      <c r="R686" s="84"/>
      <c r="S686" s="84"/>
      <c r="T686" s="84"/>
      <c r="U686" s="84"/>
      <c r="V686" s="84"/>
      <c r="W686" s="84"/>
      <c r="X686" s="86"/>
    </row>
    <row r="687" ht="15.0" customHeight="1">
      <c r="A687" s="81"/>
      <c r="B687" s="51"/>
      <c r="C687" s="51"/>
      <c r="D687" s="50"/>
      <c r="E687" s="50"/>
      <c r="F687" s="50"/>
      <c r="G687" s="50"/>
      <c r="H687" s="50"/>
      <c r="I687" s="82"/>
      <c r="J687" s="83"/>
      <c r="K687" s="83"/>
      <c r="L687" s="84"/>
      <c r="M687" s="84"/>
      <c r="N687" s="84"/>
      <c r="O687" s="85"/>
      <c r="P687" s="84"/>
      <c r="Q687" s="84"/>
      <c r="R687" s="84"/>
      <c r="S687" s="84"/>
      <c r="T687" s="84"/>
      <c r="U687" s="84"/>
      <c r="V687" s="84"/>
      <c r="W687" s="84"/>
      <c r="X687" s="86"/>
    </row>
    <row r="688" ht="15.0" customHeight="1">
      <c r="A688" s="81"/>
      <c r="B688" s="51"/>
      <c r="C688" s="51"/>
      <c r="D688" s="50"/>
      <c r="E688" s="50"/>
      <c r="F688" s="50"/>
      <c r="G688" s="50"/>
      <c r="H688" s="50"/>
      <c r="I688" s="82"/>
      <c r="J688" s="83"/>
      <c r="K688" s="83"/>
      <c r="L688" s="84"/>
      <c r="M688" s="84"/>
      <c r="N688" s="84"/>
      <c r="O688" s="85"/>
      <c r="P688" s="84"/>
      <c r="Q688" s="84"/>
      <c r="R688" s="84"/>
      <c r="S688" s="84"/>
      <c r="T688" s="84"/>
      <c r="U688" s="84"/>
      <c r="V688" s="84"/>
      <c r="W688" s="84"/>
      <c r="X688" s="86"/>
    </row>
    <row r="689" ht="15.0" customHeight="1">
      <c r="A689" s="81"/>
      <c r="B689" s="51"/>
      <c r="C689" s="51"/>
      <c r="D689" s="50"/>
      <c r="E689" s="50"/>
      <c r="F689" s="50"/>
      <c r="G689" s="50"/>
      <c r="H689" s="50"/>
      <c r="I689" s="82"/>
      <c r="J689" s="83"/>
      <c r="K689" s="83"/>
      <c r="L689" s="84"/>
      <c r="M689" s="84"/>
      <c r="N689" s="84"/>
      <c r="O689" s="85"/>
      <c r="P689" s="84"/>
      <c r="Q689" s="84"/>
      <c r="R689" s="84"/>
      <c r="S689" s="84"/>
      <c r="T689" s="84"/>
      <c r="U689" s="84"/>
      <c r="V689" s="84"/>
      <c r="W689" s="84"/>
      <c r="X689" s="86"/>
    </row>
    <row r="690" ht="15.0" customHeight="1">
      <c r="A690" s="81"/>
      <c r="B690" s="51"/>
      <c r="C690" s="51"/>
      <c r="D690" s="50"/>
      <c r="E690" s="50"/>
      <c r="F690" s="50"/>
      <c r="G690" s="50"/>
      <c r="H690" s="50"/>
      <c r="I690" s="82"/>
      <c r="J690" s="83"/>
      <c r="K690" s="83"/>
      <c r="L690" s="84"/>
      <c r="M690" s="84"/>
      <c r="N690" s="84"/>
      <c r="O690" s="85"/>
      <c r="P690" s="84"/>
      <c r="Q690" s="84"/>
      <c r="R690" s="84"/>
      <c r="S690" s="84"/>
      <c r="T690" s="84"/>
      <c r="U690" s="84"/>
      <c r="V690" s="84"/>
      <c r="W690" s="84"/>
      <c r="X690" s="86"/>
    </row>
    <row r="691" ht="15.0" customHeight="1">
      <c r="A691" s="81"/>
      <c r="B691" s="51"/>
      <c r="C691" s="51"/>
      <c r="D691" s="50"/>
      <c r="E691" s="50"/>
      <c r="F691" s="50"/>
      <c r="G691" s="50"/>
      <c r="H691" s="50"/>
      <c r="I691" s="82"/>
      <c r="J691" s="83"/>
      <c r="K691" s="83"/>
      <c r="L691" s="84"/>
      <c r="M691" s="84"/>
      <c r="N691" s="84"/>
      <c r="O691" s="85"/>
      <c r="P691" s="84"/>
      <c r="Q691" s="84"/>
      <c r="R691" s="84"/>
      <c r="S691" s="84"/>
      <c r="T691" s="84"/>
      <c r="U691" s="84"/>
      <c r="V691" s="84"/>
      <c r="W691" s="84"/>
      <c r="X691" s="86"/>
    </row>
    <row r="692" ht="15.0" customHeight="1">
      <c r="A692" s="81"/>
      <c r="B692" s="51"/>
      <c r="C692" s="51"/>
      <c r="D692" s="50"/>
      <c r="E692" s="50"/>
      <c r="F692" s="50"/>
      <c r="G692" s="50"/>
      <c r="H692" s="50"/>
      <c r="I692" s="82"/>
      <c r="J692" s="83"/>
      <c r="K692" s="83"/>
      <c r="L692" s="84"/>
      <c r="M692" s="84"/>
      <c r="N692" s="84"/>
      <c r="O692" s="85"/>
      <c r="P692" s="84"/>
      <c r="Q692" s="84"/>
      <c r="R692" s="84"/>
      <c r="S692" s="84"/>
      <c r="T692" s="84"/>
      <c r="U692" s="84"/>
      <c r="V692" s="84"/>
      <c r="W692" s="84"/>
      <c r="X692" s="86"/>
    </row>
    <row r="693" ht="15.0" customHeight="1">
      <c r="A693" s="81"/>
      <c r="B693" s="51"/>
      <c r="C693" s="51"/>
      <c r="D693" s="50"/>
      <c r="E693" s="50"/>
      <c r="F693" s="50"/>
      <c r="G693" s="50"/>
      <c r="H693" s="50"/>
      <c r="I693" s="82"/>
      <c r="J693" s="83"/>
      <c r="K693" s="83"/>
      <c r="L693" s="84"/>
      <c r="M693" s="84"/>
      <c r="N693" s="84"/>
      <c r="O693" s="85"/>
      <c r="P693" s="84"/>
      <c r="Q693" s="84"/>
      <c r="R693" s="84"/>
      <c r="S693" s="84"/>
      <c r="T693" s="84"/>
      <c r="U693" s="84"/>
      <c r="V693" s="84"/>
      <c r="W693" s="84"/>
      <c r="X693" s="86"/>
    </row>
    <row r="694" ht="15.0" customHeight="1">
      <c r="A694" s="81"/>
      <c r="B694" s="51"/>
      <c r="C694" s="51"/>
      <c r="D694" s="50"/>
      <c r="E694" s="50"/>
      <c r="F694" s="50"/>
      <c r="G694" s="50"/>
      <c r="H694" s="50"/>
      <c r="I694" s="82"/>
      <c r="J694" s="83"/>
      <c r="K694" s="83"/>
      <c r="L694" s="84"/>
      <c r="M694" s="84"/>
      <c r="N694" s="84"/>
      <c r="O694" s="85"/>
      <c r="P694" s="84"/>
      <c r="Q694" s="84"/>
      <c r="R694" s="84"/>
      <c r="S694" s="84"/>
      <c r="T694" s="84"/>
      <c r="U694" s="84"/>
      <c r="V694" s="84"/>
      <c r="W694" s="84"/>
      <c r="X694" s="86"/>
    </row>
    <row r="695" ht="15.0" customHeight="1">
      <c r="A695" s="81"/>
      <c r="B695" s="51"/>
      <c r="C695" s="51"/>
      <c r="D695" s="50"/>
      <c r="E695" s="50"/>
      <c r="F695" s="50"/>
      <c r="G695" s="50"/>
      <c r="H695" s="50"/>
      <c r="I695" s="82"/>
      <c r="J695" s="83"/>
      <c r="K695" s="83"/>
      <c r="L695" s="84"/>
      <c r="M695" s="84"/>
      <c r="N695" s="84"/>
      <c r="O695" s="85"/>
      <c r="P695" s="84"/>
      <c r="Q695" s="84"/>
      <c r="R695" s="84"/>
      <c r="S695" s="84"/>
      <c r="T695" s="84"/>
      <c r="U695" s="84"/>
      <c r="V695" s="84"/>
      <c r="W695" s="84"/>
      <c r="X695" s="86"/>
    </row>
    <row r="696" ht="15.0" customHeight="1">
      <c r="A696" s="81"/>
      <c r="B696" s="51"/>
      <c r="C696" s="51"/>
      <c r="D696" s="50"/>
      <c r="E696" s="50"/>
      <c r="F696" s="50"/>
      <c r="G696" s="50"/>
      <c r="H696" s="50"/>
      <c r="I696" s="82"/>
      <c r="J696" s="83"/>
      <c r="K696" s="83"/>
      <c r="L696" s="84"/>
      <c r="M696" s="84"/>
      <c r="N696" s="84"/>
      <c r="O696" s="85"/>
      <c r="P696" s="84"/>
      <c r="Q696" s="84"/>
      <c r="R696" s="84"/>
      <c r="S696" s="84"/>
      <c r="T696" s="84"/>
      <c r="U696" s="84"/>
      <c r="V696" s="84"/>
      <c r="W696" s="84"/>
      <c r="X696" s="86"/>
    </row>
    <row r="697" ht="15.0" customHeight="1">
      <c r="A697" s="81"/>
      <c r="B697" s="51"/>
      <c r="C697" s="51"/>
      <c r="D697" s="50"/>
      <c r="E697" s="50"/>
      <c r="F697" s="50"/>
      <c r="G697" s="50"/>
      <c r="H697" s="50"/>
      <c r="I697" s="82"/>
      <c r="J697" s="83"/>
      <c r="K697" s="83"/>
      <c r="L697" s="84"/>
      <c r="M697" s="84"/>
      <c r="N697" s="84"/>
      <c r="O697" s="85"/>
      <c r="P697" s="84"/>
      <c r="Q697" s="84"/>
      <c r="R697" s="84"/>
      <c r="S697" s="84"/>
      <c r="T697" s="84"/>
      <c r="U697" s="84"/>
      <c r="V697" s="84"/>
      <c r="W697" s="84"/>
      <c r="X697" s="86"/>
    </row>
    <row r="698" ht="15.0" customHeight="1">
      <c r="A698" s="81"/>
      <c r="B698" s="51"/>
      <c r="C698" s="51"/>
      <c r="D698" s="50"/>
      <c r="E698" s="50"/>
      <c r="F698" s="50"/>
      <c r="G698" s="50"/>
      <c r="H698" s="50"/>
      <c r="I698" s="82"/>
      <c r="J698" s="83"/>
      <c r="K698" s="83"/>
      <c r="L698" s="84"/>
      <c r="M698" s="84"/>
      <c r="N698" s="84"/>
      <c r="O698" s="85"/>
      <c r="P698" s="84"/>
      <c r="Q698" s="84"/>
      <c r="R698" s="84"/>
      <c r="S698" s="84"/>
      <c r="T698" s="84"/>
      <c r="U698" s="84"/>
      <c r="V698" s="84"/>
      <c r="W698" s="84"/>
      <c r="X698" s="86"/>
    </row>
    <row r="699" ht="15.0" customHeight="1">
      <c r="A699" s="81"/>
      <c r="B699" s="51"/>
      <c r="C699" s="51"/>
      <c r="D699" s="50"/>
      <c r="E699" s="50"/>
      <c r="F699" s="50"/>
      <c r="G699" s="50"/>
      <c r="H699" s="50"/>
      <c r="I699" s="82"/>
      <c r="J699" s="83"/>
      <c r="K699" s="83"/>
      <c r="L699" s="84"/>
      <c r="M699" s="84"/>
      <c r="N699" s="84"/>
      <c r="O699" s="85"/>
      <c r="P699" s="84"/>
      <c r="Q699" s="84"/>
      <c r="R699" s="84"/>
      <c r="S699" s="84"/>
      <c r="T699" s="84"/>
      <c r="U699" s="84"/>
      <c r="V699" s="84"/>
      <c r="W699" s="84"/>
      <c r="X699" s="86"/>
    </row>
    <row r="700" ht="15.0" customHeight="1">
      <c r="A700" s="81"/>
      <c r="B700" s="51"/>
      <c r="C700" s="51"/>
      <c r="D700" s="50"/>
      <c r="E700" s="50"/>
      <c r="F700" s="50"/>
      <c r="G700" s="50"/>
      <c r="H700" s="50"/>
      <c r="I700" s="82"/>
      <c r="J700" s="83"/>
      <c r="K700" s="83"/>
      <c r="L700" s="84"/>
      <c r="M700" s="84"/>
      <c r="N700" s="84"/>
      <c r="O700" s="85"/>
      <c r="P700" s="84"/>
      <c r="Q700" s="84"/>
      <c r="R700" s="84"/>
      <c r="S700" s="84"/>
      <c r="T700" s="84"/>
      <c r="U700" s="84"/>
      <c r="V700" s="84"/>
      <c r="W700" s="84"/>
      <c r="X700" s="86"/>
    </row>
    <row r="701" ht="15.0" customHeight="1">
      <c r="A701" s="81"/>
      <c r="B701" s="51"/>
      <c r="C701" s="51"/>
      <c r="D701" s="50"/>
      <c r="E701" s="50"/>
      <c r="F701" s="50"/>
      <c r="G701" s="50"/>
      <c r="H701" s="50"/>
      <c r="I701" s="82"/>
      <c r="J701" s="83"/>
      <c r="K701" s="83"/>
      <c r="L701" s="84"/>
      <c r="M701" s="84"/>
      <c r="N701" s="84"/>
      <c r="O701" s="85"/>
      <c r="P701" s="84"/>
      <c r="Q701" s="84"/>
      <c r="R701" s="84"/>
      <c r="S701" s="84"/>
      <c r="T701" s="84"/>
      <c r="U701" s="84"/>
      <c r="V701" s="84"/>
      <c r="W701" s="84"/>
      <c r="X701" s="86"/>
    </row>
    <row r="702" ht="15.0" customHeight="1">
      <c r="A702" s="81"/>
      <c r="B702" s="51"/>
      <c r="C702" s="51"/>
      <c r="D702" s="50"/>
      <c r="E702" s="50"/>
      <c r="F702" s="50"/>
      <c r="G702" s="50"/>
      <c r="H702" s="50"/>
      <c r="I702" s="82"/>
      <c r="J702" s="83"/>
      <c r="K702" s="83"/>
      <c r="L702" s="84"/>
      <c r="M702" s="84"/>
      <c r="N702" s="84"/>
      <c r="O702" s="85"/>
      <c r="P702" s="84"/>
      <c r="Q702" s="84"/>
      <c r="R702" s="84"/>
      <c r="S702" s="84"/>
      <c r="T702" s="84"/>
      <c r="U702" s="84"/>
      <c r="V702" s="84"/>
      <c r="W702" s="84"/>
      <c r="X702" s="86"/>
    </row>
    <row r="703" ht="15.0" customHeight="1">
      <c r="A703" s="81"/>
      <c r="B703" s="51"/>
      <c r="C703" s="51"/>
      <c r="D703" s="50"/>
      <c r="E703" s="50"/>
      <c r="F703" s="50"/>
      <c r="G703" s="50"/>
      <c r="H703" s="50"/>
      <c r="I703" s="82"/>
      <c r="J703" s="83"/>
      <c r="K703" s="83"/>
      <c r="L703" s="84"/>
      <c r="M703" s="84"/>
      <c r="N703" s="84"/>
      <c r="O703" s="85"/>
      <c r="P703" s="84"/>
      <c r="Q703" s="84"/>
      <c r="R703" s="84"/>
      <c r="S703" s="84"/>
      <c r="T703" s="84"/>
      <c r="U703" s="84"/>
      <c r="V703" s="84"/>
      <c r="W703" s="84"/>
      <c r="X703" s="86"/>
    </row>
    <row r="704" ht="15.0" customHeight="1">
      <c r="A704" s="81"/>
      <c r="B704" s="51"/>
      <c r="C704" s="51"/>
      <c r="D704" s="50"/>
      <c r="E704" s="50"/>
      <c r="F704" s="50"/>
      <c r="G704" s="50"/>
      <c r="H704" s="50"/>
      <c r="I704" s="82"/>
      <c r="J704" s="83"/>
      <c r="K704" s="83"/>
      <c r="L704" s="84"/>
      <c r="M704" s="84"/>
      <c r="N704" s="84"/>
      <c r="O704" s="85"/>
      <c r="P704" s="84"/>
      <c r="Q704" s="84"/>
      <c r="R704" s="84"/>
      <c r="S704" s="84"/>
      <c r="T704" s="84"/>
      <c r="U704" s="84"/>
      <c r="V704" s="84"/>
      <c r="W704" s="84"/>
      <c r="X704" s="86"/>
    </row>
    <row r="705" ht="15.0" customHeight="1">
      <c r="A705" s="81"/>
      <c r="B705" s="51"/>
      <c r="C705" s="51"/>
      <c r="D705" s="50"/>
      <c r="E705" s="50"/>
      <c r="F705" s="50"/>
      <c r="G705" s="50"/>
      <c r="H705" s="50"/>
      <c r="I705" s="82"/>
      <c r="J705" s="83"/>
      <c r="K705" s="83"/>
      <c r="L705" s="84"/>
      <c r="M705" s="84"/>
      <c r="N705" s="84"/>
      <c r="O705" s="85"/>
      <c r="P705" s="84"/>
      <c r="Q705" s="84"/>
      <c r="R705" s="84"/>
      <c r="S705" s="84"/>
      <c r="T705" s="84"/>
      <c r="U705" s="84"/>
      <c r="V705" s="84"/>
      <c r="W705" s="84"/>
      <c r="X705" s="86"/>
    </row>
    <row r="706" ht="15.0" customHeight="1">
      <c r="A706" s="81"/>
      <c r="B706" s="51"/>
      <c r="C706" s="51"/>
      <c r="D706" s="50"/>
      <c r="E706" s="50"/>
      <c r="F706" s="50"/>
      <c r="G706" s="50"/>
      <c r="H706" s="50"/>
      <c r="I706" s="82"/>
      <c r="J706" s="83"/>
      <c r="K706" s="83"/>
      <c r="L706" s="84"/>
      <c r="M706" s="84"/>
      <c r="N706" s="84"/>
      <c r="O706" s="85"/>
      <c r="P706" s="84"/>
      <c r="Q706" s="84"/>
      <c r="R706" s="84"/>
      <c r="S706" s="84"/>
      <c r="T706" s="84"/>
      <c r="U706" s="84"/>
      <c r="V706" s="84"/>
      <c r="W706" s="84"/>
      <c r="X706" s="86"/>
    </row>
    <row r="707" ht="15.0" customHeight="1">
      <c r="A707" s="81"/>
      <c r="B707" s="51"/>
      <c r="C707" s="51"/>
      <c r="D707" s="50"/>
      <c r="E707" s="50"/>
      <c r="F707" s="50"/>
      <c r="G707" s="50"/>
      <c r="H707" s="50"/>
      <c r="I707" s="82"/>
      <c r="J707" s="83"/>
      <c r="K707" s="83"/>
      <c r="L707" s="84"/>
      <c r="M707" s="84"/>
      <c r="N707" s="84"/>
      <c r="O707" s="85"/>
      <c r="P707" s="84"/>
      <c r="Q707" s="84"/>
      <c r="R707" s="84"/>
      <c r="S707" s="84"/>
      <c r="T707" s="84"/>
      <c r="U707" s="84"/>
      <c r="V707" s="84"/>
      <c r="W707" s="84"/>
      <c r="X707" s="86"/>
    </row>
    <row r="708" ht="15.0" customHeight="1">
      <c r="A708" s="81"/>
      <c r="B708" s="51"/>
      <c r="C708" s="51"/>
      <c r="D708" s="50"/>
      <c r="E708" s="50"/>
      <c r="F708" s="50"/>
      <c r="G708" s="50"/>
      <c r="H708" s="50"/>
      <c r="I708" s="82"/>
      <c r="J708" s="83"/>
      <c r="K708" s="83"/>
      <c r="L708" s="84"/>
      <c r="M708" s="84"/>
      <c r="N708" s="84"/>
      <c r="O708" s="85"/>
      <c r="P708" s="84"/>
      <c r="Q708" s="84"/>
      <c r="R708" s="84"/>
      <c r="S708" s="84"/>
      <c r="T708" s="84"/>
      <c r="U708" s="84"/>
      <c r="V708" s="84"/>
      <c r="W708" s="84"/>
      <c r="X708" s="86"/>
    </row>
    <row r="709" ht="15.0" customHeight="1">
      <c r="A709" s="81"/>
      <c r="B709" s="51"/>
      <c r="C709" s="51"/>
      <c r="D709" s="50"/>
      <c r="E709" s="50"/>
      <c r="F709" s="50"/>
      <c r="G709" s="50"/>
      <c r="H709" s="50"/>
      <c r="I709" s="82"/>
      <c r="J709" s="83"/>
      <c r="K709" s="83"/>
      <c r="L709" s="84"/>
      <c r="M709" s="84"/>
      <c r="N709" s="84"/>
      <c r="O709" s="85"/>
      <c r="P709" s="84"/>
      <c r="Q709" s="84"/>
      <c r="R709" s="84"/>
      <c r="S709" s="84"/>
      <c r="T709" s="84"/>
      <c r="U709" s="84"/>
      <c r="V709" s="84"/>
      <c r="W709" s="84"/>
      <c r="X709" s="86"/>
    </row>
    <row r="710" ht="15.0" customHeight="1">
      <c r="A710" s="81"/>
      <c r="B710" s="51"/>
      <c r="C710" s="51"/>
      <c r="D710" s="50"/>
      <c r="E710" s="50"/>
      <c r="F710" s="50"/>
      <c r="G710" s="50"/>
      <c r="H710" s="50"/>
      <c r="I710" s="82"/>
      <c r="J710" s="83"/>
      <c r="K710" s="83"/>
      <c r="L710" s="84"/>
      <c r="M710" s="84"/>
      <c r="N710" s="84"/>
      <c r="O710" s="85"/>
      <c r="P710" s="84"/>
      <c r="Q710" s="84"/>
      <c r="R710" s="84"/>
      <c r="S710" s="84"/>
      <c r="T710" s="84"/>
      <c r="U710" s="84"/>
      <c r="V710" s="84"/>
      <c r="W710" s="84"/>
      <c r="X710" s="86"/>
    </row>
    <row r="711" ht="15.0" customHeight="1">
      <c r="A711" s="81"/>
      <c r="B711" s="51"/>
      <c r="C711" s="51"/>
      <c r="D711" s="50"/>
      <c r="E711" s="50"/>
      <c r="F711" s="50"/>
      <c r="G711" s="50"/>
      <c r="H711" s="50"/>
      <c r="I711" s="82"/>
      <c r="J711" s="83"/>
      <c r="K711" s="83"/>
      <c r="L711" s="84"/>
      <c r="M711" s="84"/>
      <c r="N711" s="84"/>
      <c r="O711" s="85"/>
      <c r="P711" s="84"/>
      <c r="Q711" s="84"/>
      <c r="R711" s="84"/>
      <c r="S711" s="84"/>
      <c r="T711" s="84"/>
      <c r="U711" s="84"/>
      <c r="V711" s="84"/>
      <c r="W711" s="84"/>
      <c r="X711" s="86"/>
    </row>
    <row r="712" ht="15.0" customHeight="1">
      <c r="A712" s="81"/>
      <c r="B712" s="51"/>
      <c r="C712" s="51"/>
      <c r="D712" s="50"/>
      <c r="E712" s="50"/>
      <c r="F712" s="50"/>
      <c r="G712" s="50"/>
      <c r="H712" s="50"/>
      <c r="I712" s="82"/>
      <c r="J712" s="83"/>
      <c r="K712" s="83"/>
      <c r="L712" s="84"/>
      <c r="M712" s="84"/>
      <c r="N712" s="84"/>
      <c r="O712" s="85"/>
      <c r="P712" s="84"/>
      <c r="Q712" s="84"/>
      <c r="R712" s="84"/>
      <c r="S712" s="84"/>
      <c r="T712" s="84"/>
      <c r="U712" s="84"/>
      <c r="V712" s="84"/>
      <c r="W712" s="84"/>
      <c r="X712" s="86"/>
    </row>
    <row r="713" ht="15.0" customHeight="1">
      <c r="A713" s="81"/>
      <c r="B713" s="51"/>
      <c r="C713" s="51"/>
      <c r="D713" s="50"/>
      <c r="E713" s="50"/>
      <c r="F713" s="50"/>
      <c r="G713" s="50"/>
      <c r="H713" s="50"/>
      <c r="I713" s="82"/>
      <c r="J713" s="83"/>
      <c r="K713" s="83"/>
      <c r="L713" s="84"/>
      <c r="M713" s="84"/>
      <c r="N713" s="84"/>
      <c r="O713" s="85"/>
      <c r="P713" s="84"/>
      <c r="Q713" s="84"/>
      <c r="R713" s="84"/>
      <c r="S713" s="84"/>
      <c r="T713" s="84"/>
      <c r="U713" s="84"/>
      <c r="V713" s="84"/>
      <c r="W713" s="84"/>
      <c r="X713" s="86"/>
    </row>
    <row r="714" ht="15.0" customHeight="1">
      <c r="A714" s="81"/>
      <c r="B714" s="51"/>
      <c r="C714" s="51"/>
      <c r="D714" s="50"/>
      <c r="E714" s="50"/>
      <c r="F714" s="50"/>
      <c r="G714" s="50"/>
      <c r="H714" s="50"/>
      <c r="I714" s="82"/>
      <c r="J714" s="83"/>
      <c r="K714" s="83"/>
      <c r="L714" s="84"/>
      <c r="M714" s="84"/>
      <c r="N714" s="84"/>
      <c r="O714" s="85"/>
      <c r="P714" s="84"/>
      <c r="Q714" s="84"/>
      <c r="R714" s="84"/>
      <c r="S714" s="84"/>
      <c r="T714" s="84"/>
      <c r="U714" s="84"/>
      <c r="V714" s="84"/>
      <c r="W714" s="84"/>
      <c r="X714" s="86"/>
    </row>
    <row r="715" ht="15.0" customHeight="1">
      <c r="A715" s="81"/>
      <c r="B715" s="51"/>
      <c r="C715" s="51"/>
      <c r="D715" s="50"/>
      <c r="E715" s="50"/>
      <c r="F715" s="50"/>
      <c r="G715" s="50"/>
      <c r="H715" s="50"/>
      <c r="I715" s="82"/>
      <c r="J715" s="83"/>
      <c r="K715" s="83"/>
      <c r="L715" s="84"/>
      <c r="M715" s="84"/>
      <c r="N715" s="84"/>
      <c r="O715" s="85"/>
      <c r="P715" s="84"/>
      <c r="Q715" s="84"/>
      <c r="R715" s="84"/>
      <c r="S715" s="84"/>
      <c r="T715" s="84"/>
      <c r="U715" s="84"/>
      <c r="V715" s="84"/>
      <c r="W715" s="84"/>
      <c r="X715" s="86"/>
    </row>
    <row r="716" ht="15.0" customHeight="1">
      <c r="A716" s="81"/>
      <c r="B716" s="51"/>
      <c r="C716" s="51"/>
      <c r="D716" s="50"/>
      <c r="E716" s="50"/>
      <c r="F716" s="50"/>
      <c r="G716" s="50"/>
      <c r="H716" s="50"/>
      <c r="I716" s="82"/>
      <c r="J716" s="83"/>
      <c r="K716" s="83"/>
      <c r="L716" s="84"/>
      <c r="M716" s="84"/>
      <c r="N716" s="84"/>
      <c r="O716" s="85"/>
      <c r="P716" s="84"/>
      <c r="Q716" s="84"/>
      <c r="R716" s="84"/>
      <c r="S716" s="84"/>
      <c r="T716" s="84"/>
      <c r="U716" s="84"/>
      <c r="V716" s="84"/>
      <c r="W716" s="84"/>
      <c r="X716" s="86"/>
    </row>
    <row r="717" ht="15.0" customHeight="1">
      <c r="A717" s="81"/>
      <c r="B717" s="51"/>
      <c r="C717" s="51"/>
      <c r="D717" s="50"/>
      <c r="E717" s="50"/>
      <c r="F717" s="50"/>
      <c r="G717" s="50"/>
      <c r="H717" s="50"/>
      <c r="I717" s="82"/>
      <c r="J717" s="83"/>
      <c r="K717" s="83"/>
      <c r="L717" s="84"/>
      <c r="M717" s="84"/>
      <c r="N717" s="84"/>
      <c r="O717" s="85"/>
      <c r="P717" s="84"/>
      <c r="Q717" s="84"/>
      <c r="R717" s="84"/>
      <c r="S717" s="84"/>
      <c r="T717" s="84"/>
      <c r="U717" s="84"/>
      <c r="V717" s="84"/>
      <c r="W717" s="84"/>
      <c r="X717" s="86"/>
    </row>
    <row r="718" ht="15.0" customHeight="1">
      <c r="A718" s="81"/>
      <c r="B718" s="51"/>
      <c r="C718" s="51"/>
      <c r="D718" s="50"/>
      <c r="E718" s="50"/>
      <c r="F718" s="50"/>
      <c r="G718" s="50"/>
      <c r="H718" s="50"/>
      <c r="I718" s="82"/>
      <c r="J718" s="83"/>
      <c r="K718" s="83"/>
      <c r="L718" s="84"/>
      <c r="M718" s="84"/>
      <c r="N718" s="84"/>
      <c r="O718" s="85"/>
      <c r="P718" s="84"/>
      <c r="Q718" s="84"/>
      <c r="R718" s="84"/>
      <c r="S718" s="84"/>
      <c r="T718" s="84"/>
      <c r="U718" s="84"/>
      <c r="V718" s="84"/>
      <c r="W718" s="84"/>
      <c r="X718" s="86"/>
    </row>
    <row r="719" ht="15.0" customHeight="1">
      <c r="A719" s="81"/>
      <c r="B719" s="51"/>
      <c r="C719" s="51"/>
      <c r="D719" s="50"/>
      <c r="E719" s="50"/>
      <c r="F719" s="50"/>
      <c r="G719" s="50"/>
      <c r="H719" s="50"/>
      <c r="I719" s="82"/>
      <c r="J719" s="83"/>
      <c r="K719" s="83"/>
      <c r="L719" s="84"/>
      <c r="M719" s="84"/>
      <c r="N719" s="84"/>
      <c r="O719" s="85"/>
      <c r="P719" s="84"/>
      <c r="Q719" s="84"/>
      <c r="R719" s="84"/>
      <c r="S719" s="84"/>
      <c r="T719" s="84"/>
      <c r="U719" s="84"/>
      <c r="V719" s="84"/>
      <c r="W719" s="84"/>
      <c r="X719" s="86"/>
    </row>
    <row r="720" ht="15.0" customHeight="1">
      <c r="A720" s="81"/>
      <c r="B720" s="51"/>
      <c r="C720" s="51"/>
      <c r="D720" s="50"/>
      <c r="E720" s="50"/>
      <c r="F720" s="50"/>
      <c r="G720" s="50"/>
      <c r="H720" s="50"/>
      <c r="I720" s="82"/>
      <c r="J720" s="83"/>
      <c r="K720" s="83"/>
      <c r="L720" s="84"/>
      <c r="M720" s="84"/>
      <c r="N720" s="84"/>
      <c r="O720" s="85"/>
      <c r="P720" s="84"/>
      <c r="Q720" s="84"/>
      <c r="R720" s="84"/>
      <c r="S720" s="84"/>
      <c r="T720" s="84"/>
      <c r="U720" s="84"/>
      <c r="V720" s="84"/>
      <c r="W720" s="84"/>
      <c r="X720" s="86"/>
    </row>
    <row r="721" ht="15.0" customHeight="1">
      <c r="A721" s="81"/>
      <c r="B721" s="51"/>
      <c r="C721" s="51"/>
      <c r="D721" s="50"/>
      <c r="E721" s="50"/>
      <c r="F721" s="50"/>
      <c r="G721" s="50"/>
      <c r="H721" s="50"/>
      <c r="I721" s="82"/>
      <c r="J721" s="83"/>
      <c r="K721" s="83"/>
      <c r="L721" s="84"/>
      <c r="M721" s="84"/>
      <c r="N721" s="84"/>
      <c r="O721" s="85"/>
      <c r="P721" s="84"/>
      <c r="Q721" s="84"/>
      <c r="R721" s="84"/>
      <c r="S721" s="84"/>
      <c r="T721" s="84"/>
      <c r="U721" s="84"/>
      <c r="V721" s="84"/>
      <c r="W721" s="84"/>
      <c r="X721" s="86"/>
    </row>
    <row r="722" ht="15.0" customHeight="1">
      <c r="A722" s="81"/>
      <c r="B722" s="51"/>
      <c r="C722" s="51"/>
      <c r="D722" s="50"/>
      <c r="E722" s="50"/>
      <c r="F722" s="50"/>
      <c r="G722" s="50"/>
      <c r="H722" s="50"/>
      <c r="I722" s="82"/>
      <c r="J722" s="83"/>
      <c r="K722" s="83"/>
      <c r="L722" s="84"/>
      <c r="M722" s="84"/>
      <c r="N722" s="84"/>
      <c r="O722" s="85"/>
      <c r="P722" s="84"/>
      <c r="Q722" s="84"/>
      <c r="R722" s="84"/>
      <c r="S722" s="84"/>
      <c r="T722" s="84"/>
      <c r="U722" s="84"/>
      <c r="V722" s="84"/>
      <c r="W722" s="84"/>
      <c r="X722" s="86"/>
    </row>
    <row r="723" ht="15.0" customHeight="1">
      <c r="A723" s="81"/>
      <c r="B723" s="51"/>
      <c r="C723" s="51"/>
      <c r="D723" s="50"/>
      <c r="E723" s="50"/>
      <c r="F723" s="50"/>
      <c r="G723" s="50"/>
      <c r="H723" s="50"/>
      <c r="I723" s="82"/>
      <c r="J723" s="83"/>
      <c r="K723" s="83"/>
      <c r="L723" s="84"/>
      <c r="M723" s="84"/>
      <c r="N723" s="84"/>
      <c r="O723" s="85"/>
      <c r="P723" s="84"/>
      <c r="Q723" s="84"/>
      <c r="R723" s="84"/>
      <c r="S723" s="84"/>
      <c r="T723" s="84"/>
      <c r="U723" s="84"/>
      <c r="V723" s="84"/>
      <c r="W723" s="84"/>
      <c r="X723" s="86"/>
    </row>
    <row r="724" ht="15.0" customHeight="1">
      <c r="A724" s="81"/>
      <c r="B724" s="51"/>
      <c r="C724" s="51"/>
      <c r="D724" s="50"/>
      <c r="E724" s="50"/>
      <c r="F724" s="50"/>
      <c r="G724" s="50"/>
      <c r="H724" s="50"/>
      <c r="I724" s="82"/>
      <c r="J724" s="83"/>
      <c r="K724" s="83"/>
      <c r="L724" s="84"/>
      <c r="M724" s="84"/>
      <c r="N724" s="84"/>
      <c r="O724" s="85"/>
      <c r="P724" s="84"/>
      <c r="Q724" s="84"/>
      <c r="R724" s="84"/>
      <c r="S724" s="84"/>
      <c r="T724" s="84"/>
      <c r="U724" s="84"/>
      <c r="V724" s="84"/>
      <c r="W724" s="84"/>
      <c r="X724" s="86"/>
    </row>
    <row r="725" ht="15.0" customHeight="1">
      <c r="A725" s="81"/>
      <c r="B725" s="51"/>
      <c r="C725" s="51"/>
      <c r="D725" s="50"/>
      <c r="E725" s="50"/>
      <c r="F725" s="50"/>
      <c r="G725" s="50"/>
      <c r="H725" s="50"/>
      <c r="I725" s="82"/>
      <c r="J725" s="83"/>
      <c r="K725" s="83"/>
      <c r="L725" s="84"/>
      <c r="M725" s="84"/>
      <c r="N725" s="84"/>
      <c r="O725" s="85"/>
      <c r="P725" s="84"/>
      <c r="Q725" s="84"/>
      <c r="R725" s="84"/>
      <c r="S725" s="84"/>
      <c r="T725" s="84"/>
      <c r="U725" s="84"/>
      <c r="V725" s="84"/>
      <c r="W725" s="84"/>
      <c r="X725" s="86"/>
    </row>
    <row r="726" ht="15.0" customHeight="1">
      <c r="A726" s="81"/>
      <c r="B726" s="51"/>
      <c r="C726" s="51"/>
      <c r="D726" s="50"/>
      <c r="E726" s="50"/>
      <c r="F726" s="50"/>
      <c r="G726" s="50"/>
      <c r="H726" s="50"/>
      <c r="I726" s="82"/>
      <c r="J726" s="83"/>
      <c r="K726" s="83"/>
      <c r="L726" s="84"/>
      <c r="M726" s="84"/>
      <c r="N726" s="84"/>
      <c r="O726" s="85"/>
      <c r="P726" s="84"/>
      <c r="Q726" s="84"/>
      <c r="R726" s="84"/>
      <c r="S726" s="84"/>
      <c r="T726" s="84"/>
      <c r="U726" s="84"/>
      <c r="V726" s="84"/>
      <c r="W726" s="84"/>
      <c r="X726" s="86"/>
    </row>
    <row r="727" ht="15.0" customHeight="1">
      <c r="A727" s="81"/>
      <c r="B727" s="51"/>
      <c r="C727" s="51"/>
      <c r="D727" s="50"/>
      <c r="E727" s="50"/>
      <c r="F727" s="50"/>
      <c r="G727" s="50"/>
      <c r="H727" s="50"/>
      <c r="I727" s="82"/>
      <c r="J727" s="83"/>
      <c r="K727" s="83"/>
      <c r="L727" s="84"/>
      <c r="M727" s="84"/>
      <c r="N727" s="84"/>
      <c r="O727" s="85"/>
      <c r="P727" s="84"/>
      <c r="Q727" s="84"/>
      <c r="R727" s="84"/>
      <c r="S727" s="84"/>
      <c r="T727" s="84"/>
      <c r="U727" s="84"/>
      <c r="V727" s="84"/>
      <c r="W727" s="84"/>
      <c r="X727" s="86"/>
    </row>
    <row r="728" ht="15.0" customHeight="1">
      <c r="A728" s="81"/>
      <c r="B728" s="51"/>
      <c r="C728" s="51"/>
      <c r="D728" s="50"/>
      <c r="E728" s="50"/>
      <c r="F728" s="50"/>
      <c r="G728" s="50"/>
      <c r="H728" s="50"/>
      <c r="I728" s="82"/>
      <c r="J728" s="83"/>
      <c r="K728" s="83"/>
      <c r="L728" s="84"/>
      <c r="M728" s="84"/>
      <c r="N728" s="84"/>
      <c r="O728" s="85"/>
      <c r="P728" s="84"/>
      <c r="Q728" s="84"/>
      <c r="R728" s="84"/>
      <c r="S728" s="84"/>
      <c r="T728" s="84"/>
      <c r="U728" s="84"/>
      <c r="V728" s="84"/>
      <c r="W728" s="84"/>
      <c r="X728" s="86"/>
    </row>
    <row r="729" ht="15.0" customHeight="1">
      <c r="A729" s="81"/>
      <c r="B729" s="51"/>
      <c r="C729" s="51"/>
      <c r="D729" s="50"/>
      <c r="E729" s="50"/>
      <c r="F729" s="50"/>
      <c r="G729" s="50"/>
      <c r="H729" s="50"/>
      <c r="I729" s="82"/>
      <c r="J729" s="83"/>
      <c r="K729" s="83"/>
      <c r="L729" s="84"/>
      <c r="M729" s="84"/>
      <c r="N729" s="84"/>
      <c r="O729" s="85"/>
      <c r="P729" s="84"/>
      <c r="Q729" s="84"/>
      <c r="R729" s="84"/>
      <c r="S729" s="84"/>
      <c r="T729" s="84"/>
      <c r="U729" s="84"/>
      <c r="V729" s="84"/>
      <c r="W729" s="84"/>
      <c r="X729" s="86"/>
    </row>
    <row r="730" ht="15.0" customHeight="1">
      <c r="A730" s="81"/>
      <c r="B730" s="51"/>
      <c r="C730" s="51"/>
      <c r="D730" s="50"/>
      <c r="E730" s="50"/>
      <c r="F730" s="50"/>
      <c r="G730" s="50"/>
      <c r="H730" s="50"/>
      <c r="I730" s="82"/>
      <c r="J730" s="83"/>
      <c r="K730" s="83"/>
      <c r="L730" s="84"/>
      <c r="M730" s="84"/>
      <c r="N730" s="84"/>
      <c r="O730" s="85"/>
      <c r="P730" s="84"/>
      <c r="Q730" s="84"/>
      <c r="R730" s="84"/>
      <c r="S730" s="84"/>
      <c r="T730" s="84"/>
      <c r="U730" s="84"/>
      <c r="V730" s="84"/>
      <c r="W730" s="84"/>
      <c r="X730" s="86"/>
    </row>
    <row r="731" ht="15.0" customHeight="1">
      <c r="A731" s="81"/>
      <c r="B731" s="51"/>
      <c r="C731" s="51"/>
      <c r="D731" s="50"/>
      <c r="E731" s="50"/>
      <c r="F731" s="50"/>
      <c r="G731" s="50"/>
      <c r="H731" s="50"/>
      <c r="I731" s="82"/>
      <c r="J731" s="83"/>
      <c r="K731" s="83"/>
      <c r="L731" s="84"/>
      <c r="M731" s="84"/>
      <c r="N731" s="84"/>
      <c r="O731" s="85"/>
      <c r="P731" s="84"/>
      <c r="Q731" s="84"/>
      <c r="R731" s="84"/>
      <c r="S731" s="84"/>
      <c r="T731" s="84"/>
      <c r="U731" s="84"/>
      <c r="V731" s="84"/>
      <c r="W731" s="84"/>
      <c r="X731" s="86"/>
    </row>
    <row r="732" ht="15.0" customHeight="1">
      <c r="A732" s="81"/>
      <c r="B732" s="51"/>
      <c r="C732" s="51"/>
      <c r="D732" s="50"/>
      <c r="E732" s="50"/>
      <c r="F732" s="50"/>
      <c r="G732" s="50"/>
      <c r="H732" s="50"/>
      <c r="I732" s="82"/>
      <c r="J732" s="83"/>
      <c r="K732" s="83"/>
      <c r="L732" s="84"/>
      <c r="M732" s="84"/>
      <c r="N732" s="84"/>
      <c r="O732" s="85"/>
      <c r="P732" s="84"/>
      <c r="Q732" s="84"/>
      <c r="R732" s="84"/>
      <c r="S732" s="84"/>
      <c r="T732" s="84"/>
      <c r="U732" s="84"/>
      <c r="V732" s="84"/>
      <c r="W732" s="84"/>
      <c r="X732" s="86"/>
    </row>
    <row r="733" ht="15.0" customHeight="1">
      <c r="A733" s="81"/>
      <c r="B733" s="51"/>
      <c r="C733" s="51"/>
      <c r="D733" s="50"/>
      <c r="E733" s="50"/>
      <c r="F733" s="50"/>
      <c r="G733" s="50"/>
      <c r="H733" s="50"/>
      <c r="I733" s="82"/>
      <c r="J733" s="83"/>
      <c r="K733" s="83"/>
      <c r="L733" s="84"/>
      <c r="M733" s="84"/>
      <c r="N733" s="84"/>
      <c r="O733" s="85"/>
      <c r="P733" s="84"/>
      <c r="Q733" s="84"/>
      <c r="R733" s="84"/>
      <c r="S733" s="84"/>
      <c r="T733" s="84"/>
      <c r="U733" s="84"/>
      <c r="V733" s="84"/>
      <c r="W733" s="84"/>
      <c r="X733" s="86"/>
    </row>
    <row r="734" ht="15.0" customHeight="1">
      <c r="A734" s="81"/>
      <c r="B734" s="51"/>
      <c r="C734" s="51"/>
      <c r="D734" s="50"/>
      <c r="E734" s="50"/>
      <c r="F734" s="50"/>
      <c r="G734" s="50"/>
      <c r="H734" s="50"/>
      <c r="I734" s="82"/>
      <c r="J734" s="83"/>
      <c r="K734" s="83"/>
      <c r="L734" s="84"/>
      <c r="M734" s="84"/>
      <c r="N734" s="84"/>
      <c r="O734" s="85"/>
      <c r="P734" s="84"/>
      <c r="Q734" s="84"/>
      <c r="R734" s="84"/>
      <c r="S734" s="84"/>
      <c r="T734" s="84"/>
      <c r="U734" s="84"/>
      <c r="V734" s="84"/>
      <c r="W734" s="84"/>
      <c r="X734" s="86"/>
    </row>
    <row r="735" ht="15.0" customHeight="1">
      <c r="A735" s="81"/>
      <c r="B735" s="51"/>
      <c r="C735" s="51"/>
      <c r="D735" s="50"/>
      <c r="E735" s="50"/>
      <c r="F735" s="50"/>
      <c r="G735" s="50"/>
      <c r="H735" s="50"/>
      <c r="I735" s="82"/>
      <c r="J735" s="83"/>
      <c r="K735" s="83"/>
      <c r="L735" s="84"/>
      <c r="M735" s="84"/>
      <c r="N735" s="84"/>
      <c r="O735" s="85"/>
      <c r="P735" s="84"/>
      <c r="Q735" s="84"/>
      <c r="R735" s="84"/>
      <c r="S735" s="84"/>
      <c r="T735" s="84"/>
      <c r="U735" s="84"/>
      <c r="V735" s="84"/>
      <c r="W735" s="84"/>
      <c r="X735" s="86"/>
    </row>
    <row r="736" ht="15.0" customHeight="1">
      <c r="A736" s="81"/>
      <c r="B736" s="51"/>
      <c r="C736" s="51"/>
      <c r="D736" s="50"/>
      <c r="E736" s="50"/>
      <c r="F736" s="50"/>
      <c r="G736" s="50"/>
      <c r="H736" s="50"/>
      <c r="I736" s="82"/>
      <c r="J736" s="83"/>
      <c r="K736" s="83"/>
      <c r="L736" s="84"/>
      <c r="M736" s="84"/>
      <c r="N736" s="84"/>
      <c r="O736" s="85"/>
      <c r="P736" s="84"/>
      <c r="Q736" s="84"/>
      <c r="R736" s="84"/>
      <c r="S736" s="84"/>
      <c r="T736" s="84"/>
      <c r="U736" s="84"/>
      <c r="V736" s="84"/>
      <c r="W736" s="84"/>
      <c r="X736" s="86"/>
    </row>
    <row r="737" ht="15.0" customHeight="1">
      <c r="A737" s="81"/>
      <c r="B737" s="51"/>
      <c r="C737" s="51"/>
      <c r="D737" s="50"/>
      <c r="E737" s="50"/>
      <c r="F737" s="50"/>
      <c r="G737" s="50"/>
      <c r="H737" s="50"/>
      <c r="I737" s="82"/>
      <c r="J737" s="83"/>
      <c r="K737" s="83"/>
      <c r="L737" s="84"/>
      <c r="M737" s="84"/>
      <c r="N737" s="84"/>
      <c r="O737" s="85"/>
      <c r="P737" s="84"/>
      <c r="Q737" s="84"/>
      <c r="R737" s="84"/>
      <c r="S737" s="84"/>
      <c r="T737" s="84"/>
      <c r="U737" s="84"/>
      <c r="V737" s="84"/>
      <c r="W737" s="84"/>
      <c r="X737" s="86"/>
    </row>
    <row r="738" ht="15.0" customHeight="1">
      <c r="A738" s="81"/>
      <c r="B738" s="51"/>
      <c r="C738" s="51"/>
      <c r="D738" s="50"/>
      <c r="E738" s="50"/>
      <c r="F738" s="50"/>
      <c r="G738" s="50"/>
      <c r="H738" s="50"/>
      <c r="I738" s="82"/>
      <c r="J738" s="83"/>
      <c r="K738" s="83"/>
      <c r="L738" s="84"/>
      <c r="M738" s="84"/>
      <c r="N738" s="84"/>
      <c r="O738" s="85"/>
      <c r="P738" s="84"/>
      <c r="Q738" s="84"/>
      <c r="R738" s="84"/>
      <c r="S738" s="84"/>
      <c r="T738" s="84"/>
      <c r="U738" s="84"/>
      <c r="V738" s="84"/>
      <c r="W738" s="84"/>
      <c r="X738" s="86"/>
    </row>
    <row r="739" ht="15.0" customHeight="1">
      <c r="A739" s="81"/>
      <c r="B739" s="51"/>
      <c r="C739" s="51"/>
      <c r="D739" s="50"/>
      <c r="E739" s="50"/>
      <c r="F739" s="50"/>
      <c r="G739" s="50"/>
      <c r="H739" s="50"/>
      <c r="I739" s="82"/>
      <c r="J739" s="83"/>
      <c r="K739" s="83"/>
      <c r="L739" s="84"/>
      <c r="M739" s="84"/>
      <c r="N739" s="84"/>
      <c r="O739" s="85"/>
      <c r="P739" s="84"/>
      <c r="Q739" s="84"/>
      <c r="R739" s="84"/>
      <c r="S739" s="84"/>
      <c r="T739" s="84"/>
      <c r="U739" s="84"/>
      <c r="V739" s="84"/>
      <c r="W739" s="84"/>
      <c r="X739" s="86"/>
    </row>
    <row r="740" ht="15.0" customHeight="1">
      <c r="A740" s="81"/>
      <c r="B740" s="51"/>
      <c r="C740" s="51"/>
      <c r="D740" s="50"/>
      <c r="E740" s="50"/>
      <c r="F740" s="50"/>
      <c r="G740" s="50"/>
      <c r="H740" s="50"/>
      <c r="I740" s="82"/>
      <c r="J740" s="83"/>
      <c r="K740" s="83"/>
      <c r="L740" s="84"/>
      <c r="M740" s="84"/>
      <c r="N740" s="84"/>
      <c r="O740" s="85"/>
      <c r="P740" s="84"/>
      <c r="Q740" s="84"/>
      <c r="R740" s="84"/>
      <c r="S740" s="84"/>
      <c r="T740" s="84"/>
      <c r="U740" s="84"/>
      <c r="V740" s="84"/>
      <c r="W740" s="84"/>
      <c r="X740" s="86"/>
    </row>
    <row r="741" ht="15.0" customHeight="1">
      <c r="A741" s="81"/>
      <c r="B741" s="51"/>
      <c r="C741" s="51"/>
      <c r="D741" s="50"/>
      <c r="E741" s="50"/>
      <c r="F741" s="50"/>
      <c r="G741" s="50"/>
      <c r="H741" s="50"/>
      <c r="I741" s="82"/>
      <c r="J741" s="83"/>
      <c r="K741" s="83"/>
      <c r="L741" s="84"/>
      <c r="M741" s="84"/>
      <c r="N741" s="84"/>
      <c r="O741" s="85"/>
      <c r="P741" s="84"/>
      <c r="Q741" s="84"/>
      <c r="R741" s="84"/>
      <c r="S741" s="84"/>
      <c r="T741" s="84"/>
      <c r="U741" s="84"/>
      <c r="V741" s="84"/>
      <c r="W741" s="84"/>
      <c r="X741" s="86"/>
    </row>
    <row r="742" ht="15.0" customHeight="1">
      <c r="A742" s="81"/>
      <c r="B742" s="51"/>
      <c r="C742" s="51"/>
      <c r="D742" s="50"/>
      <c r="E742" s="50"/>
      <c r="F742" s="50"/>
      <c r="G742" s="50"/>
      <c r="H742" s="50"/>
      <c r="I742" s="82"/>
      <c r="J742" s="83"/>
      <c r="K742" s="83"/>
      <c r="L742" s="84"/>
      <c r="M742" s="84"/>
      <c r="N742" s="84"/>
      <c r="O742" s="85"/>
      <c r="P742" s="84"/>
      <c r="Q742" s="84"/>
      <c r="R742" s="84"/>
      <c r="S742" s="84"/>
      <c r="T742" s="84"/>
      <c r="U742" s="84"/>
      <c r="V742" s="84"/>
      <c r="W742" s="84"/>
      <c r="X742" s="86"/>
    </row>
    <row r="743" ht="15.0" customHeight="1">
      <c r="A743" s="81"/>
      <c r="B743" s="51"/>
      <c r="C743" s="51"/>
      <c r="D743" s="50"/>
      <c r="E743" s="50"/>
      <c r="F743" s="50"/>
      <c r="G743" s="50"/>
      <c r="H743" s="50"/>
      <c r="I743" s="82"/>
      <c r="J743" s="83"/>
      <c r="K743" s="83"/>
      <c r="L743" s="84"/>
      <c r="M743" s="84"/>
      <c r="N743" s="84"/>
      <c r="O743" s="85"/>
      <c r="P743" s="84"/>
      <c r="Q743" s="84"/>
      <c r="R743" s="84"/>
      <c r="S743" s="84"/>
      <c r="T743" s="84"/>
      <c r="U743" s="84"/>
      <c r="V743" s="84"/>
      <c r="W743" s="84"/>
      <c r="X743" s="86"/>
    </row>
    <row r="744" ht="15.0" customHeight="1">
      <c r="A744" s="81"/>
      <c r="B744" s="51"/>
      <c r="C744" s="51"/>
      <c r="D744" s="50"/>
      <c r="E744" s="50"/>
      <c r="F744" s="50"/>
      <c r="G744" s="50"/>
      <c r="H744" s="50"/>
      <c r="I744" s="82"/>
      <c r="J744" s="83"/>
      <c r="K744" s="83"/>
      <c r="L744" s="84"/>
      <c r="M744" s="84"/>
      <c r="N744" s="84"/>
      <c r="O744" s="85"/>
      <c r="P744" s="84"/>
      <c r="Q744" s="84"/>
      <c r="R744" s="84"/>
      <c r="S744" s="84"/>
      <c r="T744" s="84"/>
      <c r="U744" s="84"/>
      <c r="V744" s="84"/>
      <c r="W744" s="84"/>
      <c r="X744" s="86"/>
    </row>
    <row r="745" ht="15.0" customHeight="1">
      <c r="A745" s="81"/>
      <c r="B745" s="51"/>
      <c r="C745" s="51"/>
      <c r="D745" s="50"/>
      <c r="E745" s="50"/>
      <c r="F745" s="50"/>
      <c r="G745" s="50"/>
      <c r="H745" s="50"/>
      <c r="I745" s="82"/>
      <c r="J745" s="83"/>
      <c r="K745" s="83"/>
      <c r="L745" s="84"/>
      <c r="M745" s="84"/>
      <c r="N745" s="84"/>
      <c r="O745" s="85"/>
      <c r="P745" s="84"/>
      <c r="Q745" s="84"/>
      <c r="R745" s="84"/>
      <c r="S745" s="84"/>
      <c r="T745" s="84"/>
      <c r="U745" s="84"/>
      <c r="V745" s="84"/>
      <c r="W745" s="84"/>
      <c r="X745" s="86"/>
    </row>
    <row r="746" ht="15.0" customHeight="1">
      <c r="A746" s="81"/>
      <c r="B746" s="51"/>
      <c r="C746" s="51"/>
      <c r="D746" s="50"/>
      <c r="E746" s="50"/>
      <c r="F746" s="50"/>
      <c r="G746" s="50"/>
      <c r="H746" s="50"/>
      <c r="I746" s="82"/>
      <c r="J746" s="83"/>
      <c r="K746" s="83"/>
      <c r="L746" s="84"/>
      <c r="M746" s="84"/>
      <c r="N746" s="84"/>
      <c r="O746" s="85"/>
      <c r="P746" s="84"/>
      <c r="Q746" s="84"/>
      <c r="R746" s="84"/>
      <c r="S746" s="84"/>
      <c r="T746" s="84"/>
      <c r="U746" s="84"/>
      <c r="V746" s="84"/>
      <c r="W746" s="84"/>
      <c r="X746" s="86"/>
    </row>
    <row r="747" ht="15.0" customHeight="1">
      <c r="A747" s="81"/>
      <c r="B747" s="51"/>
      <c r="C747" s="51"/>
      <c r="D747" s="50"/>
      <c r="E747" s="50"/>
      <c r="F747" s="50"/>
      <c r="G747" s="50"/>
      <c r="H747" s="50"/>
      <c r="I747" s="82"/>
      <c r="J747" s="83"/>
      <c r="K747" s="83"/>
      <c r="L747" s="84"/>
      <c r="M747" s="84"/>
      <c r="N747" s="84"/>
      <c r="O747" s="85"/>
      <c r="P747" s="84"/>
      <c r="Q747" s="84"/>
      <c r="R747" s="84"/>
      <c r="S747" s="84"/>
      <c r="T747" s="84"/>
      <c r="U747" s="84"/>
      <c r="V747" s="84"/>
      <c r="W747" s="84"/>
      <c r="X747" s="86"/>
    </row>
    <row r="748" ht="15.0" customHeight="1">
      <c r="A748" s="81"/>
      <c r="B748" s="51"/>
      <c r="C748" s="51"/>
      <c r="D748" s="50"/>
      <c r="E748" s="50"/>
      <c r="F748" s="50"/>
      <c r="G748" s="50"/>
      <c r="H748" s="50"/>
      <c r="I748" s="82"/>
      <c r="J748" s="83"/>
      <c r="K748" s="83"/>
      <c r="L748" s="84"/>
      <c r="M748" s="84"/>
      <c r="N748" s="84"/>
      <c r="O748" s="85"/>
      <c r="P748" s="84"/>
      <c r="Q748" s="84"/>
      <c r="R748" s="84"/>
      <c r="S748" s="84"/>
      <c r="T748" s="84"/>
      <c r="U748" s="84"/>
      <c r="V748" s="84"/>
      <c r="W748" s="84"/>
      <c r="X748" s="86"/>
    </row>
    <row r="749" ht="15.0" customHeight="1">
      <c r="A749" s="81"/>
      <c r="B749" s="51"/>
      <c r="C749" s="51"/>
      <c r="D749" s="50"/>
      <c r="E749" s="50"/>
      <c r="F749" s="50"/>
      <c r="G749" s="50"/>
      <c r="H749" s="50"/>
      <c r="I749" s="82"/>
      <c r="J749" s="83"/>
      <c r="K749" s="83"/>
      <c r="L749" s="84"/>
      <c r="M749" s="84"/>
      <c r="N749" s="84"/>
      <c r="O749" s="85"/>
      <c r="P749" s="84"/>
      <c r="Q749" s="84"/>
      <c r="R749" s="84"/>
      <c r="S749" s="84"/>
      <c r="T749" s="84"/>
      <c r="U749" s="84"/>
      <c r="V749" s="84"/>
      <c r="W749" s="84"/>
      <c r="X749" s="86"/>
    </row>
    <row r="750" ht="15.0" customHeight="1">
      <c r="A750" s="81"/>
      <c r="B750" s="51"/>
      <c r="C750" s="51"/>
      <c r="D750" s="50"/>
      <c r="E750" s="50"/>
      <c r="F750" s="50"/>
      <c r="G750" s="50"/>
      <c r="H750" s="50"/>
      <c r="I750" s="82"/>
      <c r="J750" s="83"/>
      <c r="K750" s="83"/>
      <c r="L750" s="84"/>
      <c r="M750" s="84"/>
      <c r="N750" s="84"/>
      <c r="O750" s="85"/>
      <c r="P750" s="84"/>
      <c r="Q750" s="84"/>
      <c r="R750" s="84"/>
      <c r="S750" s="84"/>
      <c r="T750" s="84"/>
      <c r="U750" s="84"/>
      <c r="V750" s="84"/>
      <c r="W750" s="84"/>
      <c r="X750" s="86"/>
    </row>
    <row r="751" ht="15.0" customHeight="1">
      <c r="A751" s="81"/>
      <c r="B751" s="51"/>
      <c r="C751" s="51"/>
      <c r="D751" s="50"/>
      <c r="E751" s="50"/>
      <c r="F751" s="50"/>
      <c r="G751" s="50"/>
      <c r="H751" s="50"/>
      <c r="I751" s="82"/>
      <c r="J751" s="83"/>
      <c r="K751" s="83"/>
      <c r="L751" s="84"/>
      <c r="M751" s="84"/>
      <c r="N751" s="84"/>
      <c r="O751" s="85"/>
      <c r="P751" s="84"/>
      <c r="Q751" s="84"/>
      <c r="R751" s="84"/>
      <c r="S751" s="84"/>
      <c r="T751" s="84"/>
      <c r="U751" s="84"/>
      <c r="V751" s="84"/>
      <c r="W751" s="84"/>
      <c r="X751" s="86"/>
    </row>
    <row r="752" ht="15.0" customHeight="1">
      <c r="A752" s="81"/>
      <c r="B752" s="51"/>
      <c r="C752" s="51"/>
      <c r="D752" s="50"/>
      <c r="E752" s="50"/>
      <c r="F752" s="50"/>
      <c r="G752" s="50"/>
      <c r="H752" s="50"/>
      <c r="I752" s="82"/>
      <c r="J752" s="83"/>
      <c r="K752" s="83"/>
      <c r="L752" s="84"/>
      <c r="M752" s="84"/>
      <c r="N752" s="84"/>
      <c r="O752" s="85"/>
      <c r="P752" s="84"/>
      <c r="Q752" s="84"/>
      <c r="R752" s="84"/>
      <c r="S752" s="84"/>
      <c r="T752" s="84"/>
      <c r="U752" s="84"/>
      <c r="V752" s="84"/>
      <c r="W752" s="84"/>
      <c r="X752" s="86"/>
    </row>
    <row r="753" ht="15.0" customHeight="1">
      <c r="A753" s="81"/>
      <c r="B753" s="51"/>
      <c r="C753" s="51"/>
      <c r="D753" s="50"/>
      <c r="E753" s="50"/>
      <c r="F753" s="50"/>
      <c r="G753" s="50"/>
      <c r="H753" s="50"/>
      <c r="I753" s="82"/>
      <c r="J753" s="83"/>
      <c r="K753" s="83"/>
      <c r="L753" s="84"/>
      <c r="M753" s="84"/>
      <c r="N753" s="84"/>
      <c r="O753" s="85"/>
      <c r="P753" s="84"/>
      <c r="Q753" s="84"/>
      <c r="R753" s="84"/>
      <c r="S753" s="84"/>
      <c r="T753" s="84"/>
      <c r="U753" s="84"/>
      <c r="V753" s="84"/>
      <c r="W753" s="84"/>
      <c r="X753" s="86"/>
    </row>
    <row r="754" ht="15.0" customHeight="1">
      <c r="A754" s="81"/>
      <c r="B754" s="51"/>
      <c r="C754" s="51"/>
      <c r="D754" s="50"/>
      <c r="E754" s="50"/>
      <c r="F754" s="50"/>
      <c r="G754" s="50"/>
      <c r="H754" s="50"/>
      <c r="I754" s="82"/>
      <c r="J754" s="83"/>
      <c r="K754" s="83"/>
      <c r="L754" s="84"/>
      <c r="M754" s="84"/>
      <c r="N754" s="84"/>
      <c r="O754" s="85"/>
      <c r="P754" s="84"/>
      <c r="Q754" s="84"/>
      <c r="R754" s="84"/>
      <c r="S754" s="84"/>
      <c r="T754" s="84"/>
      <c r="U754" s="84"/>
      <c r="V754" s="84"/>
      <c r="W754" s="84"/>
      <c r="X754" s="86"/>
    </row>
    <row r="755" ht="15.0" customHeight="1">
      <c r="A755" s="81"/>
      <c r="B755" s="51"/>
      <c r="C755" s="51"/>
      <c r="D755" s="50"/>
      <c r="E755" s="50"/>
      <c r="F755" s="50"/>
      <c r="G755" s="50"/>
      <c r="H755" s="50"/>
      <c r="I755" s="82"/>
      <c r="J755" s="83"/>
      <c r="K755" s="83"/>
      <c r="L755" s="84"/>
      <c r="M755" s="84"/>
      <c r="N755" s="84"/>
      <c r="O755" s="85"/>
      <c r="P755" s="84"/>
      <c r="Q755" s="84"/>
      <c r="R755" s="84"/>
      <c r="S755" s="84"/>
      <c r="T755" s="84"/>
      <c r="U755" s="84"/>
      <c r="V755" s="84"/>
      <c r="W755" s="84"/>
      <c r="X755" s="86"/>
    </row>
    <row r="756" ht="15.0" customHeight="1">
      <c r="A756" s="81"/>
      <c r="B756" s="51"/>
      <c r="C756" s="51"/>
      <c r="D756" s="50"/>
      <c r="E756" s="50"/>
      <c r="F756" s="50"/>
      <c r="G756" s="50"/>
      <c r="H756" s="50"/>
      <c r="I756" s="82"/>
      <c r="J756" s="83"/>
      <c r="K756" s="83"/>
      <c r="L756" s="84"/>
      <c r="M756" s="84"/>
      <c r="N756" s="84"/>
      <c r="O756" s="85"/>
      <c r="P756" s="84"/>
      <c r="Q756" s="84"/>
      <c r="R756" s="84"/>
      <c r="S756" s="84"/>
      <c r="T756" s="84"/>
      <c r="U756" s="84"/>
      <c r="V756" s="84"/>
      <c r="W756" s="84"/>
      <c r="X756" s="86"/>
    </row>
    <row r="757" ht="15.0" customHeight="1">
      <c r="A757" s="81"/>
      <c r="B757" s="51"/>
      <c r="C757" s="51"/>
      <c r="D757" s="50"/>
      <c r="E757" s="50"/>
      <c r="F757" s="50"/>
      <c r="G757" s="50"/>
      <c r="H757" s="50"/>
      <c r="I757" s="82"/>
      <c r="J757" s="83"/>
      <c r="K757" s="83"/>
      <c r="L757" s="84"/>
      <c r="M757" s="84"/>
      <c r="N757" s="84"/>
      <c r="O757" s="85"/>
      <c r="P757" s="84"/>
      <c r="Q757" s="84"/>
      <c r="R757" s="84"/>
      <c r="S757" s="84"/>
      <c r="T757" s="84"/>
      <c r="U757" s="84"/>
      <c r="V757" s="84"/>
      <c r="W757" s="84"/>
      <c r="X757" s="86"/>
    </row>
    <row r="758" ht="15.0" customHeight="1">
      <c r="A758" s="81"/>
      <c r="B758" s="51"/>
      <c r="C758" s="51"/>
      <c r="D758" s="50"/>
      <c r="E758" s="50"/>
      <c r="F758" s="50"/>
      <c r="G758" s="50"/>
      <c r="H758" s="50"/>
      <c r="I758" s="82"/>
      <c r="J758" s="83"/>
      <c r="K758" s="83"/>
      <c r="L758" s="84"/>
      <c r="M758" s="84"/>
      <c r="N758" s="84"/>
      <c r="O758" s="85"/>
      <c r="P758" s="84"/>
      <c r="Q758" s="84"/>
      <c r="R758" s="84"/>
      <c r="S758" s="84"/>
      <c r="T758" s="84"/>
      <c r="U758" s="84"/>
      <c r="V758" s="84"/>
      <c r="W758" s="84"/>
      <c r="X758" s="86"/>
    </row>
    <row r="759" ht="15.0" customHeight="1">
      <c r="A759" s="81"/>
      <c r="B759" s="51"/>
      <c r="C759" s="51"/>
      <c r="D759" s="50"/>
      <c r="E759" s="50"/>
      <c r="F759" s="50"/>
      <c r="G759" s="50"/>
      <c r="H759" s="50"/>
      <c r="I759" s="82"/>
      <c r="J759" s="83"/>
      <c r="K759" s="83"/>
      <c r="L759" s="84"/>
      <c r="M759" s="84"/>
      <c r="N759" s="84"/>
      <c r="O759" s="85"/>
      <c r="P759" s="84"/>
      <c r="Q759" s="84"/>
      <c r="R759" s="84"/>
      <c r="S759" s="84"/>
      <c r="T759" s="84"/>
      <c r="U759" s="84"/>
      <c r="V759" s="84"/>
      <c r="W759" s="84"/>
      <c r="X759" s="86"/>
    </row>
    <row r="760" ht="15.0" customHeight="1">
      <c r="A760" s="81"/>
      <c r="B760" s="51"/>
      <c r="C760" s="51"/>
      <c r="D760" s="50"/>
      <c r="E760" s="50"/>
      <c r="F760" s="50"/>
      <c r="G760" s="50"/>
      <c r="H760" s="50"/>
      <c r="I760" s="82"/>
      <c r="J760" s="83"/>
      <c r="K760" s="83"/>
      <c r="L760" s="84"/>
      <c r="M760" s="84"/>
      <c r="N760" s="84"/>
      <c r="O760" s="85"/>
      <c r="P760" s="84"/>
      <c r="Q760" s="84"/>
      <c r="R760" s="84"/>
      <c r="S760" s="84"/>
      <c r="T760" s="84"/>
      <c r="U760" s="84"/>
      <c r="V760" s="84"/>
      <c r="W760" s="84"/>
      <c r="X760" s="86"/>
    </row>
    <row r="761" ht="15.0" customHeight="1">
      <c r="A761" s="81"/>
      <c r="B761" s="51"/>
      <c r="C761" s="51"/>
      <c r="D761" s="50"/>
      <c r="E761" s="50"/>
      <c r="F761" s="50"/>
      <c r="G761" s="50"/>
      <c r="H761" s="50"/>
      <c r="I761" s="82"/>
      <c r="J761" s="83"/>
      <c r="K761" s="83"/>
      <c r="L761" s="84"/>
      <c r="M761" s="84"/>
      <c r="N761" s="84"/>
      <c r="O761" s="85"/>
      <c r="P761" s="84"/>
      <c r="Q761" s="84"/>
      <c r="R761" s="84"/>
      <c r="S761" s="84"/>
      <c r="T761" s="84"/>
      <c r="U761" s="84"/>
      <c r="V761" s="84"/>
      <c r="W761" s="84"/>
      <c r="X761" s="86"/>
    </row>
    <row r="762" ht="15.0" customHeight="1">
      <c r="A762" s="81"/>
      <c r="B762" s="51"/>
      <c r="C762" s="51"/>
      <c r="D762" s="50"/>
      <c r="E762" s="50"/>
      <c r="F762" s="50"/>
      <c r="G762" s="50"/>
      <c r="H762" s="50"/>
      <c r="I762" s="82"/>
      <c r="J762" s="83"/>
      <c r="K762" s="83"/>
      <c r="L762" s="84"/>
      <c r="M762" s="84"/>
      <c r="N762" s="84"/>
      <c r="O762" s="85"/>
      <c r="P762" s="84"/>
      <c r="Q762" s="84"/>
      <c r="R762" s="84"/>
      <c r="S762" s="84"/>
      <c r="T762" s="84"/>
      <c r="U762" s="84"/>
      <c r="V762" s="84"/>
      <c r="W762" s="84"/>
      <c r="X762" s="86"/>
    </row>
    <row r="763" ht="15.0" customHeight="1">
      <c r="A763" s="81"/>
      <c r="B763" s="51"/>
      <c r="C763" s="51"/>
      <c r="D763" s="50"/>
      <c r="E763" s="50"/>
      <c r="F763" s="50"/>
      <c r="G763" s="50"/>
      <c r="H763" s="50"/>
      <c r="I763" s="82"/>
      <c r="J763" s="83"/>
      <c r="K763" s="83"/>
      <c r="L763" s="84"/>
      <c r="M763" s="84"/>
      <c r="N763" s="84"/>
      <c r="O763" s="85"/>
      <c r="P763" s="84"/>
      <c r="Q763" s="84"/>
      <c r="R763" s="84"/>
      <c r="S763" s="84"/>
      <c r="T763" s="84"/>
      <c r="U763" s="84"/>
      <c r="V763" s="84"/>
      <c r="W763" s="84"/>
      <c r="X763" s="86"/>
    </row>
    <row r="764" ht="15.0" customHeight="1">
      <c r="A764" s="81"/>
      <c r="B764" s="51"/>
      <c r="C764" s="51"/>
      <c r="D764" s="50"/>
      <c r="E764" s="50"/>
      <c r="F764" s="50"/>
      <c r="G764" s="50"/>
      <c r="H764" s="50"/>
      <c r="I764" s="82"/>
      <c r="J764" s="83"/>
      <c r="K764" s="83"/>
      <c r="L764" s="84"/>
      <c r="M764" s="84"/>
      <c r="N764" s="84"/>
      <c r="O764" s="85"/>
      <c r="P764" s="84"/>
      <c r="Q764" s="84"/>
      <c r="R764" s="84"/>
      <c r="S764" s="84"/>
      <c r="T764" s="84"/>
      <c r="U764" s="84"/>
      <c r="V764" s="84"/>
      <c r="W764" s="84"/>
      <c r="X764" s="86"/>
    </row>
    <row r="765" ht="15.0" customHeight="1">
      <c r="A765" s="81"/>
      <c r="B765" s="51"/>
      <c r="C765" s="51"/>
      <c r="D765" s="50"/>
      <c r="E765" s="50"/>
      <c r="F765" s="50"/>
      <c r="G765" s="50"/>
      <c r="H765" s="50"/>
      <c r="I765" s="82"/>
      <c r="J765" s="83"/>
      <c r="K765" s="83"/>
      <c r="L765" s="84"/>
      <c r="M765" s="84"/>
      <c r="N765" s="84"/>
      <c r="O765" s="85"/>
      <c r="P765" s="84"/>
      <c r="Q765" s="84"/>
      <c r="R765" s="84"/>
      <c r="S765" s="84"/>
      <c r="T765" s="84"/>
      <c r="U765" s="84"/>
      <c r="V765" s="84"/>
      <c r="W765" s="84"/>
      <c r="X765" s="86"/>
    </row>
    <row r="766" ht="15.0" customHeight="1">
      <c r="A766" s="81"/>
      <c r="B766" s="51"/>
      <c r="C766" s="51"/>
      <c r="D766" s="50"/>
      <c r="E766" s="50"/>
      <c r="F766" s="50"/>
      <c r="G766" s="50"/>
      <c r="H766" s="50"/>
      <c r="I766" s="82"/>
      <c r="J766" s="83"/>
      <c r="K766" s="83"/>
      <c r="L766" s="84"/>
      <c r="M766" s="84"/>
      <c r="N766" s="84"/>
      <c r="O766" s="85"/>
      <c r="P766" s="84"/>
      <c r="Q766" s="84"/>
      <c r="R766" s="84"/>
      <c r="S766" s="84"/>
      <c r="T766" s="84"/>
      <c r="U766" s="84"/>
      <c r="V766" s="84"/>
      <c r="W766" s="84"/>
      <c r="X766" s="86"/>
    </row>
    <row r="767" ht="15.0" customHeight="1">
      <c r="A767" s="81"/>
      <c r="B767" s="51"/>
      <c r="C767" s="51"/>
      <c r="D767" s="50"/>
      <c r="E767" s="50"/>
      <c r="F767" s="50"/>
      <c r="G767" s="50"/>
      <c r="H767" s="50"/>
      <c r="I767" s="82"/>
      <c r="J767" s="83"/>
      <c r="K767" s="83"/>
      <c r="L767" s="84"/>
      <c r="M767" s="84"/>
      <c r="N767" s="84"/>
      <c r="O767" s="85"/>
      <c r="P767" s="84"/>
      <c r="Q767" s="84"/>
      <c r="R767" s="84"/>
      <c r="S767" s="84"/>
      <c r="T767" s="84"/>
      <c r="U767" s="84"/>
      <c r="V767" s="84"/>
      <c r="W767" s="84"/>
      <c r="X767" s="86"/>
    </row>
    <row r="768" ht="15.0" customHeight="1">
      <c r="A768" s="81"/>
      <c r="B768" s="51"/>
      <c r="C768" s="51"/>
      <c r="D768" s="50"/>
      <c r="E768" s="50"/>
      <c r="F768" s="50"/>
      <c r="G768" s="50"/>
      <c r="H768" s="50"/>
      <c r="I768" s="82"/>
      <c r="J768" s="83"/>
      <c r="K768" s="83"/>
      <c r="L768" s="84"/>
      <c r="M768" s="84"/>
      <c r="N768" s="84"/>
      <c r="O768" s="85"/>
      <c r="P768" s="84"/>
      <c r="Q768" s="84"/>
      <c r="R768" s="84"/>
      <c r="S768" s="84"/>
      <c r="T768" s="84"/>
      <c r="U768" s="84"/>
      <c r="V768" s="84"/>
      <c r="W768" s="84"/>
      <c r="X768" s="86"/>
    </row>
    <row r="769" ht="15.0" customHeight="1">
      <c r="A769" s="81"/>
      <c r="B769" s="51"/>
      <c r="C769" s="51"/>
      <c r="D769" s="50"/>
      <c r="E769" s="50"/>
      <c r="F769" s="50"/>
      <c r="G769" s="50"/>
      <c r="H769" s="50"/>
      <c r="I769" s="82"/>
      <c r="J769" s="83"/>
      <c r="K769" s="83"/>
      <c r="L769" s="84"/>
      <c r="M769" s="84"/>
      <c r="N769" s="84"/>
      <c r="O769" s="85"/>
      <c r="P769" s="84"/>
      <c r="Q769" s="84"/>
      <c r="R769" s="84"/>
      <c r="S769" s="84"/>
      <c r="T769" s="84"/>
      <c r="U769" s="84"/>
      <c r="V769" s="84"/>
      <c r="W769" s="84"/>
      <c r="X769" s="86"/>
    </row>
    <row r="770" ht="15.0" customHeight="1">
      <c r="A770" s="81"/>
      <c r="B770" s="51"/>
      <c r="C770" s="51"/>
      <c r="D770" s="50"/>
      <c r="E770" s="50"/>
      <c r="F770" s="50"/>
      <c r="G770" s="50"/>
      <c r="H770" s="50"/>
      <c r="I770" s="82"/>
      <c r="J770" s="83"/>
      <c r="K770" s="83"/>
      <c r="L770" s="84"/>
      <c r="M770" s="84"/>
      <c r="N770" s="84"/>
      <c r="O770" s="85"/>
      <c r="P770" s="84"/>
      <c r="Q770" s="84"/>
      <c r="R770" s="84"/>
      <c r="S770" s="84"/>
      <c r="T770" s="84"/>
      <c r="U770" s="84"/>
      <c r="V770" s="84"/>
      <c r="W770" s="84"/>
      <c r="X770" s="86"/>
    </row>
    <row r="771" ht="15.0" customHeight="1">
      <c r="A771" s="81"/>
      <c r="B771" s="51"/>
      <c r="C771" s="51"/>
      <c r="D771" s="50"/>
      <c r="E771" s="50"/>
      <c r="F771" s="50"/>
      <c r="G771" s="50"/>
      <c r="H771" s="50"/>
      <c r="I771" s="82"/>
      <c r="J771" s="83"/>
      <c r="K771" s="83"/>
      <c r="L771" s="84"/>
      <c r="M771" s="84"/>
      <c r="N771" s="84"/>
      <c r="O771" s="85"/>
      <c r="P771" s="84"/>
      <c r="Q771" s="84"/>
      <c r="R771" s="84"/>
      <c r="S771" s="84"/>
      <c r="T771" s="84"/>
      <c r="U771" s="84"/>
      <c r="V771" s="84"/>
      <c r="W771" s="84"/>
      <c r="X771" s="86"/>
    </row>
    <row r="772" ht="15.0" customHeight="1">
      <c r="A772" s="81"/>
      <c r="B772" s="51"/>
      <c r="C772" s="51"/>
      <c r="D772" s="50"/>
      <c r="E772" s="50"/>
      <c r="F772" s="50"/>
      <c r="G772" s="50"/>
      <c r="H772" s="50"/>
      <c r="I772" s="82"/>
      <c r="J772" s="83"/>
      <c r="K772" s="83"/>
      <c r="L772" s="84"/>
      <c r="M772" s="84"/>
      <c r="N772" s="84"/>
      <c r="O772" s="85"/>
      <c r="P772" s="84"/>
      <c r="Q772" s="84"/>
      <c r="R772" s="84"/>
      <c r="S772" s="84"/>
      <c r="T772" s="84"/>
      <c r="U772" s="84"/>
      <c r="V772" s="84"/>
      <c r="W772" s="84"/>
      <c r="X772" s="86"/>
    </row>
    <row r="773" ht="15.0" customHeight="1">
      <c r="A773" s="81"/>
      <c r="B773" s="51"/>
      <c r="C773" s="51"/>
      <c r="D773" s="50"/>
      <c r="E773" s="50"/>
      <c r="F773" s="50"/>
      <c r="G773" s="50"/>
      <c r="H773" s="50"/>
      <c r="I773" s="82"/>
      <c r="J773" s="83"/>
      <c r="K773" s="83"/>
      <c r="L773" s="84"/>
      <c r="M773" s="84"/>
      <c r="N773" s="84"/>
      <c r="O773" s="85"/>
      <c r="P773" s="84"/>
      <c r="Q773" s="84"/>
      <c r="R773" s="84"/>
      <c r="S773" s="84"/>
      <c r="T773" s="84"/>
      <c r="U773" s="84"/>
      <c r="V773" s="84"/>
      <c r="W773" s="84"/>
      <c r="X773" s="86"/>
    </row>
    <row r="774" ht="15.0" customHeight="1">
      <c r="A774" s="81"/>
      <c r="B774" s="51"/>
      <c r="C774" s="51"/>
      <c r="D774" s="50"/>
      <c r="E774" s="50"/>
      <c r="F774" s="50"/>
      <c r="G774" s="50"/>
      <c r="H774" s="50"/>
      <c r="I774" s="82"/>
      <c r="J774" s="83"/>
      <c r="K774" s="83"/>
      <c r="L774" s="84"/>
      <c r="M774" s="84"/>
      <c r="N774" s="84"/>
      <c r="O774" s="85"/>
      <c r="P774" s="84"/>
      <c r="Q774" s="84"/>
      <c r="R774" s="84"/>
      <c r="S774" s="84"/>
      <c r="T774" s="84"/>
      <c r="U774" s="84"/>
      <c r="V774" s="84"/>
      <c r="W774" s="84"/>
      <c r="X774" s="86"/>
    </row>
    <row r="775" ht="15.0" customHeight="1">
      <c r="A775" s="81"/>
      <c r="B775" s="51"/>
      <c r="C775" s="51"/>
      <c r="D775" s="50"/>
      <c r="E775" s="50"/>
      <c r="F775" s="50"/>
      <c r="G775" s="50"/>
      <c r="H775" s="50"/>
      <c r="I775" s="82"/>
      <c r="J775" s="83"/>
      <c r="K775" s="83"/>
      <c r="L775" s="84"/>
      <c r="M775" s="84"/>
      <c r="N775" s="84"/>
      <c r="O775" s="85"/>
      <c r="P775" s="84"/>
      <c r="Q775" s="84"/>
      <c r="R775" s="84"/>
      <c r="S775" s="84"/>
      <c r="T775" s="84"/>
      <c r="U775" s="84"/>
      <c r="V775" s="84"/>
      <c r="W775" s="84"/>
      <c r="X775" s="86"/>
    </row>
    <row r="776" ht="15.0" customHeight="1">
      <c r="A776" s="81"/>
      <c r="B776" s="51"/>
      <c r="C776" s="51"/>
      <c r="D776" s="50"/>
      <c r="E776" s="50"/>
      <c r="F776" s="50"/>
      <c r="G776" s="50"/>
      <c r="H776" s="50"/>
      <c r="I776" s="82"/>
      <c r="J776" s="83"/>
      <c r="K776" s="83"/>
      <c r="L776" s="84"/>
      <c r="M776" s="84"/>
      <c r="N776" s="84"/>
      <c r="O776" s="85"/>
      <c r="P776" s="84"/>
      <c r="Q776" s="84"/>
      <c r="R776" s="84"/>
      <c r="S776" s="84"/>
      <c r="T776" s="84"/>
      <c r="U776" s="84"/>
      <c r="V776" s="84"/>
      <c r="W776" s="84"/>
      <c r="X776" s="86"/>
    </row>
    <row r="777" ht="15.0" customHeight="1">
      <c r="A777" s="81"/>
      <c r="B777" s="51"/>
      <c r="C777" s="51"/>
      <c r="D777" s="50"/>
      <c r="E777" s="50"/>
      <c r="F777" s="50"/>
      <c r="G777" s="50"/>
      <c r="H777" s="50"/>
      <c r="I777" s="82"/>
      <c r="J777" s="83"/>
      <c r="K777" s="83"/>
      <c r="L777" s="84"/>
      <c r="M777" s="84"/>
      <c r="N777" s="84"/>
      <c r="O777" s="85"/>
      <c r="P777" s="84"/>
      <c r="Q777" s="84"/>
      <c r="R777" s="84"/>
      <c r="S777" s="84"/>
      <c r="T777" s="84"/>
      <c r="U777" s="84"/>
      <c r="V777" s="84"/>
      <c r="W777" s="84"/>
      <c r="X777" s="86"/>
    </row>
    <row r="778" ht="15.0" customHeight="1">
      <c r="A778" s="81"/>
      <c r="B778" s="51"/>
      <c r="C778" s="51"/>
      <c r="D778" s="50"/>
      <c r="E778" s="50"/>
      <c r="F778" s="50"/>
      <c r="G778" s="50"/>
      <c r="H778" s="50"/>
      <c r="I778" s="82"/>
      <c r="J778" s="83"/>
      <c r="K778" s="83"/>
      <c r="L778" s="84"/>
      <c r="M778" s="84"/>
      <c r="N778" s="84"/>
      <c r="O778" s="85"/>
      <c r="P778" s="84"/>
      <c r="Q778" s="84"/>
      <c r="R778" s="84"/>
      <c r="S778" s="84"/>
      <c r="T778" s="84"/>
      <c r="U778" s="84"/>
      <c r="V778" s="84"/>
      <c r="W778" s="84"/>
      <c r="X778" s="86"/>
    </row>
    <row r="779" ht="15.0" customHeight="1">
      <c r="A779" s="81"/>
      <c r="B779" s="51"/>
      <c r="C779" s="51"/>
      <c r="D779" s="50"/>
      <c r="E779" s="50"/>
      <c r="F779" s="50"/>
      <c r="G779" s="50"/>
      <c r="H779" s="50"/>
      <c r="I779" s="82"/>
      <c r="J779" s="83"/>
      <c r="K779" s="83"/>
      <c r="L779" s="84"/>
      <c r="M779" s="84"/>
      <c r="N779" s="84"/>
      <c r="O779" s="85"/>
      <c r="P779" s="84"/>
      <c r="Q779" s="84"/>
      <c r="R779" s="84"/>
      <c r="S779" s="84"/>
      <c r="T779" s="84"/>
      <c r="U779" s="84"/>
      <c r="V779" s="84"/>
      <c r="W779" s="84"/>
      <c r="X779" s="86"/>
    </row>
    <row r="780" ht="15.0" customHeight="1">
      <c r="A780" s="81"/>
      <c r="B780" s="51"/>
      <c r="C780" s="51"/>
      <c r="D780" s="50"/>
      <c r="E780" s="50"/>
      <c r="F780" s="50"/>
      <c r="G780" s="50"/>
      <c r="H780" s="50"/>
      <c r="I780" s="82"/>
      <c r="J780" s="83"/>
      <c r="K780" s="83"/>
      <c r="L780" s="84"/>
      <c r="M780" s="84"/>
      <c r="N780" s="84"/>
      <c r="O780" s="85"/>
      <c r="P780" s="84"/>
      <c r="Q780" s="84"/>
      <c r="R780" s="84"/>
      <c r="S780" s="84"/>
      <c r="T780" s="84"/>
      <c r="U780" s="84"/>
      <c r="V780" s="84"/>
      <c r="W780" s="84"/>
      <c r="X780" s="86"/>
    </row>
    <row r="781" ht="15.0" customHeight="1">
      <c r="A781" s="81"/>
      <c r="B781" s="51"/>
      <c r="C781" s="51"/>
      <c r="D781" s="50"/>
      <c r="E781" s="50"/>
      <c r="F781" s="50"/>
      <c r="G781" s="50"/>
      <c r="H781" s="50"/>
      <c r="I781" s="82"/>
      <c r="J781" s="83"/>
      <c r="K781" s="83"/>
      <c r="L781" s="84"/>
      <c r="M781" s="84"/>
      <c r="N781" s="84"/>
      <c r="O781" s="85"/>
      <c r="P781" s="84"/>
      <c r="Q781" s="84"/>
      <c r="R781" s="84"/>
      <c r="S781" s="84"/>
      <c r="T781" s="84"/>
      <c r="U781" s="84"/>
      <c r="V781" s="84"/>
      <c r="W781" s="84"/>
      <c r="X781" s="86"/>
    </row>
    <row r="782" ht="15.0" customHeight="1">
      <c r="A782" s="81"/>
      <c r="B782" s="51"/>
      <c r="C782" s="51"/>
      <c r="D782" s="50"/>
      <c r="E782" s="50"/>
      <c r="F782" s="50"/>
      <c r="G782" s="50"/>
      <c r="H782" s="50"/>
      <c r="I782" s="82"/>
      <c r="J782" s="83"/>
      <c r="K782" s="83"/>
      <c r="L782" s="84"/>
      <c r="M782" s="84"/>
      <c r="N782" s="84"/>
      <c r="O782" s="85"/>
      <c r="P782" s="84"/>
      <c r="Q782" s="84"/>
      <c r="R782" s="84"/>
      <c r="S782" s="84"/>
      <c r="T782" s="84"/>
      <c r="U782" s="84"/>
      <c r="V782" s="84"/>
      <c r="W782" s="84"/>
      <c r="X782" s="86"/>
    </row>
    <row r="783" ht="15.0" customHeight="1">
      <c r="A783" s="81"/>
      <c r="B783" s="51"/>
      <c r="C783" s="51"/>
      <c r="D783" s="50"/>
      <c r="E783" s="50"/>
      <c r="F783" s="50"/>
      <c r="G783" s="50"/>
      <c r="H783" s="50"/>
      <c r="I783" s="82"/>
      <c r="J783" s="83"/>
      <c r="K783" s="83"/>
      <c r="L783" s="84"/>
      <c r="M783" s="84"/>
      <c r="N783" s="84"/>
      <c r="O783" s="85"/>
      <c r="P783" s="84"/>
      <c r="Q783" s="84"/>
      <c r="R783" s="84"/>
      <c r="S783" s="84"/>
      <c r="T783" s="84"/>
      <c r="U783" s="84"/>
      <c r="V783" s="84"/>
      <c r="W783" s="84"/>
      <c r="X783" s="86"/>
    </row>
    <row r="784" ht="15.0" customHeight="1">
      <c r="A784" s="81"/>
      <c r="B784" s="51"/>
      <c r="C784" s="51"/>
      <c r="D784" s="50"/>
      <c r="E784" s="50"/>
      <c r="F784" s="50"/>
      <c r="G784" s="50"/>
      <c r="H784" s="50"/>
      <c r="I784" s="82"/>
      <c r="J784" s="83"/>
      <c r="K784" s="83"/>
      <c r="L784" s="84"/>
      <c r="M784" s="84"/>
      <c r="N784" s="84"/>
      <c r="O784" s="85"/>
      <c r="P784" s="84"/>
      <c r="Q784" s="84"/>
      <c r="R784" s="84"/>
      <c r="S784" s="84"/>
      <c r="T784" s="84"/>
      <c r="U784" s="84"/>
      <c r="V784" s="84"/>
      <c r="W784" s="84"/>
      <c r="X784" s="86"/>
    </row>
    <row r="785" ht="15.0" customHeight="1">
      <c r="A785" s="81"/>
      <c r="B785" s="51"/>
      <c r="C785" s="51"/>
      <c r="D785" s="50"/>
      <c r="E785" s="50"/>
      <c r="F785" s="50"/>
      <c r="G785" s="50"/>
      <c r="H785" s="50"/>
      <c r="I785" s="82"/>
      <c r="J785" s="83"/>
      <c r="K785" s="83"/>
      <c r="L785" s="84"/>
      <c r="M785" s="84"/>
      <c r="N785" s="84"/>
      <c r="O785" s="85"/>
      <c r="P785" s="84"/>
      <c r="Q785" s="84"/>
      <c r="R785" s="84"/>
      <c r="S785" s="84"/>
      <c r="T785" s="84"/>
      <c r="U785" s="84"/>
      <c r="V785" s="84"/>
      <c r="W785" s="84"/>
      <c r="X785" s="86"/>
    </row>
    <row r="786" ht="15.0" customHeight="1">
      <c r="A786" s="81"/>
      <c r="B786" s="51"/>
      <c r="C786" s="51"/>
      <c r="D786" s="50"/>
      <c r="E786" s="50"/>
      <c r="F786" s="50"/>
      <c r="G786" s="50"/>
      <c r="H786" s="50"/>
      <c r="I786" s="82"/>
      <c r="J786" s="83"/>
      <c r="K786" s="83"/>
      <c r="L786" s="84"/>
      <c r="M786" s="84"/>
      <c r="N786" s="84"/>
      <c r="O786" s="85"/>
      <c r="P786" s="84"/>
      <c r="Q786" s="84"/>
      <c r="R786" s="84"/>
      <c r="S786" s="84"/>
      <c r="T786" s="84"/>
      <c r="U786" s="84"/>
      <c r="V786" s="84"/>
      <c r="W786" s="84"/>
      <c r="X786" s="86"/>
    </row>
    <row r="787" ht="15.0" customHeight="1">
      <c r="A787" s="81"/>
      <c r="B787" s="51"/>
      <c r="C787" s="51"/>
      <c r="D787" s="50"/>
      <c r="E787" s="50"/>
      <c r="F787" s="50"/>
      <c r="G787" s="50"/>
      <c r="H787" s="50"/>
      <c r="I787" s="82"/>
      <c r="J787" s="83"/>
      <c r="K787" s="83"/>
      <c r="L787" s="84"/>
      <c r="M787" s="84"/>
      <c r="N787" s="84"/>
      <c r="O787" s="85"/>
      <c r="P787" s="84"/>
      <c r="Q787" s="84"/>
      <c r="R787" s="84"/>
      <c r="S787" s="84"/>
      <c r="T787" s="84"/>
      <c r="U787" s="84"/>
      <c r="V787" s="84"/>
      <c r="W787" s="84"/>
      <c r="X787" s="86"/>
    </row>
    <row r="788" ht="15.0" customHeight="1">
      <c r="A788" s="81"/>
      <c r="B788" s="51"/>
      <c r="C788" s="51"/>
      <c r="D788" s="50"/>
      <c r="E788" s="50"/>
      <c r="F788" s="50"/>
      <c r="G788" s="50"/>
      <c r="H788" s="50"/>
      <c r="I788" s="82"/>
      <c r="J788" s="83"/>
      <c r="K788" s="83"/>
      <c r="L788" s="84"/>
      <c r="M788" s="84"/>
      <c r="N788" s="84"/>
      <c r="O788" s="85"/>
      <c r="P788" s="84"/>
      <c r="Q788" s="84"/>
      <c r="R788" s="84"/>
      <c r="S788" s="84"/>
      <c r="T788" s="84"/>
      <c r="U788" s="84"/>
      <c r="V788" s="84"/>
      <c r="W788" s="84"/>
      <c r="X788" s="86"/>
    </row>
    <row r="789" ht="15.0" customHeight="1">
      <c r="A789" s="81"/>
      <c r="B789" s="51"/>
      <c r="C789" s="51"/>
      <c r="D789" s="50"/>
      <c r="E789" s="50"/>
      <c r="F789" s="50"/>
      <c r="G789" s="50"/>
      <c r="H789" s="50"/>
      <c r="I789" s="82"/>
      <c r="J789" s="83"/>
      <c r="K789" s="83"/>
      <c r="L789" s="84"/>
      <c r="M789" s="84"/>
      <c r="N789" s="84"/>
      <c r="O789" s="85"/>
      <c r="P789" s="84"/>
      <c r="Q789" s="84"/>
      <c r="R789" s="84"/>
      <c r="S789" s="84"/>
      <c r="T789" s="84"/>
      <c r="U789" s="84"/>
      <c r="V789" s="84"/>
      <c r="W789" s="84"/>
      <c r="X789" s="86"/>
    </row>
    <row r="790" ht="15.0" customHeight="1">
      <c r="A790" s="81"/>
      <c r="B790" s="51"/>
      <c r="C790" s="51"/>
      <c r="D790" s="50"/>
      <c r="E790" s="50"/>
      <c r="F790" s="50"/>
      <c r="G790" s="50"/>
      <c r="H790" s="50"/>
      <c r="I790" s="82"/>
      <c r="J790" s="83"/>
      <c r="K790" s="83"/>
      <c r="L790" s="84"/>
      <c r="M790" s="84"/>
      <c r="N790" s="84"/>
      <c r="O790" s="85"/>
      <c r="P790" s="84"/>
      <c r="Q790" s="84"/>
      <c r="R790" s="84"/>
      <c r="S790" s="84"/>
      <c r="T790" s="84"/>
      <c r="U790" s="84"/>
      <c r="V790" s="84"/>
      <c r="W790" s="84"/>
      <c r="X790" s="86"/>
    </row>
    <row r="791" ht="15.0" customHeight="1">
      <c r="A791" s="81"/>
      <c r="B791" s="51"/>
      <c r="C791" s="51"/>
      <c r="D791" s="50"/>
      <c r="E791" s="50"/>
      <c r="F791" s="50"/>
      <c r="G791" s="50"/>
      <c r="H791" s="50"/>
      <c r="I791" s="82"/>
      <c r="J791" s="83"/>
      <c r="K791" s="83"/>
      <c r="L791" s="84"/>
      <c r="M791" s="84"/>
      <c r="N791" s="84"/>
      <c r="O791" s="85"/>
      <c r="P791" s="84"/>
      <c r="Q791" s="84"/>
      <c r="R791" s="84"/>
      <c r="S791" s="84"/>
      <c r="T791" s="84"/>
      <c r="U791" s="84"/>
      <c r="V791" s="84"/>
      <c r="W791" s="84"/>
      <c r="X791" s="86"/>
    </row>
    <row r="792" ht="15.0" customHeight="1">
      <c r="A792" s="81"/>
      <c r="B792" s="51"/>
      <c r="C792" s="51"/>
      <c r="D792" s="50"/>
      <c r="E792" s="50"/>
      <c r="F792" s="50"/>
      <c r="G792" s="50"/>
      <c r="H792" s="50"/>
      <c r="I792" s="82"/>
      <c r="J792" s="83"/>
      <c r="K792" s="83"/>
      <c r="L792" s="84"/>
      <c r="M792" s="84"/>
      <c r="N792" s="84"/>
      <c r="O792" s="85"/>
      <c r="P792" s="84"/>
      <c r="Q792" s="84"/>
      <c r="R792" s="84"/>
      <c r="S792" s="84"/>
      <c r="T792" s="84"/>
      <c r="U792" s="84"/>
      <c r="V792" s="84"/>
      <c r="W792" s="84"/>
      <c r="X792" s="86"/>
    </row>
    <row r="793" ht="15.0" customHeight="1">
      <c r="A793" s="81"/>
      <c r="B793" s="51"/>
      <c r="C793" s="51"/>
      <c r="D793" s="50"/>
      <c r="E793" s="50"/>
      <c r="F793" s="50"/>
      <c r="G793" s="50"/>
      <c r="H793" s="50"/>
      <c r="I793" s="82"/>
      <c r="J793" s="83"/>
      <c r="K793" s="83"/>
      <c r="L793" s="84"/>
      <c r="M793" s="84"/>
      <c r="N793" s="84"/>
      <c r="O793" s="85"/>
      <c r="P793" s="84"/>
      <c r="Q793" s="84"/>
      <c r="R793" s="84"/>
      <c r="S793" s="84"/>
      <c r="T793" s="84"/>
      <c r="U793" s="84"/>
      <c r="V793" s="84"/>
      <c r="W793" s="84"/>
      <c r="X793" s="86"/>
    </row>
    <row r="794" ht="15.0" customHeight="1">
      <c r="A794" s="81"/>
      <c r="B794" s="51"/>
      <c r="C794" s="51"/>
      <c r="D794" s="50"/>
      <c r="E794" s="50"/>
      <c r="F794" s="50"/>
      <c r="G794" s="50"/>
      <c r="H794" s="50"/>
      <c r="I794" s="82"/>
      <c r="J794" s="83"/>
      <c r="K794" s="83"/>
      <c r="L794" s="84"/>
      <c r="M794" s="84"/>
      <c r="N794" s="84"/>
      <c r="O794" s="85"/>
      <c r="P794" s="84"/>
      <c r="Q794" s="84"/>
      <c r="R794" s="84"/>
      <c r="S794" s="84"/>
      <c r="T794" s="84"/>
      <c r="U794" s="84"/>
      <c r="V794" s="84"/>
      <c r="W794" s="84"/>
      <c r="X794" s="86"/>
    </row>
    <row r="795" ht="15.0" customHeight="1">
      <c r="A795" s="81"/>
      <c r="B795" s="51"/>
      <c r="C795" s="51"/>
      <c r="D795" s="50"/>
      <c r="E795" s="50"/>
      <c r="F795" s="50"/>
      <c r="G795" s="50"/>
      <c r="H795" s="50"/>
      <c r="I795" s="82"/>
      <c r="J795" s="83"/>
      <c r="K795" s="83"/>
      <c r="L795" s="84"/>
      <c r="M795" s="84"/>
      <c r="N795" s="84"/>
      <c r="O795" s="85"/>
      <c r="P795" s="84"/>
      <c r="Q795" s="84"/>
      <c r="R795" s="84"/>
      <c r="S795" s="84"/>
      <c r="T795" s="84"/>
      <c r="U795" s="84"/>
      <c r="V795" s="84"/>
      <c r="W795" s="84"/>
      <c r="X795" s="86"/>
    </row>
    <row r="796" ht="15.0" customHeight="1">
      <c r="A796" s="81"/>
      <c r="B796" s="51"/>
      <c r="C796" s="51"/>
      <c r="D796" s="50"/>
      <c r="E796" s="50"/>
      <c r="F796" s="50"/>
      <c r="G796" s="50"/>
      <c r="H796" s="50"/>
      <c r="I796" s="82"/>
      <c r="J796" s="83"/>
      <c r="K796" s="83"/>
      <c r="L796" s="84"/>
      <c r="M796" s="84"/>
      <c r="N796" s="84"/>
      <c r="O796" s="85"/>
      <c r="P796" s="84"/>
      <c r="Q796" s="84"/>
      <c r="R796" s="84"/>
      <c r="S796" s="84"/>
      <c r="T796" s="84"/>
      <c r="U796" s="84"/>
      <c r="V796" s="84"/>
      <c r="W796" s="84"/>
      <c r="X796" s="86"/>
    </row>
    <row r="797" ht="15.0" customHeight="1">
      <c r="A797" s="81"/>
      <c r="B797" s="51"/>
      <c r="C797" s="51"/>
      <c r="D797" s="50"/>
      <c r="E797" s="50"/>
      <c r="F797" s="50"/>
      <c r="G797" s="50"/>
      <c r="H797" s="50"/>
      <c r="I797" s="82"/>
      <c r="J797" s="83"/>
      <c r="K797" s="83"/>
      <c r="L797" s="84"/>
      <c r="M797" s="84"/>
      <c r="N797" s="84"/>
      <c r="O797" s="85"/>
      <c r="P797" s="84"/>
      <c r="Q797" s="84"/>
      <c r="R797" s="84"/>
      <c r="S797" s="84"/>
      <c r="T797" s="84"/>
      <c r="U797" s="84"/>
      <c r="V797" s="84"/>
      <c r="W797" s="84"/>
      <c r="X797" s="86"/>
    </row>
    <row r="798" ht="15.0" customHeight="1">
      <c r="A798" s="81"/>
      <c r="B798" s="51"/>
      <c r="C798" s="51"/>
      <c r="D798" s="50"/>
      <c r="E798" s="50"/>
      <c r="F798" s="50"/>
      <c r="G798" s="50"/>
      <c r="H798" s="50"/>
      <c r="I798" s="82"/>
      <c r="J798" s="83"/>
      <c r="K798" s="83"/>
      <c r="L798" s="84"/>
      <c r="M798" s="84"/>
      <c r="N798" s="84"/>
      <c r="O798" s="85"/>
      <c r="P798" s="84"/>
      <c r="Q798" s="84"/>
      <c r="R798" s="84"/>
      <c r="S798" s="84"/>
      <c r="T798" s="84"/>
      <c r="U798" s="84"/>
      <c r="V798" s="84"/>
      <c r="W798" s="84"/>
      <c r="X798" s="86"/>
    </row>
    <row r="799" ht="15.0" customHeight="1">
      <c r="A799" s="81"/>
      <c r="B799" s="51"/>
      <c r="C799" s="51"/>
      <c r="D799" s="50"/>
      <c r="E799" s="50"/>
      <c r="F799" s="50"/>
      <c r="G799" s="50"/>
      <c r="H799" s="50"/>
      <c r="I799" s="82"/>
      <c r="J799" s="83"/>
      <c r="K799" s="83"/>
      <c r="L799" s="84"/>
      <c r="M799" s="84"/>
      <c r="N799" s="84"/>
      <c r="O799" s="85"/>
      <c r="P799" s="84"/>
      <c r="Q799" s="84"/>
      <c r="R799" s="84"/>
      <c r="S799" s="84"/>
      <c r="T799" s="84"/>
      <c r="U799" s="84"/>
      <c r="V799" s="84"/>
      <c r="W799" s="84"/>
      <c r="X799" s="86"/>
    </row>
    <row r="800" ht="15.0" customHeight="1">
      <c r="A800" s="81"/>
      <c r="B800" s="51"/>
      <c r="C800" s="51"/>
      <c r="D800" s="50"/>
      <c r="E800" s="50"/>
      <c r="F800" s="50"/>
      <c r="G800" s="50"/>
      <c r="H800" s="50"/>
      <c r="I800" s="82"/>
      <c r="J800" s="83"/>
      <c r="K800" s="83"/>
      <c r="L800" s="84"/>
      <c r="M800" s="84"/>
      <c r="N800" s="84"/>
      <c r="O800" s="85"/>
      <c r="P800" s="84"/>
      <c r="Q800" s="84"/>
      <c r="R800" s="84"/>
      <c r="S800" s="84"/>
      <c r="T800" s="84"/>
      <c r="U800" s="84"/>
      <c r="V800" s="84"/>
      <c r="W800" s="84"/>
      <c r="X800" s="86"/>
    </row>
    <row r="801" ht="15.0" customHeight="1">
      <c r="A801" s="81"/>
      <c r="B801" s="51"/>
      <c r="C801" s="51"/>
      <c r="D801" s="50"/>
      <c r="E801" s="50"/>
      <c r="F801" s="50"/>
      <c r="G801" s="50"/>
      <c r="H801" s="50"/>
      <c r="I801" s="82"/>
      <c r="J801" s="83"/>
      <c r="K801" s="83"/>
      <c r="L801" s="84"/>
      <c r="M801" s="84"/>
      <c r="N801" s="84"/>
      <c r="O801" s="85"/>
      <c r="P801" s="84"/>
      <c r="Q801" s="84"/>
      <c r="R801" s="84"/>
      <c r="S801" s="84"/>
      <c r="T801" s="84"/>
      <c r="U801" s="84"/>
      <c r="V801" s="84"/>
      <c r="W801" s="84"/>
      <c r="X801" s="86"/>
    </row>
    <row r="802" ht="15.0" customHeight="1">
      <c r="A802" s="81"/>
      <c r="B802" s="51"/>
      <c r="C802" s="51"/>
      <c r="D802" s="50"/>
      <c r="E802" s="50"/>
      <c r="F802" s="50"/>
      <c r="G802" s="50"/>
      <c r="H802" s="50"/>
      <c r="I802" s="82"/>
      <c r="J802" s="83"/>
      <c r="K802" s="83"/>
      <c r="L802" s="84"/>
      <c r="M802" s="84"/>
      <c r="N802" s="84"/>
      <c r="O802" s="85"/>
      <c r="P802" s="84"/>
      <c r="Q802" s="84"/>
      <c r="R802" s="84"/>
      <c r="S802" s="84"/>
      <c r="T802" s="84"/>
      <c r="U802" s="84"/>
      <c r="V802" s="84"/>
      <c r="W802" s="84"/>
      <c r="X802" s="86"/>
    </row>
    <row r="803" ht="15.0" customHeight="1">
      <c r="A803" s="81"/>
      <c r="B803" s="51"/>
      <c r="C803" s="51"/>
      <c r="D803" s="50"/>
      <c r="E803" s="50"/>
      <c r="F803" s="50"/>
      <c r="G803" s="50"/>
      <c r="H803" s="50"/>
      <c r="I803" s="82"/>
      <c r="J803" s="83"/>
      <c r="K803" s="83"/>
      <c r="L803" s="84"/>
      <c r="M803" s="84"/>
      <c r="N803" s="84"/>
      <c r="O803" s="85"/>
      <c r="P803" s="84"/>
      <c r="Q803" s="84"/>
      <c r="R803" s="84"/>
      <c r="S803" s="84"/>
      <c r="T803" s="84"/>
      <c r="U803" s="84"/>
      <c r="V803" s="84"/>
      <c r="W803" s="84"/>
      <c r="X803" s="86"/>
    </row>
    <row r="804" ht="15.0" customHeight="1">
      <c r="A804" s="81"/>
      <c r="B804" s="51"/>
      <c r="C804" s="51"/>
      <c r="D804" s="50"/>
      <c r="E804" s="50"/>
      <c r="F804" s="50"/>
      <c r="G804" s="50"/>
      <c r="H804" s="50"/>
      <c r="I804" s="82"/>
      <c r="J804" s="83"/>
      <c r="K804" s="83"/>
      <c r="L804" s="84"/>
      <c r="M804" s="84"/>
      <c r="N804" s="84"/>
      <c r="O804" s="85"/>
      <c r="P804" s="84"/>
      <c r="Q804" s="84"/>
      <c r="R804" s="84"/>
      <c r="S804" s="84"/>
      <c r="T804" s="84"/>
      <c r="U804" s="84"/>
      <c r="V804" s="84"/>
      <c r="W804" s="84"/>
      <c r="X804" s="86"/>
    </row>
    <row r="805" ht="15.0" customHeight="1">
      <c r="A805" s="81"/>
      <c r="B805" s="51"/>
      <c r="C805" s="51"/>
      <c r="D805" s="50"/>
      <c r="E805" s="50"/>
      <c r="F805" s="50"/>
      <c r="G805" s="50"/>
      <c r="H805" s="50"/>
      <c r="I805" s="82"/>
      <c r="J805" s="83"/>
      <c r="K805" s="83"/>
      <c r="L805" s="84"/>
      <c r="M805" s="84"/>
      <c r="N805" s="84"/>
      <c r="O805" s="85"/>
      <c r="P805" s="84"/>
      <c r="Q805" s="84"/>
      <c r="R805" s="84"/>
      <c r="S805" s="84"/>
      <c r="T805" s="84"/>
      <c r="U805" s="84"/>
      <c r="V805" s="84"/>
      <c r="W805" s="84"/>
      <c r="X805" s="86"/>
    </row>
    <row r="806" ht="15.0" customHeight="1">
      <c r="A806" s="81"/>
      <c r="B806" s="51"/>
      <c r="C806" s="51"/>
      <c r="D806" s="50"/>
      <c r="E806" s="50"/>
      <c r="F806" s="50"/>
      <c r="G806" s="50"/>
      <c r="H806" s="50"/>
      <c r="I806" s="82"/>
      <c r="J806" s="83"/>
      <c r="K806" s="83"/>
      <c r="L806" s="84"/>
      <c r="M806" s="84"/>
      <c r="N806" s="84"/>
      <c r="O806" s="85"/>
      <c r="P806" s="84"/>
      <c r="Q806" s="84"/>
      <c r="R806" s="84"/>
      <c r="S806" s="84"/>
      <c r="T806" s="84"/>
      <c r="U806" s="84"/>
      <c r="V806" s="84"/>
      <c r="W806" s="84"/>
      <c r="X806" s="86"/>
    </row>
    <row r="807" ht="15.0" customHeight="1">
      <c r="A807" s="81"/>
      <c r="B807" s="51"/>
      <c r="C807" s="51"/>
      <c r="D807" s="50"/>
      <c r="E807" s="50"/>
      <c r="F807" s="50"/>
      <c r="G807" s="50"/>
      <c r="H807" s="50"/>
      <c r="I807" s="82"/>
      <c r="J807" s="83"/>
      <c r="K807" s="83"/>
      <c r="L807" s="84"/>
      <c r="M807" s="84"/>
      <c r="N807" s="84"/>
      <c r="O807" s="85"/>
      <c r="P807" s="84"/>
      <c r="Q807" s="84"/>
      <c r="R807" s="84"/>
      <c r="S807" s="84"/>
      <c r="T807" s="84"/>
      <c r="U807" s="84"/>
      <c r="V807" s="84"/>
      <c r="W807" s="84"/>
      <c r="X807" s="86"/>
    </row>
    <row r="808" ht="15.0" customHeight="1">
      <c r="A808" s="81"/>
      <c r="B808" s="51"/>
      <c r="C808" s="51"/>
      <c r="D808" s="50"/>
      <c r="E808" s="50"/>
      <c r="F808" s="50"/>
      <c r="G808" s="50"/>
      <c r="H808" s="50"/>
      <c r="I808" s="82"/>
      <c r="J808" s="83"/>
      <c r="K808" s="83"/>
      <c r="L808" s="84"/>
      <c r="M808" s="84"/>
      <c r="N808" s="84"/>
      <c r="O808" s="85"/>
      <c r="P808" s="84"/>
      <c r="Q808" s="84"/>
      <c r="R808" s="84"/>
      <c r="S808" s="84"/>
      <c r="T808" s="84"/>
      <c r="U808" s="84"/>
      <c r="V808" s="84"/>
      <c r="W808" s="84"/>
      <c r="X808" s="86"/>
    </row>
    <row r="809" ht="15.0" customHeight="1">
      <c r="A809" s="81"/>
      <c r="B809" s="51"/>
      <c r="C809" s="51"/>
      <c r="D809" s="50"/>
      <c r="E809" s="50"/>
      <c r="F809" s="50"/>
      <c r="G809" s="50"/>
      <c r="H809" s="50"/>
      <c r="I809" s="82"/>
      <c r="J809" s="83"/>
      <c r="K809" s="83"/>
      <c r="L809" s="84"/>
      <c r="M809" s="84"/>
      <c r="N809" s="84"/>
      <c r="O809" s="85"/>
      <c r="P809" s="84"/>
      <c r="Q809" s="84"/>
      <c r="R809" s="84"/>
      <c r="S809" s="84"/>
      <c r="T809" s="84"/>
      <c r="U809" s="84"/>
      <c r="V809" s="84"/>
      <c r="W809" s="84"/>
      <c r="X809" s="86"/>
    </row>
    <row r="810" ht="15.0" customHeight="1">
      <c r="A810" s="81"/>
      <c r="B810" s="51"/>
      <c r="C810" s="51"/>
      <c r="D810" s="50"/>
      <c r="E810" s="50"/>
      <c r="F810" s="50"/>
      <c r="G810" s="50"/>
      <c r="H810" s="50"/>
      <c r="I810" s="82"/>
      <c r="J810" s="83"/>
      <c r="K810" s="83"/>
      <c r="L810" s="84"/>
      <c r="M810" s="84"/>
      <c r="N810" s="84"/>
      <c r="O810" s="85"/>
      <c r="P810" s="84"/>
      <c r="Q810" s="84"/>
      <c r="R810" s="84"/>
      <c r="S810" s="84"/>
      <c r="T810" s="84"/>
      <c r="U810" s="84"/>
      <c r="V810" s="84"/>
      <c r="W810" s="84"/>
      <c r="X810" s="86"/>
    </row>
    <row r="811" ht="15.0" customHeight="1">
      <c r="A811" s="81"/>
      <c r="B811" s="51"/>
      <c r="C811" s="51"/>
      <c r="D811" s="50"/>
      <c r="E811" s="50"/>
      <c r="F811" s="50"/>
      <c r="G811" s="50"/>
      <c r="H811" s="50"/>
      <c r="I811" s="82"/>
      <c r="J811" s="83"/>
      <c r="K811" s="83"/>
      <c r="L811" s="84"/>
      <c r="M811" s="84"/>
      <c r="N811" s="84"/>
      <c r="O811" s="85"/>
      <c r="P811" s="84"/>
      <c r="Q811" s="84"/>
      <c r="R811" s="84"/>
      <c r="S811" s="84"/>
      <c r="T811" s="84"/>
      <c r="U811" s="84"/>
      <c r="V811" s="84"/>
      <c r="W811" s="84"/>
      <c r="X811" s="86"/>
    </row>
    <row r="812" ht="15.0" customHeight="1">
      <c r="A812" s="81"/>
      <c r="B812" s="51"/>
      <c r="C812" s="51"/>
      <c r="D812" s="50"/>
      <c r="E812" s="50"/>
      <c r="F812" s="50"/>
      <c r="G812" s="50"/>
      <c r="H812" s="50"/>
      <c r="I812" s="82"/>
      <c r="J812" s="83"/>
      <c r="K812" s="83"/>
      <c r="L812" s="84"/>
      <c r="M812" s="84"/>
      <c r="N812" s="84"/>
      <c r="O812" s="85"/>
      <c r="P812" s="84"/>
      <c r="Q812" s="84"/>
      <c r="R812" s="84"/>
      <c r="S812" s="84"/>
      <c r="T812" s="84"/>
      <c r="U812" s="84"/>
      <c r="V812" s="84"/>
      <c r="W812" s="84"/>
      <c r="X812" s="86"/>
    </row>
    <row r="813" ht="15.0" customHeight="1">
      <c r="A813" s="81"/>
      <c r="B813" s="51"/>
      <c r="C813" s="51"/>
      <c r="D813" s="50"/>
      <c r="E813" s="50"/>
      <c r="F813" s="50"/>
      <c r="G813" s="50"/>
      <c r="H813" s="50"/>
      <c r="I813" s="82"/>
      <c r="J813" s="83"/>
      <c r="K813" s="83"/>
      <c r="L813" s="84"/>
      <c r="M813" s="84"/>
      <c r="N813" s="84"/>
      <c r="O813" s="85"/>
      <c r="P813" s="84"/>
      <c r="Q813" s="84"/>
      <c r="R813" s="84"/>
      <c r="S813" s="84"/>
      <c r="T813" s="84"/>
      <c r="U813" s="84"/>
      <c r="V813" s="84"/>
      <c r="W813" s="84"/>
      <c r="X813" s="86"/>
    </row>
    <row r="814" ht="15.0" customHeight="1">
      <c r="A814" s="81"/>
      <c r="B814" s="51"/>
      <c r="C814" s="51"/>
      <c r="D814" s="50"/>
      <c r="E814" s="50"/>
      <c r="F814" s="50"/>
      <c r="G814" s="50"/>
      <c r="H814" s="50"/>
      <c r="I814" s="82"/>
      <c r="J814" s="83"/>
      <c r="K814" s="83"/>
      <c r="L814" s="84"/>
      <c r="M814" s="84"/>
      <c r="N814" s="84"/>
      <c r="O814" s="85"/>
      <c r="P814" s="84"/>
      <c r="Q814" s="84"/>
      <c r="R814" s="84"/>
      <c r="S814" s="84"/>
      <c r="T814" s="84"/>
      <c r="U814" s="84"/>
      <c r="V814" s="84"/>
      <c r="W814" s="84"/>
      <c r="X814" s="86"/>
    </row>
    <row r="815" ht="15.0" customHeight="1">
      <c r="A815" s="81"/>
      <c r="B815" s="51"/>
      <c r="C815" s="51"/>
      <c r="D815" s="50"/>
      <c r="E815" s="50"/>
      <c r="F815" s="50"/>
      <c r="G815" s="50"/>
      <c r="H815" s="50"/>
      <c r="I815" s="82"/>
      <c r="J815" s="83"/>
      <c r="K815" s="83"/>
      <c r="L815" s="84"/>
      <c r="M815" s="84"/>
      <c r="N815" s="84"/>
      <c r="O815" s="85"/>
      <c r="P815" s="84"/>
      <c r="Q815" s="84"/>
      <c r="R815" s="84"/>
      <c r="S815" s="84"/>
      <c r="T815" s="84"/>
      <c r="U815" s="84"/>
      <c r="V815" s="84"/>
      <c r="W815" s="84"/>
      <c r="X815" s="86"/>
    </row>
    <row r="816" ht="15.0" customHeight="1">
      <c r="A816" s="81"/>
      <c r="B816" s="51"/>
      <c r="C816" s="51"/>
      <c r="D816" s="50"/>
      <c r="E816" s="50"/>
      <c r="F816" s="50"/>
      <c r="G816" s="50"/>
      <c r="H816" s="50"/>
      <c r="I816" s="82"/>
      <c r="J816" s="83"/>
      <c r="K816" s="83"/>
      <c r="L816" s="84"/>
      <c r="M816" s="84"/>
      <c r="N816" s="84"/>
      <c r="O816" s="85"/>
      <c r="P816" s="84"/>
      <c r="Q816" s="84"/>
      <c r="R816" s="84"/>
      <c r="S816" s="84"/>
      <c r="T816" s="84"/>
      <c r="U816" s="84"/>
      <c r="V816" s="84"/>
      <c r="W816" s="84"/>
      <c r="X816" s="86"/>
    </row>
    <row r="817" ht="15.0" customHeight="1">
      <c r="A817" s="81"/>
      <c r="B817" s="51"/>
      <c r="C817" s="51"/>
      <c r="D817" s="50"/>
      <c r="E817" s="50"/>
      <c r="F817" s="50"/>
      <c r="G817" s="50"/>
      <c r="H817" s="50"/>
      <c r="I817" s="82"/>
      <c r="J817" s="83"/>
      <c r="K817" s="83"/>
      <c r="L817" s="84"/>
      <c r="M817" s="84"/>
      <c r="N817" s="84"/>
      <c r="O817" s="85"/>
      <c r="P817" s="84"/>
      <c r="Q817" s="84"/>
      <c r="R817" s="84"/>
      <c r="S817" s="84"/>
      <c r="T817" s="84"/>
      <c r="U817" s="84"/>
      <c r="V817" s="84"/>
      <c r="W817" s="84"/>
      <c r="X817" s="86"/>
    </row>
    <row r="818" ht="15.0" customHeight="1">
      <c r="A818" s="81"/>
      <c r="B818" s="51"/>
      <c r="C818" s="51"/>
      <c r="D818" s="50"/>
      <c r="E818" s="50"/>
      <c r="F818" s="50"/>
      <c r="G818" s="50"/>
      <c r="H818" s="50"/>
      <c r="I818" s="82"/>
      <c r="J818" s="83"/>
      <c r="K818" s="83"/>
      <c r="L818" s="84"/>
      <c r="M818" s="84"/>
      <c r="N818" s="84"/>
      <c r="O818" s="85"/>
      <c r="P818" s="84"/>
      <c r="Q818" s="84"/>
      <c r="R818" s="84"/>
      <c r="S818" s="84"/>
      <c r="T818" s="84"/>
      <c r="U818" s="84"/>
      <c r="V818" s="84"/>
      <c r="W818" s="84"/>
      <c r="X818" s="86"/>
    </row>
    <row r="819" ht="15.0" customHeight="1">
      <c r="A819" s="81"/>
      <c r="B819" s="51"/>
      <c r="C819" s="51"/>
      <c r="D819" s="50"/>
      <c r="E819" s="50"/>
      <c r="F819" s="50"/>
      <c r="G819" s="50"/>
      <c r="H819" s="50"/>
      <c r="I819" s="82"/>
      <c r="J819" s="83"/>
      <c r="K819" s="83"/>
      <c r="L819" s="84"/>
      <c r="M819" s="84"/>
      <c r="N819" s="84"/>
      <c r="O819" s="85"/>
      <c r="P819" s="84"/>
      <c r="Q819" s="84"/>
      <c r="R819" s="84"/>
      <c r="S819" s="84"/>
      <c r="T819" s="84"/>
      <c r="U819" s="84"/>
      <c r="V819" s="84"/>
      <c r="W819" s="84"/>
      <c r="X819" s="86"/>
    </row>
    <row r="820" ht="15.0" customHeight="1">
      <c r="A820" s="81"/>
      <c r="B820" s="51"/>
      <c r="C820" s="51"/>
      <c r="D820" s="50"/>
      <c r="E820" s="50"/>
      <c r="F820" s="50"/>
      <c r="G820" s="50"/>
      <c r="H820" s="50"/>
      <c r="I820" s="82"/>
      <c r="J820" s="83"/>
      <c r="K820" s="83"/>
      <c r="L820" s="84"/>
      <c r="M820" s="84"/>
      <c r="N820" s="84"/>
      <c r="O820" s="85"/>
      <c r="P820" s="84"/>
      <c r="Q820" s="84"/>
      <c r="R820" s="84"/>
      <c r="S820" s="84"/>
      <c r="T820" s="84"/>
      <c r="U820" s="84"/>
      <c r="V820" s="84"/>
      <c r="W820" s="84"/>
      <c r="X820" s="86"/>
    </row>
    <row r="821" ht="15.0" customHeight="1">
      <c r="A821" s="81"/>
      <c r="B821" s="51"/>
      <c r="C821" s="51"/>
      <c r="D821" s="50"/>
      <c r="E821" s="50"/>
      <c r="F821" s="50"/>
      <c r="G821" s="50"/>
      <c r="H821" s="50"/>
      <c r="I821" s="82"/>
      <c r="J821" s="83"/>
      <c r="K821" s="83"/>
      <c r="L821" s="84"/>
      <c r="M821" s="84"/>
      <c r="N821" s="84"/>
      <c r="O821" s="85"/>
      <c r="P821" s="84"/>
      <c r="Q821" s="84"/>
      <c r="R821" s="84"/>
      <c r="S821" s="84"/>
      <c r="T821" s="84"/>
      <c r="U821" s="84"/>
      <c r="V821" s="84"/>
      <c r="W821" s="84"/>
      <c r="X821" s="86"/>
    </row>
    <row r="822" ht="15.0" customHeight="1">
      <c r="A822" s="81"/>
      <c r="B822" s="51"/>
      <c r="C822" s="51"/>
      <c r="D822" s="50"/>
      <c r="E822" s="50"/>
      <c r="F822" s="50"/>
      <c r="G822" s="50"/>
      <c r="H822" s="50"/>
      <c r="I822" s="82"/>
      <c r="J822" s="83"/>
      <c r="K822" s="83"/>
      <c r="L822" s="84"/>
      <c r="M822" s="84"/>
      <c r="N822" s="84"/>
      <c r="O822" s="85"/>
      <c r="P822" s="84"/>
      <c r="Q822" s="84"/>
      <c r="R822" s="84"/>
      <c r="S822" s="84"/>
      <c r="T822" s="84"/>
      <c r="U822" s="84"/>
      <c r="V822" s="84"/>
      <c r="W822" s="84"/>
      <c r="X822" s="86"/>
    </row>
    <row r="823" ht="15.0" customHeight="1">
      <c r="A823" s="81"/>
      <c r="B823" s="51"/>
      <c r="C823" s="51"/>
      <c r="D823" s="50"/>
      <c r="E823" s="50"/>
      <c r="F823" s="50"/>
      <c r="G823" s="50"/>
      <c r="H823" s="50"/>
      <c r="I823" s="82"/>
      <c r="J823" s="83"/>
      <c r="K823" s="83"/>
      <c r="L823" s="84"/>
      <c r="M823" s="84"/>
      <c r="N823" s="84"/>
      <c r="O823" s="85"/>
      <c r="P823" s="84"/>
      <c r="Q823" s="84"/>
      <c r="R823" s="84"/>
      <c r="S823" s="84"/>
      <c r="T823" s="84"/>
      <c r="U823" s="84"/>
      <c r="V823" s="84"/>
      <c r="W823" s="84"/>
      <c r="X823" s="86"/>
    </row>
    <row r="824" ht="15.0" customHeight="1">
      <c r="A824" s="81"/>
      <c r="B824" s="51"/>
      <c r="C824" s="51"/>
      <c r="D824" s="50"/>
      <c r="E824" s="50"/>
      <c r="F824" s="50"/>
      <c r="G824" s="50"/>
      <c r="H824" s="50"/>
      <c r="I824" s="82"/>
      <c r="J824" s="83"/>
      <c r="K824" s="83"/>
      <c r="L824" s="84"/>
      <c r="M824" s="84"/>
      <c r="N824" s="84"/>
      <c r="O824" s="85"/>
      <c r="P824" s="84"/>
      <c r="Q824" s="84"/>
      <c r="R824" s="84"/>
      <c r="S824" s="84"/>
      <c r="T824" s="84"/>
      <c r="U824" s="84"/>
      <c r="V824" s="84"/>
      <c r="W824" s="84"/>
      <c r="X824" s="86"/>
    </row>
    <row r="825" ht="15.0" customHeight="1">
      <c r="A825" s="81"/>
      <c r="B825" s="51"/>
      <c r="C825" s="51"/>
      <c r="D825" s="50"/>
      <c r="E825" s="50"/>
      <c r="F825" s="50"/>
      <c r="G825" s="50"/>
      <c r="H825" s="50"/>
      <c r="I825" s="82"/>
      <c r="J825" s="83"/>
      <c r="K825" s="83"/>
      <c r="L825" s="84"/>
      <c r="M825" s="84"/>
      <c r="N825" s="84"/>
      <c r="O825" s="85"/>
      <c r="P825" s="84"/>
      <c r="Q825" s="84"/>
      <c r="R825" s="84"/>
      <c r="S825" s="84"/>
      <c r="T825" s="84"/>
      <c r="U825" s="84"/>
      <c r="V825" s="84"/>
      <c r="W825" s="84"/>
      <c r="X825" s="86"/>
    </row>
    <row r="826" ht="15.0" customHeight="1">
      <c r="A826" s="81"/>
      <c r="B826" s="51"/>
      <c r="C826" s="51"/>
      <c r="D826" s="50"/>
      <c r="E826" s="50"/>
      <c r="F826" s="50"/>
      <c r="G826" s="50"/>
      <c r="H826" s="50"/>
      <c r="I826" s="82"/>
      <c r="J826" s="83"/>
      <c r="K826" s="83"/>
      <c r="L826" s="84"/>
      <c r="M826" s="84"/>
      <c r="N826" s="84"/>
      <c r="O826" s="85"/>
      <c r="P826" s="84"/>
      <c r="Q826" s="84"/>
      <c r="R826" s="84"/>
      <c r="S826" s="84"/>
      <c r="T826" s="84"/>
      <c r="U826" s="84"/>
      <c r="V826" s="84"/>
      <c r="W826" s="84"/>
      <c r="X826" s="86"/>
    </row>
    <row r="827" ht="15.0" customHeight="1">
      <c r="A827" s="81"/>
      <c r="B827" s="51"/>
      <c r="C827" s="51"/>
      <c r="D827" s="50"/>
      <c r="E827" s="50"/>
      <c r="F827" s="50"/>
      <c r="G827" s="50"/>
      <c r="H827" s="50"/>
      <c r="I827" s="82"/>
      <c r="J827" s="83"/>
      <c r="K827" s="83"/>
      <c r="L827" s="84"/>
      <c r="M827" s="84"/>
      <c r="N827" s="84"/>
      <c r="O827" s="85"/>
      <c r="P827" s="84"/>
      <c r="Q827" s="84"/>
      <c r="R827" s="84"/>
      <c r="S827" s="84"/>
      <c r="T827" s="84"/>
      <c r="U827" s="84"/>
      <c r="V827" s="84"/>
      <c r="W827" s="84"/>
      <c r="X827" s="86"/>
    </row>
    <row r="828" ht="15.0" customHeight="1">
      <c r="A828" s="81"/>
      <c r="B828" s="51"/>
      <c r="C828" s="51"/>
      <c r="D828" s="50"/>
      <c r="E828" s="50"/>
      <c r="F828" s="50"/>
      <c r="G828" s="50"/>
      <c r="H828" s="50"/>
      <c r="I828" s="82"/>
      <c r="J828" s="83"/>
      <c r="K828" s="83"/>
      <c r="L828" s="84"/>
      <c r="M828" s="84"/>
      <c r="N828" s="84"/>
      <c r="O828" s="85"/>
      <c r="P828" s="84"/>
      <c r="Q828" s="84"/>
      <c r="R828" s="84"/>
      <c r="S828" s="84"/>
      <c r="T828" s="84"/>
      <c r="U828" s="84"/>
      <c r="V828" s="84"/>
      <c r="W828" s="84"/>
      <c r="X828" s="86"/>
    </row>
    <row r="829" ht="15.0" customHeight="1">
      <c r="A829" s="81"/>
      <c r="B829" s="51"/>
      <c r="C829" s="51"/>
      <c r="D829" s="50"/>
      <c r="E829" s="50"/>
      <c r="F829" s="50"/>
      <c r="G829" s="50"/>
      <c r="H829" s="50"/>
      <c r="I829" s="82"/>
      <c r="J829" s="83"/>
      <c r="K829" s="83"/>
      <c r="L829" s="84"/>
      <c r="M829" s="84"/>
      <c r="N829" s="84"/>
      <c r="O829" s="85"/>
      <c r="P829" s="84"/>
      <c r="Q829" s="84"/>
      <c r="R829" s="84"/>
      <c r="S829" s="84"/>
      <c r="T829" s="84"/>
      <c r="U829" s="84"/>
      <c r="V829" s="84"/>
      <c r="W829" s="84"/>
      <c r="X829" s="86"/>
    </row>
    <row r="830" ht="15.0" customHeight="1">
      <c r="A830" s="81"/>
      <c r="B830" s="51"/>
      <c r="C830" s="51"/>
      <c r="D830" s="50"/>
      <c r="E830" s="50"/>
      <c r="F830" s="50"/>
      <c r="G830" s="50"/>
      <c r="H830" s="50"/>
      <c r="I830" s="82"/>
      <c r="J830" s="83"/>
      <c r="K830" s="83"/>
      <c r="L830" s="84"/>
      <c r="M830" s="84"/>
      <c r="N830" s="84"/>
      <c r="O830" s="85"/>
      <c r="P830" s="84"/>
      <c r="Q830" s="84"/>
      <c r="R830" s="84"/>
      <c r="S830" s="84"/>
      <c r="T830" s="84"/>
      <c r="U830" s="84"/>
      <c r="V830" s="84"/>
      <c r="W830" s="84"/>
      <c r="X830" s="86"/>
    </row>
    <row r="831" ht="15.0" customHeight="1">
      <c r="A831" s="81"/>
      <c r="B831" s="51"/>
      <c r="C831" s="51"/>
      <c r="D831" s="50"/>
      <c r="E831" s="50"/>
      <c r="F831" s="50"/>
      <c r="G831" s="50"/>
      <c r="H831" s="50"/>
      <c r="I831" s="82"/>
      <c r="J831" s="83"/>
      <c r="K831" s="83"/>
      <c r="L831" s="84"/>
      <c r="M831" s="84"/>
      <c r="N831" s="84"/>
      <c r="O831" s="85"/>
      <c r="P831" s="84"/>
      <c r="Q831" s="84"/>
      <c r="R831" s="84"/>
      <c r="S831" s="84"/>
      <c r="T831" s="84"/>
      <c r="U831" s="84"/>
      <c r="V831" s="84"/>
      <c r="W831" s="84"/>
      <c r="X831" s="86"/>
    </row>
    <row r="832" ht="15.0" customHeight="1">
      <c r="A832" s="81"/>
      <c r="B832" s="51"/>
      <c r="C832" s="51"/>
      <c r="D832" s="50"/>
      <c r="E832" s="50"/>
      <c r="F832" s="50"/>
      <c r="G832" s="50"/>
      <c r="H832" s="50"/>
      <c r="I832" s="82"/>
      <c r="J832" s="83"/>
      <c r="K832" s="83"/>
      <c r="L832" s="84"/>
      <c r="M832" s="84"/>
      <c r="N832" s="84"/>
      <c r="O832" s="85"/>
      <c r="P832" s="84"/>
      <c r="Q832" s="84"/>
      <c r="R832" s="84"/>
      <c r="S832" s="84"/>
      <c r="T832" s="84"/>
      <c r="U832" s="84"/>
      <c r="V832" s="84"/>
      <c r="W832" s="84"/>
      <c r="X832" s="86"/>
    </row>
    <row r="833" ht="15.0" customHeight="1">
      <c r="A833" s="81"/>
      <c r="B833" s="51"/>
      <c r="C833" s="51"/>
      <c r="D833" s="50"/>
      <c r="E833" s="50"/>
      <c r="F833" s="50"/>
      <c r="G833" s="50"/>
      <c r="H833" s="50"/>
      <c r="I833" s="82"/>
      <c r="J833" s="83"/>
      <c r="K833" s="83"/>
      <c r="L833" s="84"/>
      <c r="M833" s="84"/>
      <c r="N833" s="84"/>
      <c r="O833" s="85"/>
      <c r="P833" s="84"/>
      <c r="Q833" s="84"/>
      <c r="R833" s="84"/>
      <c r="S833" s="84"/>
      <c r="T833" s="84"/>
      <c r="U833" s="84"/>
      <c r="V833" s="84"/>
      <c r="W833" s="84"/>
      <c r="X833" s="86"/>
    </row>
    <row r="834" ht="15.0" customHeight="1">
      <c r="A834" s="81"/>
      <c r="B834" s="51"/>
      <c r="C834" s="51"/>
      <c r="D834" s="50"/>
      <c r="E834" s="50"/>
      <c r="F834" s="50"/>
      <c r="G834" s="50"/>
      <c r="H834" s="50"/>
      <c r="I834" s="82"/>
      <c r="J834" s="83"/>
      <c r="K834" s="83"/>
      <c r="L834" s="84"/>
      <c r="M834" s="84"/>
      <c r="N834" s="84"/>
      <c r="O834" s="85"/>
      <c r="P834" s="84"/>
      <c r="Q834" s="84"/>
      <c r="R834" s="84"/>
      <c r="S834" s="84"/>
      <c r="T834" s="84"/>
      <c r="U834" s="84"/>
      <c r="V834" s="84"/>
      <c r="W834" s="84"/>
      <c r="X834" s="86"/>
    </row>
    <row r="835" ht="15.0" customHeight="1">
      <c r="A835" s="81"/>
      <c r="B835" s="51"/>
      <c r="C835" s="51"/>
      <c r="D835" s="50"/>
      <c r="E835" s="50"/>
      <c r="F835" s="50"/>
      <c r="G835" s="50"/>
      <c r="H835" s="50"/>
      <c r="I835" s="82"/>
      <c r="J835" s="83"/>
      <c r="K835" s="83"/>
      <c r="L835" s="84"/>
      <c r="M835" s="84"/>
      <c r="N835" s="84"/>
      <c r="O835" s="85"/>
      <c r="P835" s="84"/>
      <c r="Q835" s="84"/>
      <c r="R835" s="84"/>
      <c r="S835" s="84"/>
      <c r="T835" s="84"/>
      <c r="U835" s="84"/>
      <c r="V835" s="84"/>
      <c r="W835" s="84"/>
      <c r="X835" s="86"/>
    </row>
    <row r="836" ht="15.0" customHeight="1">
      <c r="A836" s="81"/>
      <c r="B836" s="51"/>
      <c r="C836" s="51"/>
      <c r="D836" s="50"/>
      <c r="E836" s="50"/>
      <c r="F836" s="50"/>
      <c r="G836" s="50"/>
      <c r="H836" s="50"/>
      <c r="I836" s="82"/>
      <c r="J836" s="83"/>
      <c r="K836" s="83"/>
      <c r="L836" s="84"/>
      <c r="M836" s="84"/>
      <c r="N836" s="84"/>
      <c r="O836" s="85"/>
      <c r="P836" s="84"/>
      <c r="Q836" s="84"/>
      <c r="R836" s="84"/>
      <c r="S836" s="84"/>
      <c r="T836" s="84"/>
      <c r="U836" s="84"/>
      <c r="V836" s="84"/>
      <c r="W836" s="84"/>
      <c r="X836" s="86"/>
    </row>
    <row r="837" ht="15.0" customHeight="1">
      <c r="A837" s="81"/>
      <c r="B837" s="51"/>
      <c r="C837" s="51"/>
      <c r="D837" s="50"/>
      <c r="E837" s="50"/>
      <c r="F837" s="50"/>
      <c r="G837" s="50"/>
      <c r="H837" s="50"/>
      <c r="I837" s="82"/>
      <c r="J837" s="83"/>
      <c r="K837" s="83"/>
      <c r="L837" s="84"/>
      <c r="M837" s="84"/>
      <c r="N837" s="84"/>
      <c r="O837" s="85"/>
      <c r="P837" s="84"/>
      <c r="Q837" s="84"/>
      <c r="R837" s="84"/>
      <c r="S837" s="84"/>
      <c r="T837" s="84"/>
      <c r="U837" s="84"/>
      <c r="V837" s="84"/>
      <c r="W837" s="84"/>
      <c r="X837" s="86"/>
    </row>
    <row r="838" ht="15.0" customHeight="1">
      <c r="A838" s="81"/>
      <c r="B838" s="51"/>
      <c r="C838" s="51"/>
      <c r="D838" s="50"/>
      <c r="E838" s="50"/>
      <c r="F838" s="50"/>
      <c r="G838" s="50"/>
      <c r="H838" s="50"/>
      <c r="I838" s="82"/>
      <c r="J838" s="83"/>
      <c r="K838" s="83"/>
      <c r="L838" s="84"/>
      <c r="M838" s="84"/>
      <c r="N838" s="84"/>
      <c r="O838" s="85"/>
      <c r="P838" s="84"/>
      <c r="Q838" s="84"/>
      <c r="R838" s="84"/>
      <c r="S838" s="84"/>
      <c r="T838" s="84"/>
      <c r="U838" s="84"/>
      <c r="V838" s="84"/>
      <c r="W838" s="84"/>
      <c r="X838" s="86"/>
    </row>
    <row r="839" ht="15.0" customHeight="1">
      <c r="A839" s="81"/>
      <c r="B839" s="51"/>
      <c r="C839" s="51"/>
      <c r="D839" s="50"/>
      <c r="E839" s="50"/>
      <c r="F839" s="50"/>
      <c r="G839" s="50"/>
      <c r="H839" s="50"/>
      <c r="I839" s="82"/>
      <c r="J839" s="83"/>
      <c r="K839" s="83"/>
      <c r="L839" s="84"/>
      <c r="M839" s="84"/>
      <c r="N839" s="84"/>
      <c r="O839" s="85"/>
      <c r="P839" s="84"/>
      <c r="Q839" s="84"/>
      <c r="R839" s="84"/>
      <c r="S839" s="84"/>
      <c r="T839" s="84"/>
      <c r="U839" s="84"/>
      <c r="V839" s="84"/>
      <c r="W839" s="84"/>
      <c r="X839" s="86"/>
    </row>
    <row r="840" ht="15.0" customHeight="1">
      <c r="A840" s="81"/>
      <c r="B840" s="51"/>
      <c r="C840" s="51"/>
      <c r="D840" s="50"/>
      <c r="E840" s="50"/>
      <c r="F840" s="50"/>
      <c r="G840" s="50"/>
      <c r="H840" s="50"/>
      <c r="I840" s="82"/>
      <c r="J840" s="83"/>
      <c r="K840" s="83"/>
      <c r="L840" s="84"/>
      <c r="M840" s="84"/>
      <c r="N840" s="84"/>
      <c r="O840" s="85"/>
      <c r="P840" s="84"/>
      <c r="Q840" s="84"/>
      <c r="R840" s="84"/>
      <c r="S840" s="84"/>
      <c r="T840" s="84"/>
      <c r="U840" s="84"/>
      <c r="V840" s="84"/>
      <c r="W840" s="84"/>
      <c r="X840" s="86"/>
    </row>
    <row r="841" ht="15.0" customHeight="1">
      <c r="A841" s="81"/>
      <c r="B841" s="51"/>
      <c r="C841" s="51"/>
      <c r="D841" s="50"/>
      <c r="E841" s="50"/>
      <c r="F841" s="50"/>
      <c r="G841" s="50"/>
      <c r="H841" s="50"/>
      <c r="I841" s="82"/>
      <c r="J841" s="83"/>
      <c r="K841" s="83"/>
      <c r="L841" s="84"/>
      <c r="M841" s="84"/>
      <c r="N841" s="84"/>
      <c r="O841" s="85"/>
      <c r="P841" s="84"/>
      <c r="Q841" s="84"/>
      <c r="R841" s="84"/>
      <c r="S841" s="84"/>
      <c r="T841" s="84"/>
      <c r="U841" s="84"/>
      <c r="V841" s="84"/>
      <c r="W841" s="84"/>
      <c r="X841" s="86"/>
    </row>
    <row r="842" ht="15.0" customHeight="1">
      <c r="A842" s="81"/>
      <c r="B842" s="51"/>
      <c r="C842" s="51"/>
      <c r="D842" s="50"/>
      <c r="E842" s="50"/>
      <c r="F842" s="50"/>
      <c r="G842" s="50"/>
      <c r="H842" s="50"/>
      <c r="I842" s="82"/>
      <c r="J842" s="83"/>
      <c r="K842" s="83"/>
      <c r="L842" s="84"/>
      <c r="M842" s="84"/>
      <c r="N842" s="84"/>
      <c r="O842" s="85"/>
      <c r="P842" s="84"/>
      <c r="Q842" s="84"/>
      <c r="R842" s="84"/>
      <c r="S842" s="84"/>
      <c r="T842" s="84"/>
      <c r="U842" s="84"/>
      <c r="V842" s="84"/>
      <c r="W842" s="84"/>
      <c r="X842" s="86"/>
    </row>
    <row r="843" ht="15.0" customHeight="1">
      <c r="A843" s="81"/>
      <c r="B843" s="51"/>
      <c r="C843" s="51"/>
      <c r="D843" s="50"/>
      <c r="E843" s="50"/>
      <c r="F843" s="50"/>
      <c r="G843" s="50"/>
      <c r="H843" s="50"/>
      <c r="I843" s="82"/>
      <c r="J843" s="83"/>
      <c r="K843" s="83"/>
      <c r="L843" s="84"/>
      <c r="M843" s="84"/>
      <c r="N843" s="84"/>
      <c r="O843" s="85"/>
      <c r="P843" s="84"/>
      <c r="Q843" s="84"/>
      <c r="R843" s="84"/>
      <c r="S843" s="84"/>
      <c r="T843" s="84"/>
      <c r="U843" s="84"/>
      <c r="V843" s="84"/>
      <c r="W843" s="84"/>
      <c r="X843" s="86"/>
    </row>
    <row r="844" ht="15.0" customHeight="1">
      <c r="A844" s="81"/>
      <c r="B844" s="51"/>
      <c r="C844" s="51"/>
      <c r="D844" s="50"/>
      <c r="E844" s="50"/>
      <c r="F844" s="50"/>
      <c r="G844" s="50"/>
      <c r="H844" s="50"/>
      <c r="I844" s="82"/>
      <c r="J844" s="83"/>
      <c r="K844" s="83"/>
      <c r="L844" s="84"/>
      <c r="M844" s="84"/>
      <c r="N844" s="84"/>
      <c r="O844" s="85"/>
      <c r="P844" s="84"/>
      <c r="Q844" s="84"/>
      <c r="R844" s="84"/>
      <c r="S844" s="84"/>
      <c r="T844" s="84"/>
      <c r="U844" s="84"/>
      <c r="V844" s="84"/>
      <c r="W844" s="84"/>
      <c r="X844" s="86"/>
    </row>
    <row r="845" ht="15.0" customHeight="1">
      <c r="A845" s="81"/>
      <c r="B845" s="51"/>
      <c r="C845" s="51"/>
      <c r="D845" s="50"/>
      <c r="E845" s="50"/>
      <c r="F845" s="50"/>
      <c r="G845" s="50"/>
      <c r="H845" s="50"/>
      <c r="I845" s="82"/>
      <c r="J845" s="83"/>
      <c r="K845" s="83"/>
      <c r="L845" s="84"/>
      <c r="M845" s="84"/>
      <c r="N845" s="84"/>
      <c r="O845" s="85"/>
      <c r="P845" s="84"/>
      <c r="Q845" s="84"/>
      <c r="R845" s="84"/>
      <c r="S845" s="84"/>
      <c r="T845" s="84"/>
      <c r="U845" s="84"/>
      <c r="V845" s="84"/>
      <c r="W845" s="84"/>
      <c r="X845" s="86"/>
    </row>
    <row r="846" ht="15.0" customHeight="1">
      <c r="A846" s="81"/>
      <c r="B846" s="51"/>
      <c r="C846" s="51"/>
      <c r="D846" s="50"/>
      <c r="E846" s="50"/>
      <c r="F846" s="50"/>
      <c r="G846" s="50"/>
      <c r="H846" s="50"/>
      <c r="I846" s="82"/>
      <c r="J846" s="83"/>
      <c r="K846" s="83"/>
      <c r="L846" s="84"/>
      <c r="M846" s="84"/>
      <c r="N846" s="84"/>
      <c r="O846" s="85"/>
      <c r="P846" s="84"/>
      <c r="Q846" s="84"/>
      <c r="R846" s="84"/>
      <c r="S846" s="84"/>
      <c r="T846" s="84"/>
      <c r="U846" s="84"/>
      <c r="V846" s="84"/>
      <c r="W846" s="84"/>
      <c r="X846" s="86"/>
    </row>
    <row r="847" ht="15.0" customHeight="1">
      <c r="A847" s="81"/>
      <c r="B847" s="51"/>
      <c r="C847" s="51"/>
      <c r="D847" s="50"/>
      <c r="E847" s="50"/>
      <c r="F847" s="50"/>
      <c r="G847" s="50"/>
      <c r="H847" s="50"/>
      <c r="I847" s="82"/>
      <c r="J847" s="83"/>
      <c r="K847" s="83"/>
      <c r="L847" s="84"/>
      <c r="M847" s="84"/>
      <c r="N847" s="84"/>
      <c r="O847" s="85"/>
      <c r="P847" s="84"/>
      <c r="Q847" s="84"/>
      <c r="R847" s="84"/>
      <c r="S847" s="84"/>
      <c r="T847" s="84"/>
      <c r="U847" s="84"/>
      <c r="V847" s="84"/>
      <c r="W847" s="84"/>
      <c r="X847" s="86"/>
    </row>
    <row r="848" ht="15.0" customHeight="1">
      <c r="A848" s="81"/>
      <c r="B848" s="51"/>
      <c r="C848" s="51"/>
      <c r="D848" s="50"/>
      <c r="E848" s="50"/>
      <c r="F848" s="50"/>
      <c r="G848" s="50"/>
      <c r="H848" s="50"/>
      <c r="I848" s="82"/>
      <c r="J848" s="83"/>
      <c r="K848" s="83"/>
      <c r="L848" s="84"/>
      <c r="M848" s="84"/>
      <c r="N848" s="84"/>
      <c r="O848" s="85"/>
      <c r="P848" s="84"/>
      <c r="Q848" s="84"/>
      <c r="R848" s="84"/>
      <c r="S848" s="84"/>
      <c r="T848" s="84"/>
      <c r="U848" s="84"/>
      <c r="V848" s="84"/>
      <c r="W848" s="84"/>
      <c r="X848" s="86"/>
    </row>
    <row r="849" ht="15.0" customHeight="1">
      <c r="A849" s="81"/>
      <c r="B849" s="51"/>
      <c r="C849" s="51"/>
      <c r="D849" s="50"/>
      <c r="E849" s="50"/>
      <c r="F849" s="50"/>
      <c r="G849" s="50"/>
      <c r="H849" s="50"/>
      <c r="I849" s="82"/>
      <c r="J849" s="83"/>
      <c r="K849" s="83"/>
      <c r="L849" s="84"/>
      <c r="M849" s="84"/>
      <c r="N849" s="84"/>
      <c r="O849" s="85"/>
      <c r="P849" s="84"/>
      <c r="Q849" s="84"/>
      <c r="R849" s="84"/>
      <c r="S849" s="84"/>
      <c r="T849" s="84"/>
      <c r="U849" s="84"/>
      <c r="V849" s="84"/>
      <c r="W849" s="84"/>
      <c r="X849" s="86"/>
    </row>
    <row r="850" ht="15.0" customHeight="1">
      <c r="A850" s="81"/>
      <c r="B850" s="51"/>
      <c r="C850" s="51"/>
      <c r="D850" s="50"/>
      <c r="E850" s="50"/>
      <c r="F850" s="50"/>
      <c r="G850" s="50"/>
      <c r="H850" s="50"/>
      <c r="I850" s="82"/>
      <c r="J850" s="83"/>
      <c r="K850" s="83"/>
      <c r="L850" s="84"/>
      <c r="M850" s="84"/>
      <c r="N850" s="84"/>
      <c r="O850" s="85"/>
      <c r="P850" s="84"/>
      <c r="Q850" s="84"/>
      <c r="R850" s="84"/>
      <c r="S850" s="84"/>
      <c r="T850" s="84"/>
      <c r="U850" s="84"/>
      <c r="V850" s="84"/>
      <c r="W850" s="84"/>
      <c r="X850" s="86"/>
    </row>
    <row r="851" ht="15.0" customHeight="1">
      <c r="A851" s="81"/>
      <c r="B851" s="51"/>
      <c r="C851" s="51"/>
      <c r="D851" s="50"/>
      <c r="E851" s="50"/>
      <c r="F851" s="50"/>
      <c r="G851" s="50"/>
      <c r="H851" s="50"/>
      <c r="I851" s="82"/>
      <c r="J851" s="83"/>
      <c r="K851" s="83"/>
      <c r="L851" s="84"/>
      <c r="M851" s="84"/>
      <c r="N851" s="84"/>
      <c r="O851" s="85"/>
      <c r="P851" s="84"/>
      <c r="Q851" s="84"/>
      <c r="R851" s="84"/>
      <c r="S851" s="84"/>
      <c r="T851" s="84"/>
      <c r="U851" s="84"/>
      <c r="V851" s="84"/>
      <c r="W851" s="84"/>
      <c r="X851" s="86"/>
    </row>
    <row r="852" ht="15.0" customHeight="1">
      <c r="A852" s="81"/>
      <c r="B852" s="51"/>
      <c r="C852" s="51"/>
      <c r="D852" s="50"/>
      <c r="E852" s="50"/>
      <c r="F852" s="50"/>
      <c r="G852" s="50"/>
      <c r="H852" s="50"/>
      <c r="I852" s="82"/>
      <c r="J852" s="83"/>
      <c r="K852" s="83"/>
      <c r="L852" s="84"/>
      <c r="M852" s="84"/>
      <c r="N852" s="84"/>
      <c r="O852" s="85"/>
      <c r="P852" s="84"/>
      <c r="Q852" s="84"/>
      <c r="R852" s="84"/>
      <c r="S852" s="84"/>
      <c r="T852" s="84"/>
      <c r="U852" s="84"/>
      <c r="V852" s="84"/>
      <c r="W852" s="84"/>
      <c r="X852" s="86"/>
    </row>
    <row r="853" ht="15.0" customHeight="1">
      <c r="A853" s="81"/>
      <c r="B853" s="51"/>
      <c r="C853" s="51"/>
      <c r="D853" s="50"/>
      <c r="E853" s="50"/>
      <c r="F853" s="50"/>
      <c r="G853" s="50"/>
      <c r="H853" s="50"/>
      <c r="I853" s="82"/>
      <c r="J853" s="83"/>
      <c r="K853" s="83"/>
      <c r="L853" s="84"/>
      <c r="M853" s="84"/>
      <c r="N853" s="84"/>
      <c r="O853" s="85"/>
      <c r="P853" s="84"/>
      <c r="Q853" s="84"/>
      <c r="R853" s="84"/>
      <c r="S853" s="84"/>
      <c r="T853" s="84"/>
      <c r="U853" s="84"/>
      <c r="V853" s="84"/>
      <c r="W853" s="84"/>
      <c r="X853" s="86"/>
    </row>
    <row r="854" ht="15.0" customHeight="1">
      <c r="A854" s="81"/>
      <c r="B854" s="51"/>
      <c r="C854" s="51"/>
      <c r="D854" s="50"/>
      <c r="E854" s="50"/>
      <c r="F854" s="50"/>
      <c r="G854" s="50"/>
      <c r="H854" s="50"/>
      <c r="I854" s="82"/>
      <c r="J854" s="83"/>
      <c r="K854" s="83"/>
      <c r="L854" s="84"/>
      <c r="M854" s="84"/>
      <c r="N854" s="84"/>
      <c r="O854" s="85"/>
      <c r="P854" s="84"/>
      <c r="Q854" s="84"/>
      <c r="R854" s="84"/>
      <c r="S854" s="84"/>
      <c r="T854" s="84"/>
      <c r="U854" s="84"/>
      <c r="V854" s="84"/>
      <c r="W854" s="84"/>
      <c r="X854" s="86"/>
    </row>
    <row r="855" ht="15.0" customHeight="1">
      <c r="A855" s="81"/>
      <c r="B855" s="51"/>
      <c r="C855" s="51"/>
      <c r="D855" s="50"/>
      <c r="E855" s="50"/>
      <c r="F855" s="50"/>
      <c r="G855" s="50"/>
      <c r="H855" s="50"/>
      <c r="I855" s="82"/>
      <c r="J855" s="83"/>
      <c r="K855" s="83"/>
      <c r="L855" s="84"/>
      <c r="M855" s="84"/>
      <c r="N855" s="84"/>
      <c r="O855" s="85"/>
      <c r="P855" s="84"/>
      <c r="Q855" s="84"/>
      <c r="R855" s="84"/>
      <c r="S855" s="84"/>
      <c r="T855" s="84"/>
      <c r="U855" s="84"/>
      <c r="V855" s="84"/>
      <c r="W855" s="84"/>
      <c r="X855" s="86"/>
    </row>
    <row r="856" ht="15.0" customHeight="1">
      <c r="A856" s="81"/>
      <c r="B856" s="51"/>
      <c r="C856" s="128"/>
      <c r="D856" s="50"/>
      <c r="E856" s="50"/>
      <c r="F856" s="50"/>
      <c r="G856" s="50"/>
      <c r="H856" s="50"/>
      <c r="I856" s="82"/>
      <c r="J856" s="83"/>
      <c r="K856" s="83"/>
      <c r="L856" s="84"/>
      <c r="M856" s="84"/>
      <c r="N856" s="84"/>
      <c r="O856" s="85"/>
      <c r="P856" s="84"/>
      <c r="Q856" s="84"/>
      <c r="R856" s="84"/>
      <c r="S856" s="84"/>
      <c r="T856" s="84"/>
      <c r="U856" s="84"/>
      <c r="V856" s="84"/>
      <c r="W856" s="84"/>
      <c r="X856" s="86"/>
    </row>
    <row r="857" ht="15.0" customHeight="1">
      <c r="A857" s="81"/>
      <c r="B857" s="51"/>
      <c r="C857" s="51"/>
      <c r="D857" s="50"/>
      <c r="E857" s="50"/>
      <c r="F857" s="50"/>
      <c r="G857" s="50"/>
      <c r="H857" s="50"/>
      <c r="I857" s="82"/>
      <c r="J857" s="83"/>
      <c r="K857" s="83"/>
      <c r="L857" s="84"/>
      <c r="M857" s="84"/>
      <c r="N857" s="84"/>
      <c r="O857" s="85"/>
      <c r="P857" s="84"/>
      <c r="Q857" s="84"/>
      <c r="R857" s="84"/>
      <c r="S857" s="84"/>
      <c r="T857" s="84"/>
      <c r="U857" s="84"/>
      <c r="V857" s="84"/>
      <c r="W857" s="84"/>
      <c r="X857" s="86"/>
    </row>
    <row r="858" ht="15.0" customHeight="1">
      <c r="A858" s="81"/>
      <c r="B858" s="51"/>
      <c r="C858" s="51"/>
      <c r="D858" s="50"/>
      <c r="E858" s="50"/>
      <c r="F858" s="50"/>
      <c r="G858" s="50"/>
      <c r="H858" s="50"/>
      <c r="I858" s="82"/>
      <c r="J858" s="83"/>
      <c r="K858" s="83"/>
      <c r="L858" s="84"/>
      <c r="M858" s="84"/>
      <c r="N858" s="84"/>
      <c r="O858" s="85"/>
      <c r="P858" s="84"/>
      <c r="Q858" s="84"/>
      <c r="R858" s="84"/>
      <c r="S858" s="84"/>
      <c r="T858" s="84"/>
      <c r="U858" s="84"/>
      <c r="V858" s="84"/>
      <c r="W858" s="84"/>
      <c r="X858" s="86"/>
    </row>
    <row r="859" ht="15.0" customHeight="1">
      <c r="A859" s="81"/>
      <c r="B859" s="51"/>
      <c r="C859" s="51"/>
      <c r="D859" s="50"/>
      <c r="E859" s="50"/>
      <c r="F859" s="50"/>
      <c r="G859" s="50"/>
      <c r="H859" s="50"/>
      <c r="I859" s="82"/>
      <c r="J859" s="83"/>
      <c r="K859" s="83"/>
      <c r="L859" s="84"/>
      <c r="M859" s="84"/>
      <c r="N859" s="84"/>
      <c r="O859" s="85"/>
      <c r="P859" s="84"/>
      <c r="Q859" s="84"/>
      <c r="R859" s="84"/>
      <c r="S859" s="84"/>
      <c r="T859" s="84"/>
      <c r="U859" s="84"/>
      <c r="V859" s="84"/>
      <c r="W859" s="84"/>
      <c r="X859" s="86"/>
    </row>
    <row r="860" ht="15.0" customHeight="1">
      <c r="A860" s="81"/>
      <c r="B860" s="51"/>
      <c r="C860" s="51"/>
      <c r="D860" s="50"/>
      <c r="E860" s="50"/>
      <c r="F860" s="50"/>
      <c r="G860" s="50"/>
      <c r="H860" s="50"/>
      <c r="I860" s="82"/>
      <c r="J860" s="83"/>
      <c r="K860" s="83"/>
      <c r="L860" s="84"/>
      <c r="M860" s="84"/>
      <c r="N860" s="84"/>
      <c r="O860" s="85"/>
      <c r="P860" s="84"/>
      <c r="Q860" s="84"/>
      <c r="R860" s="84"/>
      <c r="S860" s="84"/>
      <c r="T860" s="84"/>
      <c r="U860" s="84"/>
      <c r="V860" s="84"/>
      <c r="W860" s="84"/>
      <c r="X860" s="86"/>
    </row>
    <row r="861" ht="15.0" customHeight="1">
      <c r="A861" s="81"/>
      <c r="B861" s="51"/>
      <c r="C861" s="51"/>
      <c r="D861" s="50"/>
      <c r="E861" s="50"/>
      <c r="F861" s="50"/>
      <c r="G861" s="50"/>
      <c r="H861" s="50"/>
      <c r="I861" s="82"/>
      <c r="J861" s="83"/>
      <c r="K861" s="83"/>
      <c r="L861" s="84"/>
      <c r="M861" s="84"/>
      <c r="N861" s="84"/>
      <c r="O861" s="85"/>
      <c r="P861" s="84"/>
      <c r="Q861" s="84"/>
      <c r="R861" s="84"/>
      <c r="S861" s="84"/>
      <c r="T861" s="84"/>
      <c r="U861" s="84"/>
      <c r="V861" s="84"/>
      <c r="W861" s="84"/>
      <c r="X861" s="86"/>
    </row>
    <row r="862" ht="15.0" customHeight="1">
      <c r="A862" s="81"/>
      <c r="B862" s="51"/>
      <c r="C862" s="51"/>
      <c r="D862" s="50"/>
      <c r="E862" s="50"/>
      <c r="F862" s="50"/>
      <c r="G862" s="50"/>
      <c r="H862" s="50"/>
      <c r="I862" s="82"/>
      <c r="J862" s="83"/>
      <c r="K862" s="83"/>
      <c r="L862" s="84"/>
      <c r="M862" s="84"/>
      <c r="N862" s="84"/>
      <c r="O862" s="85"/>
      <c r="P862" s="84"/>
      <c r="Q862" s="84"/>
      <c r="R862" s="84"/>
      <c r="S862" s="84"/>
      <c r="T862" s="84"/>
      <c r="U862" s="84"/>
      <c r="V862" s="84"/>
      <c r="W862" s="84"/>
      <c r="X862" s="86"/>
    </row>
    <row r="863" ht="15.0" customHeight="1">
      <c r="A863" s="81"/>
      <c r="B863" s="51"/>
      <c r="C863" s="51"/>
      <c r="D863" s="50"/>
      <c r="E863" s="50"/>
      <c r="F863" s="50"/>
      <c r="G863" s="50"/>
      <c r="H863" s="50"/>
      <c r="I863" s="82"/>
      <c r="J863" s="83"/>
      <c r="K863" s="83"/>
      <c r="L863" s="84"/>
      <c r="M863" s="84"/>
      <c r="N863" s="84"/>
      <c r="O863" s="85"/>
      <c r="P863" s="84"/>
      <c r="Q863" s="84"/>
      <c r="R863" s="84"/>
      <c r="S863" s="84"/>
      <c r="T863" s="84"/>
      <c r="U863" s="84"/>
      <c r="V863" s="84"/>
      <c r="W863" s="84"/>
      <c r="X863" s="86"/>
    </row>
    <row r="864" ht="15.0" customHeight="1">
      <c r="A864" s="81"/>
      <c r="B864" s="51"/>
      <c r="C864" s="51"/>
      <c r="D864" s="50"/>
      <c r="E864" s="50"/>
      <c r="F864" s="50"/>
      <c r="G864" s="50"/>
      <c r="H864" s="50"/>
      <c r="I864" s="82"/>
      <c r="J864" s="83"/>
      <c r="K864" s="83"/>
      <c r="L864" s="84"/>
      <c r="M864" s="84"/>
      <c r="N864" s="84"/>
      <c r="O864" s="85"/>
      <c r="P864" s="84"/>
      <c r="Q864" s="84"/>
      <c r="R864" s="84"/>
      <c r="S864" s="84"/>
      <c r="T864" s="84"/>
      <c r="U864" s="84"/>
      <c r="V864" s="84"/>
      <c r="W864" s="84"/>
      <c r="X864" s="86"/>
    </row>
    <row r="865" ht="15.0" customHeight="1">
      <c r="A865" s="81"/>
      <c r="B865" s="51"/>
      <c r="C865" s="51"/>
      <c r="D865" s="50"/>
      <c r="E865" s="50"/>
      <c r="F865" s="50"/>
      <c r="G865" s="50"/>
      <c r="H865" s="50"/>
      <c r="I865" s="82"/>
      <c r="J865" s="83"/>
      <c r="K865" s="83"/>
      <c r="L865" s="84"/>
      <c r="M865" s="84"/>
      <c r="N865" s="84"/>
      <c r="O865" s="85"/>
      <c r="P865" s="84"/>
      <c r="Q865" s="84"/>
      <c r="R865" s="84"/>
      <c r="S865" s="84"/>
      <c r="T865" s="84"/>
      <c r="U865" s="84"/>
      <c r="V865" s="84"/>
      <c r="W865" s="84"/>
      <c r="X865" s="86"/>
    </row>
    <row r="866" ht="15.0" customHeight="1">
      <c r="A866" s="81"/>
      <c r="B866" s="51"/>
      <c r="C866" s="51"/>
      <c r="D866" s="50"/>
      <c r="E866" s="50"/>
      <c r="F866" s="50"/>
      <c r="G866" s="50"/>
      <c r="H866" s="50"/>
      <c r="I866" s="82"/>
      <c r="J866" s="83"/>
      <c r="K866" s="83"/>
      <c r="L866" s="84"/>
      <c r="M866" s="84"/>
      <c r="N866" s="84"/>
      <c r="O866" s="85"/>
      <c r="P866" s="84"/>
      <c r="Q866" s="84"/>
      <c r="R866" s="84"/>
      <c r="S866" s="84"/>
      <c r="T866" s="84"/>
      <c r="U866" s="84"/>
      <c r="V866" s="84"/>
      <c r="W866" s="84"/>
      <c r="X866" s="86"/>
    </row>
    <row r="867" ht="15.0" customHeight="1">
      <c r="A867" s="81"/>
      <c r="B867" s="51"/>
      <c r="C867" s="51"/>
      <c r="D867" s="50"/>
      <c r="E867" s="50"/>
      <c r="F867" s="50"/>
      <c r="G867" s="50"/>
      <c r="H867" s="50"/>
      <c r="I867" s="82"/>
      <c r="J867" s="83"/>
      <c r="K867" s="83"/>
      <c r="L867" s="84"/>
      <c r="M867" s="84"/>
      <c r="N867" s="84"/>
      <c r="O867" s="85"/>
      <c r="P867" s="84"/>
      <c r="Q867" s="84"/>
      <c r="R867" s="84"/>
      <c r="S867" s="84"/>
      <c r="T867" s="84"/>
      <c r="U867" s="84"/>
      <c r="V867" s="84"/>
      <c r="W867" s="84"/>
      <c r="X867" s="86"/>
    </row>
    <row r="868" ht="15.0" customHeight="1">
      <c r="A868" s="81"/>
      <c r="B868" s="51"/>
      <c r="C868" s="51"/>
      <c r="D868" s="50"/>
      <c r="E868" s="50"/>
      <c r="F868" s="50"/>
      <c r="G868" s="50"/>
      <c r="H868" s="50"/>
      <c r="I868" s="82"/>
      <c r="J868" s="83"/>
      <c r="K868" s="83"/>
      <c r="L868" s="84"/>
      <c r="M868" s="84"/>
      <c r="N868" s="84"/>
      <c r="O868" s="85"/>
      <c r="P868" s="84"/>
      <c r="Q868" s="84"/>
      <c r="R868" s="84"/>
      <c r="S868" s="84"/>
      <c r="T868" s="84"/>
      <c r="U868" s="84"/>
      <c r="V868" s="84"/>
      <c r="W868" s="84"/>
      <c r="X868" s="86"/>
    </row>
    <row r="869" ht="15.0" customHeight="1">
      <c r="A869" s="81"/>
      <c r="B869" s="51"/>
      <c r="C869" s="51"/>
      <c r="D869" s="50"/>
      <c r="E869" s="50"/>
      <c r="F869" s="50"/>
      <c r="G869" s="50"/>
      <c r="H869" s="50"/>
      <c r="I869" s="82"/>
      <c r="J869" s="83"/>
      <c r="K869" s="83"/>
      <c r="L869" s="84"/>
      <c r="M869" s="84"/>
      <c r="N869" s="84"/>
      <c r="O869" s="85"/>
      <c r="P869" s="84"/>
      <c r="Q869" s="84"/>
      <c r="R869" s="84"/>
      <c r="S869" s="84"/>
      <c r="T869" s="84"/>
      <c r="U869" s="84"/>
      <c r="V869" s="84"/>
      <c r="W869" s="84"/>
      <c r="X869" s="86"/>
    </row>
    <row r="870" ht="15.0" customHeight="1">
      <c r="A870" s="81"/>
      <c r="B870" s="51"/>
      <c r="C870" s="51"/>
      <c r="D870" s="50"/>
      <c r="E870" s="50"/>
      <c r="F870" s="50"/>
      <c r="G870" s="50"/>
      <c r="H870" s="50"/>
      <c r="I870" s="82"/>
      <c r="J870" s="83"/>
      <c r="K870" s="83"/>
      <c r="L870" s="84"/>
      <c r="M870" s="84"/>
      <c r="N870" s="84"/>
      <c r="O870" s="85"/>
      <c r="P870" s="84"/>
      <c r="Q870" s="84"/>
      <c r="R870" s="84"/>
      <c r="S870" s="84"/>
      <c r="T870" s="84"/>
      <c r="U870" s="84"/>
      <c r="V870" s="84"/>
      <c r="W870" s="84"/>
      <c r="X870" s="86"/>
    </row>
    <row r="871" ht="15.0" customHeight="1">
      <c r="A871" s="81"/>
      <c r="B871" s="51"/>
      <c r="C871" s="51"/>
      <c r="D871" s="50"/>
      <c r="E871" s="50"/>
      <c r="F871" s="50"/>
      <c r="G871" s="50"/>
      <c r="H871" s="50"/>
      <c r="I871" s="82"/>
      <c r="J871" s="83"/>
      <c r="K871" s="83"/>
      <c r="L871" s="84"/>
      <c r="M871" s="84"/>
      <c r="N871" s="84"/>
      <c r="O871" s="85"/>
      <c r="P871" s="84"/>
      <c r="Q871" s="84"/>
      <c r="R871" s="84"/>
      <c r="S871" s="84"/>
      <c r="T871" s="84"/>
      <c r="U871" s="84"/>
      <c r="V871" s="84"/>
      <c r="W871" s="84"/>
      <c r="X871" s="86"/>
    </row>
    <row r="872" ht="15.0" customHeight="1">
      <c r="A872" s="81"/>
      <c r="B872" s="51"/>
      <c r="C872" s="51"/>
      <c r="D872" s="50"/>
      <c r="E872" s="50"/>
      <c r="F872" s="50"/>
      <c r="G872" s="50"/>
      <c r="H872" s="50"/>
      <c r="I872" s="82"/>
      <c r="J872" s="83"/>
      <c r="K872" s="83"/>
      <c r="L872" s="84"/>
      <c r="M872" s="84"/>
      <c r="N872" s="84"/>
      <c r="O872" s="85"/>
      <c r="P872" s="84"/>
      <c r="Q872" s="84"/>
      <c r="R872" s="84"/>
      <c r="S872" s="84"/>
      <c r="T872" s="84"/>
      <c r="U872" s="84"/>
      <c r="V872" s="84"/>
      <c r="W872" s="84"/>
      <c r="X872" s="86"/>
    </row>
    <row r="873" ht="15.0" customHeight="1">
      <c r="A873" s="81"/>
      <c r="B873" s="51"/>
      <c r="C873" s="51"/>
      <c r="D873" s="50"/>
      <c r="E873" s="50"/>
      <c r="F873" s="50"/>
      <c r="G873" s="50"/>
      <c r="H873" s="50"/>
      <c r="I873" s="82"/>
      <c r="J873" s="83"/>
      <c r="K873" s="83"/>
      <c r="L873" s="84"/>
      <c r="M873" s="84"/>
      <c r="N873" s="84"/>
      <c r="O873" s="85"/>
      <c r="P873" s="84"/>
      <c r="Q873" s="84"/>
      <c r="R873" s="84"/>
      <c r="S873" s="84"/>
      <c r="T873" s="84"/>
      <c r="U873" s="84"/>
      <c r="V873" s="84"/>
      <c r="W873" s="84"/>
      <c r="X873" s="86"/>
    </row>
    <row r="874" ht="15.0" customHeight="1">
      <c r="A874" s="81"/>
      <c r="B874" s="51"/>
      <c r="C874" s="51"/>
      <c r="D874" s="50"/>
      <c r="E874" s="50"/>
      <c r="F874" s="50"/>
      <c r="G874" s="50"/>
      <c r="H874" s="50"/>
      <c r="I874" s="82"/>
      <c r="J874" s="83"/>
      <c r="K874" s="83"/>
      <c r="L874" s="84"/>
      <c r="M874" s="84"/>
      <c r="N874" s="84"/>
      <c r="O874" s="85"/>
      <c r="P874" s="84"/>
      <c r="Q874" s="84"/>
      <c r="R874" s="84"/>
      <c r="S874" s="84"/>
      <c r="T874" s="84"/>
      <c r="U874" s="84"/>
      <c r="V874" s="84"/>
      <c r="W874" s="84"/>
      <c r="X874" s="86"/>
    </row>
    <row r="875" ht="15.0" customHeight="1">
      <c r="A875" s="81"/>
      <c r="B875" s="51"/>
      <c r="C875" s="51"/>
      <c r="D875" s="50"/>
      <c r="E875" s="50"/>
      <c r="F875" s="50"/>
      <c r="G875" s="50"/>
      <c r="H875" s="50"/>
      <c r="I875" s="82"/>
      <c r="J875" s="83"/>
      <c r="K875" s="83"/>
      <c r="L875" s="84"/>
      <c r="M875" s="84"/>
      <c r="N875" s="84"/>
      <c r="O875" s="85"/>
      <c r="P875" s="84"/>
      <c r="Q875" s="84"/>
      <c r="R875" s="84"/>
      <c r="S875" s="84"/>
      <c r="T875" s="84"/>
      <c r="U875" s="84"/>
      <c r="V875" s="84"/>
      <c r="W875" s="84"/>
      <c r="X875" s="86"/>
    </row>
    <row r="876" ht="15.0" customHeight="1">
      <c r="A876" s="81"/>
      <c r="B876" s="51"/>
      <c r="C876" s="51"/>
      <c r="D876" s="50"/>
      <c r="E876" s="50"/>
      <c r="F876" s="50"/>
      <c r="G876" s="50"/>
      <c r="H876" s="50"/>
      <c r="I876" s="82"/>
      <c r="J876" s="83"/>
      <c r="K876" s="83"/>
      <c r="L876" s="84"/>
      <c r="M876" s="84"/>
      <c r="N876" s="84"/>
      <c r="O876" s="85"/>
      <c r="P876" s="84"/>
      <c r="Q876" s="84"/>
      <c r="R876" s="84"/>
      <c r="S876" s="84"/>
      <c r="T876" s="84"/>
      <c r="U876" s="84"/>
      <c r="V876" s="84"/>
      <c r="W876" s="84"/>
      <c r="X876" s="86"/>
    </row>
    <row r="877" ht="15.0" customHeight="1">
      <c r="A877" s="81"/>
      <c r="B877" s="51"/>
      <c r="C877" s="51"/>
      <c r="D877" s="50"/>
      <c r="E877" s="50"/>
      <c r="F877" s="50"/>
      <c r="G877" s="50"/>
      <c r="H877" s="50"/>
      <c r="I877" s="82"/>
      <c r="J877" s="83"/>
      <c r="K877" s="83"/>
      <c r="L877" s="84"/>
      <c r="M877" s="84"/>
      <c r="N877" s="84"/>
      <c r="O877" s="85"/>
      <c r="P877" s="84"/>
      <c r="Q877" s="84"/>
      <c r="R877" s="84"/>
      <c r="S877" s="84"/>
      <c r="T877" s="84"/>
      <c r="U877" s="84"/>
      <c r="V877" s="84"/>
      <c r="W877" s="84"/>
      <c r="X877" s="86"/>
    </row>
    <row r="878" ht="15.0" customHeight="1">
      <c r="A878" s="81"/>
      <c r="B878" s="51"/>
      <c r="C878" s="51"/>
      <c r="D878" s="50"/>
      <c r="E878" s="50"/>
      <c r="F878" s="50"/>
      <c r="G878" s="50"/>
      <c r="H878" s="50"/>
      <c r="I878" s="82"/>
      <c r="J878" s="83"/>
      <c r="K878" s="83"/>
      <c r="L878" s="84"/>
      <c r="M878" s="84"/>
      <c r="N878" s="84"/>
      <c r="O878" s="85"/>
      <c r="P878" s="84"/>
      <c r="Q878" s="84"/>
      <c r="R878" s="84"/>
      <c r="S878" s="84"/>
      <c r="T878" s="84"/>
      <c r="U878" s="84"/>
      <c r="V878" s="84"/>
      <c r="W878" s="84"/>
      <c r="X878" s="86"/>
    </row>
    <row r="879" ht="15.0" customHeight="1">
      <c r="A879" s="81"/>
      <c r="B879" s="51"/>
      <c r="C879" s="51"/>
      <c r="D879" s="50"/>
      <c r="E879" s="50"/>
      <c r="F879" s="50"/>
      <c r="G879" s="50"/>
      <c r="H879" s="50"/>
      <c r="I879" s="82"/>
      <c r="J879" s="83"/>
      <c r="K879" s="83"/>
      <c r="L879" s="84"/>
      <c r="M879" s="84"/>
      <c r="N879" s="84"/>
      <c r="O879" s="85"/>
      <c r="P879" s="84"/>
      <c r="Q879" s="84"/>
      <c r="R879" s="84"/>
      <c r="S879" s="84"/>
      <c r="T879" s="84"/>
      <c r="U879" s="84"/>
      <c r="V879" s="84"/>
      <c r="W879" s="84"/>
      <c r="X879" s="86"/>
    </row>
    <row r="880" ht="15.0" customHeight="1">
      <c r="A880" s="81"/>
      <c r="B880" s="51"/>
      <c r="C880" s="51"/>
      <c r="D880" s="50"/>
      <c r="E880" s="50"/>
      <c r="F880" s="50"/>
      <c r="G880" s="50"/>
      <c r="H880" s="50"/>
      <c r="I880" s="82"/>
      <c r="J880" s="83"/>
      <c r="K880" s="83"/>
      <c r="L880" s="84"/>
      <c r="M880" s="84"/>
      <c r="N880" s="84"/>
      <c r="O880" s="85"/>
      <c r="P880" s="84"/>
      <c r="Q880" s="84"/>
      <c r="R880" s="84"/>
      <c r="S880" s="84"/>
      <c r="T880" s="84"/>
      <c r="U880" s="84"/>
      <c r="V880" s="84"/>
      <c r="W880" s="84"/>
      <c r="X880" s="86"/>
    </row>
    <row r="881" ht="15.0" customHeight="1">
      <c r="A881" s="81"/>
      <c r="B881" s="51"/>
      <c r="C881" s="51"/>
      <c r="D881" s="50"/>
      <c r="E881" s="50"/>
      <c r="F881" s="50"/>
      <c r="G881" s="50"/>
      <c r="H881" s="50"/>
      <c r="I881" s="82"/>
      <c r="J881" s="83"/>
      <c r="K881" s="83"/>
      <c r="L881" s="84"/>
      <c r="M881" s="84"/>
      <c r="N881" s="84"/>
      <c r="O881" s="85"/>
      <c r="P881" s="84"/>
      <c r="Q881" s="84"/>
      <c r="R881" s="84"/>
      <c r="S881" s="84"/>
      <c r="T881" s="84"/>
      <c r="U881" s="84"/>
      <c r="V881" s="84"/>
      <c r="W881" s="84"/>
      <c r="X881" s="86"/>
    </row>
    <row r="882" ht="15.0" customHeight="1">
      <c r="A882" s="81"/>
      <c r="B882" s="51"/>
      <c r="C882" s="51"/>
      <c r="D882" s="50"/>
      <c r="E882" s="50"/>
      <c r="F882" s="50"/>
      <c r="G882" s="50"/>
      <c r="H882" s="50"/>
      <c r="I882" s="82"/>
      <c r="J882" s="83"/>
      <c r="K882" s="83"/>
      <c r="L882" s="84"/>
      <c r="M882" s="84"/>
      <c r="N882" s="84"/>
      <c r="O882" s="85"/>
      <c r="P882" s="84"/>
      <c r="Q882" s="84"/>
      <c r="R882" s="84"/>
      <c r="S882" s="84"/>
      <c r="T882" s="84"/>
      <c r="U882" s="84"/>
      <c r="V882" s="84"/>
      <c r="W882" s="84"/>
      <c r="X882" s="86"/>
    </row>
    <row r="883" ht="15.0" customHeight="1">
      <c r="A883" s="81"/>
      <c r="B883" s="51"/>
      <c r="C883" s="51"/>
      <c r="D883" s="50"/>
      <c r="E883" s="50"/>
      <c r="F883" s="50"/>
      <c r="G883" s="50"/>
      <c r="H883" s="50"/>
      <c r="I883" s="82"/>
      <c r="J883" s="83"/>
      <c r="K883" s="83"/>
      <c r="L883" s="84"/>
      <c r="M883" s="84"/>
      <c r="N883" s="84"/>
      <c r="O883" s="85"/>
      <c r="P883" s="84"/>
      <c r="Q883" s="84"/>
      <c r="R883" s="84"/>
      <c r="S883" s="84"/>
      <c r="T883" s="84"/>
      <c r="U883" s="84"/>
      <c r="V883" s="84"/>
      <c r="W883" s="84"/>
      <c r="X883" s="86"/>
    </row>
    <row r="884" ht="15.0" customHeight="1">
      <c r="A884" s="81"/>
      <c r="B884" s="51"/>
      <c r="C884" s="51"/>
      <c r="D884" s="50"/>
      <c r="E884" s="50"/>
      <c r="F884" s="50"/>
      <c r="G884" s="50"/>
      <c r="H884" s="50"/>
      <c r="I884" s="82"/>
      <c r="J884" s="83"/>
      <c r="K884" s="83"/>
      <c r="L884" s="84"/>
      <c r="M884" s="84"/>
      <c r="N884" s="84"/>
      <c r="O884" s="85"/>
      <c r="P884" s="84"/>
      <c r="Q884" s="84"/>
      <c r="R884" s="84"/>
      <c r="S884" s="84"/>
      <c r="T884" s="84"/>
      <c r="U884" s="84"/>
      <c r="V884" s="84"/>
      <c r="W884" s="84"/>
      <c r="X884" s="86"/>
    </row>
    <row r="885" ht="15.0" customHeight="1">
      <c r="A885" s="81"/>
      <c r="B885" s="51"/>
      <c r="C885" s="51"/>
      <c r="D885" s="50"/>
      <c r="E885" s="50"/>
      <c r="F885" s="50"/>
      <c r="G885" s="50"/>
      <c r="H885" s="50"/>
      <c r="I885" s="82"/>
      <c r="J885" s="83"/>
      <c r="K885" s="83"/>
      <c r="L885" s="84"/>
      <c r="M885" s="84"/>
      <c r="N885" s="84"/>
      <c r="O885" s="85"/>
      <c r="P885" s="84"/>
      <c r="Q885" s="84"/>
      <c r="R885" s="84"/>
      <c r="S885" s="84"/>
      <c r="T885" s="84"/>
      <c r="U885" s="84"/>
      <c r="V885" s="84"/>
      <c r="W885" s="84"/>
      <c r="X885" s="86"/>
    </row>
    <row r="886" ht="15.0" customHeight="1">
      <c r="A886" s="81"/>
      <c r="B886" s="51"/>
      <c r="C886" s="51"/>
      <c r="D886" s="50"/>
      <c r="E886" s="50"/>
      <c r="F886" s="50"/>
      <c r="G886" s="50"/>
      <c r="H886" s="50"/>
      <c r="I886" s="82"/>
      <c r="J886" s="83"/>
      <c r="K886" s="83"/>
      <c r="L886" s="84"/>
      <c r="M886" s="84"/>
      <c r="N886" s="84"/>
      <c r="O886" s="85"/>
      <c r="P886" s="84"/>
      <c r="Q886" s="84"/>
      <c r="R886" s="84"/>
      <c r="S886" s="84"/>
      <c r="T886" s="84"/>
      <c r="U886" s="84"/>
      <c r="V886" s="84"/>
      <c r="W886" s="84"/>
      <c r="X886" s="86"/>
    </row>
    <row r="887" ht="15.0" customHeight="1">
      <c r="A887" s="81"/>
      <c r="B887" s="51"/>
      <c r="C887" s="51"/>
      <c r="D887" s="50"/>
      <c r="E887" s="50"/>
      <c r="F887" s="50"/>
      <c r="G887" s="50"/>
      <c r="H887" s="50"/>
      <c r="I887" s="82"/>
      <c r="J887" s="83"/>
      <c r="K887" s="83"/>
      <c r="L887" s="84"/>
      <c r="M887" s="84"/>
      <c r="N887" s="84"/>
      <c r="O887" s="85"/>
      <c r="P887" s="84"/>
      <c r="Q887" s="84"/>
      <c r="R887" s="84"/>
      <c r="S887" s="84"/>
      <c r="T887" s="84"/>
      <c r="U887" s="84"/>
      <c r="V887" s="84"/>
      <c r="W887" s="84"/>
      <c r="X887" s="86"/>
    </row>
    <row r="888" ht="15.0" customHeight="1">
      <c r="A888" s="81"/>
      <c r="B888" s="51"/>
      <c r="C888" s="51"/>
      <c r="D888" s="50"/>
      <c r="E888" s="50"/>
      <c r="F888" s="50"/>
      <c r="G888" s="50"/>
      <c r="H888" s="50"/>
      <c r="I888" s="82"/>
      <c r="J888" s="83"/>
      <c r="K888" s="83"/>
      <c r="L888" s="84"/>
      <c r="M888" s="84"/>
      <c r="N888" s="84"/>
      <c r="O888" s="85"/>
      <c r="P888" s="84"/>
      <c r="Q888" s="84"/>
      <c r="R888" s="84"/>
      <c r="S888" s="84"/>
      <c r="T888" s="84"/>
      <c r="U888" s="84"/>
      <c r="V888" s="84"/>
      <c r="W888" s="84"/>
      <c r="X888" s="86"/>
    </row>
    <row r="889" ht="15.0" customHeight="1">
      <c r="A889" s="81"/>
      <c r="B889" s="51"/>
      <c r="C889" s="51"/>
      <c r="D889" s="50"/>
      <c r="E889" s="50"/>
      <c r="F889" s="50"/>
      <c r="G889" s="50"/>
      <c r="H889" s="50"/>
      <c r="I889" s="82"/>
      <c r="J889" s="83"/>
      <c r="K889" s="83"/>
      <c r="L889" s="84"/>
      <c r="M889" s="84"/>
      <c r="N889" s="84"/>
      <c r="O889" s="85"/>
      <c r="P889" s="84"/>
      <c r="Q889" s="84"/>
      <c r="R889" s="84"/>
      <c r="S889" s="84"/>
      <c r="T889" s="84"/>
      <c r="U889" s="84"/>
      <c r="V889" s="84"/>
      <c r="W889" s="84"/>
      <c r="X889" s="86"/>
    </row>
    <row r="890" ht="15.0" customHeight="1">
      <c r="A890" s="81"/>
      <c r="B890" s="51"/>
      <c r="C890" s="51"/>
      <c r="D890" s="50"/>
      <c r="E890" s="50"/>
      <c r="F890" s="50"/>
      <c r="G890" s="50"/>
      <c r="H890" s="50"/>
      <c r="I890" s="82"/>
      <c r="J890" s="83"/>
      <c r="K890" s="83"/>
      <c r="L890" s="84"/>
      <c r="M890" s="84"/>
      <c r="N890" s="84"/>
      <c r="O890" s="85"/>
      <c r="P890" s="84"/>
      <c r="Q890" s="84"/>
      <c r="R890" s="84"/>
      <c r="S890" s="84"/>
      <c r="T890" s="84"/>
      <c r="U890" s="84"/>
      <c r="V890" s="84"/>
      <c r="W890" s="84"/>
      <c r="X890" s="86"/>
    </row>
    <row r="891" ht="15.0" customHeight="1">
      <c r="A891" s="81"/>
      <c r="B891" s="51"/>
      <c r="C891" s="51"/>
      <c r="D891" s="50"/>
      <c r="E891" s="50"/>
      <c r="F891" s="50"/>
      <c r="G891" s="50"/>
      <c r="H891" s="50"/>
      <c r="I891" s="82"/>
      <c r="J891" s="83"/>
      <c r="K891" s="83"/>
      <c r="L891" s="84"/>
      <c r="M891" s="84"/>
      <c r="N891" s="84"/>
      <c r="O891" s="85"/>
      <c r="P891" s="84"/>
      <c r="Q891" s="84"/>
      <c r="R891" s="84"/>
      <c r="S891" s="84"/>
      <c r="T891" s="84"/>
      <c r="U891" s="84"/>
      <c r="V891" s="84"/>
      <c r="W891" s="84"/>
      <c r="X891" s="86"/>
    </row>
    <row r="892" ht="15.0" customHeight="1">
      <c r="A892" s="81"/>
      <c r="B892" s="51"/>
      <c r="C892" s="51"/>
      <c r="D892" s="50"/>
      <c r="E892" s="50"/>
      <c r="F892" s="50"/>
      <c r="G892" s="50"/>
      <c r="H892" s="50"/>
      <c r="I892" s="82"/>
      <c r="J892" s="83"/>
      <c r="K892" s="83"/>
      <c r="L892" s="84"/>
      <c r="M892" s="84"/>
      <c r="N892" s="84"/>
      <c r="O892" s="85"/>
      <c r="P892" s="84"/>
      <c r="Q892" s="84"/>
      <c r="R892" s="84"/>
      <c r="S892" s="84"/>
      <c r="T892" s="84"/>
      <c r="U892" s="84"/>
      <c r="V892" s="84"/>
      <c r="W892" s="84"/>
      <c r="X892" s="86"/>
    </row>
    <row r="893" ht="15.0" customHeight="1">
      <c r="A893" s="81"/>
      <c r="B893" s="51"/>
      <c r="C893" s="51"/>
      <c r="D893" s="50"/>
      <c r="E893" s="50"/>
      <c r="F893" s="50"/>
      <c r="G893" s="50"/>
      <c r="H893" s="50"/>
      <c r="I893" s="82"/>
      <c r="J893" s="83"/>
      <c r="K893" s="83"/>
      <c r="L893" s="84"/>
      <c r="M893" s="84"/>
      <c r="N893" s="84"/>
      <c r="O893" s="85"/>
      <c r="P893" s="84"/>
      <c r="Q893" s="84"/>
      <c r="R893" s="84"/>
      <c r="S893" s="84"/>
      <c r="T893" s="84"/>
      <c r="U893" s="84"/>
      <c r="V893" s="84"/>
      <c r="W893" s="84"/>
      <c r="X893" s="86"/>
    </row>
    <row r="894" ht="15.0" customHeight="1">
      <c r="A894" s="81"/>
      <c r="B894" s="51"/>
      <c r="C894" s="51"/>
      <c r="D894" s="50"/>
      <c r="E894" s="50"/>
      <c r="F894" s="50"/>
      <c r="G894" s="50"/>
      <c r="H894" s="50"/>
      <c r="I894" s="82"/>
      <c r="J894" s="83"/>
      <c r="K894" s="83"/>
      <c r="L894" s="84"/>
      <c r="M894" s="84"/>
      <c r="N894" s="84"/>
      <c r="O894" s="85"/>
      <c r="P894" s="84"/>
      <c r="Q894" s="84"/>
      <c r="R894" s="84"/>
      <c r="S894" s="84"/>
      <c r="T894" s="84"/>
      <c r="U894" s="84"/>
      <c r="V894" s="84"/>
      <c r="W894" s="84"/>
      <c r="X894" s="86"/>
    </row>
    <row r="895" ht="15.0" customHeight="1">
      <c r="A895" s="81"/>
      <c r="B895" s="51"/>
      <c r="C895" s="51"/>
      <c r="D895" s="50"/>
      <c r="E895" s="50"/>
      <c r="F895" s="50"/>
      <c r="G895" s="50"/>
      <c r="H895" s="50"/>
      <c r="I895" s="82"/>
      <c r="J895" s="83"/>
      <c r="K895" s="83"/>
      <c r="L895" s="84"/>
      <c r="M895" s="84"/>
      <c r="N895" s="84"/>
      <c r="O895" s="85"/>
      <c r="P895" s="84"/>
      <c r="Q895" s="84"/>
      <c r="R895" s="84"/>
      <c r="S895" s="84"/>
      <c r="T895" s="84"/>
      <c r="U895" s="84"/>
      <c r="V895" s="84"/>
      <c r="W895" s="84"/>
      <c r="X895" s="86"/>
    </row>
    <row r="896" ht="15.0" customHeight="1">
      <c r="A896" s="81"/>
      <c r="B896" s="51"/>
      <c r="C896" s="51"/>
      <c r="D896" s="50"/>
      <c r="E896" s="50"/>
      <c r="F896" s="50"/>
      <c r="G896" s="50"/>
      <c r="H896" s="50"/>
      <c r="I896" s="82"/>
      <c r="J896" s="83"/>
      <c r="K896" s="83"/>
      <c r="L896" s="84"/>
      <c r="M896" s="84"/>
      <c r="N896" s="84"/>
      <c r="O896" s="85"/>
      <c r="P896" s="84"/>
      <c r="Q896" s="84"/>
      <c r="R896" s="84"/>
      <c r="S896" s="84"/>
      <c r="T896" s="84"/>
      <c r="U896" s="84"/>
      <c r="V896" s="84"/>
      <c r="W896" s="84"/>
      <c r="X896" s="86"/>
    </row>
    <row r="897" ht="15.0" customHeight="1">
      <c r="A897" s="81"/>
      <c r="B897" s="51"/>
      <c r="C897" s="51"/>
      <c r="D897" s="50"/>
      <c r="E897" s="50"/>
      <c r="F897" s="50"/>
      <c r="G897" s="50"/>
      <c r="H897" s="50"/>
      <c r="I897" s="82"/>
      <c r="J897" s="83"/>
      <c r="K897" s="83"/>
      <c r="L897" s="84"/>
      <c r="M897" s="84"/>
      <c r="N897" s="84"/>
      <c r="O897" s="85"/>
      <c r="P897" s="84"/>
      <c r="Q897" s="84"/>
      <c r="R897" s="84"/>
      <c r="S897" s="84"/>
      <c r="T897" s="84"/>
      <c r="U897" s="84"/>
      <c r="V897" s="84"/>
      <c r="W897" s="84"/>
      <c r="X897" s="86"/>
    </row>
    <row r="898" ht="15.0" customHeight="1">
      <c r="A898" s="81"/>
      <c r="B898" s="51"/>
      <c r="C898" s="51"/>
      <c r="D898" s="50"/>
      <c r="E898" s="50"/>
      <c r="F898" s="50"/>
      <c r="G898" s="50"/>
      <c r="H898" s="50"/>
      <c r="I898" s="82"/>
      <c r="J898" s="83"/>
      <c r="K898" s="83"/>
      <c r="L898" s="84"/>
      <c r="M898" s="84"/>
      <c r="N898" s="84"/>
      <c r="O898" s="85"/>
      <c r="P898" s="84"/>
      <c r="Q898" s="84"/>
      <c r="R898" s="84"/>
      <c r="S898" s="84"/>
      <c r="T898" s="84"/>
      <c r="U898" s="84"/>
      <c r="V898" s="84"/>
      <c r="W898" s="84"/>
      <c r="X898" s="86"/>
    </row>
    <row r="899" ht="15.0" customHeight="1">
      <c r="A899" s="81"/>
      <c r="B899" s="51"/>
      <c r="C899" s="51"/>
      <c r="D899" s="50"/>
      <c r="E899" s="50"/>
      <c r="F899" s="50"/>
      <c r="G899" s="50"/>
      <c r="H899" s="50"/>
      <c r="I899" s="82"/>
      <c r="J899" s="83"/>
      <c r="K899" s="83"/>
      <c r="L899" s="84"/>
      <c r="M899" s="84"/>
      <c r="N899" s="84"/>
      <c r="O899" s="85"/>
      <c r="P899" s="84"/>
      <c r="Q899" s="84"/>
      <c r="R899" s="84"/>
      <c r="S899" s="84"/>
      <c r="T899" s="84"/>
      <c r="U899" s="84"/>
      <c r="V899" s="84"/>
      <c r="W899" s="84"/>
      <c r="X899" s="86"/>
    </row>
    <row r="900" ht="15.0" customHeight="1">
      <c r="A900" s="81"/>
      <c r="B900" s="51"/>
      <c r="C900" s="51"/>
      <c r="D900" s="50"/>
      <c r="E900" s="50"/>
      <c r="F900" s="50"/>
      <c r="G900" s="50"/>
      <c r="H900" s="50"/>
      <c r="I900" s="82"/>
      <c r="J900" s="83"/>
      <c r="K900" s="83"/>
      <c r="L900" s="84"/>
      <c r="M900" s="84"/>
      <c r="N900" s="84"/>
      <c r="O900" s="85"/>
      <c r="P900" s="84"/>
      <c r="Q900" s="84"/>
      <c r="R900" s="84"/>
      <c r="S900" s="84"/>
      <c r="T900" s="84"/>
      <c r="U900" s="84"/>
      <c r="V900" s="84"/>
      <c r="W900" s="84"/>
      <c r="X900" s="86"/>
    </row>
    <row r="901" ht="15.0" customHeight="1">
      <c r="A901" s="81"/>
      <c r="B901" s="51"/>
      <c r="C901" s="51"/>
      <c r="D901" s="50"/>
      <c r="E901" s="50"/>
      <c r="F901" s="50"/>
      <c r="G901" s="50"/>
      <c r="H901" s="50"/>
      <c r="I901" s="82"/>
      <c r="J901" s="83"/>
      <c r="K901" s="83"/>
      <c r="L901" s="84"/>
      <c r="M901" s="84"/>
      <c r="N901" s="84"/>
      <c r="O901" s="85"/>
      <c r="P901" s="84"/>
      <c r="Q901" s="84"/>
      <c r="R901" s="84"/>
      <c r="S901" s="84"/>
      <c r="T901" s="84"/>
      <c r="U901" s="84"/>
      <c r="V901" s="84"/>
      <c r="W901" s="84"/>
      <c r="X901" s="86"/>
    </row>
    <row r="902" ht="15.0" customHeight="1">
      <c r="A902" s="81"/>
      <c r="B902" s="51"/>
      <c r="C902" s="51"/>
      <c r="D902" s="50"/>
      <c r="E902" s="50"/>
      <c r="F902" s="50"/>
      <c r="G902" s="50"/>
      <c r="H902" s="50"/>
      <c r="I902" s="82"/>
      <c r="J902" s="83"/>
      <c r="K902" s="83"/>
      <c r="L902" s="84"/>
      <c r="M902" s="84"/>
      <c r="N902" s="84"/>
      <c r="O902" s="85"/>
      <c r="P902" s="84"/>
      <c r="Q902" s="84"/>
      <c r="R902" s="84"/>
      <c r="S902" s="84"/>
      <c r="T902" s="84"/>
      <c r="U902" s="84"/>
      <c r="V902" s="84"/>
      <c r="W902" s="84"/>
      <c r="X902" s="86"/>
    </row>
    <row r="903" ht="15.0" customHeight="1">
      <c r="A903" s="81"/>
      <c r="B903" s="51"/>
      <c r="C903" s="51"/>
      <c r="D903" s="50"/>
      <c r="E903" s="50"/>
      <c r="F903" s="50"/>
      <c r="G903" s="50"/>
      <c r="H903" s="50"/>
      <c r="I903" s="82"/>
      <c r="J903" s="83"/>
      <c r="K903" s="83"/>
      <c r="L903" s="84"/>
      <c r="M903" s="84"/>
      <c r="N903" s="84"/>
      <c r="O903" s="85"/>
      <c r="P903" s="84"/>
      <c r="Q903" s="84"/>
      <c r="R903" s="84"/>
      <c r="S903" s="84"/>
      <c r="T903" s="84"/>
      <c r="U903" s="84"/>
      <c r="V903" s="84"/>
      <c r="W903" s="84"/>
      <c r="X903" s="86"/>
    </row>
    <row r="904" ht="15.0" customHeight="1">
      <c r="A904" s="81"/>
      <c r="B904" s="51"/>
      <c r="C904" s="51"/>
      <c r="D904" s="50"/>
      <c r="E904" s="50"/>
      <c r="F904" s="50"/>
      <c r="G904" s="50"/>
      <c r="H904" s="50"/>
      <c r="I904" s="82"/>
      <c r="J904" s="83"/>
      <c r="K904" s="83"/>
      <c r="L904" s="84"/>
      <c r="M904" s="84"/>
      <c r="N904" s="84"/>
      <c r="O904" s="85"/>
      <c r="P904" s="84"/>
      <c r="Q904" s="84"/>
      <c r="R904" s="84"/>
      <c r="S904" s="84"/>
      <c r="T904" s="84"/>
      <c r="U904" s="84"/>
      <c r="V904" s="84"/>
      <c r="W904" s="84"/>
      <c r="X904" s="86"/>
    </row>
    <row r="905" ht="15.0" customHeight="1">
      <c r="A905" s="81"/>
      <c r="B905" s="51"/>
      <c r="C905" s="51"/>
      <c r="D905" s="50"/>
      <c r="E905" s="50"/>
      <c r="F905" s="50"/>
      <c r="G905" s="50"/>
      <c r="H905" s="50"/>
      <c r="I905" s="82"/>
      <c r="J905" s="83"/>
      <c r="K905" s="83"/>
      <c r="L905" s="84"/>
      <c r="M905" s="84"/>
      <c r="N905" s="84"/>
      <c r="O905" s="85"/>
      <c r="P905" s="84"/>
      <c r="Q905" s="84"/>
      <c r="R905" s="84"/>
      <c r="S905" s="84"/>
      <c r="T905" s="84"/>
      <c r="U905" s="84"/>
      <c r="V905" s="84"/>
      <c r="W905" s="84"/>
      <c r="X905" s="86"/>
    </row>
    <row r="906" ht="15.0" customHeight="1">
      <c r="A906" s="81"/>
      <c r="B906" s="51"/>
      <c r="C906" s="51"/>
      <c r="D906" s="50"/>
      <c r="E906" s="50"/>
      <c r="F906" s="50"/>
      <c r="G906" s="50"/>
      <c r="H906" s="50"/>
      <c r="I906" s="82"/>
      <c r="J906" s="83"/>
      <c r="K906" s="83"/>
      <c r="L906" s="84"/>
      <c r="M906" s="84"/>
      <c r="N906" s="84"/>
      <c r="O906" s="85"/>
      <c r="P906" s="84"/>
      <c r="Q906" s="84"/>
      <c r="R906" s="84"/>
      <c r="S906" s="84"/>
      <c r="T906" s="84"/>
      <c r="U906" s="84"/>
      <c r="V906" s="84"/>
      <c r="W906" s="84"/>
      <c r="X906" s="86"/>
    </row>
    <row r="907" ht="15.0" customHeight="1">
      <c r="A907" s="81"/>
      <c r="B907" s="51"/>
      <c r="C907" s="51"/>
      <c r="D907" s="50"/>
      <c r="E907" s="50"/>
      <c r="F907" s="50"/>
      <c r="G907" s="50"/>
      <c r="H907" s="50"/>
      <c r="I907" s="82"/>
      <c r="J907" s="83"/>
      <c r="K907" s="83"/>
      <c r="L907" s="84"/>
      <c r="M907" s="84"/>
      <c r="N907" s="84"/>
      <c r="O907" s="85"/>
      <c r="P907" s="84"/>
      <c r="Q907" s="84"/>
      <c r="R907" s="84"/>
      <c r="S907" s="84"/>
      <c r="T907" s="84"/>
      <c r="U907" s="84"/>
      <c r="V907" s="84"/>
      <c r="W907" s="84"/>
      <c r="X907" s="86"/>
    </row>
    <row r="908" ht="15.0" customHeight="1">
      <c r="A908" s="81"/>
      <c r="B908" s="51"/>
      <c r="C908" s="51"/>
      <c r="D908" s="50"/>
      <c r="E908" s="50"/>
      <c r="F908" s="50"/>
      <c r="G908" s="50"/>
      <c r="H908" s="50"/>
      <c r="I908" s="82"/>
      <c r="J908" s="83"/>
      <c r="K908" s="83"/>
      <c r="L908" s="84"/>
      <c r="M908" s="84"/>
      <c r="N908" s="84"/>
      <c r="O908" s="85"/>
      <c r="P908" s="84"/>
      <c r="Q908" s="84"/>
      <c r="R908" s="84"/>
      <c r="S908" s="84"/>
      <c r="T908" s="84"/>
      <c r="U908" s="84"/>
      <c r="V908" s="84"/>
      <c r="W908" s="84"/>
      <c r="X908" s="86"/>
    </row>
    <row r="909" ht="15.0" customHeight="1">
      <c r="A909" s="81"/>
      <c r="B909" s="51"/>
      <c r="C909" s="51"/>
      <c r="D909" s="50"/>
      <c r="E909" s="50"/>
      <c r="F909" s="50"/>
      <c r="G909" s="50"/>
      <c r="H909" s="50"/>
      <c r="I909" s="82"/>
      <c r="J909" s="83"/>
      <c r="K909" s="83"/>
      <c r="L909" s="84"/>
      <c r="M909" s="84"/>
      <c r="N909" s="84"/>
      <c r="O909" s="85"/>
      <c r="P909" s="84"/>
      <c r="Q909" s="84"/>
      <c r="R909" s="84"/>
      <c r="S909" s="84"/>
      <c r="T909" s="84"/>
      <c r="U909" s="84"/>
      <c r="V909" s="84"/>
      <c r="W909" s="84"/>
      <c r="X909" s="86"/>
    </row>
    <row r="910" ht="15.0" customHeight="1">
      <c r="A910" s="81"/>
      <c r="B910" s="51"/>
      <c r="C910" s="51"/>
      <c r="D910" s="50"/>
      <c r="E910" s="50"/>
      <c r="F910" s="50"/>
      <c r="G910" s="50"/>
      <c r="H910" s="50"/>
      <c r="I910" s="82"/>
      <c r="J910" s="83"/>
      <c r="K910" s="83"/>
      <c r="L910" s="84"/>
      <c r="M910" s="84"/>
      <c r="N910" s="84"/>
      <c r="O910" s="85"/>
      <c r="P910" s="84"/>
      <c r="Q910" s="84"/>
      <c r="R910" s="84"/>
      <c r="S910" s="84"/>
      <c r="T910" s="84"/>
      <c r="U910" s="84"/>
      <c r="V910" s="84"/>
      <c r="W910" s="84"/>
      <c r="X910" s="86"/>
    </row>
    <row r="911" ht="15.0" customHeight="1">
      <c r="A911" s="81"/>
      <c r="B911" s="51"/>
      <c r="C911" s="51"/>
      <c r="D911" s="50"/>
      <c r="E911" s="50"/>
      <c r="F911" s="50"/>
      <c r="G911" s="50"/>
      <c r="H911" s="50"/>
      <c r="I911" s="82"/>
      <c r="J911" s="83"/>
      <c r="K911" s="83"/>
      <c r="L911" s="84"/>
      <c r="M911" s="84"/>
      <c r="N911" s="84"/>
      <c r="O911" s="85"/>
      <c r="P911" s="84"/>
      <c r="Q911" s="84"/>
      <c r="R911" s="84"/>
      <c r="S911" s="84"/>
      <c r="T911" s="84"/>
      <c r="U911" s="84"/>
      <c r="V911" s="84"/>
      <c r="W911" s="84"/>
      <c r="X911" s="86"/>
    </row>
    <row r="912" ht="15.0" customHeight="1">
      <c r="A912" s="81"/>
      <c r="B912" s="51"/>
      <c r="C912" s="51"/>
      <c r="D912" s="50"/>
      <c r="E912" s="50"/>
      <c r="F912" s="50"/>
      <c r="G912" s="50"/>
      <c r="H912" s="50"/>
      <c r="I912" s="82"/>
      <c r="J912" s="83"/>
      <c r="K912" s="83"/>
      <c r="L912" s="84"/>
      <c r="M912" s="84"/>
      <c r="N912" s="84"/>
      <c r="O912" s="85"/>
      <c r="P912" s="84"/>
      <c r="Q912" s="84"/>
      <c r="R912" s="84"/>
      <c r="S912" s="84"/>
      <c r="T912" s="84"/>
      <c r="U912" s="84"/>
      <c r="V912" s="84"/>
      <c r="W912" s="84"/>
      <c r="X912" s="86"/>
    </row>
    <row r="913" ht="15.0" customHeight="1">
      <c r="A913" s="81"/>
      <c r="B913" s="51"/>
      <c r="C913" s="51"/>
      <c r="D913" s="50"/>
      <c r="E913" s="50"/>
      <c r="F913" s="50"/>
      <c r="G913" s="50"/>
      <c r="H913" s="50"/>
      <c r="I913" s="82"/>
      <c r="J913" s="83"/>
      <c r="K913" s="83"/>
      <c r="L913" s="84"/>
      <c r="M913" s="84"/>
      <c r="N913" s="84"/>
      <c r="O913" s="85"/>
      <c r="P913" s="84"/>
      <c r="Q913" s="84"/>
      <c r="R913" s="84"/>
      <c r="S913" s="84"/>
      <c r="T913" s="84"/>
      <c r="U913" s="84"/>
      <c r="V913" s="84"/>
      <c r="W913" s="84"/>
      <c r="X913" s="86"/>
    </row>
    <row r="914" ht="15.0" customHeight="1">
      <c r="A914" s="81"/>
      <c r="B914" s="51"/>
      <c r="C914" s="51"/>
      <c r="D914" s="50"/>
      <c r="E914" s="50"/>
      <c r="F914" s="50"/>
      <c r="G914" s="50"/>
      <c r="H914" s="50"/>
      <c r="I914" s="82"/>
      <c r="J914" s="83"/>
      <c r="K914" s="83"/>
      <c r="L914" s="84"/>
      <c r="M914" s="84"/>
      <c r="N914" s="84"/>
      <c r="O914" s="85"/>
      <c r="P914" s="84"/>
      <c r="Q914" s="84"/>
      <c r="R914" s="84"/>
      <c r="S914" s="84"/>
      <c r="T914" s="84"/>
      <c r="U914" s="84"/>
      <c r="V914" s="84"/>
      <c r="W914" s="84"/>
      <c r="X914" s="86"/>
    </row>
    <row r="915" ht="15.0" customHeight="1">
      <c r="A915" s="81"/>
      <c r="B915" s="51"/>
      <c r="C915" s="51"/>
      <c r="D915" s="50"/>
      <c r="E915" s="50"/>
      <c r="F915" s="50"/>
      <c r="G915" s="50"/>
      <c r="H915" s="50"/>
      <c r="I915" s="82"/>
      <c r="J915" s="83"/>
      <c r="K915" s="83"/>
      <c r="L915" s="84"/>
      <c r="M915" s="84"/>
      <c r="N915" s="84"/>
      <c r="O915" s="85"/>
      <c r="P915" s="84"/>
      <c r="Q915" s="84"/>
      <c r="R915" s="84"/>
      <c r="S915" s="84"/>
      <c r="T915" s="84"/>
      <c r="U915" s="84"/>
      <c r="V915" s="84"/>
      <c r="W915" s="84"/>
      <c r="X915" s="86"/>
    </row>
    <row r="916" ht="15.0" customHeight="1">
      <c r="A916" s="81"/>
      <c r="B916" s="51"/>
      <c r="C916" s="51"/>
      <c r="D916" s="50"/>
      <c r="E916" s="50"/>
      <c r="F916" s="50"/>
      <c r="G916" s="50"/>
      <c r="H916" s="50"/>
      <c r="I916" s="82"/>
      <c r="J916" s="83"/>
      <c r="K916" s="83"/>
      <c r="L916" s="84"/>
      <c r="M916" s="84"/>
      <c r="N916" s="84"/>
      <c r="O916" s="85"/>
      <c r="P916" s="84"/>
      <c r="Q916" s="84"/>
      <c r="R916" s="84"/>
      <c r="S916" s="84"/>
      <c r="T916" s="84"/>
      <c r="U916" s="84"/>
      <c r="V916" s="84"/>
      <c r="W916" s="84"/>
      <c r="X916" s="86"/>
    </row>
    <row r="917" ht="15.0" customHeight="1">
      <c r="A917" s="81"/>
      <c r="B917" s="51"/>
      <c r="C917" s="51"/>
      <c r="D917" s="50"/>
      <c r="E917" s="50"/>
      <c r="F917" s="50"/>
      <c r="G917" s="50"/>
      <c r="H917" s="50"/>
      <c r="I917" s="82"/>
      <c r="J917" s="83"/>
      <c r="K917" s="83"/>
      <c r="L917" s="84"/>
      <c r="M917" s="84"/>
      <c r="N917" s="84"/>
      <c r="O917" s="85"/>
      <c r="P917" s="84"/>
      <c r="Q917" s="84"/>
      <c r="R917" s="84"/>
      <c r="S917" s="84"/>
      <c r="T917" s="84"/>
      <c r="U917" s="84"/>
      <c r="V917" s="84"/>
      <c r="W917" s="84"/>
      <c r="X917" s="86"/>
    </row>
    <row r="918" ht="15.0" customHeight="1">
      <c r="A918" s="81"/>
      <c r="B918" s="51"/>
      <c r="C918" s="51"/>
      <c r="D918" s="50"/>
      <c r="E918" s="50"/>
      <c r="F918" s="50"/>
      <c r="G918" s="50"/>
      <c r="H918" s="50"/>
      <c r="I918" s="82"/>
      <c r="J918" s="83"/>
      <c r="K918" s="83"/>
      <c r="L918" s="84"/>
      <c r="M918" s="84"/>
      <c r="N918" s="84"/>
      <c r="O918" s="85"/>
      <c r="P918" s="84"/>
      <c r="Q918" s="84"/>
      <c r="R918" s="84"/>
      <c r="S918" s="84"/>
      <c r="T918" s="84"/>
      <c r="U918" s="84"/>
      <c r="V918" s="84"/>
      <c r="W918" s="84"/>
      <c r="X918" s="86"/>
    </row>
    <row r="919" ht="15.0" customHeight="1">
      <c r="A919" s="81"/>
      <c r="B919" s="51"/>
      <c r="C919" s="51"/>
      <c r="D919" s="50"/>
      <c r="E919" s="50"/>
      <c r="F919" s="50"/>
      <c r="G919" s="50"/>
      <c r="H919" s="50"/>
      <c r="I919" s="82"/>
      <c r="J919" s="83"/>
      <c r="K919" s="83"/>
      <c r="L919" s="84"/>
      <c r="M919" s="84"/>
      <c r="N919" s="84"/>
      <c r="O919" s="85"/>
      <c r="P919" s="84"/>
      <c r="Q919" s="84"/>
      <c r="R919" s="84"/>
      <c r="S919" s="84"/>
      <c r="T919" s="84"/>
      <c r="U919" s="84"/>
      <c r="V919" s="84"/>
      <c r="W919" s="84"/>
      <c r="X919" s="86"/>
    </row>
    <row r="920" ht="15.0" customHeight="1">
      <c r="A920" s="81"/>
      <c r="B920" s="51"/>
      <c r="C920" s="51"/>
      <c r="D920" s="50"/>
      <c r="E920" s="50"/>
      <c r="F920" s="50"/>
      <c r="G920" s="50"/>
      <c r="H920" s="50"/>
      <c r="I920" s="82"/>
      <c r="J920" s="83"/>
      <c r="K920" s="83"/>
      <c r="L920" s="84"/>
      <c r="M920" s="84"/>
      <c r="N920" s="84"/>
      <c r="O920" s="85"/>
      <c r="P920" s="84"/>
      <c r="Q920" s="84"/>
      <c r="R920" s="84"/>
      <c r="S920" s="84"/>
      <c r="T920" s="84"/>
      <c r="U920" s="84"/>
      <c r="V920" s="84"/>
      <c r="W920" s="84"/>
      <c r="X920" s="86"/>
    </row>
    <row r="921" ht="15.0" customHeight="1">
      <c r="A921" s="81"/>
      <c r="B921" s="51"/>
      <c r="C921" s="51"/>
      <c r="D921" s="50"/>
      <c r="E921" s="50"/>
      <c r="F921" s="50"/>
      <c r="G921" s="50"/>
      <c r="H921" s="50"/>
      <c r="I921" s="82"/>
      <c r="J921" s="83"/>
      <c r="K921" s="83"/>
      <c r="L921" s="84"/>
      <c r="M921" s="84"/>
      <c r="N921" s="84"/>
      <c r="O921" s="85"/>
      <c r="P921" s="84"/>
      <c r="Q921" s="84"/>
      <c r="R921" s="84"/>
      <c r="S921" s="84"/>
      <c r="T921" s="84"/>
      <c r="U921" s="84"/>
      <c r="V921" s="84"/>
      <c r="W921" s="84"/>
      <c r="X921" s="86"/>
    </row>
    <row r="922" ht="15.0" customHeight="1">
      <c r="A922" s="81"/>
      <c r="B922" s="51"/>
      <c r="C922" s="51"/>
      <c r="D922" s="50"/>
      <c r="E922" s="50"/>
      <c r="F922" s="50"/>
      <c r="G922" s="50"/>
      <c r="H922" s="50"/>
      <c r="I922" s="82"/>
      <c r="J922" s="83"/>
      <c r="K922" s="83"/>
      <c r="L922" s="84"/>
      <c r="M922" s="84"/>
      <c r="N922" s="84"/>
      <c r="O922" s="85"/>
      <c r="P922" s="84"/>
      <c r="Q922" s="84"/>
      <c r="R922" s="84"/>
      <c r="S922" s="84"/>
      <c r="T922" s="84"/>
      <c r="U922" s="84"/>
      <c r="V922" s="84"/>
      <c r="W922" s="84"/>
      <c r="X922" s="86"/>
    </row>
    <row r="923" ht="15.0" customHeight="1">
      <c r="A923" s="81"/>
      <c r="B923" s="51"/>
      <c r="C923" s="51"/>
      <c r="D923" s="50"/>
      <c r="E923" s="50"/>
      <c r="F923" s="50"/>
      <c r="G923" s="50"/>
      <c r="H923" s="50"/>
      <c r="I923" s="82"/>
      <c r="J923" s="83"/>
      <c r="K923" s="83"/>
      <c r="L923" s="84"/>
      <c r="M923" s="84"/>
      <c r="N923" s="84"/>
      <c r="O923" s="85"/>
      <c r="P923" s="84"/>
      <c r="Q923" s="84"/>
      <c r="R923" s="84"/>
      <c r="S923" s="84"/>
      <c r="T923" s="84"/>
      <c r="U923" s="84"/>
      <c r="V923" s="84"/>
      <c r="W923" s="84"/>
      <c r="X923" s="86"/>
    </row>
    <row r="924" ht="15.0" customHeight="1">
      <c r="A924" s="81"/>
      <c r="B924" s="51"/>
      <c r="C924" s="51"/>
      <c r="D924" s="50"/>
      <c r="E924" s="50"/>
      <c r="F924" s="50"/>
      <c r="G924" s="50"/>
      <c r="H924" s="50"/>
      <c r="I924" s="82"/>
      <c r="J924" s="83"/>
      <c r="K924" s="83"/>
      <c r="L924" s="84"/>
      <c r="M924" s="84"/>
      <c r="N924" s="84"/>
      <c r="O924" s="85"/>
      <c r="P924" s="84"/>
      <c r="Q924" s="84"/>
      <c r="R924" s="84"/>
      <c r="S924" s="84"/>
      <c r="T924" s="84"/>
      <c r="U924" s="84"/>
      <c r="V924" s="84"/>
      <c r="W924" s="84"/>
      <c r="X924" s="86"/>
    </row>
    <row r="925" ht="15.0" customHeight="1">
      <c r="A925" s="81"/>
      <c r="B925" s="51"/>
      <c r="C925" s="51"/>
      <c r="D925" s="50"/>
      <c r="E925" s="50"/>
      <c r="F925" s="50"/>
      <c r="G925" s="50"/>
      <c r="H925" s="50"/>
      <c r="I925" s="82"/>
      <c r="J925" s="83"/>
      <c r="K925" s="83"/>
      <c r="L925" s="84"/>
      <c r="M925" s="84"/>
      <c r="N925" s="84"/>
      <c r="O925" s="85"/>
      <c r="P925" s="84"/>
      <c r="Q925" s="84"/>
      <c r="R925" s="84"/>
      <c r="S925" s="84"/>
      <c r="T925" s="84"/>
      <c r="U925" s="84"/>
      <c r="V925" s="84"/>
      <c r="W925" s="84"/>
      <c r="X925" s="86"/>
    </row>
    <row r="926" ht="15.0" customHeight="1">
      <c r="A926" s="81"/>
      <c r="B926" s="51"/>
      <c r="C926" s="51"/>
      <c r="D926" s="50"/>
      <c r="E926" s="50"/>
      <c r="F926" s="50"/>
      <c r="G926" s="50"/>
      <c r="H926" s="50"/>
      <c r="I926" s="82"/>
      <c r="J926" s="83"/>
      <c r="K926" s="83"/>
      <c r="L926" s="84"/>
      <c r="M926" s="84"/>
      <c r="N926" s="84"/>
      <c r="O926" s="85"/>
      <c r="P926" s="84"/>
      <c r="Q926" s="84"/>
      <c r="R926" s="84"/>
      <c r="S926" s="84"/>
      <c r="T926" s="84"/>
      <c r="U926" s="84"/>
      <c r="V926" s="84"/>
      <c r="W926" s="84"/>
      <c r="X926" s="86"/>
    </row>
    <row r="927" ht="15.0" customHeight="1">
      <c r="A927" s="81"/>
      <c r="B927" s="51"/>
      <c r="C927" s="51"/>
      <c r="D927" s="50"/>
      <c r="E927" s="50"/>
      <c r="F927" s="50"/>
      <c r="G927" s="50"/>
      <c r="H927" s="50"/>
      <c r="I927" s="82"/>
      <c r="J927" s="83"/>
      <c r="K927" s="83"/>
      <c r="L927" s="84"/>
      <c r="M927" s="84"/>
      <c r="N927" s="84"/>
      <c r="O927" s="85"/>
      <c r="P927" s="84"/>
      <c r="Q927" s="84"/>
      <c r="R927" s="84"/>
      <c r="S927" s="84"/>
      <c r="T927" s="84"/>
      <c r="U927" s="84"/>
      <c r="V927" s="84"/>
      <c r="W927" s="84"/>
      <c r="X927" s="86"/>
    </row>
    <row r="928" ht="15.0" customHeight="1">
      <c r="A928" s="81"/>
      <c r="B928" s="51"/>
      <c r="C928" s="51"/>
      <c r="D928" s="50"/>
      <c r="E928" s="50"/>
      <c r="F928" s="50"/>
      <c r="G928" s="50"/>
      <c r="H928" s="50"/>
      <c r="I928" s="82"/>
      <c r="J928" s="83"/>
      <c r="K928" s="83"/>
      <c r="L928" s="84"/>
      <c r="M928" s="84"/>
      <c r="N928" s="84"/>
      <c r="O928" s="85"/>
      <c r="P928" s="84"/>
      <c r="Q928" s="84"/>
      <c r="R928" s="84"/>
      <c r="S928" s="84"/>
      <c r="T928" s="84"/>
      <c r="U928" s="84"/>
      <c r="V928" s="84"/>
      <c r="W928" s="84"/>
      <c r="X928" s="86"/>
    </row>
    <row r="929" ht="15.0" customHeight="1">
      <c r="A929" s="81"/>
      <c r="B929" s="51"/>
      <c r="C929" s="51"/>
      <c r="D929" s="50"/>
      <c r="E929" s="50"/>
      <c r="F929" s="50"/>
      <c r="G929" s="50"/>
      <c r="H929" s="50"/>
      <c r="I929" s="82"/>
      <c r="J929" s="83"/>
      <c r="K929" s="83"/>
      <c r="L929" s="84"/>
      <c r="M929" s="84"/>
      <c r="N929" s="84"/>
      <c r="O929" s="85"/>
      <c r="P929" s="84"/>
      <c r="Q929" s="84"/>
      <c r="R929" s="84"/>
      <c r="S929" s="84"/>
      <c r="T929" s="84"/>
      <c r="U929" s="84"/>
      <c r="V929" s="84"/>
      <c r="W929" s="84"/>
      <c r="X929" s="86"/>
    </row>
    <row r="930" ht="15.0" customHeight="1">
      <c r="A930" s="81"/>
      <c r="B930" s="51"/>
      <c r="C930" s="51"/>
      <c r="D930" s="50"/>
      <c r="E930" s="50"/>
      <c r="F930" s="50"/>
      <c r="G930" s="50"/>
      <c r="H930" s="50"/>
      <c r="I930" s="82"/>
      <c r="J930" s="83"/>
      <c r="K930" s="83"/>
      <c r="L930" s="84"/>
      <c r="M930" s="84"/>
      <c r="N930" s="84"/>
      <c r="O930" s="85"/>
      <c r="P930" s="84"/>
      <c r="Q930" s="84"/>
      <c r="R930" s="84"/>
      <c r="S930" s="84"/>
      <c r="T930" s="84"/>
      <c r="U930" s="84"/>
      <c r="V930" s="84"/>
      <c r="W930" s="84"/>
      <c r="X930" s="86"/>
    </row>
    <row r="931" ht="15.0" customHeight="1">
      <c r="A931" s="81"/>
      <c r="B931" s="51"/>
      <c r="C931" s="51"/>
      <c r="D931" s="50"/>
      <c r="E931" s="50"/>
      <c r="F931" s="50"/>
      <c r="G931" s="50"/>
      <c r="H931" s="50"/>
      <c r="I931" s="82"/>
      <c r="J931" s="83"/>
      <c r="K931" s="83"/>
      <c r="L931" s="84"/>
      <c r="M931" s="84"/>
      <c r="N931" s="84"/>
      <c r="O931" s="85"/>
      <c r="P931" s="84"/>
      <c r="Q931" s="84"/>
      <c r="R931" s="84"/>
      <c r="S931" s="84"/>
      <c r="T931" s="84"/>
      <c r="U931" s="84"/>
      <c r="V931" s="84"/>
      <c r="W931" s="84"/>
      <c r="X931" s="86"/>
    </row>
    <row r="932" ht="15.0" customHeight="1">
      <c r="A932" s="81"/>
      <c r="B932" s="51"/>
      <c r="C932" s="51"/>
      <c r="D932" s="50"/>
      <c r="E932" s="50"/>
      <c r="F932" s="50"/>
      <c r="G932" s="50"/>
      <c r="H932" s="50"/>
      <c r="I932" s="82"/>
      <c r="J932" s="83"/>
      <c r="K932" s="83"/>
      <c r="L932" s="84"/>
      <c r="M932" s="84"/>
      <c r="N932" s="84"/>
      <c r="O932" s="85"/>
      <c r="P932" s="84"/>
      <c r="Q932" s="84"/>
      <c r="R932" s="84"/>
      <c r="S932" s="84"/>
      <c r="T932" s="84"/>
      <c r="U932" s="84"/>
      <c r="V932" s="84"/>
      <c r="W932" s="84"/>
      <c r="X932" s="86"/>
    </row>
    <row r="933" ht="15.0" customHeight="1">
      <c r="A933" s="81"/>
      <c r="B933" s="51"/>
      <c r="C933" s="51"/>
      <c r="D933" s="50"/>
      <c r="E933" s="50"/>
      <c r="F933" s="50"/>
      <c r="G933" s="50"/>
      <c r="H933" s="50"/>
      <c r="I933" s="82"/>
      <c r="J933" s="83"/>
      <c r="K933" s="83"/>
      <c r="L933" s="84"/>
      <c r="M933" s="84"/>
      <c r="N933" s="84"/>
      <c r="O933" s="85"/>
      <c r="P933" s="84"/>
      <c r="Q933" s="84"/>
      <c r="R933" s="84"/>
      <c r="S933" s="84"/>
      <c r="T933" s="84"/>
      <c r="U933" s="84"/>
      <c r="V933" s="84"/>
      <c r="W933" s="84"/>
      <c r="X933" s="86"/>
    </row>
    <row r="934" ht="15.0" customHeight="1">
      <c r="A934" s="81"/>
      <c r="B934" s="51"/>
      <c r="C934" s="51"/>
      <c r="D934" s="50"/>
      <c r="E934" s="50"/>
      <c r="F934" s="50"/>
      <c r="G934" s="50"/>
      <c r="H934" s="50"/>
      <c r="I934" s="82"/>
      <c r="J934" s="83"/>
      <c r="K934" s="83"/>
      <c r="L934" s="84"/>
      <c r="M934" s="84"/>
      <c r="N934" s="84"/>
      <c r="O934" s="85"/>
      <c r="P934" s="84"/>
      <c r="Q934" s="84"/>
      <c r="R934" s="84"/>
      <c r="S934" s="84"/>
      <c r="T934" s="84"/>
      <c r="U934" s="84"/>
      <c r="V934" s="84"/>
      <c r="W934" s="84"/>
      <c r="X934" s="86"/>
    </row>
    <row r="935" ht="15.0" customHeight="1">
      <c r="A935" s="81"/>
      <c r="B935" s="51"/>
      <c r="C935" s="51"/>
      <c r="D935" s="50"/>
      <c r="E935" s="50"/>
      <c r="F935" s="50"/>
      <c r="G935" s="50"/>
      <c r="H935" s="50"/>
      <c r="I935" s="82"/>
      <c r="J935" s="83"/>
      <c r="K935" s="83"/>
      <c r="L935" s="84"/>
      <c r="M935" s="84"/>
      <c r="N935" s="84"/>
      <c r="O935" s="85"/>
      <c r="P935" s="84"/>
      <c r="Q935" s="84"/>
      <c r="R935" s="84"/>
      <c r="S935" s="84"/>
      <c r="T935" s="84"/>
      <c r="U935" s="84"/>
      <c r="V935" s="84"/>
      <c r="W935" s="84"/>
      <c r="X935" s="86"/>
    </row>
    <row r="936" ht="15.0" customHeight="1">
      <c r="A936" s="81"/>
      <c r="B936" s="51"/>
      <c r="C936" s="51"/>
      <c r="D936" s="50"/>
      <c r="E936" s="50"/>
      <c r="F936" s="50"/>
      <c r="G936" s="50"/>
      <c r="H936" s="50"/>
      <c r="I936" s="82"/>
      <c r="J936" s="83"/>
      <c r="K936" s="83"/>
      <c r="L936" s="84"/>
      <c r="M936" s="84"/>
      <c r="N936" s="84"/>
      <c r="O936" s="85"/>
      <c r="P936" s="84"/>
      <c r="Q936" s="84"/>
      <c r="R936" s="84"/>
      <c r="S936" s="84"/>
      <c r="T936" s="84"/>
      <c r="U936" s="84"/>
      <c r="V936" s="84"/>
      <c r="W936" s="84"/>
      <c r="X936" s="86"/>
    </row>
    <row r="937" ht="15.0" customHeight="1">
      <c r="A937" s="81"/>
      <c r="B937" s="51"/>
      <c r="C937" s="51"/>
      <c r="D937" s="50"/>
      <c r="E937" s="50"/>
      <c r="F937" s="50"/>
      <c r="G937" s="50"/>
      <c r="H937" s="50"/>
      <c r="I937" s="82"/>
      <c r="J937" s="83"/>
      <c r="K937" s="83"/>
      <c r="L937" s="84"/>
      <c r="M937" s="84"/>
      <c r="N937" s="84"/>
      <c r="O937" s="85"/>
      <c r="P937" s="84"/>
      <c r="Q937" s="84"/>
      <c r="R937" s="84"/>
      <c r="S937" s="84"/>
      <c r="T937" s="84"/>
      <c r="U937" s="84"/>
      <c r="V937" s="84"/>
      <c r="W937" s="84"/>
      <c r="X937" s="86"/>
    </row>
    <row r="938" ht="15.0" customHeight="1">
      <c r="A938" s="81"/>
      <c r="B938" s="51"/>
      <c r="C938" s="51"/>
      <c r="D938" s="50"/>
      <c r="E938" s="50"/>
      <c r="F938" s="50"/>
      <c r="G938" s="50"/>
      <c r="H938" s="50"/>
      <c r="I938" s="82"/>
      <c r="J938" s="83"/>
      <c r="K938" s="83"/>
      <c r="L938" s="84"/>
      <c r="M938" s="84"/>
      <c r="N938" s="84"/>
      <c r="O938" s="85"/>
      <c r="P938" s="84"/>
      <c r="Q938" s="84"/>
      <c r="R938" s="84"/>
      <c r="S938" s="84"/>
      <c r="T938" s="84"/>
      <c r="U938" s="84"/>
      <c r="V938" s="84"/>
      <c r="W938" s="84"/>
      <c r="X938" s="86"/>
    </row>
    <row r="939" ht="15.0" customHeight="1">
      <c r="A939" s="81"/>
      <c r="B939" s="51"/>
      <c r="C939" s="51"/>
      <c r="D939" s="50"/>
      <c r="E939" s="50"/>
      <c r="F939" s="50"/>
      <c r="G939" s="50"/>
      <c r="H939" s="50"/>
      <c r="I939" s="82"/>
      <c r="J939" s="83"/>
      <c r="K939" s="83"/>
      <c r="L939" s="84"/>
      <c r="M939" s="84"/>
      <c r="N939" s="84"/>
      <c r="O939" s="85"/>
      <c r="P939" s="84"/>
      <c r="Q939" s="84"/>
      <c r="R939" s="84"/>
      <c r="S939" s="84"/>
      <c r="T939" s="84"/>
      <c r="U939" s="84"/>
      <c r="V939" s="84"/>
      <c r="W939" s="84"/>
      <c r="X939" s="86"/>
    </row>
    <row r="940" ht="15.0" customHeight="1">
      <c r="A940" s="81"/>
      <c r="B940" s="51"/>
      <c r="C940" s="51"/>
      <c r="D940" s="50"/>
      <c r="E940" s="50"/>
      <c r="F940" s="50"/>
      <c r="G940" s="50"/>
      <c r="H940" s="50"/>
      <c r="I940" s="82"/>
      <c r="J940" s="83"/>
      <c r="K940" s="83"/>
      <c r="L940" s="84"/>
      <c r="M940" s="84"/>
      <c r="N940" s="84"/>
      <c r="O940" s="85"/>
      <c r="P940" s="84"/>
      <c r="Q940" s="84"/>
      <c r="R940" s="84"/>
      <c r="S940" s="84"/>
      <c r="T940" s="84"/>
      <c r="U940" s="84"/>
      <c r="V940" s="84"/>
      <c r="W940" s="84"/>
      <c r="X940" s="86"/>
    </row>
    <row r="941" ht="15.0" customHeight="1">
      <c r="A941" s="81"/>
      <c r="B941" s="51"/>
      <c r="C941" s="51"/>
      <c r="D941" s="50"/>
      <c r="E941" s="50"/>
      <c r="F941" s="50"/>
      <c r="G941" s="50"/>
      <c r="H941" s="50"/>
      <c r="I941" s="82"/>
      <c r="J941" s="83"/>
      <c r="K941" s="83"/>
      <c r="L941" s="84"/>
      <c r="M941" s="84"/>
      <c r="N941" s="84"/>
      <c r="O941" s="85"/>
      <c r="P941" s="84"/>
      <c r="Q941" s="84"/>
      <c r="R941" s="84"/>
      <c r="S941" s="84"/>
      <c r="T941" s="84"/>
      <c r="U941" s="84"/>
      <c r="V941" s="84"/>
      <c r="W941" s="84"/>
      <c r="X941" s="86"/>
    </row>
    <row r="942" ht="15.0" customHeight="1">
      <c r="A942" s="81"/>
      <c r="B942" s="51"/>
      <c r="C942" s="51"/>
      <c r="D942" s="50"/>
      <c r="E942" s="50"/>
      <c r="F942" s="50"/>
      <c r="G942" s="50"/>
      <c r="H942" s="50"/>
      <c r="I942" s="82"/>
      <c r="J942" s="83"/>
      <c r="K942" s="83"/>
      <c r="L942" s="84"/>
      <c r="M942" s="84"/>
      <c r="N942" s="84"/>
      <c r="O942" s="85"/>
      <c r="P942" s="84"/>
      <c r="Q942" s="84"/>
      <c r="R942" s="84"/>
      <c r="S942" s="84"/>
      <c r="T942" s="84"/>
      <c r="U942" s="84"/>
      <c r="V942" s="84"/>
      <c r="W942" s="84"/>
      <c r="X942" s="86"/>
    </row>
    <row r="943" ht="15.0" customHeight="1">
      <c r="A943" s="81"/>
      <c r="B943" s="51"/>
      <c r="C943" s="51"/>
      <c r="D943" s="50"/>
      <c r="E943" s="50"/>
      <c r="F943" s="50"/>
      <c r="G943" s="50"/>
      <c r="H943" s="50"/>
      <c r="I943" s="82"/>
      <c r="J943" s="83"/>
      <c r="K943" s="83"/>
      <c r="L943" s="84"/>
      <c r="M943" s="84"/>
      <c r="N943" s="84"/>
      <c r="O943" s="85"/>
      <c r="P943" s="84"/>
      <c r="Q943" s="84"/>
      <c r="R943" s="84"/>
      <c r="S943" s="84"/>
      <c r="T943" s="84"/>
      <c r="U943" s="84"/>
      <c r="V943" s="84"/>
      <c r="W943" s="84"/>
      <c r="X943" s="86"/>
    </row>
    <row r="944" ht="15.0" customHeight="1">
      <c r="A944" s="81"/>
      <c r="B944" s="51"/>
      <c r="C944" s="51"/>
      <c r="D944" s="50"/>
      <c r="E944" s="50"/>
      <c r="F944" s="50"/>
      <c r="G944" s="50"/>
      <c r="H944" s="50"/>
      <c r="I944" s="82"/>
      <c r="J944" s="83"/>
      <c r="K944" s="83"/>
      <c r="L944" s="84"/>
      <c r="M944" s="84"/>
      <c r="N944" s="84"/>
      <c r="O944" s="85"/>
      <c r="P944" s="84"/>
      <c r="Q944" s="84"/>
      <c r="R944" s="84"/>
      <c r="S944" s="84"/>
      <c r="T944" s="84"/>
      <c r="U944" s="84"/>
      <c r="V944" s="84"/>
      <c r="W944" s="84"/>
      <c r="X944" s="86"/>
    </row>
    <row r="945" ht="15.0" customHeight="1">
      <c r="A945" s="81"/>
      <c r="B945" s="51"/>
      <c r="C945" s="51"/>
      <c r="D945" s="50"/>
      <c r="E945" s="50"/>
      <c r="F945" s="50"/>
      <c r="G945" s="50"/>
      <c r="H945" s="50"/>
      <c r="I945" s="82"/>
      <c r="J945" s="83"/>
      <c r="K945" s="83"/>
      <c r="L945" s="84"/>
      <c r="M945" s="84"/>
      <c r="N945" s="84"/>
      <c r="O945" s="85"/>
      <c r="P945" s="84"/>
      <c r="Q945" s="84"/>
      <c r="R945" s="84"/>
      <c r="S945" s="84"/>
      <c r="T945" s="84"/>
      <c r="U945" s="84"/>
      <c r="V945" s="84"/>
      <c r="W945" s="84"/>
      <c r="X945" s="86"/>
    </row>
    <row r="946" ht="15.0" customHeight="1">
      <c r="A946" s="81"/>
      <c r="B946" s="51"/>
      <c r="C946" s="51"/>
      <c r="D946" s="50"/>
      <c r="E946" s="50"/>
      <c r="F946" s="50"/>
      <c r="G946" s="50"/>
      <c r="H946" s="50"/>
      <c r="I946" s="82"/>
      <c r="J946" s="83"/>
      <c r="K946" s="83"/>
      <c r="L946" s="84"/>
      <c r="M946" s="84"/>
      <c r="N946" s="84"/>
      <c r="O946" s="85"/>
      <c r="P946" s="84"/>
      <c r="Q946" s="84"/>
      <c r="R946" s="84"/>
      <c r="S946" s="84"/>
      <c r="T946" s="84"/>
      <c r="U946" s="84"/>
      <c r="V946" s="84"/>
      <c r="W946" s="84"/>
      <c r="X946" s="86"/>
    </row>
    <row r="947" ht="15.0" customHeight="1">
      <c r="A947" s="81"/>
      <c r="B947" s="51"/>
      <c r="C947" s="51"/>
      <c r="D947" s="50"/>
      <c r="E947" s="50"/>
      <c r="F947" s="50"/>
      <c r="G947" s="50"/>
      <c r="H947" s="50"/>
      <c r="I947" s="82"/>
      <c r="J947" s="83"/>
      <c r="K947" s="83"/>
      <c r="L947" s="84"/>
      <c r="M947" s="84"/>
      <c r="N947" s="84"/>
      <c r="O947" s="85"/>
      <c r="P947" s="84"/>
      <c r="Q947" s="84"/>
      <c r="R947" s="84"/>
      <c r="S947" s="84"/>
      <c r="T947" s="84"/>
      <c r="U947" s="84"/>
      <c r="V947" s="84"/>
      <c r="W947" s="84"/>
      <c r="X947" s="86"/>
    </row>
    <row r="948" ht="15.0" customHeight="1">
      <c r="A948" s="81"/>
      <c r="B948" s="51"/>
      <c r="C948" s="51"/>
      <c r="D948" s="50"/>
      <c r="E948" s="50"/>
      <c r="F948" s="50"/>
      <c r="G948" s="50"/>
      <c r="H948" s="50"/>
      <c r="I948" s="82"/>
      <c r="J948" s="83"/>
      <c r="K948" s="83"/>
      <c r="L948" s="84"/>
      <c r="M948" s="84"/>
      <c r="N948" s="84"/>
      <c r="O948" s="85"/>
      <c r="P948" s="84"/>
      <c r="Q948" s="84"/>
      <c r="R948" s="84"/>
      <c r="S948" s="84"/>
      <c r="T948" s="84"/>
      <c r="U948" s="84"/>
      <c r="V948" s="84"/>
      <c r="W948" s="84"/>
      <c r="X948" s="86"/>
    </row>
    <row r="949" ht="15.0" customHeight="1">
      <c r="A949" s="81"/>
      <c r="B949" s="51"/>
      <c r="C949" s="51"/>
      <c r="D949" s="50"/>
      <c r="E949" s="50"/>
      <c r="F949" s="50"/>
      <c r="G949" s="50"/>
      <c r="H949" s="50"/>
      <c r="I949" s="82"/>
      <c r="J949" s="83"/>
      <c r="K949" s="83"/>
      <c r="L949" s="84"/>
      <c r="M949" s="84"/>
      <c r="N949" s="84"/>
      <c r="O949" s="85"/>
      <c r="P949" s="84"/>
      <c r="Q949" s="84"/>
      <c r="R949" s="84"/>
      <c r="S949" s="84"/>
      <c r="T949" s="84"/>
      <c r="U949" s="84"/>
      <c r="V949" s="84"/>
      <c r="W949" s="84"/>
      <c r="X949" s="86"/>
    </row>
    <row r="950" ht="15.0" customHeight="1">
      <c r="A950" s="81"/>
      <c r="B950" s="51"/>
      <c r="C950" s="51"/>
      <c r="D950" s="50"/>
      <c r="E950" s="50"/>
      <c r="F950" s="50"/>
      <c r="G950" s="50"/>
      <c r="H950" s="50"/>
      <c r="I950" s="82"/>
      <c r="J950" s="83"/>
      <c r="K950" s="83"/>
      <c r="L950" s="84"/>
      <c r="M950" s="84"/>
      <c r="N950" s="84"/>
      <c r="O950" s="85"/>
      <c r="P950" s="84"/>
      <c r="Q950" s="84"/>
      <c r="R950" s="84"/>
      <c r="S950" s="84"/>
      <c r="T950" s="84"/>
      <c r="U950" s="84"/>
      <c r="V950" s="84"/>
      <c r="W950" s="84"/>
      <c r="X950" s="86"/>
    </row>
    <row r="951" ht="15.0" customHeight="1">
      <c r="A951" s="81"/>
      <c r="B951" s="51"/>
      <c r="C951" s="51"/>
      <c r="D951" s="50"/>
      <c r="E951" s="50"/>
      <c r="F951" s="50"/>
      <c r="G951" s="50"/>
      <c r="H951" s="50"/>
      <c r="I951" s="82"/>
      <c r="J951" s="83"/>
      <c r="K951" s="83"/>
      <c r="L951" s="84"/>
      <c r="M951" s="84"/>
      <c r="N951" s="84"/>
      <c r="O951" s="85"/>
      <c r="P951" s="84"/>
      <c r="Q951" s="84"/>
      <c r="R951" s="84"/>
      <c r="S951" s="84"/>
      <c r="T951" s="84"/>
      <c r="U951" s="84"/>
      <c r="V951" s="84"/>
      <c r="W951" s="84"/>
      <c r="X951" s="86"/>
    </row>
    <row r="952" ht="15.0" customHeight="1">
      <c r="A952" s="81"/>
      <c r="B952" s="51"/>
      <c r="C952" s="51"/>
      <c r="D952" s="50"/>
      <c r="E952" s="50"/>
      <c r="F952" s="50"/>
      <c r="G952" s="50"/>
      <c r="H952" s="50"/>
      <c r="I952" s="82"/>
      <c r="J952" s="83"/>
      <c r="K952" s="83"/>
      <c r="L952" s="84"/>
      <c r="M952" s="84"/>
      <c r="N952" s="84"/>
      <c r="O952" s="85"/>
      <c r="P952" s="84"/>
      <c r="Q952" s="84"/>
      <c r="R952" s="84"/>
      <c r="S952" s="84"/>
      <c r="T952" s="84"/>
      <c r="U952" s="84"/>
      <c r="V952" s="84"/>
      <c r="W952" s="84"/>
      <c r="X952" s="86"/>
    </row>
    <row r="953" ht="15.0" customHeight="1">
      <c r="A953" s="81"/>
      <c r="B953" s="51"/>
      <c r="C953" s="51"/>
      <c r="D953" s="50"/>
      <c r="E953" s="50"/>
      <c r="F953" s="50"/>
      <c r="G953" s="50"/>
      <c r="H953" s="50"/>
      <c r="I953" s="82"/>
      <c r="J953" s="83"/>
      <c r="K953" s="83"/>
      <c r="L953" s="84"/>
      <c r="M953" s="84"/>
      <c r="N953" s="84"/>
      <c r="O953" s="85"/>
      <c r="P953" s="84"/>
      <c r="Q953" s="84"/>
      <c r="R953" s="84"/>
      <c r="S953" s="84"/>
      <c r="T953" s="84"/>
      <c r="U953" s="84"/>
      <c r="V953" s="84"/>
      <c r="W953" s="84"/>
      <c r="X953" s="86"/>
    </row>
    <row r="954" ht="15.0" customHeight="1">
      <c r="A954" s="81"/>
      <c r="B954" s="51"/>
      <c r="C954" s="51"/>
      <c r="D954" s="50"/>
      <c r="E954" s="50"/>
      <c r="F954" s="50"/>
      <c r="G954" s="50"/>
      <c r="H954" s="50"/>
      <c r="I954" s="82"/>
      <c r="J954" s="83"/>
      <c r="K954" s="83"/>
      <c r="L954" s="84"/>
      <c r="M954" s="84"/>
      <c r="N954" s="84"/>
      <c r="O954" s="85"/>
      <c r="P954" s="84"/>
      <c r="Q954" s="84"/>
      <c r="R954" s="84"/>
      <c r="S954" s="84"/>
      <c r="T954" s="84"/>
      <c r="U954" s="84"/>
      <c r="V954" s="84"/>
      <c r="W954" s="84"/>
      <c r="X954" s="86"/>
    </row>
    <row r="955" ht="15.0" customHeight="1">
      <c r="A955" s="81"/>
      <c r="B955" s="51"/>
      <c r="C955" s="51"/>
      <c r="D955" s="50"/>
      <c r="E955" s="50"/>
      <c r="F955" s="50"/>
      <c r="G955" s="50"/>
      <c r="H955" s="50"/>
      <c r="I955" s="82"/>
      <c r="J955" s="83"/>
      <c r="K955" s="83"/>
      <c r="L955" s="84"/>
      <c r="M955" s="84"/>
      <c r="N955" s="84"/>
      <c r="O955" s="85"/>
      <c r="P955" s="84"/>
      <c r="Q955" s="84"/>
      <c r="R955" s="84"/>
      <c r="S955" s="84"/>
      <c r="T955" s="84"/>
      <c r="U955" s="84"/>
      <c r="V955" s="84"/>
      <c r="W955" s="84"/>
      <c r="X955" s="86"/>
    </row>
    <row r="956" ht="15.0" customHeight="1">
      <c r="A956" s="81"/>
      <c r="B956" s="51"/>
      <c r="C956" s="51"/>
      <c r="D956" s="50"/>
      <c r="E956" s="50"/>
      <c r="F956" s="50"/>
      <c r="G956" s="50"/>
      <c r="H956" s="50"/>
      <c r="I956" s="82"/>
      <c r="J956" s="83"/>
      <c r="K956" s="83"/>
      <c r="L956" s="84"/>
      <c r="M956" s="84"/>
      <c r="N956" s="84"/>
      <c r="O956" s="85"/>
      <c r="P956" s="84"/>
      <c r="Q956" s="84"/>
      <c r="R956" s="84"/>
      <c r="S956" s="84"/>
      <c r="T956" s="84"/>
      <c r="U956" s="84"/>
      <c r="V956" s="84"/>
      <c r="W956" s="84"/>
      <c r="X956" s="86"/>
    </row>
    <row r="957" ht="15.0" customHeight="1">
      <c r="A957" s="81"/>
      <c r="B957" s="51"/>
      <c r="C957" s="51"/>
      <c r="D957" s="50"/>
      <c r="E957" s="50"/>
      <c r="F957" s="50"/>
      <c r="G957" s="50"/>
      <c r="H957" s="50"/>
      <c r="I957" s="82"/>
      <c r="J957" s="83"/>
      <c r="K957" s="83"/>
      <c r="L957" s="84"/>
      <c r="M957" s="84"/>
      <c r="N957" s="84"/>
      <c r="O957" s="85"/>
      <c r="P957" s="84"/>
      <c r="Q957" s="84"/>
      <c r="R957" s="84"/>
      <c r="S957" s="84"/>
      <c r="T957" s="84"/>
      <c r="U957" s="84"/>
      <c r="V957" s="84"/>
      <c r="W957" s="84"/>
      <c r="X957" s="86"/>
    </row>
    <row r="958" ht="15.0" customHeight="1">
      <c r="A958" s="81"/>
      <c r="B958" s="51"/>
      <c r="C958" s="51"/>
      <c r="D958" s="50"/>
      <c r="E958" s="50"/>
      <c r="F958" s="50"/>
      <c r="G958" s="50"/>
      <c r="H958" s="50"/>
      <c r="I958" s="82"/>
      <c r="J958" s="83"/>
      <c r="K958" s="83"/>
      <c r="L958" s="84"/>
      <c r="M958" s="84"/>
      <c r="N958" s="84"/>
      <c r="O958" s="85"/>
      <c r="P958" s="84"/>
      <c r="Q958" s="84"/>
      <c r="R958" s="84"/>
      <c r="S958" s="84"/>
      <c r="T958" s="84"/>
      <c r="U958" s="84"/>
      <c r="V958" s="84"/>
      <c r="W958" s="84"/>
      <c r="X958" s="86"/>
    </row>
    <row r="959" ht="15.0" customHeight="1">
      <c r="A959" s="81"/>
      <c r="B959" s="51"/>
      <c r="C959" s="51"/>
      <c r="D959" s="50"/>
      <c r="E959" s="50"/>
      <c r="F959" s="50"/>
      <c r="G959" s="50"/>
      <c r="H959" s="50"/>
      <c r="I959" s="82"/>
      <c r="J959" s="83"/>
      <c r="K959" s="83"/>
      <c r="L959" s="84"/>
      <c r="M959" s="84"/>
      <c r="N959" s="84"/>
      <c r="O959" s="85"/>
      <c r="P959" s="84"/>
      <c r="Q959" s="84"/>
      <c r="R959" s="84"/>
      <c r="S959" s="84"/>
      <c r="T959" s="84"/>
      <c r="U959" s="84"/>
      <c r="V959" s="84"/>
      <c r="W959" s="84"/>
      <c r="X959" s="86"/>
    </row>
    <row r="960" ht="15.0" customHeight="1">
      <c r="A960" s="81"/>
      <c r="B960" s="51"/>
      <c r="C960" s="51"/>
      <c r="D960" s="50"/>
      <c r="E960" s="50"/>
      <c r="F960" s="50"/>
      <c r="G960" s="50"/>
      <c r="H960" s="50"/>
      <c r="I960" s="82"/>
      <c r="J960" s="83"/>
      <c r="K960" s="83"/>
      <c r="L960" s="84"/>
      <c r="M960" s="84"/>
      <c r="N960" s="84"/>
      <c r="O960" s="85"/>
      <c r="P960" s="84"/>
      <c r="Q960" s="84"/>
      <c r="R960" s="84"/>
      <c r="S960" s="84"/>
      <c r="T960" s="84"/>
      <c r="U960" s="84"/>
      <c r="V960" s="84"/>
      <c r="W960" s="84"/>
      <c r="X960" s="86"/>
    </row>
    <row r="961" ht="15.0" customHeight="1">
      <c r="A961" s="81"/>
      <c r="B961" s="51"/>
      <c r="C961" s="51"/>
      <c r="D961" s="50"/>
      <c r="E961" s="50"/>
      <c r="F961" s="50"/>
      <c r="G961" s="50"/>
      <c r="H961" s="50"/>
      <c r="I961" s="82"/>
      <c r="J961" s="83"/>
      <c r="K961" s="83"/>
      <c r="L961" s="84"/>
      <c r="M961" s="84"/>
      <c r="N961" s="84"/>
      <c r="O961" s="85"/>
      <c r="P961" s="84"/>
      <c r="Q961" s="84"/>
      <c r="R961" s="84"/>
      <c r="S961" s="84"/>
      <c r="T961" s="84"/>
      <c r="U961" s="84"/>
      <c r="V961" s="84"/>
      <c r="W961" s="84"/>
      <c r="X961" s="86"/>
    </row>
    <row r="962" ht="15.0" customHeight="1">
      <c r="A962" s="81"/>
      <c r="B962" s="51"/>
      <c r="C962" s="51"/>
      <c r="D962" s="50"/>
      <c r="E962" s="50"/>
      <c r="F962" s="50"/>
      <c r="G962" s="50"/>
      <c r="H962" s="50"/>
      <c r="I962" s="82"/>
      <c r="J962" s="83"/>
      <c r="K962" s="83"/>
      <c r="L962" s="84"/>
      <c r="M962" s="84"/>
      <c r="N962" s="84"/>
      <c r="O962" s="85"/>
      <c r="P962" s="84"/>
      <c r="Q962" s="84"/>
      <c r="R962" s="84"/>
      <c r="S962" s="84"/>
      <c r="T962" s="84"/>
      <c r="U962" s="84"/>
      <c r="V962" s="84"/>
      <c r="W962" s="84"/>
      <c r="X962" s="86"/>
    </row>
    <row r="963" ht="15.0" customHeight="1">
      <c r="A963" s="81"/>
      <c r="B963" s="51"/>
      <c r="C963" s="51"/>
      <c r="D963" s="50"/>
      <c r="E963" s="50"/>
      <c r="F963" s="50"/>
      <c r="G963" s="50"/>
      <c r="H963" s="50"/>
      <c r="I963" s="82"/>
      <c r="J963" s="83"/>
      <c r="K963" s="83"/>
      <c r="L963" s="84"/>
      <c r="M963" s="84"/>
      <c r="N963" s="84"/>
      <c r="O963" s="85"/>
      <c r="P963" s="84"/>
      <c r="Q963" s="84"/>
      <c r="R963" s="84"/>
      <c r="S963" s="84"/>
      <c r="T963" s="84"/>
      <c r="U963" s="84"/>
      <c r="V963" s="84"/>
      <c r="W963" s="84"/>
      <c r="X963" s="86"/>
    </row>
    <row r="964" ht="15.0" customHeight="1">
      <c r="A964" s="81"/>
      <c r="B964" s="51"/>
      <c r="C964" s="51"/>
      <c r="D964" s="50"/>
      <c r="E964" s="50"/>
      <c r="F964" s="50"/>
      <c r="G964" s="50"/>
      <c r="H964" s="50"/>
      <c r="I964" s="82"/>
      <c r="J964" s="83"/>
      <c r="K964" s="83"/>
      <c r="L964" s="84"/>
      <c r="M964" s="84"/>
      <c r="N964" s="84"/>
      <c r="O964" s="85"/>
      <c r="P964" s="84"/>
      <c r="Q964" s="84"/>
      <c r="R964" s="84"/>
      <c r="S964" s="84"/>
      <c r="T964" s="84"/>
      <c r="U964" s="84"/>
      <c r="V964" s="84"/>
      <c r="W964" s="84"/>
      <c r="X964" s="86"/>
    </row>
    <row r="965" ht="15.0" customHeight="1">
      <c r="A965" s="81"/>
      <c r="B965" s="51"/>
      <c r="C965" s="51"/>
      <c r="D965" s="50"/>
      <c r="E965" s="50"/>
      <c r="F965" s="50"/>
      <c r="G965" s="50"/>
      <c r="H965" s="50"/>
      <c r="I965" s="82"/>
      <c r="J965" s="83"/>
      <c r="K965" s="83"/>
      <c r="L965" s="84"/>
      <c r="M965" s="84"/>
      <c r="N965" s="84"/>
      <c r="O965" s="85"/>
      <c r="P965" s="84"/>
      <c r="Q965" s="84"/>
      <c r="R965" s="84"/>
      <c r="S965" s="84"/>
      <c r="T965" s="84"/>
      <c r="U965" s="84"/>
      <c r="V965" s="84"/>
      <c r="W965" s="84"/>
      <c r="X965" s="86"/>
    </row>
    <row r="966" ht="15.0" customHeight="1">
      <c r="A966" s="81"/>
      <c r="B966" s="51"/>
      <c r="C966" s="51"/>
      <c r="D966" s="50"/>
      <c r="E966" s="50"/>
      <c r="F966" s="50"/>
      <c r="G966" s="50"/>
      <c r="H966" s="50"/>
      <c r="I966" s="82"/>
      <c r="J966" s="83"/>
      <c r="K966" s="83"/>
      <c r="L966" s="84"/>
      <c r="M966" s="84"/>
      <c r="N966" s="84"/>
      <c r="O966" s="85"/>
      <c r="P966" s="84"/>
      <c r="Q966" s="84"/>
      <c r="R966" s="84"/>
      <c r="S966" s="84"/>
      <c r="T966" s="84"/>
      <c r="U966" s="84"/>
      <c r="V966" s="84"/>
      <c r="W966" s="84"/>
      <c r="X966" s="86"/>
    </row>
    <row r="967" ht="15.0" customHeight="1">
      <c r="A967" s="81"/>
      <c r="B967" s="51"/>
      <c r="C967" s="51"/>
      <c r="D967" s="50"/>
      <c r="E967" s="50"/>
      <c r="F967" s="50"/>
      <c r="G967" s="50"/>
      <c r="H967" s="50"/>
      <c r="I967" s="82"/>
      <c r="J967" s="83"/>
      <c r="K967" s="83"/>
      <c r="L967" s="84"/>
      <c r="M967" s="84"/>
      <c r="N967" s="84"/>
      <c r="O967" s="85"/>
      <c r="P967" s="84"/>
      <c r="Q967" s="84"/>
      <c r="R967" s="84"/>
      <c r="S967" s="84"/>
      <c r="T967" s="84"/>
      <c r="U967" s="84"/>
      <c r="V967" s="84"/>
      <c r="W967" s="84"/>
      <c r="X967" s="86"/>
    </row>
    <row r="968" ht="15.0" customHeight="1">
      <c r="A968" s="81"/>
      <c r="B968" s="51"/>
      <c r="C968" s="51"/>
      <c r="D968" s="50"/>
      <c r="E968" s="50"/>
      <c r="F968" s="50"/>
      <c r="G968" s="50"/>
      <c r="H968" s="50"/>
      <c r="I968" s="82"/>
      <c r="J968" s="83"/>
      <c r="K968" s="83"/>
      <c r="L968" s="84"/>
      <c r="M968" s="84"/>
      <c r="N968" s="84"/>
      <c r="O968" s="85"/>
      <c r="P968" s="84"/>
      <c r="Q968" s="84"/>
      <c r="R968" s="84"/>
      <c r="S968" s="84"/>
      <c r="T968" s="84"/>
      <c r="U968" s="84"/>
      <c r="V968" s="84"/>
      <c r="W968" s="84"/>
      <c r="X968" s="86"/>
    </row>
    <row r="969" ht="15.0" customHeight="1">
      <c r="A969" s="81"/>
      <c r="B969" s="51"/>
      <c r="C969" s="51"/>
      <c r="D969" s="50"/>
      <c r="E969" s="50"/>
      <c r="F969" s="50"/>
      <c r="G969" s="50"/>
      <c r="H969" s="50"/>
      <c r="I969" s="82"/>
      <c r="J969" s="83"/>
      <c r="K969" s="83"/>
      <c r="L969" s="84"/>
      <c r="M969" s="84"/>
      <c r="N969" s="84"/>
      <c r="O969" s="85"/>
      <c r="P969" s="84"/>
      <c r="Q969" s="84"/>
      <c r="R969" s="84"/>
      <c r="S969" s="84"/>
      <c r="T969" s="84"/>
      <c r="U969" s="84"/>
      <c r="V969" s="84"/>
      <c r="W969" s="84"/>
      <c r="X969" s="86"/>
    </row>
    <row r="970" ht="15.0" customHeight="1">
      <c r="A970" s="81"/>
      <c r="B970" s="51"/>
      <c r="C970" s="51"/>
      <c r="D970" s="50"/>
      <c r="E970" s="50"/>
      <c r="F970" s="50"/>
      <c r="G970" s="50"/>
      <c r="H970" s="50"/>
      <c r="I970" s="82"/>
      <c r="J970" s="83"/>
      <c r="K970" s="83"/>
      <c r="L970" s="84"/>
      <c r="M970" s="84"/>
      <c r="N970" s="84"/>
      <c r="O970" s="85"/>
      <c r="P970" s="84"/>
      <c r="Q970" s="84"/>
      <c r="R970" s="84"/>
      <c r="S970" s="84"/>
      <c r="T970" s="84"/>
      <c r="U970" s="84"/>
      <c r="V970" s="84"/>
      <c r="W970" s="84"/>
      <c r="X970" s="86"/>
    </row>
    <row r="971" ht="15.0" customHeight="1">
      <c r="A971" s="81"/>
      <c r="B971" s="51"/>
      <c r="C971" s="51"/>
      <c r="D971" s="50"/>
      <c r="E971" s="50"/>
      <c r="F971" s="50"/>
      <c r="G971" s="50"/>
      <c r="H971" s="50"/>
      <c r="I971" s="82"/>
      <c r="J971" s="83"/>
      <c r="K971" s="83"/>
      <c r="L971" s="84"/>
      <c r="M971" s="84"/>
      <c r="N971" s="84"/>
      <c r="O971" s="85"/>
      <c r="P971" s="84"/>
      <c r="Q971" s="84"/>
      <c r="R971" s="84"/>
      <c r="S971" s="84"/>
      <c r="T971" s="84"/>
      <c r="U971" s="84"/>
      <c r="V971" s="84"/>
      <c r="W971" s="84"/>
      <c r="X971" s="86"/>
    </row>
    <row r="972" ht="15.0" customHeight="1">
      <c r="A972" s="81"/>
      <c r="B972" s="51"/>
      <c r="C972" s="51"/>
      <c r="D972" s="50"/>
      <c r="E972" s="50"/>
      <c r="F972" s="50"/>
      <c r="G972" s="50"/>
      <c r="H972" s="50"/>
      <c r="I972" s="82"/>
      <c r="J972" s="83"/>
      <c r="K972" s="83"/>
      <c r="L972" s="84"/>
      <c r="M972" s="84"/>
      <c r="N972" s="84"/>
      <c r="O972" s="85"/>
      <c r="P972" s="84"/>
      <c r="Q972" s="84"/>
      <c r="R972" s="84"/>
      <c r="S972" s="84"/>
      <c r="T972" s="84"/>
      <c r="U972" s="84"/>
      <c r="V972" s="84"/>
      <c r="W972" s="84"/>
      <c r="X972" s="86"/>
    </row>
    <row r="973" ht="15.0" customHeight="1">
      <c r="A973" s="81"/>
      <c r="B973" s="51"/>
      <c r="C973" s="51"/>
      <c r="D973" s="50"/>
      <c r="E973" s="50"/>
      <c r="F973" s="50"/>
      <c r="G973" s="50"/>
      <c r="H973" s="50"/>
      <c r="I973" s="82"/>
      <c r="J973" s="83"/>
      <c r="K973" s="83"/>
      <c r="L973" s="84"/>
      <c r="M973" s="84"/>
      <c r="N973" s="84"/>
      <c r="O973" s="85"/>
      <c r="P973" s="84"/>
      <c r="Q973" s="84"/>
      <c r="R973" s="84"/>
      <c r="S973" s="84"/>
      <c r="T973" s="84"/>
      <c r="U973" s="84"/>
      <c r="V973" s="84"/>
      <c r="W973" s="84"/>
      <c r="X973" s="86"/>
    </row>
    <row r="974" ht="15.0" customHeight="1">
      <c r="A974" s="81"/>
      <c r="B974" s="51"/>
      <c r="C974" s="51"/>
      <c r="D974" s="50"/>
      <c r="E974" s="50"/>
      <c r="F974" s="50"/>
      <c r="G974" s="50"/>
      <c r="H974" s="50"/>
      <c r="I974" s="82"/>
      <c r="J974" s="83"/>
      <c r="K974" s="83"/>
      <c r="L974" s="84"/>
      <c r="M974" s="84"/>
      <c r="N974" s="84"/>
      <c r="O974" s="85"/>
      <c r="P974" s="84"/>
      <c r="Q974" s="84"/>
      <c r="R974" s="84"/>
      <c r="S974" s="84"/>
      <c r="T974" s="84"/>
      <c r="U974" s="84"/>
      <c r="V974" s="84"/>
      <c r="W974" s="84"/>
      <c r="X974" s="86"/>
    </row>
    <row r="975" ht="15.0" customHeight="1">
      <c r="A975" s="81"/>
      <c r="B975" s="51"/>
      <c r="C975" s="51"/>
      <c r="D975" s="50"/>
      <c r="E975" s="50"/>
      <c r="F975" s="50"/>
      <c r="G975" s="50"/>
      <c r="H975" s="50"/>
      <c r="I975" s="82"/>
      <c r="J975" s="83"/>
      <c r="K975" s="83"/>
      <c r="L975" s="84"/>
      <c r="M975" s="84"/>
      <c r="N975" s="84"/>
      <c r="O975" s="85"/>
      <c r="P975" s="84"/>
      <c r="Q975" s="84"/>
      <c r="R975" s="84"/>
      <c r="S975" s="84"/>
      <c r="T975" s="84"/>
      <c r="U975" s="84"/>
      <c r="V975" s="84"/>
      <c r="W975" s="84"/>
      <c r="X975" s="86"/>
    </row>
    <row r="976" ht="15.0" customHeight="1">
      <c r="A976" s="81"/>
      <c r="B976" s="51"/>
      <c r="C976" s="51"/>
      <c r="D976" s="50"/>
      <c r="E976" s="50"/>
      <c r="F976" s="50"/>
      <c r="G976" s="50"/>
      <c r="H976" s="50"/>
      <c r="I976" s="82"/>
      <c r="J976" s="83"/>
      <c r="K976" s="83"/>
      <c r="L976" s="84"/>
      <c r="M976" s="84"/>
      <c r="N976" s="84"/>
      <c r="O976" s="85"/>
      <c r="P976" s="84"/>
      <c r="Q976" s="84"/>
      <c r="R976" s="84"/>
      <c r="S976" s="84"/>
      <c r="T976" s="84"/>
      <c r="U976" s="84"/>
      <c r="V976" s="84"/>
      <c r="W976" s="84"/>
      <c r="X976" s="86"/>
    </row>
    <row r="977" ht="15.0" customHeight="1">
      <c r="A977" s="81"/>
      <c r="B977" s="51"/>
      <c r="C977" s="51"/>
      <c r="D977" s="50"/>
      <c r="E977" s="50"/>
      <c r="F977" s="50"/>
      <c r="G977" s="50"/>
      <c r="H977" s="50"/>
      <c r="I977" s="82"/>
      <c r="J977" s="83"/>
      <c r="K977" s="83"/>
      <c r="L977" s="84"/>
      <c r="M977" s="84"/>
      <c r="N977" s="84"/>
      <c r="O977" s="85"/>
      <c r="P977" s="84"/>
      <c r="Q977" s="84"/>
      <c r="R977" s="84"/>
      <c r="S977" s="84"/>
      <c r="T977" s="84"/>
      <c r="U977" s="84"/>
      <c r="V977" s="84"/>
      <c r="W977" s="84"/>
      <c r="X977" s="86"/>
    </row>
    <row r="978" ht="15.0" customHeight="1">
      <c r="A978" s="81"/>
      <c r="B978" s="51"/>
      <c r="C978" s="51"/>
      <c r="D978" s="50"/>
      <c r="E978" s="50"/>
      <c r="F978" s="50"/>
      <c r="G978" s="50"/>
      <c r="H978" s="50"/>
      <c r="I978" s="82"/>
      <c r="J978" s="83"/>
      <c r="K978" s="83"/>
      <c r="L978" s="84"/>
      <c r="M978" s="84"/>
      <c r="N978" s="84"/>
      <c r="O978" s="85"/>
      <c r="P978" s="84"/>
      <c r="Q978" s="84"/>
      <c r="R978" s="84"/>
      <c r="S978" s="84"/>
      <c r="T978" s="84"/>
      <c r="U978" s="84"/>
      <c r="V978" s="84"/>
      <c r="W978" s="84"/>
      <c r="X978" s="86"/>
    </row>
    <row r="979" ht="15.0" customHeight="1">
      <c r="A979" s="81"/>
      <c r="B979" s="51"/>
      <c r="C979" s="51"/>
      <c r="D979" s="50"/>
      <c r="E979" s="50"/>
      <c r="F979" s="50"/>
      <c r="G979" s="50"/>
      <c r="H979" s="50"/>
      <c r="I979" s="82"/>
      <c r="J979" s="83"/>
      <c r="K979" s="83"/>
      <c r="L979" s="84"/>
      <c r="M979" s="84"/>
      <c r="N979" s="84"/>
      <c r="O979" s="85"/>
      <c r="P979" s="84"/>
      <c r="Q979" s="84"/>
      <c r="R979" s="84"/>
      <c r="S979" s="84"/>
      <c r="T979" s="84"/>
      <c r="U979" s="84"/>
      <c r="V979" s="84"/>
      <c r="W979" s="84"/>
      <c r="X979" s="86"/>
    </row>
    <row r="980" ht="15.0" customHeight="1">
      <c r="A980" s="81"/>
      <c r="B980" s="51"/>
      <c r="C980" s="51"/>
      <c r="D980" s="50"/>
      <c r="E980" s="50"/>
      <c r="F980" s="50"/>
      <c r="G980" s="50"/>
      <c r="H980" s="50"/>
      <c r="I980" s="82"/>
      <c r="J980" s="83"/>
      <c r="K980" s="83"/>
      <c r="L980" s="84"/>
      <c r="M980" s="84"/>
      <c r="N980" s="84"/>
      <c r="O980" s="85"/>
      <c r="P980" s="84"/>
      <c r="Q980" s="84"/>
      <c r="R980" s="84"/>
      <c r="S980" s="84"/>
      <c r="T980" s="84"/>
      <c r="U980" s="84"/>
      <c r="V980" s="84"/>
      <c r="W980" s="84"/>
      <c r="X980" s="86"/>
    </row>
    <row r="981" ht="15.0" customHeight="1">
      <c r="A981" s="81"/>
      <c r="B981" s="51"/>
      <c r="C981" s="51"/>
      <c r="D981" s="50"/>
      <c r="E981" s="50"/>
      <c r="F981" s="50"/>
      <c r="G981" s="50"/>
      <c r="H981" s="50"/>
      <c r="I981" s="82"/>
      <c r="J981" s="83"/>
      <c r="K981" s="83"/>
      <c r="L981" s="84"/>
      <c r="M981" s="84"/>
      <c r="N981" s="84"/>
      <c r="O981" s="85"/>
      <c r="P981" s="84"/>
      <c r="Q981" s="84"/>
      <c r="R981" s="84"/>
      <c r="S981" s="84"/>
      <c r="T981" s="84"/>
      <c r="U981" s="84"/>
      <c r="V981" s="84"/>
      <c r="W981" s="84"/>
      <c r="X981" s="86"/>
    </row>
    <row r="982" ht="15.0" customHeight="1">
      <c r="A982" s="81"/>
      <c r="B982" s="51"/>
      <c r="C982" s="51"/>
      <c r="D982" s="50"/>
      <c r="E982" s="50"/>
      <c r="F982" s="50"/>
      <c r="G982" s="50"/>
      <c r="H982" s="50"/>
      <c r="I982" s="82"/>
      <c r="J982" s="83"/>
      <c r="K982" s="83"/>
      <c r="L982" s="84"/>
      <c r="M982" s="84"/>
      <c r="N982" s="84"/>
      <c r="O982" s="85"/>
      <c r="P982" s="84"/>
      <c r="Q982" s="84"/>
      <c r="R982" s="84"/>
      <c r="S982" s="84"/>
      <c r="T982" s="84"/>
      <c r="U982" s="84"/>
      <c r="V982" s="84"/>
      <c r="W982" s="84"/>
      <c r="X982" s="86"/>
    </row>
    <row r="983" ht="15.0" customHeight="1">
      <c r="A983" s="81"/>
      <c r="B983" s="51"/>
      <c r="C983" s="51"/>
      <c r="D983" s="50"/>
      <c r="E983" s="50"/>
      <c r="F983" s="50"/>
      <c r="G983" s="50"/>
      <c r="H983" s="50"/>
      <c r="I983" s="82"/>
      <c r="J983" s="83"/>
      <c r="K983" s="83"/>
      <c r="L983" s="84"/>
      <c r="M983" s="84"/>
      <c r="N983" s="84"/>
      <c r="O983" s="85"/>
      <c r="P983" s="84"/>
      <c r="Q983" s="84"/>
      <c r="R983" s="84"/>
      <c r="S983" s="84"/>
      <c r="T983" s="84"/>
      <c r="U983" s="84"/>
      <c r="V983" s="84"/>
      <c r="W983" s="84"/>
      <c r="X983" s="86"/>
    </row>
    <row r="984" ht="15.0" customHeight="1">
      <c r="A984" s="81"/>
      <c r="B984" s="51"/>
      <c r="C984" s="51"/>
      <c r="D984" s="50"/>
      <c r="E984" s="50"/>
      <c r="F984" s="50"/>
      <c r="G984" s="50"/>
      <c r="H984" s="50"/>
      <c r="I984" s="82"/>
      <c r="J984" s="83"/>
      <c r="K984" s="83"/>
      <c r="L984" s="84"/>
      <c r="M984" s="84"/>
      <c r="N984" s="84"/>
      <c r="O984" s="85"/>
      <c r="P984" s="84"/>
      <c r="Q984" s="84"/>
      <c r="R984" s="84"/>
      <c r="S984" s="84"/>
      <c r="T984" s="84"/>
      <c r="U984" s="84"/>
      <c r="V984" s="84"/>
      <c r="W984" s="84"/>
      <c r="X984" s="86"/>
    </row>
    <row r="985" ht="15.0" customHeight="1">
      <c r="A985" s="81"/>
      <c r="B985" s="51"/>
      <c r="C985" s="51"/>
      <c r="D985" s="50"/>
      <c r="E985" s="50"/>
      <c r="F985" s="50"/>
      <c r="G985" s="50"/>
      <c r="H985" s="50"/>
      <c r="I985" s="82"/>
      <c r="J985" s="83"/>
      <c r="K985" s="83"/>
      <c r="L985" s="84"/>
      <c r="M985" s="84"/>
      <c r="N985" s="84"/>
      <c r="O985" s="85"/>
      <c r="P985" s="84"/>
      <c r="Q985" s="84"/>
      <c r="R985" s="84"/>
      <c r="S985" s="84"/>
      <c r="T985" s="84"/>
      <c r="U985" s="84"/>
      <c r="V985" s="84"/>
      <c r="W985" s="84"/>
      <c r="X985" s="86"/>
    </row>
    <row r="986" ht="15.0" customHeight="1">
      <c r="A986" s="81"/>
      <c r="B986" s="51"/>
      <c r="C986" s="51"/>
      <c r="D986" s="50"/>
      <c r="E986" s="50"/>
      <c r="F986" s="50"/>
      <c r="G986" s="50"/>
      <c r="H986" s="50"/>
      <c r="I986" s="82"/>
      <c r="J986" s="83"/>
      <c r="K986" s="83"/>
      <c r="L986" s="84"/>
      <c r="M986" s="84"/>
      <c r="N986" s="84"/>
      <c r="O986" s="85"/>
      <c r="P986" s="84"/>
      <c r="Q986" s="84"/>
      <c r="R986" s="84"/>
      <c r="S986" s="84"/>
      <c r="T986" s="84"/>
      <c r="U986" s="84"/>
      <c r="V986" s="84"/>
      <c r="W986" s="84"/>
      <c r="X986" s="86"/>
    </row>
    <row r="987" ht="15.0" customHeight="1">
      <c r="A987" s="81"/>
      <c r="B987" s="51"/>
      <c r="C987" s="51"/>
      <c r="D987" s="50"/>
      <c r="E987" s="50"/>
      <c r="F987" s="50"/>
      <c r="G987" s="50"/>
      <c r="H987" s="50"/>
      <c r="I987" s="82"/>
      <c r="J987" s="83"/>
      <c r="K987" s="83"/>
      <c r="L987" s="84"/>
      <c r="M987" s="84"/>
      <c r="N987" s="84"/>
      <c r="O987" s="85"/>
      <c r="P987" s="84"/>
      <c r="Q987" s="84"/>
      <c r="R987" s="84"/>
      <c r="S987" s="84"/>
      <c r="T987" s="84"/>
      <c r="U987" s="84"/>
      <c r="V987" s="84"/>
      <c r="W987" s="84"/>
      <c r="X987" s="86"/>
    </row>
    <row r="988" ht="15.0" customHeight="1">
      <c r="A988" s="81"/>
      <c r="B988" s="51"/>
      <c r="C988" s="51"/>
      <c r="D988" s="50"/>
      <c r="E988" s="50"/>
      <c r="F988" s="50"/>
      <c r="G988" s="50"/>
      <c r="H988" s="50"/>
      <c r="I988" s="82"/>
      <c r="J988" s="83"/>
      <c r="K988" s="83"/>
      <c r="L988" s="84"/>
      <c r="M988" s="84"/>
      <c r="N988" s="84"/>
      <c r="O988" s="85"/>
      <c r="P988" s="84"/>
      <c r="Q988" s="84"/>
      <c r="R988" s="84"/>
      <c r="S988" s="84"/>
      <c r="T988" s="84"/>
      <c r="U988" s="84"/>
      <c r="V988" s="84"/>
      <c r="W988" s="84"/>
      <c r="X988" s="86"/>
    </row>
    <row r="989" ht="15.0" customHeight="1">
      <c r="A989" s="81"/>
      <c r="B989" s="51"/>
      <c r="C989" s="51"/>
      <c r="D989" s="50"/>
      <c r="E989" s="50"/>
      <c r="F989" s="50"/>
      <c r="G989" s="50"/>
      <c r="H989" s="50"/>
      <c r="I989" s="82"/>
      <c r="J989" s="83"/>
      <c r="K989" s="83"/>
      <c r="L989" s="84"/>
      <c r="M989" s="84"/>
      <c r="N989" s="84"/>
      <c r="O989" s="85"/>
      <c r="P989" s="84"/>
      <c r="Q989" s="84"/>
      <c r="R989" s="84"/>
      <c r="S989" s="84"/>
      <c r="T989" s="84"/>
      <c r="U989" s="84"/>
      <c r="V989" s="84"/>
      <c r="W989" s="84"/>
      <c r="X989" s="86"/>
    </row>
    <row r="990" ht="15.0" customHeight="1">
      <c r="A990" s="81"/>
      <c r="B990" s="51"/>
      <c r="C990" s="51"/>
      <c r="D990" s="50"/>
      <c r="E990" s="50"/>
      <c r="F990" s="50"/>
      <c r="G990" s="50"/>
      <c r="H990" s="50"/>
      <c r="I990" s="82"/>
      <c r="J990" s="83"/>
      <c r="K990" s="83"/>
      <c r="L990" s="84"/>
      <c r="M990" s="84"/>
      <c r="N990" s="84"/>
      <c r="O990" s="85"/>
      <c r="P990" s="84"/>
      <c r="Q990" s="84"/>
      <c r="R990" s="84"/>
      <c r="S990" s="84"/>
      <c r="T990" s="84"/>
      <c r="U990" s="84"/>
      <c r="V990" s="84"/>
      <c r="W990" s="84"/>
      <c r="X990" s="86"/>
    </row>
    <row r="991" ht="15.0" customHeight="1">
      <c r="A991" s="81"/>
      <c r="B991" s="51"/>
      <c r="C991" s="51"/>
      <c r="D991" s="50"/>
      <c r="E991" s="50"/>
      <c r="F991" s="50"/>
      <c r="G991" s="50"/>
      <c r="H991" s="50"/>
      <c r="I991" s="82"/>
      <c r="J991" s="83"/>
      <c r="K991" s="83"/>
      <c r="L991" s="84"/>
      <c r="M991" s="84"/>
      <c r="N991" s="84"/>
      <c r="O991" s="85"/>
      <c r="P991" s="84"/>
      <c r="Q991" s="84"/>
      <c r="R991" s="84"/>
      <c r="S991" s="84"/>
      <c r="T991" s="84"/>
      <c r="U991" s="84"/>
      <c r="V991" s="84"/>
      <c r="W991" s="84"/>
      <c r="X991" s="86"/>
    </row>
    <row r="992" ht="15.0" customHeight="1">
      <c r="A992" s="81"/>
      <c r="B992" s="51"/>
      <c r="C992" s="51"/>
      <c r="D992" s="50"/>
      <c r="E992" s="50"/>
      <c r="F992" s="50"/>
      <c r="G992" s="50"/>
      <c r="H992" s="50"/>
      <c r="I992" s="82"/>
      <c r="J992" s="83"/>
      <c r="K992" s="83"/>
      <c r="L992" s="84"/>
      <c r="M992" s="84"/>
      <c r="N992" s="84"/>
      <c r="O992" s="85"/>
      <c r="P992" s="84"/>
      <c r="Q992" s="84"/>
      <c r="R992" s="84"/>
      <c r="S992" s="84"/>
      <c r="T992" s="84"/>
      <c r="U992" s="84"/>
      <c r="V992" s="84"/>
      <c r="W992" s="84"/>
      <c r="X992" s="86"/>
    </row>
    <row r="993" ht="15.0" customHeight="1">
      <c r="A993" s="81"/>
      <c r="B993" s="51"/>
      <c r="C993" s="51"/>
      <c r="D993" s="50"/>
      <c r="E993" s="50"/>
      <c r="F993" s="50"/>
      <c r="G993" s="50"/>
      <c r="H993" s="50"/>
      <c r="I993" s="82"/>
      <c r="J993" s="83"/>
      <c r="K993" s="83"/>
      <c r="L993" s="84"/>
      <c r="M993" s="84"/>
      <c r="N993" s="84"/>
      <c r="O993" s="85"/>
      <c r="P993" s="84"/>
      <c r="Q993" s="84"/>
      <c r="R993" s="84"/>
      <c r="S993" s="84"/>
      <c r="T993" s="84"/>
      <c r="U993" s="84"/>
      <c r="V993" s="84"/>
      <c r="W993" s="84"/>
      <c r="X993" s="86"/>
    </row>
    <row r="994" ht="15.0" customHeight="1">
      <c r="A994" s="81"/>
      <c r="B994" s="51"/>
      <c r="C994" s="51"/>
      <c r="D994" s="50"/>
      <c r="E994" s="50"/>
      <c r="F994" s="50"/>
      <c r="G994" s="50"/>
      <c r="H994" s="50"/>
      <c r="I994" s="82"/>
      <c r="J994" s="83"/>
      <c r="K994" s="83"/>
      <c r="L994" s="84"/>
      <c r="M994" s="84"/>
      <c r="N994" s="84"/>
      <c r="O994" s="85"/>
      <c r="P994" s="84"/>
      <c r="Q994" s="84"/>
      <c r="R994" s="84"/>
      <c r="S994" s="84"/>
      <c r="T994" s="84"/>
      <c r="U994" s="84"/>
      <c r="V994" s="84"/>
      <c r="W994" s="84"/>
      <c r="X994" s="86"/>
    </row>
    <row r="995" ht="15.0" customHeight="1">
      <c r="A995" s="81"/>
      <c r="B995" s="51"/>
      <c r="C995" s="51"/>
      <c r="D995" s="50"/>
      <c r="E995" s="50"/>
      <c r="F995" s="50"/>
      <c r="G995" s="50"/>
      <c r="H995" s="50"/>
      <c r="I995" s="82"/>
      <c r="J995" s="83"/>
      <c r="K995" s="83"/>
      <c r="L995" s="84"/>
      <c r="M995" s="84"/>
      <c r="N995" s="84"/>
      <c r="O995" s="85"/>
      <c r="P995" s="84"/>
      <c r="Q995" s="84"/>
      <c r="R995" s="84"/>
      <c r="S995" s="84"/>
      <c r="T995" s="84"/>
      <c r="U995" s="84"/>
      <c r="V995" s="84"/>
      <c r="W995" s="84"/>
      <c r="X995" s="86"/>
    </row>
    <row r="996" ht="15.0" customHeight="1">
      <c r="A996" s="81"/>
      <c r="B996" s="51"/>
      <c r="C996" s="51"/>
      <c r="D996" s="50"/>
      <c r="E996" s="50"/>
      <c r="F996" s="50"/>
      <c r="G996" s="50"/>
      <c r="H996" s="50"/>
      <c r="I996" s="82"/>
      <c r="J996" s="83"/>
      <c r="K996" s="83"/>
      <c r="L996" s="84"/>
      <c r="M996" s="84"/>
      <c r="N996" s="84"/>
      <c r="O996" s="85"/>
      <c r="P996" s="84"/>
      <c r="Q996" s="84"/>
      <c r="R996" s="84"/>
      <c r="S996" s="84"/>
      <c r="T996" s="84"/>
      <c r="U996" s="84"/>
      <c r="V996" s="84"/>
      <c r="W996" s="84"/>
      <c r="X996" s="86"/>
    </row>
    <row r="997" ht="15.0" customHeight="1">
      <c r="A997" s="81"/>
      <c r="B997" s="51"/>
      <c r="C997" s="51"/>
      <c r="D997" s="50"/>
      <c r="E997" s="50"/>
      <c r="F997" s="50"/>
      <c r="G997" s="50"/>
      <c r="H997" s="50"/>
      <c r="I997" s="82"/>
      <c r="J997" s="83"/>
      <c r="K997" s="83"/>
      <c r="L997" s="84"/>
      <c r="M997" s="84"/>
      <c r="N997" s="84"/>
      <c r="O997" s="85"/>
      <c r="P997" s="84"/>
      <c r="Q997" s="84"/>
      <c r="R997" s="84"/>
      <c r="S997" s="84"/>
      <c r="T997" s="84"/>
      <c r="U997" s="84"/>
      <c r="V997" s="84"/>
      <c r="W997" s="84"/>
      <c r="X997" s="86"/>
    </row>
    <row r="998" ht="15.0" customHeight="1">
      <c r="A998" s="81"/>
      <c r="B998" s="51"/>
      <c r="C998" s="51"/>
      <c r="D998" s="50"/>
      <c r="E998" s="50"/>
      <c r="F998" s="50"/>
      <c r="G998" s="50"/>
      <c r="H998" s="50"/>
      <c r="I998" s="82"/>
      <c r="J998" s="83"/>
      <c r="K998" s="83"/>
      <c r="L998" s="84"/>
      <c r="M998" s="84"/>
      <c r="N998" s="84"/>
      <c r="O998" s="85"/>
      <c r="P998" s="84"/>
      <c r="Q998" s="84"/>
      <c r="R998" s="84"/>
      <c r="S998" s="84"/>
      <c r="T998" s="84"/>
      <c r="U998" s="84"/>
      <c r="V998" s="84"/>
      <c r="W998" s="84"/>
      <c r="X998" s="86"/>
    </row>
    <row r="999" ht="15.0" customHeight="1">
      <c r="A999" s="81"/>
      <c r="B999" s="51"/>
      <c r="C999" s="51"/>
      <c r="D999" s="50"/>
      <c r="E999" s="50"/>
      <c r="F999" s="50"/>
      <c r="G999" s="50"/>
      <c r="H999" s="50"/>
      <c r="I999" s="82"/>
      <c r="J999" s="83"/>
      <c r="K999" s="83"/>
      <c r="L999" s="84"/>
      <c r="M999" s="84"/>
      <c r="N999" s="84"/>
      <c r="O999" s="85"/>
      <c r="P999" s="84"/>
      <c r="Q999" s="84"/>
      <c r="R999" s="84"/>
      <c r="S999" s="84"/>
      <c r="T999" s="84"/>
      <c r="U999" s="84"/>
      <c r="V999" s="84"/>
      <c r="W999" s="84"/>
      <c r="X999" s="86"/>
    </row>
    <row r="1000" ht="15.0" customHeight="1">
      <c r="A1000" s="81"/>
      <c r="B1000" s="51"/>
      <c r="C1000" s="51"/>
      <c r="D1000" s="50"/>
      <c r="E1000" s="50"/>
      <c r="F1000" s="50"/>
      <c r="G1000" s="50"/>
      <c r="H1000" s="50"/>
      <c r="I1000" s="82"/>
      <c r="J1000" s="83"/>
      <c r="K1000" s="83"/>
      <c r="L1000" s="84"/>
      <c r="M1000" s="84"/>
      <c r="N1000" s="84"/>
      <c r="O1000" s="85"/>
      <c r="P1000" s="84"/>
      <c r="Q1000" s="84"/>
      <c r="R1000" s="84"/>
      <c r="S1000" s="84"/>
      <c r="T1000" s="84"/>
      <c r="U1000" s="84"/>
      <c r="V1000" s="84"/>
      <c r="W1000" s="84"/>
      <c r="X1000" s="86"/>
    </row>
    <row r="1001" ht="15.0" customHeight="1">
      <c r="A1001" s="81"/>
      <c r="B1001" s="51"/>
      <c r="C1001" s="51"/>
      <c r="D1001" s="50"/>
      <c r="E1001" s="50"/>
      <c r="F1001" s="50"/>
      <c r="G1001" s="50"/>
      <c r="H1001" s="50"/>
      <c r="I1001" s="82"/>
      <c r="J1001" s="83"/>
      <c r="K1001" s="83"/>
      <c r="L1001" s="84"/>
      <c r="M1001" s="84"/>
      <c r="N1001" s="84"/>
      <c r="O1001" s="85"/>
      <c r="P1001" s="84"/>
      <c r="Q1001" s="84"/>
      <c r="R1001" s="84"/>
      <c r="S1001" s="84"/>
      <c r="T1001" s="84"/>
      <c r="U1001" s="84"/>
      <c r="V1001" s="84"/>
      <c r="W1001" s="84"/>
      <c r="X1001" s="86"/>
    </row>
    <row r="1002" ht="15.0" customHeight="1">
      <c r="A1002" s="81"/>
      <c r="B1002" s="51"/>
      <c r="C1002" s="51"/>
      <c r="D1002" s="50"/>
      <c r="E1002" s="50"/>
      <c r="F1002" s="50"/>
      <c r="G1002" s="50"/>
      <c r="H1002" s="50"/>
      <c r="I1002" s="82"/>
      <c r="J1002" s="83"/>
      <c r="K1002" s="83"/>
      <c r="L1002" s="84"/>
      <c r="M1002" s="84"/>
      <c r="N1002" s="84"/>
      <c r="O1002" s="85"/>
      <c r="P1002" s="84"/>
      <c r="Q1002" s="84"/>
      <c r="R1002" s="84"/>
      <c r="S1002" s="84"/>
      <c r="T1002" s="84"/>
      <c r="U1002" s="84"/>
      <c r="V1002" s="84"/>
      <c r="W1002" s="84"/>
      <c r="X1002" s="86"/>
    </row>
    <row r="1003" ht="15.0" customHeight="1">
      <c r="A1003" s="81"/>
      <c r="B1003" s="51"/>
      <c r="C1003" s="51"/>
      <c r="D1003" s="50"/>
      <c r="E1003" s="50"/>
      <c r="F1003" s="50"/>
      <c r="G1003" s="50"/>
      <c r="H1003" s="50"/>
      <c r="I1003" s="82"/>
      <c r="J1003" s="83"/>
      <c r="K1003" s="83"/>
      <c r="L1003" s="84"/>
      <c r="M1003" s="84"/>
      <c r="N1003" s="84"/>
      <c r="O1003" s="85"/>
      <c r="P1003" s="84"/>
      <c r="Q1003" s="84"/>
      <c r="R1003" s="84"/>
      <c r="S1003" s="84"/>
      <c r="T1003" s="84"/>
      <c r="U1003" s="84"/>
      <c r="V1003" s="84"/>
      <c r="W1003" s="84"/>
      <c r="X1003" s="86"/>
    </row>
    <row r="1004" ht="15.0" customHeight="1">
      <c r="A1004" s="81"/>
      <c r="B1004" s="51"/>
      <c r="C1004" s="51"/>
      <c r="D1004" s="50"/>
      <c r="E1004" s="50"/>
      <c r="F1004" s="50"/>
      <c r="G1004" s="50"/>
      <c r="H1004" s="50"/>
      <c r="I1004" s="82"/>
      <c r="J1004" s="83"/>
      <c r="K1004" s="83"/>
      <c r="L1004" s="84"/>
      <c r="M1004" s="84"/>
      <c r="N1004" s="84"/>
      <c r="O1004" s="85"/>
      <c r="P1004" s="84"/>
      <c r="Q1004" s="84"/>
      <c r="R1004" s="84"/>
      <c r="S1004" s="84"/>
      <c r="T1004" s="84"/>
      <c r="U1004" s="84"/>
      <c r="V1004" s="84"/>
      <c r="W1004" s="84"/>
      <c r="X1004" s="86"/>
    </row>
    <row r="1005" ht="15.0" customHeight="1">
      <c r="A1005" s="81"/>
      <c r="B1005" s="51"/>
      <c r="C1005" s="51"/>
      <c r="D1005" s="50"/>
      <c r="E1005" s="50"/>
      <c r="F1005" s="50"/>
      <c r="G1005" s="50"/>
      <c r="H1005" s="50"/>
      <c r="I1005" s="82"/>
      <c r="J1005" s="83"/>
      <c r="K1005" s="83"/>
      <c r="L1005" s="84"/>
      <c r="M1005" s="84"/>
      <c r="N1005" s="84"/>
      <c r="O1005" s="85"/>
      <c r="P1005" s="84"/>
      <c r="Q1005" s="84"/>
      <c r="R1005" s="84"/>
      <c r="S1005" s="84"/>
      <c r="T1005" s="84"/>
      <c r="U1005" s="84"/>
      <c r="V1005" s="84"/>
      <c r="W1005" s="84"/>
      <c r="X1005" s="86"/>
    </row>
    <row r="1006" ht="15.0" customHeight="1">
      <c r="A1006" s="81"/>
      <c r="B1006" s="51"/>
      <c r="C1006" s="51"/>
      <c r="D1006" s="50"/>
      <c r="E1006" s="50"/>
      <c r="F1006" s="50"/>
      <c r="G1006" s="50"/>
      <c r="H1006" s="50"/>
      <c r="I1006" s="82"/>
      <c r="J1006" s="83"/>
      <c r="K1006" s="83"/>
      <c r="L1006" s="84"/>
      <c r="M1006" s="84"/>
      <c r="N1006" s="84"/>
      <c r="O1006" s="85"/>
      <c r="P1006" s="84"/>
      <c r="Q1006" s="84"/>
      <c r="R1006" s="84"/>
      <c r="S1006" s="84"/>
      <c r="T1006" s="84"/>
      <c r="U1006" s="84"/>
      <c r="V1006" s="84"/>
      <c r="W1006" s="84"/>
      <c r="X1006" s="86"/>
    </row>
    <row r="1007" ht="15.0" customHeight="1">
      <c r="A1007" s="81"/>
      <c r="B1007" s="51"/>
      <c r="C1007" s="51"/>
      <c r="D1007" s="50"/>
      <c r="E1007" s="50"/>
      <c r="F1007" s="50"/>
      <c r="G1007" s="50"/>
      <c r="H1007" s="50"/>
      <c r="I1007" s="82"/>
      <c r="J1007" s="83"/>
      <c r="K1007" s="83"/>
      <c r="L1007" s="84"/>
      <c r="M1007" s="84"/>
      <c r="N1007" s="84"/>
      <c r="O1007" s="85"/>
      <c r="P1007" s="84"/>
      <c r="Q1007" s="84"/>
      <c r="R1007" s="84"/>
      <c r="S1007" s="84"/>
      <c r="T1007" s="84"/>
      <c r="U1007" s="84"/>
      <c r="V1007" s="84"/>
      <c r="W1007" s="84"/>
      <c r="X1007" s="86"/>
    </row>
    <row r="1008" ht="15.0" customHeight="1">
      <c r="A1008" s="81"/>
      <c r="B1008" s="51"/>
      <c r="C1008" s="51"/>
      <c r="D1008" s="50"/>
      <c r="E1008" s="50"/>
      <c r="F1008" s="50"/>
      <c r="G1008" s="50"/>
      <c r="H1008" s="50"/>
      <c r="I1008" s="82"/>
      <c r="J1008" s="83"/>
      <c r="K1008" s="83"/>
      <c r="L1008" s="84"/>
      <c r="M1008" s="84"/>
      <c r="N1008" s="84"/>
      <c r="O1008" s="85"/>
      <c r="P1008" s="84"/>
      <c r="Q1008" s="84"/>
      <c r="R1008" s="84"/>
      <c r="S1008" s="84"/>
      <c r="T1008" s="84"/>
      <c r="U1008" s="84"/>
      <c r="V1008" s="84"/>
      <c r="W1008" s="84"/>
      <c r="X1008" s="86"/>
    </row>
    <row r="1009" ht="15.0" customHeight="1">
      <c r="A1009" s="81"/>
      <c r="B1009" s="51"/>
      <c r="C1009" s="51"/>
      <c r="D1009" s="50"/>
      <c r="E1009" s="50"/>
      <c r="F1009" s="50"/>
      <c r="G1009" s="50"/>
      <c r="H1009" s="50"/>
      <c r="I1009" s="82"/>
      <c r="J1009" s="83"/>
      <c r="K1009" s="83"/>
      <c r="L1009" s="84"/>
      <c r="M1009" s="84"/>
      <c r="N1009" s="84"/>
      <c r="O1009" s="85"/>
      <c r="P1009" s="84"/>
      <c r="Q1009" s="84"/>
      <c r="R1009" s="84"/>
      <c r="S1009" s="84"/>
      <c r="T1009" s="84"/>
      <c r="U1009" s="84"/>
      <c r="V1009" s="84"/>
      <c r="W1009" s="84"/>
      <c r="X1009" s="86"/>
    </row>
    <row r="1010" ht="15.0" customHeight="1">
      <c r="A1010" s="81"/>
      <c r="B1010" s="51"/>
      <c r="C1010" s="51"/>
      <c r="D1010" s="50"/>
      <c r="E1010" s="50"/>
      <c r="F1010" s="50"/>
      <c r="G1010" s="50"/>
      <c r="H1010" s="50"/>
      <c r="I1010" s="82"/>
      <c r="J1010" s="83"/>
      <c r="K1010" s="83"/>
      <c r="L1010" s="84"/>
      <c r="M1010" s="84"/>
      <c r="N1010" s="84"/>
      <c r="O1010" s="85"/>
      <c r="P1010" s="84"/>
      <c r="Q1010" s="84"/>
      <c r="R1010" s="84"/>
      <c r="S1010" s="84"/>
      <c r="T1010" s="84"/>
      <c r="U1010" s="84"/>
      <c r="V1010" s="84"/>
      <c r="W1010" s="84"/>
      <c r="X1010" s="86"/>
    </row>
    <row r="1011" ht="15.0" customHeight="1">
      <c r="A1011" s="81"/>
      <c r="B1011" s="51"/>
      <c r="C1011" s="51"/>
      <c r="D1011" s="50"/>
      <c r="E1011" s="50"/>
      <c r="F1011" s="50"/>
      <c r="G1011" s="50"/>
      <c r="H1011" s="50"/>
      <c r="I1011" s="82"/>
      <c r="J1011" s="83"/>
      <c r="K1011" s="83"/>
      <c r="L1011" s="84"/>
      <c r="M1011" s="84"/>
      <c r="N1011" s="84"/>
      <c r="O1011" s="85"/>
      <c r="P1011" s="84"/>
      <c r="Q1011" s="84"/>
      <c r="R1011" s="84"/>
      <c r="S1011" s="84"/>
      <c r="T1011" s="84"/>
      <c r="U1011" s="84"/>
      <c r="V1011" s="84"/>
      <c r="W1011" s="84"/>
      <c r="X1011" s="86"/>
    </row>
    <row r="1012" ht="15.0" customHeight="1">
      <c r="A1012" s="81"/>
      <c r="B1012" s="51"/>
      <c r="C1012" s="51"/>
      <c r="D1012" s="50"/>
      <c r="E1012" s="50"/>
      <c r="F1012" s="50"/>
      <c r="G1012" s="50"/>
      <c r="H1012" s="50"/>
      <c r="I1012" s="82"/>
      <c r="J1012" s="83"/>
      <c r="K1012" s="83"/>
      <c r="L1012" s="84"/>
      <c r="M1012" s="84"/>
      <c r="N1012" s="84"/>
      <c r="O1012" s="85"/>
      <c r="P1012" s="84"/>
      <c r="Q1012" s="84"/>
      <c r="R1012" s="84"/>
      <c r="S1012" s="84"/>
      <c r="T1012" s="84"/>
      <c r="U1012" s="84"/>
      <c r="V1012" s="84"/>
      <c r="W1012" s="84"/>
      <c r="X1012" s="86"/>
    </row>
    <row r="1013" ht="15.0" customHeight="1">
      <c r="A1013" s="81"/>
      <c r="B1013" s="51"/>
      <c r="C1013" s="51"/>
      <c r="D1013" s="50"/>
      <c r="E1013" s="50"/>
      <c r="F1013" s="50"/>
      <c r="G1013" s="50"/>
      <c r="H1013" s="50"/>
      <c r="I1013" s="82"/>
      <c r="J1013" s="83"/>
      <c r="K1013" s="83"/>
      <c r="L1013" s="84"/>
      <c r="M1013" s="84"/>
      <c r="N1013" s="84"/>
      <c r="O1013" s="85"/>
      <c r="P1013" s="84"/>
      <c r="Q1013" s="84"/>
      <c r="R1013" s="84"/>
      <c r="S1013" s="84"/>
      <c r="T1013" s="84"/>
      <c r="U1013" s="84"/>
      <c r="V1013" s="84"/>
      <c r="W1013" s="84"/>
      <c r="X1013" s="86"/>
    </row>
    <row r="1014" ht="15.0" customHeight="1">
      <c r="A1014" s="81"/>
      <c r="B1014" s="51"/>
      <c r="C1014" s="51"/>
      <c r="D1014" s="50"/>
      <c r="E1014" s="50"/>
      <c r="F1014" s="50"/>
      <c r="G1014" s="50"/>
      <c r="H1014" s="50"/>
      <c r="I1014" s="82"/>
      <c r="J1014" s="83"/>
      <c r="K1014" s="83"/>
      <c r="L1014" s="84"/>
      <c r="M1014" s="84"/>
      <c r="N1014" s="84"/>
      <c r="O1014" s="85"/>
      <c r="P1014" s="84"/>
      <c r="Q1014" s="84"/>
      <c r="R1014" s="84"/>
      <c r="S1014" s="84"/>
      <c r="T1014" s="84"/>
      <c r="U1014" s="84"/>
      <c r="V1014" s="84"/>
      <c r="W1014" s="84"/>
      <c r="X1014" s="86"/>
    </row>
    <row r="1015" ht="15.0" customHeight="1">
      <c r="A1015" s="81"/>
      <c r="B1015" s="51"/>
      <c r="C1015" s="51"/>
      <c r="D1015" s="50"/>
      <c r="E1015" s="50"/>
      <c r="F1015" s="50"/>
      <c r="G1015" s="50"/>
      <c r="H1015" s="50"/>
      <c r="I1015" s="82"/>
      <c r="J1015" s="83"/>
      <c r="K1015" s="83"/>
      <c r="L1015" s="84"/>
      <c r="M1015" s="84"/>
      <c r="N1015" s="84"/>
      <c r="O1015" s="85"/>
      <c r="P1015" s="84"/>
      <c r="Q1015" s="84"/>
      <c r="R1015" s="84"/>
      <c r="S1015" s="84"/>
      <c r="T1015" s="84"/>
      <c r="U1015" s="84"/>
      <c r="V1015" s="84"/>
      <c r="W1015" s="84"/>
      <c r="X1015" s="86"/>
    </row>
    <row r="1016" ht="15.0" customHeight="1">
      <c r="A1016" s="81"/>
      <c r="B1016" s="51"/>
      <c r="C1016" s="51"/>
      <c r="D1016" s="50"/>
      <c r="E1016" s="50"/>
      <c r="F1016" s="50"/>
      <c r="G1016" s="50"/>
      <c r="H1016" s="50"/>
      <c r="I1016" s="82"/>
      <c r="J1016" s="83"/>
      <c r="K1016" s="83"/>
      <c r="L1016" s="84"/>
      <c r="M1016" s="84"/>
      <c r="N1016" s="84"/>
      <c r="O1016" s="85"/>
      <c r="P1016" s="84"/>
      <c r="Q1016" s="84"/>
      <c r="R1016" s="84"/>
      <c r="S1016" s="84"/>
      <c r="T1016" s="84"/>
      <c r="U1016" s="84"/>
      <c r="V1016" s="84"/>
      <c r="W1016" s="84"/>
      <c r="X1016" s="86"/>
    </row>
    <row r="1017" ht="15.0" customHeight="1">
      <c r="A1017" s="81"/>
      <c r="B1017" s="51"/>
      <c r="C1017" s="51"/>
      <c r="D1017" s="50"/>
      <c r="E1017" s="50"/>
      <c r="F1017" s="50"/>
      <c r="G1017" s="50"/>
      <c r="H1017" s="50"/>
      <c r="I1017" s="82"/>
      <c r="J1017" s="83"/>
      <c r="K1017" s="83"/>
      <c r="L1017" s="84"/>
      <c r="M1017" s="84"/>
      <c r="N1017" s="84"/>
      <c r="O1017" s="85"/>
      <c r="P1017" s="84"/>
      <c r="Q1017" s="84"/>
      <c r="R1017" s="84"/>
      <c r="S1017" s="84"/>
      <c r="T1017" s="84"/>
      <c r="U1017" s="84"/>
      <c r="V1017" s="84"/>
      <c r="W1017" s="84"/>
      <c r="X1017" s="86"/>
    </row>
    <row r="1018" ht="15.0" customHeight="1">
      <c r="A1018" s="81"/>
      <c r="B1018" s="51"/>
      <c r="C1018" s="51"/>
      <c r="D1018" s="50"/>
      <c r="E1018" s="50"/>
      <c r="F1018" s="50"/>
      <c r="G1018" s="50"/>
      <c r="H1018" s="50"/>
      <c r="I1018" s="82"/>
      <c r="J1018" s="83"/>
      <c r="K1018" s="83"/>
      <c r="L1018" s="84"/>
      <c r="M1018" s="84"/>
      <c r="N1018" s="84"/>
      <c r="O1018" s="85"/>
      <c r="P1018" s="84"/>
      <c r="Q1018" s="84"/>
      <c r="R1018" s="84"/>
      <c r="S1018" s="84"/>
      <c r="T1018" s="84"/>
      <c r="U1018" s="84"/>
      <c r="V1018" s="84"/>
      <c r="W1018" s="84"/>
      <c r="X1018" s="86"/>
    </row>
    <row r="1019" ht="15.0" customHeight="1">
      <c r="A1019" s="81"/>
      <c r="B1019" s="51"/>
      <c r="C1019" s="51"/>
      <c r="D1019" s="50"/>
      <c r="E1019" s="50"/>
      <c r="F1019" s="50"/>
      <c r="G1019" s="50"/>
      <c r="H1019" s="50"/>
      <c r="I1019" s="82"/>
      <c r="J1019" s="83"/>
      <c r="K1019" s="83"/>
      <c r="L1019" s="84"/>
      <c r="M1019" s="84"/>
      <c r="N1019" s="84"/>
      <c r="O1019" s="85"/>
      <c r="P1019" s="84"/>
      <c r="Q1019" s="84"/>
      <c r="R1019" s="84"/>
      <c r="S1019" s="84"/>
      <c r="T1019" s="84"/>
      <c r="U1019" s="84"/>
      <c r="V1019" s="84"/>
      <c r="W1019" s="84"/>
      <c r="X1019" s="86"/>
    </row>
    <row r="1020" ht="15.0" customHeight="1">
      <c r="A1020" s="81"/>
      <c r="B1020" s="51"/>
      <c r="C1020" s="51"/>
      <c r="D1020" s="50"/>
      <c r="E1020" s="50"/>
      <c r="F1020" s="50"/>
      <c r="G1020" s="50"/>
      <c r="H1020" s="50"/>
      <c r="I1020" s="82"/>
      <c r="J1020" s="83"/>
      <c r="K1020" s="83"/>
      <c r="L1020" s="84"/>
      <c r="M1020" s="84"/>
      <c r="N1020" s="84"/>
      <c r="O1020" s="85"/>
      <c r="P1020" s="84"/>
      <c r="Q1020" s="84"/>
      <c r="R1020" s="84"/>
      <c r="S1020" s="84"/>
      <c r="T1020" s="84"/>
      <c r="U1020" s="84"/>
      <c r="V1020" s="84"/>
      <c r="W1020" s="84"/>
      <c r="X1020" s="86"/>
    </row>
    <row r="1021" ht="15.0" customHeight="1">
      <c r="A1021" s="81"/>
      <c r="B1021" s="51"/>
      <c r="C1021" s="51"/>
      <c r="D1021" s="50"/>
      <c r="E1021" s="50"/>
      <c r="F1021" s="50"/>
      <c r="G1021" s="50"/>
      <c r="H1021" s="50"/>
      <c r="I1021" s="82"/>
      <c r="J1021" s="83"/>
      <c r="K1021" s="83"/>
      <c r="L1021" s="84"/>
      <c r="M1021" s="84"/>
      <c r="N1021" s="84"/>
      <c r="O1021" s="85"/>
      <c r="P1021" s="84"/>
      <c r="Q1021" s="84"/>
      <c r="R1021" s="84"/>
      <c r="S1021" s="84"/>
      <c r="T1021" s="84"/>
      <c r="U1021" s="84"/>
      <c r="V1021" s="84"/>
      <c r="W1021" s="84"/>
      <c r="X1021" s="86"/>
    </row>
    <row r="1022" ht="15.0" customHeight="1">
      <c r="A1022" s="81"/>
      <c r="B1022" s="51"/>
      <c r="C1022" s="51"/>
      <c r="D1022" s="50"/>
      <c r="E1022" s="50"/>
      <c r="F1022" s="50"/>
      <c r="G1022" s="50"/>
      <c r="H1022" s="50"/>
      <c r="I1022" s="82"/>
      <c r="J1022" s="83"/>
      <c r="K1022" s="83"/>
      <c r="L1022" s="84"/>
      <c r="M1022" s="84"/>
      <c r="N1022" s="84"/>
      <c r="O1022" s="85"/>
      <c r="P1022" s="84"/>
      <c r="Q1022" s="84"/>
      <c r="R1022" s="84"/>
      <c r="S1022" s="84"/>
      <c r="T1022" s="84"/>
      <c r="U1022" s="84"/>
      <c r="V1022" s="84"/>
      <c r="W1022" s="84"/>
      <c r="X1022" s="86"/>
    </row>
    <row r="1023" ht="15.0" customHeight="1">
      <c r="A1023" s="81"/>
      <c r="B1023" s="51"/>
      <c r="C1023" s="51"/>
      <c r="D1023" s="50"/>
      <c r="E1023" s="50"/>
      <c r="F1023" s="50"/>
      <c r="G1023" s="50"/>
      <c r="H1023" s="50"/>
      <c r="I1023" s="82"/>
      <c r="J1023" s="83"/>
      <c r="K1023" s="83"/>
      <c r="L1023" s="84"/>
      <c r="M1023" s="84"/>
      <c r="N1023" s="84"/>
      <c r="O1023" s="85"/>
      <c r="P1023" s="84"/>
      <c r="Q1023" s="84"/>
      <c r="R1023" s="84"/>
      <c r="S1023" s="84"/>
      <c r="T1023" s="84"/>
      <c r="U1023" s="84"/>
      <c r="V1023" s="84"/>
      <c r="W1023" s="84"/>
      <c r="X1023" s="86"/>
    </row>
    <row r="1024" ht="15.0" customHeight="1">
      <c r="A1024" s="81"/>
      <c r="B1024" s="51"/>
      <c r="C1024" s="51"/>
      <c r="D1024" s="50"/>
      <c r="E1024" s="50"/>
      <c r="F1024" s="50"/>
      <c r="G1024" s="50"/>
      <c r="H1024" s="50"/>
      <c r="I1024" s="82"/>
      <c r="J1024" s="83"/>
      <c r="K1024" s="83"/>
      <c r="L1024" s="84"/>
      <c r="M1024" s="84"/>
      <c r="N1024" s="84"/>
      <c r="O1024" s="85"/>
      <c r="P1024" s="84"/>
      <c r="Q1024" s="84"/>
      <c r="R1024" s="84"/>
      <c r="S1024" s="84"/>
      <c r="T1024" s="84"/>
      <c r="U1024" s="84"/>
      <c r="V1024" s="84"/>
      <c r="W1024" s="84"/>
      <c r="X1024" s="86"/>
    </row>
    <row r="1025" ht="15.0" customHeight="1">
      <c r="A1025" s="81"/>
      <c r="B1025" s="51"/>
      <c r="C1025" s="51"/>
      <c r="D1025" s="50"/>
      <c r="E1025" s="50"/>
      <c r="F1025" s="50"/>
      <c r="G1025" s="50"/>
      <c r="H1025" s="50"/>
      <c r="I1025" s="82"/>
      <c r="J1025" s="83"/>
      <c r="K1025" s="83"/>
      <c r="L1025" s="84"/>
      <c r="M1025" s="84"/>
      <c r="N1025" s="84"/>
      <c r="O1025" s="85"/>
      <c r="P1025" s="84"/>
      <c r="Q1025" s="84"/>
      <c r="R1025" s="84"/>
      <c r="S1025" s="84"/>
      <c r="T1025" s="84"/>
      <c r="U1025" s="84"/>
      <c r="V1025" s="84"/>
      <c r="W1025" s="84"/>
      <c r="X1025" s="86"/>
    </row>
    <row r="1026" ht="15.0" customHeight="1">
      <c r="A1026" s="81"/>
      <c r="B1026" s="51"/>
      <c r="C1026" s="51"/>
      <c r="D1026" s="50"/>
      <c r="E1026" s="50"/>
      <c r="F1026" s="50"/>
      <c r="G1026" s="50"/>
      <c r="H1026" s="50"/>
      <c r="I1026" s="82"/>
      <c r="J1026" s="83"/>
      <c r="K1026" s="83"/>
      <c r="L1026" s="84"/>
      <c r="M1026" s="84"/>
      <c r="N1026" s="84"/>
      <c r="O1026" s="85"/>
      <c r="P1026" s="84"/>
      <c r="Q1026" s="84"/>
      <c r="R1026" s="84"/>
      <c r="S1026" s="84"/>
      <c r="T1026" s="84"/>
      <c r="U1026" s="84"/>
      <c r="V1026" s="84"/>
      <c r="W1026" s="84"/>
      <c r="X1026" s="86"/>
    </row>
    <row r="1027" ht="15.0" customHeight="1">
      <c r="A1027" s="81"/>
      <c r="B1027" s="51"/>
      <c r="C1027" s="51"/>
      <c r="D1027" s="50"/>
      <c r="E1027" s="50"/>
      <c r="F1027" s="50"/>
      <c r="G1027" s="50"/>
      <c r="H1027" s="50"/>
      <c r="I1027" s="82"/>
      <c r="J1027" s="83"/>
      <c r="K1027" s="83"/>
      <c r="L1027" s="84"/>
      <c r="M1027" s="84"/>
      <c r="N1027" s="84"/>
      <c r="O1027" s="85"/>
      <c r="P1027" s="84"/>
      <c r="Q1027" s="84"/>
      <c r="R1027" s="84"/>
      <c r="S1027" s="84"/>
      <c r="T1027" s="84"/>
      <c r="U1027" s="84"/>
      <c r="V1027" s="84"/>
      <c r="W1027" s="84"/>
      <c r="X1027" s="86"/>
    </row>
    <row r="1028" ht="15.0" customHeight="1">
      <c r="A1028" s="81"/>
      <c r="B1028" s="51"/>
      <c r="C1028" s="51"/>
      <c r="D1028" s="50"/>
      <c r="E1028" s="50"/>
      <c r="F1028" s="50"/>
      <c r="G1028" s="50"/>
      <c r="H1028" s="50"/>
      <c r="I1028" s="82"/>
      <c r="J1028" s="83"/>
      <c r="K1028" s="83"/>
      <c r="L1028" s="84"/>
      <c r="M1028" s="84"/>
      <c r="N1028" s="84"/>
      <c r="O1028" s="85"/>
      <c r="P1028" s="84"/>
      <c r="Q1028" s="84"/>
      <c r="R1028" s="84"/>
      <c r="S1028" s="84"/>
      <c r="T1028" s="84"/>
      <c r="U1028" s="84"/>
      <c r="V1028" s="84"/>
      <c r="W1028" s="84"/>
      <c r="X1028" s="86"/>
    </row>
    <row r="1029" ht="15.0" customHeight="1">
      <c r="A1029" s="81"/>
      <c r="B1029" s="51"/>
      <c r="C1029" s="51"/>
      <c r="D1029" s="50"/>
      <c r="E1029" s="50"/>
      <c r="F1029" s="50"/>
      <c r="G1029" s="50"/>
      <c r="H1029" s="50"/>
      <c r="I1029" s="82"/>
      <c r="J1029" s="83"/>
      <c r="K1029" s="83"/>
      <c r="L1029" s="84"/>
      <c r="M1029" s="84"/>
      <c r="N1029" s="84"/>
      <c r="O1029" s="85"/>
      <c r="P1029" s="84"/>
      <c r="Q1029" s="84"/>
      <c r="R1029" s="84"/>
      <c r="S1029" s="84"/>
      <c r="T1029" s="84"/>
      <c r="U1029" s="84"/>
      <c r="V1029" s="84"/>
      <c r="W1029" s="84"/>
      <c r="X1029" s="86"/>
    </row>
    <row r="1030" ht="15.0" customHeight="1">
      <c r="A1030" s="81"/>
      <c r="B1030" s="51"/>
      <c r="C1030" s="51"/>
      <c r="D1030" s="50"/>
      <c r="E1030" s="50"/>
      <c r="F1030" s="50"/>
      <c r="G1030" s="50"/>
      <c r="H1030" s="50"/>
      <c r="I1030" s="82"/>
      <c r="J1030" s="83"/>
      <c r="K1030" s="83"/>
      <c r="L1030" s="84"/>
      <c r="M1030" s="84"/>
      <c r="N1030" s="84"/>
      <c r="O1030" s="85"/>
      <c r="P1030" s="84"/>
      <c r="Q1030" s="84"/>
      <c r="R1030" s="84"/>
      <c r="S1030" s="84"/>
      <c r="T1030" s="84"/>
      <c r="U1030" s="84"/>
      <c r="V1030" s="84"/>
      <c r="W1030" s="84"/>
      <c r="X1030" s="86"/>
    </row>
    <row r="1031" ht="15.0" customHeight="1">
      <c r="A1031" s="81"/>
      <c r="B1031" s="51"/>
      <c r="C1031" s="51"/>
      <c r="D1031" s="50"/>
      <c r="E1031" s="50"/>
      <c r="F1031" s="50"/>
      <c r="G1031" s="50"/>
      <c r="H1031" s="50"/>
      <c r="I1031" s="82"/>
      <c r="J1031" s="83"/>
      <c r="K1031" s="83"/>
      <c r="L1031" s="84"/>
      <c r="M1031" s="84"/>
      <c r="N1031" s="84"/>
      <c r="O1031" s="85"/>
      <c r="P1031" s="84"/>
      <c r="Q1031" s="84"/>
      <c r="R1031" s="84"/>
      <c r="S1031" s="84"/>
      <c r="T1031" s="84"/>
      <c r="U1031" s="84"/>
      <c r="V1031" s="84"/>
      <c r="W1031" s="84"/>
      <c r="X1031" s="86"/>
    </row>
    <row r="1032" ht="15.0" customHeight="1">
      <c r="A1032" s="81"/>
      <c r="B1032" s="51"/>
      <c r="C1032" s="51"/>
      <c r="D1032" s="50"/>
      <c r="E1032" s="50"/>
      <c r="F1032" s="50"/>
      <c r="G1032" s="50"/>
      <c r="H1032" s="50"/>
      <c r="I1032" s="82"/>
      <c r="J1032" s="83"/>
      <c r="K1032" s="83"/>
      <c r="L1032" s="84"/>
      <c r="M1032" s="84"/>
      <c r="N1032" s="84"/>
      <c r="O1032" s="85"/>
      <c r="P1032" s="84"/>
      <c r="Q1032" s="84"/>
      <c r="R1032" s="84"/>
      <c r="S1032" s="84"/>
      <c r="T1032" s="84"/>
      <c r="U1032" s="84"/>
      <c r="V1032" s="84"/>
      <c r="W1032" s="84"/>
      <c r="X1032" s="86"/>
    </row>
    <row r="1033" ht="15.0" customHeight="1">
      <c r="A1033" s="81"/>
      <c r="B1033" s="51"/>
      <c r="C1033" s="51"/>
      <c r="D1033" s="50"/>
      <c r="E1033" s="50"/>
      <c r="F1033" s="50"/>
      <c r="G1033" s="50"/>
      <c r="H1033" s="50"/>
      <c r="I1033" s="82"/>
      <c r="J1033" s="83"/>
      <c r="K1033" s="83"/>
      <c r="L1033" s="84"/>
      <c r="M1033" s="84"/>
      <c r="N1033" s="84"/>
      <c r="O1033" s="85"/>
      <c r="P1033" s="84"/>
      <c r="Q1033" s="84"/>
      <c r="R1033" s="84"/>
      <c r="S1033" s="84"/>
      <c r="T1033" s="84"/>
      <c r="U1033" s="84"/>
      <c r="V1033" s="84"/>
      <c r="W1033" s="84"/>
      <c r="X1033" s="86"/>
    </row>
    <row r="1034" ht="15.0" customHeight="1">
      <c r="A1034" s="81"/>
      <c r="B1034" s="51"/>
      <c r="C1034" s="51"/>
      <c r="D1034" s="50"/>
      <c r="E1034" s="50"/>
      <c r="F1034" s="50"/>
      <c r="G1034" s="50"/>
      <c r="H1034" s="50"/>
      <c r="I1034" s="82"/>
      <c r="J1034" s="83"/>
      <c r="K1034" s="83"/>
      <c r="L1034" s="84"/>
      <c r="M1034" s="84"/>
      <c r="N1034" s="84"/>
      <c r="O1034" s="85"/>
      <c r="P1034" s="84"/>
      <c r="Q1034" s="84"/>
      <c r="R1034" s="84"/>
      <c r="S1034" s="84"/>
      <c r="T1034" s="84"/>
      <c r="U1034" s="84"/>
      <c r="V1034" s="84"/>
      <c r="W1034" s="84"/>
      <c r="X1034" s="86"/>
    </row>
    <row r="1035" ht="15.0" customHeight="1">
      <c r="A1035" s="81"/>
      <c r="B1035" s="51"/>
      <c r="C1035" s="51"/>
      <c r="D1035" s="50"/>
      <c r="E1035" s="50"/>
      <c r="F1035" s="50"/>
      <c r="G1035" s="50"/>
      <c r="H1035" s="50"/>
      <c r="I1035" s="82"/>
      <c r="J1035" s="83"/>
      <c r="K1035" s="83"/>
      <c r="L1035" s="84"/>
      <c r="M1035" s="84"/>
      <c r="N1035" s="84"/>
      <c r="O1035" s="85"/>
      <c r="P1035" s="84"/>
      <c r="Q1035" s="84"/>
      <c r="R1035" s="84"/>
      <c r="S1035" s="84"/>
      <c r="T1035" s="84"/>
      <c r="U1035" s="84"/>
      <c r="V1035" s="84"/>
      <c r="W1035" s="84"/>
      <c r="X1035" s="86"/>
    </row>
    <row r="1036" ht="15.0" customHeight="1">
      <c r="A1036" s="81"/>
      <c r="B1036" s="51"/>
      <c r="C1036" s="51"/>
      <c r="D1036" s="50"/>
      <c r="E1036" s="50"/>
      <c r="F1036" s="50"/>
      <c r="G1036" s="50"/>
      <c r="H1036" s="50"/>
      <c r="I1036" s="82"/>
      <c r="J1036" s="83"/>
      <c r="K1036" s="83"/>
      <c r="L1036" s="84"/>
      <c r="M1036" s="84"/>
      <c r="N1036" s="84"/>
      <c r="O1036" s="85"/>
      <c r="P1036" s="84"/>
      <c r="Q1036" s="84"/>
      <c r="R1036" s="84"/>
      <c r="S1036" s="84"/>
      <c r="T1036" s="84"/>
      <c r="U1036" s="84"/>
      <c r="V1036" s="84"/>
      <c r="W1036" s="84"/>
      <c r="X1036" s="86"/>
    </row>
    <row r="1037" ht="15.0" customHeight="1">
      <c r="A1037" s="81"/>
      <c r="B1037" s="51"/>
      <c r="C1037" s="51"/>
      <c r="D1037" s="50"/>
      <c r="E1037" s="50"/>
      <c r="F1037" s="50"/>
      <c r="G1037" s="50"/>
      <c r="H1037" s="50"/>
      <c r="I1037" s="82"/>
      <c r="J1037" s="83"/>
      <c r="K1037" s="83"/>
      <c r="L1037" s="84"/>
      <c r="M1037" s="84"/>
      <c r="N1037" s="84"/>
      <c r="O1037" s="85"/>
      <c r="P1037" s="84"/>
      <c r="Q1037" s="84"/>
      <c r="R1037" s="84"/>
      <c r="S1037" s="84"/>
      <c r="T1037" s="84"/>
      <c r="U1037" s="84"/>
      <c r="V1037" s="84"/>
      <c r="W1037" s="84"/>
      <c r="X1037" s="86"/>
    </row>
    <row r="1038" ht="15.0" customHeight="1">
      <c r="A1038" s="81"/>
      <c r="B1038" s="51"/>
      <c r="C1038" s="51"/>
      <c r="D1038" s="50"/>
      <c r="E1038" s="50"/>
      <c r="F1038" s="50"/>
      <c r="G1038" s="50"/>
      <c r="H1038" s="50"/>
      <c r="I1038" s="82"/>
      <c r="J1038" s="83"/>
      <c r="K1038" s="83"/>
      <c r="L1038" s="84"/>
      <c r="M1038" s="84"/>
      <c r="N1038" s="84"/>
      <c r="O1038" s="85"/>
      <c r="P1038" s="84"/>
      <c r="Q1038" s="84"/>
      <c r="R1038" s="84"/>
      <c r="S1038" s="84"/>
      <c r="T1038" s="84"/>
      <c r="U1038" s="84"/>
      <c r="V1038" s="84"/>
      <c r="W1038" s="84"/>
      <c r="X1038" s="86"/>
    </row>
    <row r="1039" ht="15.0" customHeight="1">
      <c r="A1039" s="81"/>
      <c r="B1039" s="51"/>
      <c r="C1039" s="51"/>
      <c r="D1039" s="50"/>
      <c r="E1039" s="50"/>
      <c r="F1039" s="50"/>
      <c r="G1039" s="50"/>
      <c r="H1039" s="50"/>
      <c r="I1039" s="82"/>
      <c r="J1039" s="83"/>
      <c r="K1039" s="83"/>
      <c r="L1039" s="84"/>
      <c r="M1039" s="84"/>
      <c r="N1039" s="84"/>
      <c r="O1039" s="85"/>
      <c r="P1039" s="84"/>
      <c r="Q1039" s="84"/>
      <c r="R1039" s="84"/>
      <c r="S1039" s="84"/>
      <c r="T1039" s="84"/>
      <c r="U1039" s="84"/>
      <c r="V1039" s="84"/>
      <c r="W1039" s="84"/>
      <c r="X1039" s="86"/>
    </row>
    <row r="1040" ht="15.0" customHeight="1">
      <c r="A1040" s="81"/>
      <c r="B1040" s="51"/>
      <c r="C1040" s="51"/>
      <c r="D1040" s="50"/>
      <c r="E1040" s="50"/>
      <c r="F1040" s="50"/>
      <c r="G1040" s="50"/>
      <c r="H1040" s="50"/>
      <c r="I1040" s="82"/>
      <c r="J1040" s="83"/>
      <c r="K1040" s="83"/>
      <c r="L1040" s="84"/>
      <c r="M1040" s="84"/>
      <c r="N1040" s="84"/>
      <c r="O1040" s="85"/>
      <c r="P1040" s="84"/>
      <c r="Q1040" s="84"/>
      <c r="R1040" s="84"/>
      <c r="S1040" s="84"/>
      <c r="T1040" s="84"/>
      <c r="U1040" s="84"/>
      <c r="V1040" s="84"/>
      <c r="W1040" s="84"/>
      <c r="X1040" s="86"/>
    </row>
    <row r="1041" ht="15.0" customHeight="1">
      <c r="A1041" s="81"/>
      <c r="B1041" s="51"/>
      <c r="C1041" s="51"/>
      <c r="D1041" s="50"/>
      <c r="E1041" s="50"/>
      <c r="F1041" s="50"/>
      <c r="G1041" s="50"/>
      <c r="H1041" s="50"/>
      <c r="I1041" s="82"/>
      <c r="J1041" s="83"/>
      <c r="K1041" s="83"/>
      <c r="L1041" s="84"/>
      <c r="M1041" s="84"/>
      <c r="N1041" s="84"/>
      <c r="O1041" s="85"/>
      <c r="P1041" s="84"/>
      <c r="Q1041" s="84"/>
      <c r="R1041" s="84"/>
      <c r="S1041" s="84"/>
      <c r="T1041" s="84"/>
      <c r="U1041" s="84"/>
      <c r="V1041" s="84"/>
      <c r="W1041" s="84"/>
      <c r="X1041" s="86"/>
    </row>
    <row r="1042" ht="15.0" customHeight="1">
      <c r="A1042" s="81"/>
      <c r="B1042" s="51"/>
      <c r="C1042" s="51"/>
      <c r="D1042" s="50"/>
      <c r="E1042" s="50"/>
      <c r="F1042" s="50"/>
      <c r="G1042" s="50"/>
      <c r="H1042" s="50"/>
      <c r="I1042" s="82"/>
      <c r="J1042" s="83"/>
      <c r="K1042" s="83"/>
      <c r="L1042" s="84"/>
      <c r="M1042" s="84"/>
      <c r="N1042" s="84"/>
      <c r="O1042" s="85"/>
      <c r="P1042" s="84"/>
      <c r="Q1042" s="84"/>
      <c r="R1042" s="84"/>
      <c r="S1042" s="84"/>
      <c r="T1042" s="84"/>
      <c r="U1042" s="84"/>
      <c r="V1042" s="84"/>
      <c r="W1042" s="84"/>
      <c r="X1042" s="86"/>
    </row>
    <row r="1043" ht="15.0" customHeight="1">
      <c r="A1043" s="81"/>
      <c r="B1043" s="51"/>
      <c r="C1043" s="51"/>
      <c r="D1043" s="50"/>
      <c r="E1043" s="50"/>
      <c r="F1043" s="50"/>
      <c r="G1043" s="50"/>
      <c r="H1043" s="50"/>
      <c r="I1043" s="82"/>
      <c r="J1043" s="83"/>
      <c r="K1043" s="83"/>
      <c r="L1043" s="84"/>
      <c r="M1043" s="84"/>
      <c r="N1043" s="84"/>
      <c r="O1043" s="85"/>
      <c r="P1043" s="84"/>
      <c r="Q1043" s="84"/>
      <c r="R1043" s="84"/>
      <c r="S1043" s="84"/>
      <c r="T1043" s="84"/>
      <c r="U1043" s="84"/>
      <c r="V1043" s="84"/>
      <c r="W1043" s="84"/>
      <c r="X1043" s="86"/>
    </row>
    <row r="1044" ht="15.0" customHeight="1">
      <c r="A1044" s="81"/>
      <c r="B1044" s="51"/>
      <c r="C1044" s="51"/>
      <c r="D1044" s="50"/>
      <c r="E1044" s="50"/>
      <c r="F1044" s="50"/>
      <c r="G1044" s="50"/>
      <c r="H1044" s="50"/>
      <c r="I1044" s="82"/>
      <c r="J1044" s="83"/>
      <c r="K1044" s="83"/>
      <c r="L1044" s="84"/>
      <c r="M1044" s="84"/>
      <c r="N1044" s="84"/>
      <c r="O1044" s="85"/>
      <c r="P1044" s="84"/>
      <c r="Q1044" s="84"/>
      <c r="R1044" s="84"/>
      <c r="S1044" s="84"/>
      <c r="T1044" s="84"/>
      <c r="U1044" s="84"/>
      <c r="V1044" s="84"/>
      <c r="W1044" s="84"/>
      <c r="X1044" s="86"/>
    </row>
    <row r="1045" ht="15.0" customHeight="1">
      <c r="A1045" s="81"/>
      <c r="B1045" s="51"/>
      <c r="C1045" s="51"/>
      <c r="D1045" s="50"/>
      <c r="E1045" s="50"/>
      <c r="F1045" s="50"/>
      <c r="G1045" s="50"/>
      <c r="H1045" s="50"/>
      <c r="I1045" s="82"/>
      <c r="J1045" s="83"/>
      <c r="K1045" s="83"/>
      <c r="L1045" s="84"/>
      <c r="M1045" s="84"/>
      <c r="N1045" s="84"/>
      <c r="O1045" s="85"/>
      <c r="P1045" s="84"/>
      <c r="Q1045" s="84"/>
      <c r="R1045" s="84"/>
      <c r="S1045" s="84"/>
      <c r="T1045" s="84"/>
      <c r="U1045" s="84"/>
      <c r="V1045" s="84"/>
      <c r="W1045" s="84"/>
      <c r="X1045" s="86"/>
    </row>
    <row r="1046" ht="15.0" customHeight="1">
      <c r="A1046" s="81"/>
      <c r="B1046" s="51"/>
      <c r="C1046" s="51"/>
      <c r="D1046" s="50"/>
      <c r="E1046" s="50"/>
      <c r="F1046" s="50"/>
      <c r="G1046" s="50"/>
      <c r="H1046" s="50"/>
      <c r="I1046" s="82"/>
      <c r="J1046" s="83"/>
      <c r="K1046" s="83"/>
      <c r="L1046" s="84"/>
      <c r="M1046" s="84"/>
      <c r="N1046" s="84"/>
      <c r="O1046" s="85"/>
      <c r="P1046" s="84"/>
      <c r="Q1046" s="84"/>
      <c r="R1046" s="84"/>
      <c r="S1046" s="84"/>
      <c r="T1046" s="84"/>
      <c r="U1046" s="84"/>
      <c r="V1046" s="84"/>
      <c r="W1046" s="84"/>
      <c r="X1046" s="86"/>
    </row>
    <row r="1047" ht="15.0" customHeight="1">
      <c r="A1047" s="81"/>
      <c r="B1047" s="51"/>
      <c r="C1047" s="51"/>
      <c r="D1047" s="50"/>
      <c r="E1047" s="50"/>
      <c r="F1047" s="50"/>
      <c r="G1047" s="50"/>
      <c r="H1047" s="50"/>
      <c r="I1047" s="82"/>
      <c r="J1047" s="83"/>
      <c r="K1047" s="83"/>
      <c r="L1047" s="84"/>
      <c r="M1047" s="84"/>
      <c r="N1047" s="84"/>
      <c r="O1047" s="85"/>
      <c r="P1047" s="84"/>
      <c r="Q1047" s="84"/>
      <c r="R1047" s="84"/>
      <c r="S1047" s="84"/>
      <c r="T1047" s="84"/>
      <c r="U1047" s="84"/>
      <c r="V1047" s="84"/>
      <c r="W1047" s="84"/>
      <c r="X1047" s="86"/>
    </row>
    <row r="1048" ht="15.0" customHeight="1">
      <c r="A1048" s="81"/>
      <c r="B1048" s="51"/>
      <c r="C1048" s="51"/>
      <c r="D1048" s="50"/>
      <c r="E1048" s="50"/>
      <c r="F1048" s="50"/>
      <c r="G1048" s="50"/>
      <c r="H1048" s="50"/>
      <c r="I1048" s="82"/>
      <c r="J1048" s="83"/>
      <c r="K1048" s="83"/>
      <c r="L1048" s="84"/>
      <c r="M1048" s="84"/>
      <c r="N1048" s="84"/>
      <c r="O1048" s="85"/>
      <c r="P1048" s="84"/>
      <c r="Q1048" s="84"/>
      <c r="R1048" s="84"/>
      <c r="S1048" s="84"/>
      <c r="T1048" s="84"/>
      <c r="U1048" s="84"/>
      <c r="V1048" s="84"/>
      <c r="W1048" s="84"/>
      <c r="X1048" s="86"/>
    </row>
    <row r="1049" ht="15.0" customHeight="1">
      <c r="A1049" s="81"/>
      <c r="B1049" s="51"/>
      <c r="C1049" s="51"/>
      <c r="D1049" s="50"/>
      <c r="E1049" s="50"/>
      <c r="F1049" s="50"/>
      <c r="G1049" s="50"/>
      <c r="H1049" s="50"/>
      <c r="I1049" s="82"/>
      <c r="J1049" s="83"/>
      <c r="K1049" s="83"/>
      <c r="L1049" s="84"/>
      <c r="M1049" s="84"/>
      <c r="N1049" s="84"/>
      <c r="O1049" s="85"/>
      <c r="P1049" s="84"/>
      <c r="Q1049" s="84"/>
      <c r="R1049" s="84"/>
      <c r="S1049" s="84"/>
      <c r="T1049" s="84"/>
      <c r="U1049" s="84"/>
      <c r="V1049" s="84"/>
      <c r="W1049" s="84"/>
      <c r="X1049" s="86"/>
    </row>
    <row r="1050" ht="15.0" customHeight="1">
      <c r="A1050" s="81"/>
      <c r="B1050" s="51"/>
      <c r="C1050" s="51"/>
      <c r="D1050" s="50"/>
      <c r="E1050" s="50"/>
      <c r="F1050" s="50"/>
      <c r="G1050" s="50"/>
      <c r="H1050" s="50"/>
      <c r="I1050" s="82"/>
      <c r="J1050" s="83"/>
      <c r="K1050" s="83"/>
      <c r="L1050" s="84"/>
      <c r="M1050" s="84"/>
      <c r="N1050" s="84"/>
      <c r="O1050" s="85"/>
      <c r="P1050" s="84"/>
      <c r="Q1050" s="84"/>
      <c r="R1050" s="84"/>
      <c r="S1050" s="84"/>
      <c r="T1050" s="84"/>
      <c r="U1050" s="84"/>
      <c r="V1050" s="84"/>
      <c r="W1050" s="84"/>
      <c r="X1050" s="86"/>
    </row>
    <row r="1051" ht="15.0" customHeight="1">
      <c r="A1051" s="81"/>
      <c r="B1051" s="51"/>
      <c r="C1051" s="51"/>
      <c r="D1051" s="50"/>
      <c r="E1051" s="50"/>
      <c r="F1051" s="50"/>
      <c r="G1051" s="50"/>
      <c r="H1051" s="50"/>
      <c r="I1051" s="82"/>
      <c r="J1051" s="83"/>
      <c r="K1051" s="83"/>
      <c r="L1051" s="84"/>
      <c r="M1051" s="84"/>
      <c r="N1051" s="84"/>
      <c r="O1051" s="85"/>
      <c r="P1051" s="84"/>
      <c r="Q1051" s="84"/>
      <c r="R1051" s="84"/>
      <c r="S1051" s="84"/>
      <c r="T1051" s="84"/>
      <c r="U1051" s="84"/>
      <c r="V1051" s="84"/>
      <c r="W1051" s="84"/>
      <c r="X1051" s="86"/>
    </row>
    <row r="1052" ht="15.0" customHeight="1">
      <c r="A1052" s="81"/>
      <c r="B1052" s="51"/>
      <c r="C1052" s="51"/>
      <c r="D1052" s="50"/>
      <c r="E1052" s="50"/>
      <c r="F1052" s="50"/>
      <c r="G1052" s="50"/>
      <c r="H1052" s="50"/>
      <c r="I1052" s="82"/>
      <c r="J1052" s="83"/>
      <c r="K1052" s="83"/>
      <c r="L1052" s="84"/>
      <c r="M1052" s="84"/>
      <c r="N1052" s="84"/>
      <c r="O1052" s="85"/>
      <c r="P1052" s="84"/>
      <c r="Q1052" s="84"/>
      <c r="R1052" s="84"/>
      <c r="S1052" s="84"/>
      <c r="T1052" s="84"/>
      <c r="U1052" s="84"/>
      <c r="V1052" s="84"/>
      <c r="W1052" s="84"/>
      <c r="X1052" s="86"/>
    </row>
    <row r="1053" ht="15.0" customHeight="1">
      <c r="A1053" s="81"/>
      <c r="B1053" s="51"/>
      <c r="C1053" s="51"/>
      <c r="D1053" s="50"/>
      <c r="E1053" s="50"/>
      <c r="F1053" s="50"/>
      <c r="G1053" s="50"/>
      <c r="H1053" s="50"/>
      <c r="I1053" s="82"/>
      <c r="J1053" s="83"/>
      <c r="K1053" s="83"/>
      <c r="L1053" s="84"/>
      <c r="M1053" s="84"/>
      <c r="N1053" s="84"/>
      <c r="O1053" s="85"/>
      <c r="P1053" s="84"/>
      <c r="Q1053" s="84"/>
      <c r="R1053" s="84"/>
      <c r="S1053" s="84"/>
      <c r="T1053" s="84"/>
      <c r="U1053" s="84"/>
      <c r="V1053" s="84"/>
      <c r="W1053" s="84"/>
      <c r="X1053" s="86"/>
    </row>
    <row r="1054" ht="15.0" customHeight="1">
      <c r="A1054" s="81"/>
      <c r="B1054" s="51"/>
      <c r="C1054" s="51"/>
      <c r="D1054" s="50"/>
      <c r="E1054" s="50"/>
      <c r="F1054" s="50"/>
      <c r="G1054" s="50"/>
      <c r="H1054" s="50"/>
      <c r="I1054" s="82"/>
      <c r="J1054" s="83"/>
      <c r="K1054" s="83"/>
      <c r="L1054" s="84"/>
      <c r="M1054" s="84"/>
      <c r="N1054" s="84"/>
      <c r="O1054" s="85"/>
      <c r="P1054" s="84"/>
      <c r="Q1054" s="84"/>
      <c r="R1054" s="84"/>
      <c r="S1054" s="84"/>
      <c r="T1054" s="84"/>
      <c r="U1054" s="84"/>
      <c r="V1054" s="84"/>
      <c r="W1054" s="84"/>
      <c r="X1054" s="86"/>
    </row>
    <row r="1055" ht="15.0" customHeight="1">
      <c r="A1055" s="81"/>
      <c r="B1055" s="51"/>
      <c r="C1055" s="51"/>
      <c r="D1055" s="50"/>
      <c r="E1055" s="50"/>
      <c r="F1055" s="50"/>
      <c r="G1055" s="50"/>
      <c r="H1055" s="50"/>
      <c r="I1055" s="82"/>
      <c r="J1055" s="83"/>
      <c r="K1055" s="83"/>
      <c r="L1055" s="84"/>
      <c r="M1055" s="84"/>
      <c r="N1055" s="84"/>
      <c r="O1055" s="85"/>
      <c r="P1055" s="84"/>
      <c r="Q1055" s="84"/>
      <c r="R1055" s="84"/>
      <c r="S1055" s="84"/>
      <c r="T1055" s="84"/>
      <c r="U1055" s="84"/>
      <c r="V1055" s="84"/>
      <c r="W1055" s="84"/>
      <c r="X1055" s="86"/>
    </row>
    <row r="1056" ht="15.0" customHeight="1">
      <c r="A1056" s="81"/>
      <c r="B1056" s="51"/>
      <c r="C1056" s="51"/>
      <c r="D1056" s="50"/>
      <c r="E1056" s="50"/>
      <c r="F1056" s="50"/>
      <c r="G1056" s="50"/>
      <c r="H1056" s="50"/>
      <c r="I1056" s="82"/>
      <c r="J1056" s="83"/>
      <c r="K1056" s="83"/>
      <c r="L1056" s="84"/>
      <c r="M1056" s="84"/>
      <c r="N1056" s="84"/>
      <c r="O1056" s="85"/>
      <c r="P1056" s="84"/>
      <c r="Q1056" s="84"/>
      <c r="R1056" s="84"/>
      <c r="S1056" s="84"/>
      <c r="T1056" s="84"/>
      <c r="U1056" s="84"/>
      <c r="V1056" s="84"/>
      <c r="W1056" s="84"/>
      <c r="X1056" s="86"/>
    </row>
    <row r="1057" ht="15.0" customHeight="1">
      <c r="A1057" s="81"/>
      <c r="B1057" s="51"/>
      <c r="C1057" s="51"/>
      <c r="D1057" s="50"/>
      <c r="E1057" s="50"/>
      <c r="F1057" s="50"/>
      <c r="G1057" s="50"/>
      <c r="H1057" s="50"/>
      <c r="I1057" s="82"/>
      <c r="J1057" s="83"/>
      <c r="K1057" s="83"/>
      <c r="L1057" s="84"/>
      <c r="M1057" s="84"/>
      <c r="N1057" s="84"/>
      <c r="O1057" s="85"/>
      <c r="P1057" s="84"/>
      <c r="Q1057" s="84"/>
      <c r="R1057" s="84"/>
      <c r="S1057" s="84"/>
      <c r="T1057" s="84"/>
      <c r="U1057" s="84"/>
      <c r="V1057" s="84"/>
      <c r="W1057" s="84"/>
      <c r="X1057" s="86"/>
    </row>
    <row r="1058" ht="15.0" customHeight="1">
      <c r="A1058" s="81"/>
      <c r="B1058" s="51"/>
      <c r="C1058" s="51"/>
      <c r="D1058" s="50"/>
      <c r="E1058" s="50"/>
      <c r="F1058" s="50"/>
      <c r="G1058" s="50"/>
      <c r="H1058" s="50"/>
      <c r="I1058" s="82"/>
      <c r="J1058" s="83"/>
      <c r="K1058" s="83"/>
      <c r="L1058" s="84"/>
      <c r="M1058" s="84"/>
      <c r="N1058" s="84"/>
      <c r="O1058" s="85"/>
      <c r="P1058" s="84"/>
      <c r="Q1058" s="84"/>
      <c r="R1058" s="84"/>
      <c r="S1058" s="84"/>
      <c r="T1058" s="84"/>
      <c r="U1058" s="84"/>
      <c r="V1058" s="84"/>
      <c r="W1058" s="84"/>
      <c r="X1058" s="86"/>
    </row>
    <row r="1059" ht="15.0" customHeight="1">
      <c r="A1059" s="81"/>
      <c r="B1059" s="51"/>
      <c r="C1059" s="51"/>
      <c r="D1059" s="50"/>
      <c r="E1059" s="50"/>
      <c r="F1059" s="50"/>
      <c r="G1059" s="50"/>
      <c r="H1059" s="50"/>
      <c r="I1059" s="82"/>
      <c r="J1059" s="83"/>
      <c r="K1059" s="83"/>
      <c r="L1059" s="84"/>
      <c r="M1059" s="84"/>
      <c r="N1059" s="84"/>
      <c r="O1059" s="85"/>
      <c r="P1059" s="84"/>
      <c r="Q1059" s="84"/>
      <c r="R1059" s="84"/>
      <c r="S1059" s="84"/>
      <c r="T1059" s="84"/>
      <c r="U1059" s="84"/>
      <c r="V1059" s="84"/>
      <c r="W1059" s="84"/>
      <c r="X1059" s="86"/>
    </row>
    <row r="1060" ht="15.0" customHeight="1">
      <c r="A1060" s="81"/>
      <c r="B1060" s="51"/>
      <c r="C1060" s="51"/>
      <c r="D1060" s="50"/>
      <c r="E1060" s="50"/>
      <c r="F1060" s="50"/>
      <c r="G1060" s="50"/>
      <c r="H1060" s="50"/>
      <c r="I1060" s="82"/>
      <c r="J1060" s="83"/>
      <c r="K1060" s="83"/>
      <c r="L1060" s="84"/>
      <c r="M1060" s="84"/>
      <c r="N1060" s="84"/>
      <c r="O1060" s="85"/>
      <c r="P1060" s="84"/>
      <c r="Q1060" s="84"/>
      <c r="R1060" s="84"/>
      <c r="S1060" s="84"/>
      <c r="T1060" s="84"/>
      <c r="U1060" s="84"/>
      <c r="V1060" s="84"/>
      <c r="W1060" s="84"/>
      <c r="X1060" s="86"/>
    </row>
    <row r="1061" ht="15.0" customHeight="1">
      <c r="A1061" s="81"/>
      <c r="B1061" s="51"/>
      <c r="C1061" s="51"/>
      <c r="D1061" s="50"/>
      <c r="E1061" s="50"/>
      <c r="F1061" s="50"/>
      <c r="G1061" s="50"/>
      <c r="H1061" s="50"/>
      <c r="I1061" s="82"/>
      <c r="J1061" s="83"/>
      <c r="K1061" s="83"/>
      <c r="L1061" s="84"/>
      <c r="M1061" s="84"/>
      <c r="N1061" s="84"/>
      <c r="O1061" s="85"/>
      <c r="P1061" s="84"/>
      <c r="Q1061" s="84"/>
      <c r="R1061" s="84"/>
      <c r="S1061" s="84"/>
      <c r="T1061" s="84"/>
      <c r="U1061" s="84"/>
      <c r="V1061" s="84"/>
      <c r="W1061" s="84"/>
      <c r="X1061" s="86"/>
    </row>
    <row r="1062" ht="15.0" customHeight="1">
      <c r="A1062" s="81"/>
      <c r="B1062" s="51"/>
      <c r="C1062" s="51"/>
      <c r="D1062" s="50"/>
      <c r="E1062" s="50"/>
      <c r="F1062" s="50"/>
      <c r="G1062" s="50"/>
      <c r="H1062" s="50"/>
      <c r="I1062" s="82"/>
      <c r="J1062" s="83"/>
      <c r="K1062" s="83"/>
      <c r="L1062" s="84"/>
      <c r="M1062" s="84"/>
      <c r="N1062" s="84"/>
      <c r="O1062" s="85"/>
      <c r="P1062" s="84"/>
      <c r="Q1062" s="84"/>
      <c r="R1062" s="84"/>
      <c r="S1062" s="84"/>
      <c r="T1062" s="84"/>
      <c r="U1062" s="84"/>
      <c r="V1062" s="84"/>
      <c r="W1062" s="84"/>
      <c r="X1062" s="86"/>
    </row>
    <row r="1063" ht="15.0" customHeight="1">
      <c r="A1063" s="81"/>
      <c r="B1063" s="51"/>
      <c r="C1063" s="51"/>
      <c r="D1063" s="50"/>
      <c r="E1063" s="50"/>
      <c r="F1063" s="50"/>
      <c r="G1063" s="50"/>
      <c r="H1063" s="50"/>
      <c r="I1063" s="82"/>
      <c r="J1063" s="83"/>
      <c r="K1063" s="83"/>
      <c r="L1063" s="84"/>
      <c r="M1063" s="84"/>
      <c r="N1063" s="84"/>
      <c r="O1063" s="85"/>
      <c r="P1063" s="84"/>
      <c r="Q1063" s="84"/>
      <c r="R1063" s="84"/>
      <c r="S1063" s="84"/>
      <c r="T1063" s="84"/>
      <c r="U1063" s="84"/>
      <c r="V1063" s="84"/>
      <c r="W1063" s="84"/>
      <c r="X1063" s="86"/>
    </row>
    <row r="1064" ht="15.0" customHeight="1">
      <c r="A1064" s="81"/>
      <c r="B1064" s="51"/>
      <c r="C1064" s="51"/>
      <c r="D1064" s="50"/>
      <c r="E1064" s="50"/>
      <c r="F1064" s="50"/>
      <c r="G1064" s="50"/>
      <c r="H1064" s="50"/>
      <c r="I1064" s="82"/>
      <c r="J1064" s="83"/>
      <c r="K1064" s="83"/>
      <c r="L1064" s="84"/>
      <c r="M1064" s="84"/>
      <c r="N1064" s="84"/>
      <c r="O1064" s="85"/>
      <c r="P1064" s="84"/>
      <c r="Q1064" s="84"/>
      <c r="R1064" s="84"/>
      <c r="S1064" s="84"/>
      <c r="T1064" s="84"/>
      <c r="U1064" s="84"/>
      <c r="V1064" s="84"/>
      <c r="W1064" s="84"/>
      <c r="X1064" s="86"/>
    </row>
    <row r="1065" ht="15.0" customHeight="1">
      <c r="A1065" s="81"/>
      <c r="B1065" s="51"/>
      <c r="C1065" s="51"/>
      <c r="D1065" s="50"/>
      <c r="E1065" s="50"/>
      <c r="F1065" s="50"/>
      <c r="G1065" s="50"/>
      <c r="H1065" s="50"/>
      <c r="I1065" s="82"/>
      <c r="J1065" s="83"/>
      <c r="K1065" s="83"/>
      <c r="L1065" s="84"/>
      <c r="M1065" s="84"/>
      <c r="N1065" s="84"/>
      <c r="O1065" s="85"/>
      <c r="P1065" s="84"/>
      <c r="Q1065" s="84"/>
      <c r="R1065" s="84"/>
      <c r="S1065" s="84"/>
      <c r="T1065" s="84"/>
      <c r="U1065" s="84"/>
      <c r="V1065" s="84"/>
      <c r="W1065" s="84"/>
      <c r="X1065" s="86"/>
    </row>
    <row r="1066" ht="15.0" customHeight="1">
      <c r="A1066" s="81"/>
      <c r="B1066" s="51"/>
      <c r="C1066" s="51"/>
      <c r="D1066" s="50"/>
      <c r="E1066" s="50"/>
      <c r="F1066" s="50"/>
      <c r="G1066" s="50"/>
      <c r="H1066" s="50"/>
      <c r="I1066" s="82"/>
      <c r="J1066" s="83"/>
      <c r="K1066" s="83"/>
      <c r="L1066" s="84"/>
      <c r="M1066" s="84"/>
      <c r="N1066" s="84"/>
      <c r="O1066" s="85"/>
      <c r="P1066" s="84"/>
      <c r="Q1066" s="84"/>
      <c r="R1066" s="84"/>
      <c r="S1066" s="84"/>
      <c r="T1066" s="84"/>
      <c r="U1066" s="84"/>
      <c r="V1066" s="84"/>
      <c r="W1066" s="84"/>
      <c r="X1066" s="86"/>
    </row>
    <row r="1067" ht="15.0" customHeight="1">
      <c r="A1067" s="81"/>
      <c r="B1067" s="51"/>
      <c r="C1067" s="51"/>
      <c r="D1067" s="50"/>
      <c r="E1067" s="50"/>
      <c r="F1067" s="50"/>
      <c r="G1067" s="50"/>
      <c r="H1067" s="50"/>
      <c r="I1067" s="82"/>
      <c r="J1067" s="83"/>
      <c r="K1067" s="83"/>
      <c r="L1067" s="84"/>
      <c r="M1067" s="84"/>
      <c r="N1067" s="84"/>
      <c r="O1067" s="85"/>
      <c r="P1067" s="84"/>
      <c r="Q1067" s="84"/>
      <c r="R1067" s="84"/>
      <c r="S1067" s="84"/>
      <c r="T1067" s="84"/>
      <c r="U1067" s="84"/>
      <c r="V1067" s="84"/>
      <c r="W1067" s="84"/>
      <c r="X1067" s="86"/>
    </row>
    <row r="1068" ht="15.0" customHeight="1">
      <c r="A1068" s="81"/>
      <c r="B1068" s="51"/>
      <c r="C1068" s="51"/>
      <c r="D1068" s="50"/>
      <c r="E1068" s="50"/>
      <c r="F1068" s="50"/>
      <c r="G1068" s="50"/>
      <c r="H1068" s="50"/>
      <c r="I1068" s="82"/>
      <c r="J1068" s="83"/>
      <c r="K1068" s="83"/>
      <c r="L1068" s="84"/>
      <c r="M1068" s="84"/>
      <c r="N1068" s="84"/>
      <c r="O1068" s="85"/>
      <c r="P1068" s="84"/>
      <c r="Q1068" s="84"/>
      <c r="R1068" s="84"/>
      <c r="S1068" s="84"/>
      <c r="T1068" s="84"/>
      <c r="U1068" s="84"/>
      <c r="V1068" s="84"/>
      <c r="W1068" s="84"/>
      <c r="X1068" s="86"/>
    </row>
    <row r="1069" ht="15.0" customHeight="1">
      <c r="A1069" s="81"/>
      <c r="B1069" s="51"/>
      <c r="C1069" s="51"/>
      <c r="D1069" s="50"/>
      <c r="E1069" s="50"/>
      <c r="F1069" s="50"/>
      <c r="G1069" s="50"/>
      <c r="H1069" s="50"/>
      <c r="I1069" s="82"/>
      <c r="J1069" s="83"/>
      <c r="K1069" s="83"/>
      <c r="L1069" s="84"/>
      <c r="M1069" s="84"/>
      <c r="N1069" s="84"/>
      <c r="O1069" s="85"/>
      <c r="P1069" s="84"/>
      <c r="Q1069" s="84"/>
      <c r="R1069" s="84"/>
      <c r="S1069" s="84"/>
      <c r="T1069" s="84"/>
      <c r="U1069" s="84"/>
      <c r="V1069" s="84"/>
      <c r="W1069" s="84"/>
      <c r="X1069" s="86"/>
    </row>
    <row r="1070" ht="15.0" customHeight="1">
      <c r="A1070" s="81"/>
      <c r="B1070" s="51"/>
      <c r="C1070" s="51"/>
      <c r="D1070" s="50"/>
      <c r="E1070" s="50"/>
      <c r="F1070" s="50"/>
      <c r="G1070" s="50"/>
      <c r="H1070" s="50"/>
      <c r="I1070" s="82"/>
      <c r="J1070" s="83"/>
      <c r="K1070" s="83"/>
      <c r="L1070" s="84"/>
      <c r="M1070" s="84"/>
      <c r="N1070" s="84"/>
      <c r="O1070" s="85"/>
      <c r="P1070" s="84"/>
      <c r="Q1070" s="84"/>
      <c r="R1070" s="84"/>
      <c r="S1070" s="84"/>
      <c r="T1070" s="84"/>
      <c r="U1070" s="84"/>
      <c r="V1070" s="84"/>
      <c r="W1070" s="84"/>
      <c r="X1070" s="86"/>
    </row>
    <row r="1071" ht="15.0" customHeight="1">
      <c r="A1071" s="81"/>
      <c r="B1071" s="51"/>
      <c r="C1071" s="51"/>
      <c r="D1071" s="50"/>
      <c r="E1071" s="50"/>
      <c r="F1071" s="50"/>
      <c r="G1071" s="50"/>
      <c r="H1071" s="50"/>
      <c r="I1071" s="82"/>
      <c r="J1071" s="83"/>
      <c r="K1071" s="83"/>
      <c r="L1071" s="84"/>
      <c r="M1071" s="84"/>
      <c r="N1071" s="84"/>
      <c r="O1071" s="85"/>
      <c r="P1071" s="84"/>
      <c r="Q1071" s="84"/>
      <c r="R1071" s="84"/>
      <c r="S1071" s="84"/>
      <c r="T1071" s="84"/>
      <c r="U1071" s="84"/>
      <c r="V1071" s="84"/>
      <c r="W1071" s="84"/>
      <c r="X1071" s="86"/>
    </row>
    <row r="1072" ht="15.0" customHeight="1">
      <c r="A1072" s="81"/>
      <c r="B1072" s="51"/>
      <c r="C1072" s="51"/>
      <c r="D1072" s="50"/>
      <c r="E1072" s="50"/>
      <c r="F1072" s="50"/>
      <c r="G1072" s="50"/>
      <c r="H1072" s="50"/>
      <c r="I1072" s="82"/>
      <c r="J1072" s="83"/>
      <c r="K1072" s="83"/>
      <c r="L1072" s="84"/>
      <c r="M1072" s="84"/>
      <c r="N1072" s="84"/>
      <c r="O1072" s="85"/>
      <c r="P1072" s="84"/>
      <c r="Q1072" s="84"/>
      <c r="R1072" s="84"/>
      <c r="S1072" s="84"/>
      <c r="T1072" s="84"/>
      <c r="U1072" s="84"/>
      <c r="V1072" s="84"/>
      <c r="W1072" s="84"/>
      <c r="X1072" s="86"/>
    </row>
    <row r="1073" ht="15.0" customHeight="1">
      <c r="A1073" s="81"/>
      <c r="B1073" s="51"/>
      <c r="C1073" s="51"/>
      <c r="D1073" s="50"/>
      <c r="E1073" s="50"/>
      <c r="F1073" s="50"/>
      <c r="G1073" s="50"/>
      <c r="H1073" s="50"/>
      <c r="I1073" s="82"/>
      <c r="J1073" s="83"/>
      <c r="K1073" s="83"/>
      <c r="L1073" s="84"/>
      <c r="M1073" s="84"/>
      <c r="N1073" s="84"/>
      <c r="O1073" s="85"/>
      <c r="P1073" s="84"/>
      <c r="Q1073" s="84"/>
      <c r="R1073" s="84"/>
      <c r="S1073" s="84"/>
      <c r="T1073" s="84"/>
      <c r="U1073" s="84"/>
      <c r="V1073" s="84"/>
      <c r="W1073" s="84"/>
      <c r="X1073" s="86"/>
    </row>
    <row r="1074" ht="15.0" customHeight="1">
      <c r="A1074" s="81"/>
      <c r="B1074" s="51"/>
      <c r="C1074" s="51"/>
      <c r="D1074" s="50"/>
      <c r="E1074" s="50"/>
      <c r="F1074" s="50"/>
      <c r="G1074" s="50"/>
      <c r="H1074" s="50"/>
      <c r="I1074" s="82"/>
      <c r="J1074" s="83"/>
      <c r="K1074" s="83"/>
      <c r="L1074" s="84"/>
      <c r="M1074" s="84"/>
      <c r="N1074" s="84"/>
      <c r="O1074" s="85"/>
      <c r="P1074" s="84"/>
      <c r="Q1074" s="84"/>
      <c r="R1074" s="84"/>
      <c r="S1074" s="84"/>
      <c r="T1074" s="84"/>
      <c r="U1074" s="84"/>
      <c r="V1074" s="84"/>
      <c r="W1074" s="84"/>
      <c r="X1074" s="86"/>
    </row>
    <row r="1075" ht="15.0" customHeight="1">
      <c r="A1075" s="81"/>
      <c r="B1075" s="51"/>
      <c r="C1075" s="51"/>
      <c r="D1075" s="50"/>
      <c r="E1075" s="50"/>
      <c r="F1075" s="50"/>
      <c r="G1075" s="50"/>
      <c r="H1075" s="50"/>
      <c r="I1075" s="82"/>
      <c r="J1075" s="83"/>
      <c r="K1075" s="83"/>
      <c r="L1075" s="84"/>
      <c r="M1075" s="84"/>
      <c r="N1075" s="84"/>
      <c r="O1075" s="85"/>
      <c r="P1075" s="84"/>
      <c r="Q1075" s="84"/>
      <c r="R1075" s="84"/>
      <c r="S1075" s="84"/>
      <c r="T1075" s="84"/>
      <c r="U1075" s="84"/>
      <c r="V1075" s="84"/>
      <c r="W1075" s="84"/>
      <c r="X1075" s="86"/>
    </row>
    <row r="1076" ht="15.0" customHeight="1">
      <c r="A1076" s="81"/>
      <c r="B1076" s="51"/>
      <c r="C1076" s="51"/>
      <c r="D1076" s="50"/>
      <c r="E1076" s="50"/>
      <c r="F1076" s="50"/>
      <c r="G1076" s="50"/>
      <c r="H1076" s="50"/>
      <c r="I1076" s="82"/>
      <c r="J1076" s="83"/>
      <c r="K1076" s="83"/>
      <c r="L1076" s="84"/>
      <c r="M1076" s="84"/>
      <c r="N1076" s="84"/>
      <c r="O1076" s="85"/>
      <c r="P1076" s="84"/>
      <c r="Q1076" s="84"/>
      <c r="R1076" s="84"/>
      <c r="S1076" s="84"/>
      <c r="T1076" s="84"/>
      <c r="U1076" s="84"/>
      <c r="V1076" s="84"/>
      <c r="W1076" s="84"/>
      <c r="X1076" s="86"/>
    </row>
    <row r="1077" ht="15.0" customHeight="1">
      <c r="A1077" s="81"/>
      <c r="B1077" s="51"/>
      <c r="C1077" s="51"/>
      <c r="D1077" s="50"/>
      <c r="E1077" s="50"/>
      <c r="F1077" s="50"/>
      <c r="G1077" s="50"/>
      <c r="H1077" s="50"/>
      <c r="I1077" s="82"/>
      <c r="J1077" s="83"/>
      <c r="K1077" s="83"/>
      <c r="L1077" s="84"/>
      <c r="M1077" s="84"/>
      <c r="N1077" s="84"/>
      <c r="O1077" s="85"/>
      <c r="P1077" s="84"/>
      <c r="Q1077" s="84"/>
      <c r="R1077" s="84"/>
      <c r="S1077" s="84"/>
      <c r="T1077" s="84"/>
      <c r="U1077" s="84"/>
      <c r="V1077" s="84"/>
      <c r="W1077" s="84"/>
      <c r="X1077" s="86"/>
    </row>
    <row r="1078" ht="15.0" customHeight="1">
      <c r="A1078" s="81"/>
      <c r="B1078" s="51"/>
      <c r="C1078" s="51"/>
      <c r="D1078" s="50"/>
      <c r="E1078" s="50"/>
      <c r="F1078" s="50"/>
      <c r="G1078" s="50"/>
      <c r="H1078" s="50"/>
      <c r="I1078" s="82"/>
      <c r="J1078" s="83"/>
      <c r="K1078" s="83"/>
      <c r="L1078" s="84"/>
      <c r="M1078" s="84"/>
      <c r="N1078" s="84"/>
      <c r="O1078" s="85"/>
      <c r="P1078" s="84"/>
      <c r="Q1078" s="84"/>
      <c r="R1078" s="84"/>
      <c r="S1078" s="84"/>
      <c r="T1078" s="84"/>
      <c r="U1078" s="84"/>
      <c r="V1078" s="84"/>
      <c r="W1078" s="84"/>
      <c r="X1078" s="86"/>
    </row>
    <row r="1079" ht="15.0" customHeight="1">
      <c r="A1079" s="81"/>
      <c r="B1079" s="51"/>
      <c r="C1079" s="51"/>
      <c r="D1079" s="50"/>
      <c r="E1079" s="50"/>
      <c r="F1079" s="50"/>
      <c r="G1079" s="50"/>
      <c r="H1079" s="50"/>
      <c r="I1079" s="82"/>
      <c r="J1079" s="83"/>
      <c r="K1079" s="83"/>
      <c r="L1079" s="84"/>
      <c r="M1079" s="84"/>
      <c r="N1079" s="84"/>
      <c r="O1079" s="85"/>
      <c r="P1079" s="84"/>
      <c r="Q1079" s="84"/>
      <c r="R1079" s="84"/>
      <c r="S1079" s="84"/>
      <c r="T1079" s="84"/>
      <c r="U1079" s="84"/>
      <c r="V1079" s="84"/>
      <c r="W1079" s="84"/>
      <c r="X1079" s="86"/>
    </row>
    <row r="1080" ht="15.0" customHeight="1">
      <c r="A1080" s="81"/>
      <c r="B1080" s="51"/>
      <c r="C1080" s="51"/>
      <c r="D1080" s="50"/>
      <c r="E1080" s="50"/>
      <c r="F1080" s="50"/>
      <c r="G1080" s="50"/>
      <c r="H1080" s="50"/>
      <c r="I1080" s="82"/>
      <c r="J1080" s="83"/>
      <c r="K1080" s="83"/>
      <c r="L1080" s="84"/>
      <c r="M1080" s="84"/>
      <c r="N1080" s="84"/>
      <c r="O1080" s="85"/>
      <c r="P1080" s="84"/>
      <c r="Q1080" s="84"/>
      <c r="R1080" s="84"/>
      <c r="S1080" s="84"/>
      <c r="T1080" s="84"/>
      <c r="U1080" s="84"/>
      <c r="V1080" s="84"/>
      <c r="W1080" s="84"/>
      <c r="X1080" s="86"/>
    </row>
    <row r="1081" ht="15.0" customHeight="1">
      <c r="A1081" s="81"/>
      <c r="B1081" s="51"/>
      <c r="C1081" s="51"/>
      <c r="D1081" s="50"/>
      <c r="E1081" s="50"/>
      <c r="F1081" s="50"/>
      <c r="G1081" s="50"/>
      <c r="H1081" s="50"/>
      <c r="I1081" s="82"/>
      <c r="J1081" s="83"/>
      <c r="K1081" s="83"/>
      <c r="L1081" s="84"/>
      <c r="M1081" s="84"/>
      <c r="N1081" s="84"/>
      <c r="O1081" s="85"/>
      <c r="P1081" s="84"/>
      <c r="Q1081" s="84"/>
      <c r="R1081" s="84"/>
      <c r="S1081" s="84"/>
      <c r="T1081" s="84"/>
      <c r="U1081" s="84"/>
      <c r="V1081" s="84"/>
      <c r="W1081" s="84"/>
      <c r="X1081" s="86"/>
    </row>
    <row r="1082" ht="15.0" customHeight="1">
      <c r="A1082" s="81"/>
      <c r="B1082" s="51"/>
      <c r="C1082" s="51"/>
      <c r="D1082" s="50"/>
      <c r="E1082" s="50"/>
      <c r="F1082" s="50"/>
      <c r="G1082" s="50"/>
      <c r="H1082" s="50"/>
      <c r="I1082" s="82"/>
      <c r="J1082" s="83"/>
      <c r="K1082" s="83"/>
      <c r="L1082" s="84"/>
      <c r="M1082" s="84"/>
      <c r="N1082" s="84"/>
      <c r="O1082" s="85"/>
      <c r="P1082" s="84"/>
      <c r="Q1082" s="84"/>
      <c r="R1082" s="84"/>
      <c r="S1082" s="84"/>
      <c r="T1082" s="84"/>
      <c r="U1082" s="84"/>
      <c r="V1082" s="84"/>
      <c r="W1082" s="84"/>
      <c r="X1082" s="86"/>
    </row>
    <row r="1083" ht="15.0" customHeight="1">
      <c r="A1083" s="81"/>
      <c r="B1083" s="51"/>
      <c r="C1083" s="51"/>
      <c r="D1083" s="50"/>
      <c r="E1083" s="50"/>
      <c r="F1083" s="50"/>
      <c r="G1083" s="50"/>
      <c r="H1083" s="50"/>
      <c r="I1083" s="82"/>
      <c r="J1083" s="83"/>
      <c r="K1083" s="83"/>
      <c r="L1083" s="84"/>
      <c r="M1083" s="84"/>
      <c r="N1083" s="84"/>
      <c r="O1083" s="85"/>
      <c r="P1083" s="84"/>
      <c r="Q1083" s="84"/>
      <c r="R1083" s="84"/>
      <c r="S1083" s="84"/>
      <c r="T1083" s="84"/>
      <c r="U1083" s="84"/>
      <c r="V1083" s="84"/>
      <c r="W1083" s="84"/>
      <c r="X1083" s="86"/>
    </row>
    <row r="1084" ht="15.0" customHeight="1">
      <c r="A1084" s="81"/>
      <c r="B1084" s="51"/>
      <c r="C1084" s="51"/>
      <c r="D1084" s="50"/>
      <c r="E1084" s="50"/>
      <c r="F1084" s="50"/>
      <c r="G1084" s="50"/>
      <c r="H1084" s="50"/>
      <c r="I1084" s="82"/>
      <c r="J1084" s="83"/>
      <c r="K1084" s="83"/>
      <c r="L1084" s="84"/>
      <c r="M1084" s="84"/>
      <c r="N1084" s="84"/>
      <c r="O1084" s="85"/>
      <c r="P1084" s="84"/>
      <c r="Q1084" s="84"/>
      <c r="R1084" s="84"/>
      <c r="S1084" s="84"/>
      <c r="T1084" s="84"/>
      <c r="U1084" s="84"/>
      <c r="V1084" s="84"/>
      <c r="W1084" s="84"/>
      <c r="X1084" s="86"/>
    </row>
    <row r="1085" ht="15.0" customHeight="1">
      <c r="A1085" s="81"/>
      <c r="B1085" s="51"/>
      <c r="C1085" s="51"/>
      <c r="D1085" s="50"/>
      <c r="E1085" s="50"/>
      <c r="F1085" s="50"/>
      <c r="G1085" s="50"/>
      <c r="H1085" s="50"/>
      <c r="I1085" s="82"/>
      <c r="J1085" s="83"/>
      <c r="K1085" s="83"/>
      <c r="L1085" s="84"/>
      <c r="M1085" s="84"/>
      <c r="N1085" s="84"/>
      <c r="O1085" s="85"/>
      <c r="P1085" s="84"/>
      <c r="Q1085" s="84"/>
      <c r="R1085" s="84"/>
      <c r="S1085" s="84"/>
      <c r="T1085" s="84"/>
      <c r="U1085" s="84"/>
      <c r="V1085" s="84"/>
      <c r="W1085" s="84"/>
      <c r="X1085" s="86"/>
    </row>
    <row r="1086" ht="15.0" customHeight="1">
      <c r="A1086" s="81"/>
      <c r="B1086" s="51"/>
      <c r="C1086" s="51"/>
      <c r="D1086" s="50"/>
      <c r="E1086" s="50"/>
      <c r="F1086" s="50"/>
      <c r="G1086" s="50"/>
      <c r="H1086" s="50"/>
      <c r="I1086" s="82"/>
      <c r="J1086" s="83"/>
      <c r="K1086" s="83"/>
      <c r="L1086" s="84"/>
      <c r="M1086" s="84"/>
      <c r="N1086" s="84"/>
      <c r="O1086" s="85"/>
      <c r="P1086" s="84"/>
      <c r="Q1086" s="84"/>
      <c r="R1086" s="84"/>
      <c r="S1086" s="84"/>
      <c r="T1086" s="84"/>
      <c r="U1086" s="84"/>
      <c r="V1086" s="84"/>
      <c r="W1086" s="84"/>
      <c r="X1086" s="86"/>
    </row>
    <row r="1087" ht="15.0" customHeight="1">
      <c r="A1087" s="81"/>
      <c r="B1087" s="51"/>
      <c r="C1087" s="51"/>
      <c r="D1087" s="50"/>
      <c r="E1087" s="50"/>
      <c r="F1087" s="50"/>
      <c r="G1087" s="50"/>
      <c r="H1087" s="50"/>
      <c r="I1087" s="82"/>
      <c r="J1087" s="83"/>
      <c r="K1087" s="83"/>
      <c r="L1087" s="84"/>
      <c r="M1087" s="84"/>
      <c r="N1087" s="84"/>
      <c r="O1087" s="85"/>
      <c r="P1087" s="84"/>
      <c r="Q1087" s="84"/>
      <c r="R1087" s="84"/>
      <c r="S1087" s="84"/>
      <c r="T1087" s="84"/>
      <c r="U1087" s="84"/>
      <c r="V1087" s="84"/>
      <c r="W1087" s="84"/>
      <c r="X1087" s="86"/>
    </row>
    <row r="1088" ht="15.0" customHeight="1">
      <c r="A1088" s="81"/>
      <c r="B1088" s="51"/>
      <c r="C1088" s="51"/>
      <c r="D1088" s="50"/>
      <c r="E1088" s="50"/>
      <c r="F1088" s="50"/>
      <c r="G1088" s="50"/>
      <c r="H1088" s="50"/>
      <c r="I1088" s="82"/>
      <c r="J1088" s="83"/>
      <c r="K1088" s="83"/>
      <c r="L1088" s="84"/>
      <c r="M1088" s="84"/>
      <c r="N1088" s="84"/>
      <c r="O1088" s="85"/>
      <c r="P1088" s="84"/>
      <c r="Q1088" s="84"/>
      <c r="R1088" s="84"/>
      <c r="S1088" s="84"/>
      <c r="T1088" s="84"/>
      <c r="U1088" s="84"/>
      <c r="V1088" s="84"/>
      <c r="W1088" s="84"/>
      <c r="X1088" s="86"/>
    </row>
    <row r="1089" ht="15.0" customHeight="1">
      <c r="A1089" s="81"/>
      <c r="B1089" s="51"/>
      <c r="C1089" s="51"/>
      <c r="D1089" s="50"/>
      <c r="E1089" s="50"/>
      <c r="F1089" s="50"/>
      <c r="G1089" s="50"/>
      <c r="H1089" s="50"/>
      <c r="I1089" s="82"/>
      <c r="J1089" s="83"/>
      <c r="K1089" s="83"/>
      <c r="L1089" s="84"/>
      <c r="M1089" s="84"/>
      <c r="N1089" s="84"/>
      <c r="O1089" s="85"/>
      <c r="P1089" s="84"/>
      <c r="Q1089" s="84"/>
      <c r="R1089" s="84"/>
      <c r="S1089" s="84"/>
      <c r="T1089" s="84"/>
      <c r="U1089" s="84"/>
      <c r="V1089" s="84"/>
      <c r="W1089" s="84"/>
      <c r="X1089" s="86"/>
    </row>
    <row r="1090" ht="15.0" customHeight="1">
      <c r="A1090" s="81"/>
      <c r="B1090" s="51"/>
      <c r="C1090" s="51"/>
      <c r="D1090" s="50"/>
      <c r="E1090" s="50"/>
      <c r="F1090" s="50"/>
      <c r="G1090" s="50"/>
      <c r="H1090" s="50"/>
      <c r="I1090" s="82"/>
      <c r="J1090" s="83"/>
      <c r="K1090" s="83"/>
      <c r="L1090" s="84"/>
      <c r="M1090" s="84"/>
      <c r="N1090" s="84"/>
      <c r="O1090" s="85"/>
      <c r="P1090" s="84"/>
      <c r="Q1090" s="84"/>
      <c r="R1090" s="84"/>
      <c r="S1090" s="84"/>
      <c r="T1090" s="84"/>
      <c r="U1090" s="84"/>
      <c r="V1090" s="84"/>
      <c r="W1090" s="84"/>
      <c r="X1090" s="86"/>
    </row>
    <row r="1091" ht="15.0" customHeight="1">
      <c r="A1091" s="81"/>
      <c r="B1091" s="51"/>
      <c r="C1091" s="51"/>
      <c r="D1091" s="50"/>
      <c r="E1091" s="50"/>
      <c r="F1091" s="50"/>
      <c r="G1091" s="50"/>
      <c r="H1091" s="50"/>
      <c r="I1091" s="82"/>
      <c r="J1091" s="83"/>
      <c r="K1091" s="83"/>
      <c r="L1091" s="84"/>
      <c r="M1091" s="84"/>
      <c r="N1091" s="84"/>
      <c r="O1091" s="85"/>
      <c r="P1091" s="84"/>
      <c r="Q1091" s="84"/>
      <c r="R1091" s="84"/>
      <c r="S1091" s="84"/>
      <c r="T1091" s="84"/>
      <c r="U1091" s="84"/>
      <c r="V1091" s="84"/>
      <c r="W1091" s="84"/>
      <c r="X1091" s="86"/>
    </row>
    <row r="1092" ht="15.0" customHeight="1">
      <c r="A1092" s="81"/>
      <c r="B1092" s="51"/>
      <c r="C1092" s="51"/>
      <c r="D1092" s="50"/>
      <c r="E1092" s="50"/>
      <c r="F1092" s="50"/>
      <c r="G1092" s="50"/>
      <c r="H1092" s="50"/>
      <c r="I1092" s="82"/>
      <c r="J1092" s="83"/>
      <c r="K1092" s="83"/>
      <c r="L1092" s="84"/>
      <c r="M1092" s="84"/>
      <c r="N1092" s="84"/>
      <c r="O1092" s="85"/>
      <c r="P1092" s="84"/>
      <c r="Q1092" s="84"/>
      <c r="R1092" s="84"/>
      <c r="S1092" s="84"/>
      <c r="T1092" s="84"/>
      <c r="U1092" s="84"/>
      <c r="V1092" s="84"/>
      <c r="W1092" s="84"/>
      <c r="X1092" s="86"/>
    </row>
    <row r="1093" ht="15.0" customHeight="1">
      <c r="A1093" s="81"/>
      <c r="B1093" s="51"/>
      <c r="C1093" s="51"/>
      <c r="D1093" s="50"/>
      <c r="E1093" s="50"/>
      <c r="F1093" s="50"/>
      <c r="G1093" s="50"/>
      <c r="H1093" s="50"/>
      <c r="I1093" s="82"/>
      <c r="J1093" s="83"/>
      <c r="K1093" s="83"/>
      <c r="L1093" s="84"/>
      <c r="M1093" s="84"/>
      <c r="N1093" s="84"/>
      <c r="O1093" s="85"/>
      <c r="P1093" s="84"/>
      <c r="Q1093" s="84"/>
      <c r="R1093" s="84"/>
      <c r="S1093" s="84"/>
      <c r="T1093" s="84"/>
      <c r="U1093" s="84"/>
      <c r="V1093" s="84"/>
      <c r="W1093" s="84"/>
      <c r="X1093" s="86"/>
    </row>
    <row r="1094" ht="15.0" customHeight="1">
      <c r="A1094" s="81"/>
      <c r="B1094" s="51"/>
      <c r="C1094" s="51"/>
      <c r="D1094" s="50"/>
      <c r="E1094" s="50"/>
      <c r="F1094" s="50"/>
      <c r="G1094" s="50"/>
      <c r="H1094" s="50"/>
      <c r="I1094" s="82"/>
      <c r="J1094" s="83"/>
      <c r="K1094" s="83"/>
      <c r="L1094" s="84"/>
      <c r="M1094" s="84"/>
      <c r="N1094" s="84"/>
      <c r="O1094" s="85"/>
      <c r="P1094" s="84"/>
      <c r="Q1094" s="84"/>
      <c r="R1094" s="84"/>
      <c r="S1094" s="84"/>
      <c r="T1094" s="84"/>
      <c r="U1094" s="84"/>
      <c r="V1094" s="84"/>
      <c r="W1094" s="84"/>
      <c r="X1094" s="86"/>
    </row>
    <row r="1095" ht="15.0" customHeight="1">
      <c r="A1095" s="81"/>
      <c r="B1095" s="51"/>
      <c r="C1095" s="51"/>
      <c r="D1095" s="50"/>
      <c r="E1095" s="50"/>
      <c r="F1095" s="50"/>
      <c r="G1095" s="50"/>
      <c r="H1095" s="50"/>
      <c r="I1095" s="82"/>
      <c r="J1095" s="83"/>
      <c r="K1095" s="83"/>
      <c r="L1095" s="84"/>
      <c r="M1095" s="84"/>
      <c r="N1095" s="84"/>
      <c r="O1095" s="85"/>
      <c r="P1095" s="84"/>
      <c r="Q1095" s="84"/>
      <c r="R1095" s="84"/>
      <c r="S1095" s="84"/>
      <c r="T1095" s="84"/>
      <c r="U1095" s="84"/>
      <c r="V1095" s="84"/>
      <c r="W1095" s="84"/>
      <c r="X1095" s="86"/>
    </row>
    <row r="1096" ht="15.0" customHeight="1">
      <c r="A1096" s="81"/>
      <c r="B1096" s="51"/>
      <c r="C1096" s="51"/>
      <c r="D1096" s="50"/>
      <c r="E1096" s="50"/>
      <c r="F1096" s="50"/>
      <c r="G1096" s="50"/>
      <c r="H1096" s="50"/>
      <c r="I1096" s="82"/>
      <c r="J1096" s="83"/>
      <c r="K1096" s="83"/>
      <c r="L1096" s="84"/>
      <c r="M1096" s="84"/>
      <c r="N1096" s="84"/>
      <c r="O1096" s="85"/>
      <c r="P1096" s="84"/>
      <c r="Q1096" s="84"/>
      <c r="R1096" s="84"/>
      <c r="S1096" s="84"/>
      <c r="T1096" s="84"/>
      <c r="U1096" s="84"/>
      <c r="V1096" s="84"/>
      <c r="W1096" s="84"/>
      <c r="X1096" s="86"/>
    </row>
    <row r="1097" ht="15.0" customHeight="1">
      <c r="A1097" s="81"/>
      <c r="B1097" s="51"/>
      <c r="C1097" s="51"/>
      <c r="D1097" s="50"/>
      <c r="E1097" s="50"/>
      <c r="F1097" s="50"/>
      <c r="G1097" s="50"/>
      <c r="H1097" s="50"/>
      <c r="I1097" s="82"/>
      <c r="J1097" s="83"/>
      <c r="K1097" s="83"/>
      <c r="L1097" s="84"/>
      <c r="M1097" s="84"/>
      <c r="N1097" s="84"/>
      <c r="O1097" s="85"/>
      <c r="P1097" s="84"/>
      <c r="Q1097" s="84"/>
      <c r="R1097" s="84"/>
      <c r="S1097" s="84"/>
      <c r="T1097" s="84"/>
      <c r="U1097" s="84"/>
      <c r="V1097" s="84"/>
      <c r="W1097" s="84"/>
      <c r="X1097" s="86"/>
    </row>
    <row r="1098" ht="15.0" customHeight="1">
      <c r="A1098" s="81"/>
      <c r="B1098" s="51"/>
      <c r="C1098" s="51"/>
      <c r="D1098" s="50"/>
      <c r="E1098" s="50"/>
      <c r="F1098" s="50"/>
      <c r="G1098" s="50"/>
      <c r="H1098" s="50"/>
      <c r="I1098" s="82"/>
      <c r="J1098" s="83"/>
      <c r="K1098" s="83"/>
      <c r="L1098" s="84"/>
      <c r="M1098" s="84"/>
      <c r="N1098" s="84"/>
      <c r="O1098" s="85"/>
      <c r="P1098" s="84"/>
      <c r="Q1098" s="84"/>
      <c r="R1098" s="84"/>
      <c r="S1098" s="84"/>
      <c r="T1098" s="84"/>
      <c r="U1098" s="84"/>
      <c r="V1098" s="84"/>
      <c r="W1098" s="84"/>
      <c r="X1098" s="86"/>
    </row>
    <row r="1099" ht="15.0" customHeight="1">
      <c r="A1099" s="81"/>
      <c r="B1099" s="51"/>
      <c r="C1099" s="51"/>
      <c r="D1099" s="50"/>
      <c r="E1099" s="50"/>
      <c r="F1099" s="50"/>
      <c r="G1099" s="50"/>
      <c r="H1099" s="50"/>
      <c r="I1099" s="82"/>
      <c r="J1099" s="83"/>
      <c r="K1099" s="83"/>
      <c r="L1099" s="84"/>
      <c r="M1099" s="84"/>
      <c r="N1099" s="84"/>
      <c r="O1099" s="85"/>
      <c r="P1099" s="84"/>
      <c r="Q1099" s="84"/>
      <c r="R1099" s="84"/>
      <c r="S1099" s="84"/>
      <c r="T1099" s="84"/>
      <c r="U1099" s="84"/>
      <c r="V1099" s="84"/>
      <c r="W1099" s="84"/>
      <c r="X1099" s="86"/>
    </row>
    <row r="1100" ht="15.0" customHeight="1">
      <c r="A1100" s="81"/>
      <c r="B1100" s="51"/>
      <c r="C1100" s="51"/>
      <c r="D1100" s="50"/>
      <c r="E1100" s="50"/>
      <c r="F1100" s="50"/>
      <c r="G1100" s="50"/>
      <c r="H1100" s="50"/>
      <c r="I1100" s="82"/>
      <c r="J1100" s="83"/>
      <c r="K1100" s="83"/>
      <c r="L1100" s="84"/>
      <c r="M1100" s="84"/>
      <c r="N1100" s="84"/>
      <c r="O1100" s="85"/>
      <c r="P1100" s="84"/>
      <c r="Q1100" s="84"/>
      <c r="R1100" s="84"/>
      <c r="S1100" s="84"/>
      <c r="T1100" s="84"/>
      <c r="U1100" s="84"/>
      <c r="V1100" s="84"/>
      <c r="W1100" s="84"/>
      <c r="X1100" s="86"/>
    </row>
    <row r="1101" ht="15.0" customHeight="1">
      <c r="A1101" s="81"/>
      <c r="B1101" s="51"/>
      <c r="C1101" s="51"/>
      <c r="D1101" s="50"/>
      <c r="E1101" s="50"/>
      <c r="F1101" s="50"/>
      <c r="G1101" s="50"/>
      <c r="H1101" s="50"/>
      <c r="I1101" s="82"/>
      <c r="J1101" s="83"/>
      <c r="K1101" s="83"/>
      <c r="L1101" s="84"/>
      <c r="M1101" s="84"/>
      <c r="N1101" s="84"/>
      <c r="O1101" s="85"/>
      <c r="P1101" s="84"/>
      <c r="Q1101" s="84"/>
      <c r="R1101" s="84"/>
      <c r="S1101" s="84"/>
      <c r="T1101" s="84"/>
      <c r="U1101" s="84"/>
      <c r="V1101" s="84"/>
      <c r="W1101" s="84"/>
      <c r="X1101" s="86"/>
    </row>
    <row r="1102" ht="15.0" customHeight="1">
      <c r="A1102" s="81"/>
      <c r="B1102" s="51"/>
      <c r="C1102" s="51"/>
      <c r="D1102" s="50"/>
      <c r="E1102" s="50"/>
      <c r="F1102" s="50"/>
      <c r="G1102" s="50"/>
      <c r="H1102" s="50"/>
      <c r="I1102" s="82"/>
      <c r="J1102" s="83"/>
      <c r="K1102" s="83"/>
      <c r="L1102" s="84"/>
      <c r="M1102" s="84"/>
      <c r="N1102" s="84"/>
      <c r="O1102" s="85"/>
      <c r="P1102" s="84"/>
      <c r="Q1102" s="84"/>
      <c r="R1102" s="84"/>
      <c r="S1102" s="84"/>
      <c r="T1102" s="84"/>
      <c r="U1102" s="84"/>
      <c r="V1102" s="84"/>
      <c r="W1102" s="84"/>
      <c r="X1102" s="86"/>
    </row>
    <row r="1103" ht="15.0" customHeight="1">
      <c r="A1103" s="81"/>
      <c r="B1103" s="51"/>
      <c r="C1103" s="51"/>
      <c r="D1103" s="50"/>
      <c r="E1103" s="50"/>
      <c r="F1103" s="50"/>
      <c r="G1103" s="50"/>
      <c r="H1103" s="50"/>
      <c r="I1103" s="82"/>
      <c r="J1103" s="83"/>
      <c r="K1103" s="83"/>
      <c r="L1103" s="84"/>
      <c r="M1103" s="84"/>
      <c r="N1103" s="84"/>
      <c r="O1103" s="85"/>
      <c r="P1103" s="84"/>
      <c r="Q1103" s="84"/>
      <c r="R1103" s="84"/>
      <c r="S1103" s="84"/>
      <c r="T1103" s="84"/>
      <c r="U1103" s="84"/>
      <c r="V1103" s="84"/>
      <c r="W1103" s="84"/>
      <c r="X1103" s="86"/>
    </row>
    <row r="1104" ht="15.0" customHeight="1">
      <c r="A1104" s="81"/>
      <c r="B1104" s="51"/>
      <c r="C1104" s="51"/>
      <c r="D1104" s="50"/>
      <c r="E1104" s="50"/>
      <c r="F1104" s="50"/>
      <c r="G1104" s="50"/>
      <c r="H1104" s="50"/>
      <c r="I1104" s="82"/>
      <c r="J1104" s="83"/>
      <c r="K1104" s="83"/>
      <c r="L1104" s="84"/>
      <c r="M1104" s="84"/>
      <c r="N1104" s="84"/>
      <c r="O1104" s="85"/>
      <c r="P1104" s="84"/>
      <c r="Q1104" s="84"/>
      <c r="R1104" s="84"/>
      <c r="S1104" s="84"/>
      <c r="T1104" s="84"/>
      <c r="U1104" s="84"/>
      <c r="V1104" s="84"/>
      <c r="W1104" s="84"/>
      <c r="X1104" s="86"/>
    </row>
    <row r="1105" ht="15.0" customHeight="1">
      <c r="A1105" s="81"/>
      <c r="B1105" s="51"/>
      <c r="C1105" s="51"/>
      <c r="D1105" s="50"/>
      <c r="E1105" s="50"/>
      <c r="F1105" s="50"/>
      <c r="G1105" s="50"/>
      <c r="H1105" s="50"/>
      <c r="I1105" s="82"/>
      <c r="J1105" s="83"/>
      <c r="K1105" s="83"/>
      <c r="L1105" s="84"/>
      <c r="M1105" s="84"/>
      <c r="N1105" s="84"/>
      <c r="O1105" s="85"/>
      <c r="P1105" s="84"/>
      <c r="Q1105" s="84"/>
      <c r="R1105" s="84"/>
      <c r="S1105" s="84"/>
      <c r="T1105" s="84"/>
      <c r="U1105" s="84"/>
      <c r="V1105" s="84"/>
      <c r="W1105" s="84"/>
      <c r="X1105" s="86"/>
    </row>
    <row r="1106" ht="15.0" customHeight="1">
      <c r="A1106" s="81"/>
      <c r="B1106" s="51"/>
      <c r="C1106" s="51"/>
      <c r="D1106" s="50"/>
      <c r="E1106" s="50"/>
      <c r="F1106" s="50"/>
      <c r="G1106" s="50"/>
      <c r="H1106" s="50"/>
      <c r="I1106" s="82"/>
      <c r="J1106" s="83"/>
      <c r="K1106" s="83"/>
      <c r="L1106" s="84"/>
      <c r="M1106" s="84"/>
      <c r="N1106" s="84"/>
      <c r="O1106" s="85"/>
      <c r="P1106" s="84"/>
      <c r="Q1106" s="84"/>
      <c r="R1106" s="84"/>
      <c r="S1106" s="84"/>
      <c r="T1106" s="84"/>
      <c r="U1106" s="84"/>
      <c r="V1106" s="84"/>
      <c r="W1106" s="84"/>
      <c r="X1106" s="86"/>
    </row>
    <row r="1107" ht="15.0" customHeight="1">
      <c r="A1107" s="81"/>
      <c r="B1107" s="51"/>
      <c r="C1107" s="51"/>
      <c r="D1107" s="50"/>
      <c r="E1107" s="50"/>
      <c r="F1107" s="50"/>
      <c r="G1107" s="50"/>
      <c r="H1107" s="50"/>
      <c r="I1107" s="82"/>
      <c r="J1107" s="83"/>
      <c r="K1107" s="83"/>
      <c r="L1107" s="84"/>
      <c r="M1107" s="84"/>
      <c r="N1107" s="84"/>
      <c r="O1107" s="85"/>
      <c r="P1107" s="84"/>
      <c r="Q1107" s="84"/>
      <c r="R1107" s="84"/>
      <c r="S1107" s="84"/>
      <c r="T1107" s="84"/>
      <c r="U1107" s="84"/>
      <c r="V1107" s="84"/>
      <c r="W1107" s="84"/>
      <c r="X1107" s="86"/>
    </row>
    <row r="1108" ht="15.0" customHeight="1">
      <c r="A1108" s="81"/>
      <c r="B1108" s="51"/>
      <c r="C1108" s="51"/>
      <c r="D1108" s="50"/>
      <c r="E1108" s="50"/>
      <c r="F1108" s="50"/>
      <c r="G1108" s="50"/>
      <c r="H1108" s="50"/>
      <c r="I1108" s="82"/>
      <c r="J1108" s="83"/>
      <c r="K1108" s="83"/>
      <c r="L1108" s="84"/>
      <c r="M1108" s="84"/>
      <c r="N1108" s="84"/>
      <c r="O1108" s="85"/>
      <c r="P1108" s="84"/>
      <c r="Q1108" s="84"/>
      <c r="R1108" s="84"/>
      <c r="S1108" s="84"/>
      <c r="T1108" s="84"/>
      <c r="U1108" s="84"/>
      <c r="V1108" s="84"/>
      <c r="W1108" s="84"/>
      <c r="X1108" s="86"/>
    </row>
    <row r="1109" ht="15.0" customHeight="1">
      <c r="A1109" s="81"/>
      <c r="B1109" s="51"/>
      <c r="C1109" s="51"/>
      <c r="D1109" s="50"/>
      <c r="E1109" s="50"/>
      <c r="F1109" s="50"/>
      <c r="G1109" s="50"/>
      <c r="H1109" s="50"/>
      <c r="I1109" s="82"/>
      <c r="J1109" s="83"/>
      <c r="K1109" s="83"/>
      <c r="L1109" s="84"/>
      <c r="M1109" s="84"/>
      <c r="N1109" s="84"/>
      <c r="O1109" s="85"/>
      <c r="P1109" s="84"/>
      <c r="Q1109" s="84"/>
      <c r="R1109" s="84"/>
      <c r="S1109" s="84"/>
      <c r="T1109" s="84"/>
      <c r="U1109" s="84"/>
      <c r="V1109" s="84"/>
      <c r="W1109" s="84"/>
      <c r="X1109" s="86"/>
    </row>
    <row r="1110" ht="15.0" customHeight="1">
      <c r="A1110" s="81"/>
      <c r="B1110" s="51"/>
      <c r="C1110" s="51"/>
      <c r="D1110" s="50"/>
      <c r="E1110" s="50"/>
      <c r="F1110" s="50"/>
      <c r="G1110" s="50"/>
      <c r="H1110" s="50"/>
      <c r="I1110" s="82"/>
      <c r="J1110" s="83"/>
      <c r="K1110" s="83"/>
      <c r="L1110" s="84"/>
      <c r="M1110" s="84"/>
      <c r="N1110" s="84"/>
      <c r="O1110" s="85"/>
      <c r="P1110" s="84"/>
      <c r="Q1110" s="84"/>
      <c r="R1110" s="84"/>
      <c r="S1110" s="84"/>
      <c r="T1110" s="84"/>
      <c r="U1110" s="84"/>
      <c r="V1110" s="84"/>
      <c r="W1110" s="84"/>
      <c r="X1110" s="86"/>
    </row>
    <row r="1111" ht="15.0" customHeight="1">
      <c r="A1111" s="81"/>
      <c r="B1111" s="51"/>
      <c r="C1111" s="51"/>
      <c r="D1111" s="50"/>
      <c r="E1111" s="50"/>
      <c r="F1111" s="50"/>
      <c r="G1111" s="50"/>
      <c r="H1111" s="50"/>
      <c r="I1111" s="82"/>
      <c r="J1111" s="83"/>
      <c r="K1111" s="83"/>
      <c r="L1111" s="84"/>
      <c r="M1111" s="84"/>
      <c r="N1111" s="84"/>
      <c r="O1111" s="85"/>
      <c r="P1111" s="84"/>
      <c r="Q1111" s="84"/>
      <c r="R1111" s="84"/>
      <c r="S1111" s="84"/>
      <c r="T1111" s="84"/>
      <c r="U1111" s="84"/>
      <c r="V1111" s="84"/>
      <c r="W1111" s="84"/>
      <c r="X1111" s="86"/>
    </row>
    <row r="1112" ht="15.0" customHeight="1">
      <c r="A1112" s="81"/>
      <c r="B1112" s="51"/>
      <c r="C1112" s="51"/>
      <c r="D1112" s="50"/>
      <c r="E1112" s="50"/>
      <c r="F1112" s="50"/>
      <c r="G1112" s="50"/>
      <c r="H1112" s="50"/>
      <c r="I1112" s="82"/>
      <c r="J1112" s="83"/>
      <c r="K1112" s="83"/>
      <c r="L1112" s="84"/>
      <c r="M1112" s="84"/>
      <c r="N1112" s="84"/>
      <c r="O1112" s="85"/>
      <c r="P1112" s="84"/>
      <c r="Q1112" s="84"/>
      <c r="R1112" s="84"/>
      <c r="S1112" s="84"/>
      <c r="T1112" s="84"/>
      <c r="U1112" s="84"/>
      <c r="V1112" s="84"/>
      <c r="W1112" s="84"/>
      <c r="X1112" s="86"/>
    </row>
    <row r="1113" ht="15.0" customHeight="1">
      <c r="A1113" s="81"/>
      <c r="B1113" s="51"/>
      <c r="C1113" s="51"/>
      <c r="D1113" s="50"/>
      <c r="E1113" s="50"/>
      <c r="F1113" s="50"/>
      <c r="G1113" s="50"/>
      <c r="H1113" s="50"/>
      <c r="I1113" s="82"/>
      <c r="J1113" s="83"/>
      <c r="K1113" s="83"/>
      <c r="L1113" s="84"/>
      <c r="M1113" s="84"/>
      <c r="N1113" s="84"/>
      <c r="O1113" s="85"/>
      <c r="P1113" s="84"/>
      <c r="Q1113" s="84"/>
      <c r="R1113" s="84"/>
      <c r="S1113" s="84"/>
      <c r="T1113" s="84"/>
      <c r="U1113" s="84"/>
      <c r="V1113" s="84"/>
      <c r="W1113" s="84"/>
      <c r="X1113" s="86"/>
    </row>
    <row r="1114" ht="15.0" customHeight="1">
      <c r="A1114" s="81"/>
      <c r="B1114" s="51"/>
      <c r="C1114" s="51"/>
      <c r="D1114" s="50"/>
      <c r="E1114" s="50"/>
      <c r="F1114" s="50"/>
      <c r="G1114" s="50"/>
      <c r="H1114" s="50"/>
      <c r="I1114" s="82"/>
      <c r="J1114" s="83"/>
      <c r="K1114" s="83"/>
      <c r="L1114" s="84"/>
      <c r="M1114" s="84"/>
      <c r="N1114" s="84"/>
      <c r="O1114" s="85"/>
      <c r="P1114" s="84"/>
      <c r="Q1114" s="84"/>
      <c r="R1114" s="84"/>
      <c r="S1114" s="84"/>
      <c r="T1114" s="84"/>
      <c r="U1114" s="84"/>
      <c r="V1114" s="84"/>
      <c r="W1114" s="84"/>
      <c r="X1114" s="86"/>
    </row>
    <row r="1115" ht="15.0" customHeight="1">
      <c r="A1115" s="81"/>
      <c r="B1115" s="51"/>
      <c r="C1115" s="51"/>
      <c r="D1115" s="50"/>
      <c r="E1115" s="50"/>
      <c r="F1115" s="50"/>
      <c r="G1115" s="50"/>
      <c r="H1115" s="50"/>
      <c r="I1115" s="82"/>
      <c r="J1115" s="83"/>
      <c r="K1115" s="83"/>
      <c r="L1115" s="84"/>
      <c r="M1115" s="84"/>
      <c r="N1115" s="84"/>
      <c r="O1115" s="85"/>
      <c r="P1115" s="84"/>
      <c r="Q1115" s="84"/>
      <c r="R1115" s="84"/>
      <c r="S1115" s="84"/>
      <c r="T1115" s="84"/>
      <c r="U1115" s="84"/>
      <c r="V1115" s="84"/>
      <c r="W1115" s="84"/>
      <c r="X1115" s="86"/>
    </row>
    <row r="1116" ht="15.0" customHeight="1">
      <c r="A1116" s="81"/>
      <c r="B1116" s="51"/>
      <c r="C1116" s="51"/>
      <c r="D1116" s="50"/>
      <c r="E1116" s="50"/>
      <c r="F1116" s="50"/>
      <c r="G1116" s="50"/>
      <c r="H1116" s="50"/>
      <c r="I1116" s="82"/>
      <c r="J1116" s="83"/>
      <c r="K1116" s="83"/>
      <c r="L1116" s="84"/>
      <c r="M1116" s="84"/>
      <c r="N1116" s="84"/>
      <c r="O1116" s="85"/>
      <c r="P1116" s="84"/>
      <c r="Q1116" s="84"/>
      <c r="R1116" s="84"/>
      <c r="S1116" s="84"/>
      <c r="T1116" s="84"/>
      <c r="U1116" s="84"/>
      <c r="V1116" s="84"/>
      <c r="W1116" s="84"/>
      <c r="X1116" s="86"/>
    </row>
    <row r="1117" ht="15.0" customHeight="1">
      <c r="A1117" s="81"/>
      <c r="B1117" s="51"/>
      <c r="C1117" s="51"/>
      <c r="D1117" s="50"/>
      <c r="E1117" s="50"/>
      <c r="F1117" s="50"/>
      <c r="G1117" s="50"/>
      <c r="H1117" s="50"/>
      <c r="I1117" s="82"/>
      <c r="J1117" s="83"/>
      <c r="K1117" s="83"/>
      <c r="L1117" s="84"/>
      <c r="M1117" s="84"/>
      <c r="N1117" s="84"/>
      <c r="O1117" s="85"/>
      <c r="P1117" s="84"/>
      <c r="Q1117" s="84"/>
      <c r="R1117" s="84"/>
      <c r="S1117" s="84"/>
      <c r="T1117" s="84"/>
      <c r="U1117" s="84"/>
      <c r="V1117" s="84"/>
      <c r="W1117" s="84"/>
      <c r="X1117" s="86"/>
    </row>
    <row r="1118" ht="15.0" customHeight="1">
      <c r="A1118" s="81"/>
      <c r="B1118" s="51"/>
      <c r="C1118" s="51"/>
      <c r="D1118" s="50"/>
      <c r="E1118" s="50"/>
      <c r="F1118" s="50"/>
      <c r="G1118" s="50"/>
      <c r="H1118" s="50"/>
      <c r="I1118" s="82"/>
      <c r="J1118" s="83"/>
      <c r="K1118" s="83"/>
      <c r="L1118" s="84"/>
      <c r="M1118" s="84"/>
      <c r="N1118" s="84"/>
      <c r="O1118" s="85"/>
      <c r="P1118" s="84"/>
      <c r="Q1118" s="84"/>
      <c r="R1118" s="84"/>
      <c r="S1118" s="84"/>
      <c r="T1118" s="84"/>
      <c r="U1118" s="84"/>
      <c r="V1118" s="84"/>
      <c r="W1118" s="84"/>
      <c r="X1118" s="86"/>
    </row>
    <row r="1119" ht="15.0" customHeight="1">
      <c r="A1119" s="81"/>
      <c r="B1119" s="51"/>
      <c r="C1119" s="51"/>
      <c r="D1119" s="50"/>
      <c r="E1119" s="50"/>
      <c r="F1119" s="50"/>
      <c r="G1119" s="50"/>
      <c r="H1119" s="50"/>
      <c r="I1119" s="82"/>
      <c r="J1119" s="83"/>
      <c r="K1119" s="83"/>
      <c r="L1119" s="84"/>
      <c r="M1119" s="84"/>
      <c r="N1119" s="84"/>
      <c r="O1119" s="85"/>
      <c r="P1119" s="84"/>
      <c r="Q1119" s="84"/>
      <c r="R1119" s="84"/>
      <c r="S1119" s="84"/>
      <c r="T1119" s="84"/>
      <c r="U1119" s="84"/>
      <c r="V1119" s="84"/>
      <c r="W1119" s="84"/>
      <c r="X1119" s="86"/>
    </row>
    <row r="1120" ht="15.0" customHeight="1">
      <c r="A1120" s="81"/>
      <c r="B1120" s="51"/>
      <c r="C1120" s="51"/>
      <c r="D1120" s="50"/>
      <c r="E1120" s="50"/>
      <c r="F1120" s="50"/>
      <c r="G1120" s="50"/>
      <c r="H1120" s="50"/>
      <c r="I1120" s="82"/>
      <c r="J1120" s="83"/>
      <c r="K1120" s="83"/>
      <c r="L1120" s="84"/>
      <c r="M1120" s="84"/>
      <c r="N1120" s="84"/>
      <c r="O1120" s="85"/>
      <c r="P1120" s="84"/>
      <c r="Q1120" s="84"/>
      <c r="R1120" s="84"/>
      <c r="S1120" s="84"/>
      <c r="T1120" s="84"/>
      <c r="U1120" s="84"/>
      <c r="V1120" s="84"/>
      <c r="W1120" s="84"/>
      <c r="X1120" s="86"/>
    </row>
    <row r="1121" ht="15.0" customHeight="1">
      <c r="A1121" s="81"/>
      <c r="B1121" s="51"/>
      <c r="C1121" s="51"/>
      <c r="D1121" s="50"/>
      <c r="E1121" s="50"/>
      <c r="F1121" s="50"/>
      <c r="G1121" s="50"/>
      <c r="H1121" s="50"/>
      <c r="I1121" s="82"/>
      <c r="J1121" s="83"/>
      <c r="K1121" s="83"/>
      <c r="L1121" s="84"/>
      <c r="M1121" s="84"/>
      <c r="N1121" s="84"/>
      <c r="O1121" s="85"/>
      <c r="P1121" s="84"/>
      <c r="Q1121" s="84"/>
      <c r="R1121" s="84"/>
      <c r="S1121" s="84"/>
      <c r="T1121" s="84"/>
      <c r="U1121" s="84"/>
      <c r="V1121" s="84"/>
      <c r="W1121" s="84"/>
      <c r="X1121" s="86"/>
    </row>
    <row r="1122" ht="15.0" customHeight="1">
      <c r="A1122" s="81"/>
      <c r="B1122" s="51"/>
      <c r="C1122" s="51"/>
      <c r="D1122" s="50"/>
      <c r="E1122" s="50"/>
      <c r="F1122" s="50"/>
      <c r="G1122" s="50"/>
      <c r="H1122" s="50"/>
      <c r="I1122" s="82"/>
      <c r="J1122" s="83"/>
      <c r="K1122" s="83"/>
      <c r="L1122" s="84"/>
      <c r="M1122" s="84"/>
      <c r="N1122" s="84"/>
      <c r="O1122" s="85"/>
      <c r="P1122" s="84"/>
      <c r="Q1122" s="84"/>
      <c r="R1122" s="84"/>
      <c r="S1122" s="84"/>
      <c r="T1122" s="84"/>
      <c r="U1122" s="84"/>
      <c r="V1122" s="84"/>
      <c r="W1122" s="84"/>
      <c r="X1122" s="86"/>
    </row>
    <row r="1123" ht="15.0" customHeight="1">
      <c r="A1123" s="81"/>
      <c r="B1123" s="51"/>
      <c r="C1123" s="51"/>
      <c r="D1123" s="50"/>
      <c r="E1123" s="50"/>
      <c r="F1123" s="50"/>
      <c r="G1123" s="50"/>
      <c r="H1123" s="50"/>
      <c r="I1123" s="82"/>
      <c r="J1123" s="83"/>
      <c r="K1123" s="83"/>
      <c r="L1123" s="84"/>
      <c r="M1123" s="84"/>
      <c r="N1123" s="84"/>
      <c r="O1123" s="85"/>
      <c r="P1123" s="84"/>
      <c r="Q1123" s="84"/>
      <c r="R1123" s="84"/>
      <c r="S1123" s="84"/>
      <c r="T1123" s="84"/>
      <c r="U1123" s="84"/>
      <c r="V1123" s="84"/>
      <c r="W1123" s="84"/>
      <c r="X1123" s="86"/>
    </row>
    <row r="1124" ht="15.0" customHeight="1">
      <c r="A1124" s="81"/>
      <c r="B1124" s="51"/>
      <c r="C1124" s="51"/>
      <c r="D1124" s="50"/>
      <c r="E1124" s="50"/>
      <c r="F1124" s="50"/>
      <c r="G1124" s="50"/>
      <c r="H1124" s="50"/>
      <c r="I1124" s="82"/>
      <c r="J1124" s="83"/>
      <c r="K1124" s="83"/>
      <c r="L1124" s="84"/>
      <c r="M1124" s="84"/>
      <c r="N1124" s="84"/>
      <c r="O1124" s="85"/>
      <c r="P1124" s="84"/>
      <c r="Q1124" s="84"/>
      <c r="R1124" s="84"/>
      <c r="S1124" s="84"/>
      <c r="T1124" s="84"/>
      <c r="U1124" s="84"/>
      <c r="V1124" s="84"/>
      <c r="W1124" s="84"/>
      <c r="X1124" s="86"/>
    </row>
    <row r="1125" ht="15.0" customHeight="1">
      <c r="A1125" s="81"/>
      <c r="B1125" s="51"/>
      <c r="C1125" s="51"/>
      <c r="D1125" s="50"/>
      <c r="E1125" s="50"/>
      <c r="F1125" s="50"/>
      <c r="G1125" s="50"/>
      <c r="H1125" s="50"/>
      <c r="I1125" s="82"/>
      <c r="J1125" s="83"/>
      <c r="K1125" s="83"/>
      <c r="L1125" s="84"/>
      <c r="M1125" s="84"/>
      <c r="N1125" s="84"/>
      <c r="O1125" s="85"/>
      <c r="P1125" s="84"/>
      <c r="Q1125" s="84"/>
      <c r="R1125" s="84"/>
      <c r="S1125" s="84"/>
      <c r="T1125" s="84"/>
      <c r="U1125" s="84"/>
      <c r="V1125" s="84"/>
      <c r="W1125" s="84"/>
      <c r="X1125" s="86"/>
    </row>
    <row r="1126" ht="15.0" customHeight="1">
      <c r="A1126" s="81"/>
      <c r="B1126" s="51"/>
      <c r="C1126" s="51"/>
      <c r="D1126" s="50"/>
      <c r="E1126" s="50"/>
      <c r="F1126" s="50"/>
      <c r="G1126" s="50"/>
      <c r="H1126" s="50"/>
      <c r="I1126" s="82"/>
      <c r="J1126" s="83"/>
      <c r="K1126" s="83"/>
      <c r="L1126" s="84"/>
      <c r="M1126" s="84"/>
      <c r="N1126" s="84"/>
      <c r="O1126" s="85"/>
      <c r="P1126" s="84"/>
      <c r="Q1126" s="84"/>
      <c r="R1126" s="84"/>
      <c r="S1126" s="84"/>
      <c r="T1126" s="84"/>
      <c r="U1126" s="84"/>
      <c r="V1126" s="84"/>
      <c r="W1126" s="84"/>
      <c r="X1126" s="86"/>
    </row>
    <row r="1127" ht="15.0" customHeight="1">
      <c r="A1127" s="81"/>
      <c r="B1127" s="51"/>
      <c r="C1127" s="51"/>
      <c r="D1127" s="50"/>
      <c r="E1127" s="50"/>
      <c r="F1127" s="50"/>
      <c r="G1127" s="50"/>
      <c r="H1127" s="50"/>
      <c r="I1127" s="82"/>
      <c r="J1127" s="83"/>
      <c r="K1127" s="83"/>
      <c r="L1127" s="84"/>
      <c r="M1127" s="84"/>
      <c r="N1127" s="84"/>
      <c r="O1127" s="85"/>
      <c r="P1127" s="84"/>
      <c r="Q1127" s="84"/>
      <c r="R1127" s="84"/>
      <c r="S1127" s="84"/>
      <c r="T1127" s="84"/>
      <c r="U1127" s="84"/>
      <c r="V1127" s="84"/>
      <c r="W1127" s="84"/>
      <c r="X1127" s="86"/>
    </row>
    <row r="1128" ht="15.0" customHeight="1">
      <c r="A1128" s="81"/>
      <c r="B1128" s="51"/>
      <c r="C1128" s="51"/>
      <c r="D1128" s="50"/>
      <c r="E1128" s="50"/>
      <c r="F1128" s="50"/>
      <c r="G1128" s="50"/>
      <c r="H1128" s="50"/>
      <c r="I1128" s="82"/>
      <c r="J1128" s="83"/>
      <c r="K1128" s="83"/>
      <c r="L1128" s="84"/>
      <c r="M1128" s="84"/>
      <c r="N1128" s="84"/>
      <c r="O1128" s="85"/>
      <c r="P1128" s="84"/>
      <c r="Q1128" s="84"/>
      <c r="R1128" s="84"/>
      <c r="S1128" s="84"/>
      <c r="T1128" s="84"/>
      <c r="U1128" s="84"/>
      <c r="V1128" s="84"/>
      <c r="W1128" s="84"/>
      <c r="X1128" s="86"/>
    </row>
    <row r="1129" ht="15.0" customHeight="1">
      <c r="A1129" s="81"/>
      <c r="B1129" s="51"/>
      <c r="C1129" s="51"/>
      <c r="D1129" s="50"/>
      <c r="E1129" s="50"/>
      <c r="F1129" s="50"/>
      <c r="G1129" s="50"/>
      <c r="H1129" s="50"/>
      <c r="I1129" s="82"/>
      <c r="J1129" s="83"/>
      <c r="K1129" s="83"/>
      <c r="L1129" s="84"/>
      <c r="M1129" s="84"/>
      <c r="N1129" s="84"/>
      <c r="O1129" s="85"/>
      <c r="P1129" s="84"/>
      <c r="Q1129" s="84"/>
      <c r="R1129" s="84"/>
      <c r="S1129" s="84"/>
      <c r="T1129" s="84"/>
      <c r="U1129" s="84"/>
      <c r="V1129" s="84"/>
      <c r="W1129" s="84"/>
      <c r="X1129" s="86"/>
    </row>
    <row r="1130" ht="15.0" customHeight="1">
      <c r="A1130" s="81"/>
      <c r="B1130" s="51"/>
      <c r="C1130" s="51"/>
      <c r="D1130" s="50"/>
      <c r="E1130" s="50"/>
      <c r="F1130" s="50"/>
      <c r="G1130" s="50"/>
      <c r="H1130" s="50"/>
      <c r="I1130" s="82"/>
      <c r="J1130" s="83"/>
      <c r="K1130" s="83"/>
      <c r="L1130" s="84"/>
      <c r="M1130" s="84"/>
      <c r="N1130" s="84"/>
      <c r="O1130" s="85"/>
      <c r="P1130" s="84"/>
      <c r="Q1130" s="84"/>
      <c r="R1130" s="84"/>
      <c r="S1130" s="84"/>
      <c r="T1130" s="84"/>
      <c r="U1130" s="84"/>
      <c r="V1130" s="84"/>
      <c r="W1130" s="84"/>
      <c r="X1130" s="86"/>
    </row>
    <row r="1131" ht="15.0" customHeight="1">
      <c r="A1131" s="81"/>
      <c r="B1131" s="51"/>
      <c r="C1131" s="51"/>
      <c r="D1131" s="50"/>
      <c r="E1131" s="50"/>
      <c r="F1131" s="50"/>
      <c r="G1131" s="50"/>
      <c r="H1131" s="50"/>
      <c r="I1131" s="82"/>
      <c r="J1131" s="83"/>
      <c r="K1131" s="83"/>
      <c r="L1131" s="84"/>
      <c r="M1131" s="84"/>
      <c r="N1131" s="84"/>
      <c r="O1131" s="85"/>
      <c r="P1131" s="84"/>
      <c r="Q1131" s="84"/>
      <c r="R1131" s="84"/>
      <c r="S1131" s="84"/>
      <c r="T1131" s="84"/>
      <c r="U1131" s="84"/>
      <c r="V1131" s="84"/>
      <c r="W1131" s="84"/>
      <c r="X1131" s="86"/>
    </row>
    <row r="1132" ht="15.0" customHeight="1">
      <c r="A1132" s="81"/>
      <c r="B1132" s="51"/>
      <c r="C1132" s="51"/>
      <c r="D1132" s="50"/>
      <c r="E1132" s="50"/>
      <c r="F1132" s="50"/>
      <c r="G1132" s="50"/>
      <c r="H1132" s="50"/>
      <c r="I1132" s="82"/>
      <c r="J1132" s="83"/>
      <c r="K1132" s="83"/>
      <c r="L1132" s="84"/>
      <c r="M1132" s="84"/>
      <c r="N1132" s="84"/>
      <c r="O1132" s="85"/>
      <c r="P1132" s="84"/>
      <c r="Q1132" s="84"/>
      <c r="R1132" s="84"/>
      <c r="S1132" s="84"/>
      <c r="T1132" s="84"/>
      <c r="U1132" s="84"/>
      <c r="V1132" s="84"/>
      <c r="W1132" s="84"/>
      <c r="X1132" s="86"/>
    </row>
    <row r="1133" ht="15.0" customHeight="1">
      <c r="A1133" s="81"/>
      <c r="B1133" s="51"/>
      <c r="C1133" s="51"/>
      <c r="D1133" s="50"/>
      <c r="E1133" s="50"/>
      <c r="F1133" s="50"/>
      <c r="G1133" s="50"/>
      <c r="H1133" s="50"/>
      <c r="I1133" s="82"/>
      <c r="J1133" s="83"/>
      <c r="K1133" s="83"/>
      <c r="L1133" s="84"/>
      <c r="M1133" s="84"/>
      <c r="N1133" s="84"/>
      <c r="O1133" s="85"/>
      <c r="P1133" s="84"/>
      <c r="Q1133" s="84"/>
      <c r="R1133" s="84"/>
      <c r="S1133" s="84"/>
      <c r="T1133" s="84"/>
      <c r="U1133" s="84"/>
      <c r="V1133" s="84"/>
      <c r="W1133" s="84"/>
      <c r="X1133" s="86"/>
    </row>
    <row r="1134" ht="15.0" customHeight="1">
      <c r="A1134" s="81"/>
      <c r="B1134" s="51"/>
      <c r="C1134" s="51"/>
      <c r="D1134" s="50"/>
      <c r="E1134" s="50"/>
      <c r="F1134" s="50"/>
      <c r="G1134" s="50"/>
      <c r="H1134" s="50"/>
      <c r="I1134" s="82"/>
      <c r="J1134" s="83"/>
      <c r="K1134" s="83"/>
      <c r="L1134" s="84"/>
      <c r="M1134" s="84"/>
      <c r="N1134" s="84"/>
      <c r="O1134" s="85"/>
      <c r="P1134" s="84"/>
      <c r="Q1134" s="84"/>
      <c r="R1134" s="84"/>
      <c r="S1134" s="84"/>
      <c r="T1134" s="84"/>
      <c r="U1134" s="84"/>
      <c r="V1134" s="84"/>
      <c r="W1134" s="84"/>
      <c r="X1134" s="86"/>
    </row>
    <row r="1135" ht="15.0" customHeight="1">
      <c r="A1135" s="81"/>
      <c r="B1135" s="51"/>
      <c r="C1135" s="51"/>
      <c r="D1135" s="50"/>
      <c r="E1135" s="50"/>
      <c r="F1135" s="50"/>
      <c r="G1135" s="50"/>
      <c r="H1135" s="50"/>
      <c r="I1135" s="82"/>
      <c r="J1135" s="83"/>
      <c r="K1135" s="83"/>
      <c r="L1135" s="84"/>
      <c r="M1135" s="84"/>
      <c r="N1135" s="84"/>
      <c r="O1135" s="85"/>
      <c r="P1135" s="84"/>
      <c r="Q1135" s="84"/>
      <c r="R1135" s="84"/>
      <c r="S1135" s="84"/>
      <c r="T1135" s="84"/>
      <c r="U1135" s="84"/>
      <c r="V1135" s="84"/>
      <c r="W1135" s="84"/>
      <c r="X1135" s="86"/>
    </row>
    <row r="1136" ht="15.0" customHeight="1">
      <c r="A1136" s="81"/>
      <c r="B1136" s="51"/>
      <c r="C1136" s="51"/>
      <c r="D1136" s="50"/>
      <c r="E1136" s="50"/>
      <c r="F1136" s="50"/>
      <c r="G1136" s="50"/>
      <c r="H1136" s="50"/>
      <c r="I1136" s="82"/>
      <c r="J1136" s="83"/>
      <c r="K1136" s="83"/>
      <c r="L1136" s="84"/>
      <c r="M1136" s="84"/>
      <c r="N1136" s="84"/>
      <c r="O1136" s="85"/>
      <c r="P1136" s="84"/>
      <c r="Q1136" s="84"/>
      <c r="R1136" s="84"/>
      <c r="S1136" s="84"/>
      <c r="T1136" s="84"/>
      <c r="U1136" s="84"/>
      <c r="V1136" s="84"/>
      <c r="W1136" s="84"/>
      <c r="X1136" s="86"/>
    </row>
    <row r="1137" ht="15.0" customHeight="1">
      <c r="A1137" s="81"/>
      <c r="B1137" s="51"/>
      <c r="C1137" s="51"/>
      <c r="D1137" s="50"/>
      <c r="E1137" s="50"/>
      <c r="F1137" s="50"/>
      <c r="G1137" s="50"/>
      <c r="H1137" s="50"/>
      <c r="I1137" s="82"/>
      <c r="J1137" s="83"/>
      <c r="K1137" s="83"/>
      <c r="L1137" s="84"/>
      <c r="M1137" s="84"/>
      <c r="N1137" s="84"/>
      <c r="O1137" s="85"/>
      <c r="P1137" s="84"/>
      <c r="Q1137" s="84"/>
      <c r="R1137" s="84"/>
      <c r="S1137" s="84"/>
      <c r="T1137" s="84"/>
      <c r="U1137" s="84"/>
      <c r="V1137" s="84"/>
      <c r="W1137" s="84"/>
      <c r="X1137" s="86"/>
    </row>
    <row r="1138" ht="15.0" customHeight="1">
      <c r="A1138" s="81"/>
      <c r="B1138" s="51"/>
      <c r="C1138" s="51"/>
      <c r="D1138" s="50"/>
      <c r="E1138" s="50"/>
      <c r="F1138" s="50"/>
      <c r="G1138" s="50"/>
      <c r="H1138" s="50"/>
      <c r="I1138" s="82"/>
      <c r="J1138" s="83"/>
      <c r="K1138" s="83"/>
      <c r="L1138" s="84"/>
      <c r="M1138" s="84"/>
      <c r="N1138" s="84"/>
      <c r="O1138" s="85"/>
      <c r="P1138" s="84"/>
      <c r="Q1138" s="84"/>
      <c r="R1138" s="84"/>
      <c r="S1138" s="84"/>
      <c r="T1138" s="84"/>
      <c r="U1138" s="84"/>
      <c r="V1138" s="84"/>
      <c r="W1138" s="84"/>
      <c r="X1138" s="86"/>
    </row>
    <row r="1139" ht="15.0" customHeight="1">
      <c r="A1139" s="81"/>
      <c r="B1139" s="51"/>
      <c r="C1139" s="51"/>
      <c r="D1139" s="50"/>
      <c r="E1139" s="50"/>
      <c r="F1139" s="50"/>
      <c r="G1139" s="50"/>
      <c r="H1139" s="50"/>
      <c r="I1139" s="82"/>
      <c r="J1139" s="83"/>
      <c r="K1139" s="83"/>
      <c r="L1139" s="84"/>
      <c r="M1139" s="84"/>
      <c r="N1139" s="84"/>
      <c r="O1139" s="85"/>
      <c r="P1139" s="84"/>
      <c r="Q1139" s="84"/>
      <c r="R1139" s="84"/>
      <c r="S1139" s="84"/>
      <c r="T1139" s="84"/>
      <c r="U1139" s="84"/>
      <c r="V1139" s="84"/>
      <c r="W1139" s="84"/>
      <c r="X1139" s="86"/>
    </row>
    <row r="1140" ht="15.0" customHeight="1">
      <c r="A1140" s="81"/>
      <c r="B1140" s="51"/>
      <c r="C1140" s="51"/>
      <c r="D1140" s="50"/>
      <c r="E1140" s="50"/>
      <c r="F1140" s="50"/>
      <c r="G1140" s="50"/>
      <c r="H1140" s="50"/>
      <c r="I1140" s="82"/>
      <c r="J1140" s="83"/>
      <c r="K1140" s="83"/>
      <c r="L1140" s="84"/>
      <c r="M1140" s="84"/>
      <c r="N1140" s="84"/>
      <c r="O1140" s="85"/>
      <c r="P1140" s="84"/>
      <c r="Q1140" s="84"/>
      <c r="R1140" s="84"/>
      <c r="S1140" s="84"/>
      <c r="T1140" s="84"/>
      <c r="U1140" s="84"/>
      <c r="V1140" s="84"/>
      <c r="W1140" s="84"/>
      <c r="X1140" s="86"/>
    </row>
    <row r="1141" ht="15.0" customHeight="1">
      <c r="A1141" s="81"/>
      <c r="B1141" s="51"/>
      <c r="C1141" s="51"/>
      <c r="D1141" s="50"/>
      <c r="E1141" s="50"/>
      <c r="F1141" s="50"/>
      <c r="G1141" s="50"/>
      <c r="H1141" s="50"/>
      <c r="I1141" s="82"/>
      <c r="J1141" s="83"/>
      <c r="K1141" s="83"/>
      <c r="L1141" s="84"/>
      <c r="M1141" s="84"/>
      <c r="N1141" s="84"/>
      <c r="O1141" s="85"/>
      <c r="P1141" s="84"/>
      <c r="Q1141" s="84"/>
      <c r="R1141" s="84"/>
      <c r="S1141" s="84"/>
      <c r="T1141" s="84"/>
      <c r="U1141" s="84"/>
      <c r="V1141" s="84"/>
      <c r="W1141" s="84"/>
      <c r="X1141" s="86"/>
    </row>
    <row r="1142" ht="15.0" customHeight="1">
      <c r="A1142" s="81"/>
      <c r="B1142" s="51"/>
      <c r="C1142" s="51"/>
      <c r="D1142" s="50"/>
      <c r="E1142" s="50"/>
      <c r="F1142" s="50"/>
      <c r="G1142" s="50"/>
      <c r="H1142" s="50"/>
      <c r="I1142" s="82"/>
      <c r="J1142" s="83"/>
      <c r="K1142" s="83"/>
      <c r="L1142" s="84"/>
      <c r="M1142" s="84"/>
      <c r="N1142" s="84"/>
      <c r="O1142" s="85"/>
      <c r="P1142" s="84"/>
      <c r="Q1142" s="84"/>
      <c r="R1142" s="84"/>
      <c r="S1142" s="84"/>
      <c r="T1142" s="84"/>
      <c r="U1142" s="84"/>
      <c r="V1142" s="84"/>
      <c r="W1142" s="84"/>
      <c r="X1142" s="86"/>
    </row>
    <row r="1143" ht="15.0" customHeight="1">
      <c r="A1143" s="81"/>
      <c r="B1143" s="51"/>
      <c r="C1143" s="51"/>
      <c r="D1143" s="50"/>
      <c r="E1143" s="50"/>
      <c r="F1143" s="50"/>
      <c r="G1143" s="50"/>
      <c r="H1143" s="50"/>
      <c r="I1143" s="82"/>
      <c r="J1143" s="83"/>
      <c r="K1143" s="83"/>
      <c r="L1143" s="84"/>
      <c r="M1143" s="84"/>
      <c r="N1143" s="84"/>
      <c r="O1143" s="85"/>
      <c r="P1143" s="84"/>
      <c r="Q1143" s="84"/>
      <c r="R1143" s="84"/>
      <c r="S1143" s="84"/>
      <c r="T1143" s="84"/>
      <c r="U1143" s="84"/>
      <c r="V1143" s="84"/>
      <c r="W1143" s="84"/>
      <c r="X1143" s="86"/>
    </row>
    <row r="1144" ht="15.0" customHeight="1">
      <c r="A1144" s="81"/>
      <c r="B1144" s="51"/>
      <c r="C1144" s="51"/>
      <c r="D1144" s="50"/>
      <c r="E1144" s="50"/>
      <c r="F1144" s="50"/>
      <c r="G1144" s="50"/>
      <c r="H1144" s="50"/>
      <c r="I1144" s="82"/>
      <c r="J1144" s="83"/>
      <c r="K1144" s="83"/>
      <c r="L1144" s="84"/>
      <c r="M1144" s="84"/>
      <c r="N1144" s="84"/>
      <c r="O1144" s="85"/>
      <c r="P1144" s="84"/>
      <c r="Q1144" s="84"/>
      <c r="R1144" s="84"/>
      <c r="S1144" s="84"/>
      <c r="T1144" s="84"/>
      <c r="U1144" s="84"/>
      <c r="V1144" s="84"/>
      <c r="W1144" s="84"/>
      <c r="X1144" s="86"/>
    </row>
    <row r="1145" ht="15.0" customHeight="1">
      <c r="A1145" s="81"/>
      <c r="B1145" s="51"/>
      <c r="C1145" s="51"/>
      <c r="D1145" s="50"/>
      <c r="E1145" s="50"/>
      <c r="F1145" s="50"/>
      <c r="G1145" s="50"/>
      <c r="H1145" s="50"/>
      <c r="I1145" s="82"/>
      <c r="J1145" s="83"/>
      <c r="K1145" s="83"/>
      <c r="L1145" s="84"/>
      <c r="M1145" s="84"/>
      <c r="N1145" s="84"/>
      <c r="O1145" s="85"/>
      <c r="P1145" s="84"/>
      <c r="Q1145" s="84"/>
      <c r="R1145" s="84"/>
      <c r="S1145" s="84"/>
      <c r="T1145" s="84"/>
      <c r="U1145" s="84"/>
      <c r="V1145" s="84"/>
      <c r="W1145" s="84"/>
      <c r="X1145" s="86"/>
    </row>
    <row r="1146" ht="15.0" customHeight="1">
      <c r="A1146" s="81"/>
      <c r="B1146" s="51"/>
      <c r="C1146" s="51"/>
      <c r="D1146" s="50"/>
      <c r="E1146" s="50"/>
      <c r="F1146" s="50"/>
      <c r="G1146" s="50"/>
      <c r="H1146" s="50"/>
      <c r="I1146" s="82"/>
      <c r="J1146" s="83"/>
      <c r="K1146" s="83"/>
      <c r="L1146" s="84"/>
      <c r="M1146" s="84"/>
      <c r="N1146" s="84"/>
      <c r="O1146" s="85"/>
      <c r="P1146" s="84"/>
      <c r="Q1146" s="84"/>
      <c r="R1146" s="84"/>
      <c r="S1146" s="84"/>
      <c r="T1146" s="84"/>
      <c r="U1146" s="84"/>
      <c r="V1146" s="84"/>
      <c r="W1146" s="84"/>
      <c r="X1146" s="86"/>
    </row>
    <row r="1147" ht="15.0" customHeight="1">
      <c r="A1147" s="81"/>
      <c r="B1147" s="51"/>
      <c r="C1147" s="51"/>
      <c r="D1147" s="50"/>
      <c r="E1147" s="50"/>
      <c r="F1147" s="50"/>
      <c r="G1147" s="50"/>
      <c r="H1147" s="50"/>
      <c r="I1147" s="82"/>
      <c r="J1147" s="83"/>
      <c r="K1147" s="83"/>
      <c r="L1147" s="84"/>
      <c r="M1147" s="84"/>
      <c r="N1147" s="84"/>
      <c r="O1147" s="85"/>
      <c r="P1147" s="84"/>
      <c r="Q1147" s="84"/>
      <c r="R1147" s="84"/>
      <c r="S1147" s="84"/>
      <c r="T1147" s="84"/>
      <c r="U1147" s="84"/>
      <c r="V1147" s="84"/>
      <c r="W1147" s="84"/>
      <c r="X1147" s="86"/>
    </row>
    <row r="1148" ht="15.0" customHeight="1">
      <c r="A1148" s="81"/>
      <c r="B1148" s="51"/>
      <c r="C1148" s="51"/>
      <c r="D1148" s="50"/>
      <c r="E1148" s="50"/>
      <c r="F1148" s="50"/>
      <c r="G1148" s="50"/>
      <c r="H1148" s="50"/>
      <c r="I1148" s="82"/>
      <c r="J1148" s="83"/>
      <c r="K1148" s="83"/>
      <c r="L1148" s="84"/>
      <c r="M1148" s="84"/>
      <c r="N1148" s="84"/>
      <c r="O1148" s="85"/>
      <c r="P1148" s="84"/>
      <c r="Q1148" s="84"/>
      <c r="R1148" s="84"/>
      <c r="S1148" s="84"/>
      <c r="T1148" s="84"/>
      <c r="U1148" s="84"/>
      <c r="V1148" s="84"/>
      <c r="W1148" s="84"/>
      <c r="X1148" s="86"/>
    </row>
    <row r="1149" ht="15.0" customHeight="1">
      <c r="A1149" s="81"/>
      <c r="B1149" s="51"/>
      <c r="C1149" s="51"/>
      <c r="D1149" s="50"/>
      <c r="E1149" s="50"/>
      <c r="F1149" s="50"/>
      <c r="G1149" s="50"/>
      <c r="H1149" s="50"/>
      <c r="I1149" s="82"/>
      <c r="J1149" s="83"/>
      <c r="K1149" s="83"/>
      <c r="L1149" s="84"/>
      <c r="M1149" s="84"/>
      <c r="N1149" s="84"/>
      <c r="O1149" s="85"/>
      <c r="P1149" s="84"/>
      <c r="Q1149" s="84"/>
      <c r="R1149" s="84"/>
      <c r="S1149" s="84"/>
      <c r="T1149" s="84"/>
      <c r="U1149" s="84"/>
      <c r="V1149" s="84"/>
      <c r="W1149" s="84"/>
      <c r="X1149" s="86"/>
    </row>
    <row r="1150" ht="15.0" customHeight="1">
      <c r="A1150" s="81"/>
      <c r="B1150" s="51"/>
      <c r="C1150" s="51"/>
      <c r="D1150" s="50"/>
      <c r="E1150" s="50"/>
      <c r="F1150" s="50"/>
      <c r="G1150" s="50"/>
      <c r="H1150" s="50"/>
      <c r="I1150" s="82"/>
      <c r="J1150" s="83"/>
      <c r="K1150" s="83"/>
      <c r="L1150" s="84"/>
      <c r="M1150" s="84"/>
      <c r="N1150" s="84"/>
      <c r="O1150" s="85"/>
      <c r="P1150" s="84"/>
      <c r="Q1150" s="84"/>
      <c r="R1150" s="84"/>
      <c r="S1150" s="84"/>
      <c r="T1150" s="84"/>
      <c r="U1150" s="84"/>
      <c r="V1150" s="84"/>
      <c r="W1150" s="84"/>
      <c r="X1150" s="86"/>
    </row>
    <row r="1151" ht="15.0" customHeight="1">
      <c r="A1151" s="81"/>
      <c r="B1151" s="51"/>
      <c r="C1151" s="51"/>
      <c r="D1151" s="50"/>
      <c r="E1151" s="50"/>
      <c r="F1151" s="50"/>
      <c r="G1151" s="50"/>
      <c r="H1151" s="50"/>
      <c r="I1151" s="82"/>
      <c r="J1151" s="83"/>
      <c r="K1151" s="83"/>
      <c r="L1151" s="84"/>
      <c r="M1151" s="84"/>
      <c r="N1151" s="84"/>
      <c r="O1151" s="85"/>
      <c r="P1151" s="84"/>
      <c r="Q1151" s="84"/>
      <c r="R1151" s="84"/>
      <c r="S1151" s="84"/>
      <c r="T1151" s="84"/>
      <c r="U1151" s="84"/>
      <c r="V1151" s="84"/>
      <c r="W1151" s="84"/>
      <c r="X1151" s="86"/>
    </row>
    <row r="1152" ht="15.0" customHeight="1">
      <c r="A1152" s="81"/>
      <c r="B1152" s="51"/>
      <c r="C1152" s="51"/>
      <c r="D1152" s="50"/>
      <c r="E1152" s="50"/>
      <c r="F1152" s="50"/>
      <c r="G1152" s="50"/>
      <c r="H1152" s="50"/>
      <c r="I1152" s="82"/>
      <c r="J1152" s="83"/>
      <c r="K1152" s="83"/>
      <c r="L1152" s="84"/>
      <c r="M1152" s="84"/>
      <c r="N1152" s="84"/>
      <c r="O1152" s="85"/>
      <c r="P1152" s="84"/>
      <c r="Q1152" s="84"/>
      <c r="R1152" s="84"/>
      <c r="S1152" s="84"/>
      <c r="T1152" s="84"/>
      <c r="U1152" s="84"/>
      <c r="V1152" s="84"/>
      <c r="W1152" s="84"/>
      <c r="X1152" s="86"/>
    </row>
    <row r="1153" ht="15.0" customHeight="1">
      <c r="A1153" s="81"/>
      <c r="B1153" s="51"/>
      <c r="C1153" s="51"/>
      <c r="D1153" s="50"/>
      <c r="E1153" s="50"/>
      <c r="F1153" s="50"/>
      <c r="G1153" s="50"/>
      <c r="H1153" s="50"/>
      <c r="I1153" s="82"/>
      <c r="J1153" s="83"/>
      <c r="K1153" s="83"/>
      <c r="L1153" s="84"/>
      <c r="M1153" s="84"/>
      <c r="N1153" s="84"/>
      <c r="O1153" s="85"/>
      <c r="P1153" s="84"/>
      <c r="Q1153" s="84"/>
      <c r="R1153" s="84"/>
      <c r="S1153" s="84"/>
      <c r="T1153" s="84"/>
      <c r="U1153" s="84"/>
      <c r="V1153" s="84"/>
      <c r="W1153" s="84"/>
      <c r="X1153" s="86"/>
    </row>
    <row r="1154" ht="15.0" customHeight="1">
      <c r="A1154" s="81"/>
      <c r="B1154" s="51"/>
      <c r="C1154" s="51"/>
      <c r="D1154" s="50"/>
      <c r="E1154" s="50"/>
      <c r="F1154" s="50"/>
      <c r="G1154" s="50"/>
      <c r="H1154" s="50"/>
      <c r="I1154" s="82"/>
      <c r="J1154" s="83"/>
      <c r="K1154" s="83"/>
      <c r="L1154" s="84"/>
      <c r="M1154" s="84"/>
      <c r="N1154" s="84"/>
      <c r="O1154" s="85"/>
      <c r="P1154" s="84"/>
      <c r="Q1154" s="84"/>
      <c r="R1154" s="84"/>
      <c r="S1154" s="84"/>
      <c r="T1154" s="84"/>
      <c r="U1154" s="84"/>
      <c r="V1154" s="84"/>
      <c r="W1154" s="84"/>
      <c r="X1154" s="86"/>
    </row>
    <row r="1155" ht="15.0" customHeight="1">
      <c r="A1155" s="81"/>
      <c r="B1155" s="51"/>
      <c r="C1155" s="51"/>
      <c r="D1155" s="50"/>
      <c r="E1155" s="50"/>
      <c r="F1155" s="50"/>
      <c r="G1155" s="50"/>
      <c r="H1155" s="50"/>
      <c r="I1155" s="82"/>
      <c r="J1155" s="83"/>
      <c r="K1155" s="83"/>
      <c r="L1155" s="84"/>
      <c r="M1155" s="84"/>
      <c r="N1155" s="84"/>
      <c r="O1155" s="85"/>
      <c r="P1155" s="84"/>
      <c r="Q1155" s="84"/>
      <c r="R1155" s="84"/>
      <c r="S1155" s="84"/>
      <c r="T1155" s="84"/>
      <c r="U1155" s="84"/>
      <c r="V1155" s="84"/>
      <c r="W1155" s="84"/>
      <c r="X1155" s="86"/>
    </row>
    <row r="1156" ht="15.0" customHeight="1">
      <c r="A1156" s="81"/>
      <c r="B1156" s="51"/>
      <c r="C1156" s="51"/>
      <c r="D1156" s="50"/>
      <c r="E1156" s="50"/>
      <c r="F1156" s="50"/>
      <c r="G1156" s="50"/>
      <c r="H1156" s="50"/>
      <c r="I1156" s="82"/>
      <c r="J1156" s="83"/>
      <c r="K1156" s="83"/>
      <c r="L1156" s="84"/>
      <c r="M1156" s="84"/>
      <c r="N1156" s="84"/>
      <c r="O1156" s="85"/>
      <c r="P1156" s="84"/>
      <c r="Q1156" s="84"/>
      <c r="R1156" s="84"/>
      <c r="S1156" s="84"/>
      <c r="T1156" s="84"/>
      <c r="U1156" s="84"/>
      <c r="V1156" s="84"/>
      <c r="W1156" s="84"/>
      <c r="X1156" s="86"/>
    </row>
    <row r="1157" ht="15.0" customHeight="1">
      <c r="A1157" s="81"/>
      <c r="B1157" s="51"/>
      <c r="C1157" s="51"/>
      <c r="D1157" s="50"/>
      <c r="E1157" s="50"/>
      <c r="F1157" s="50"/>
      <c r="G1157" s="50"/>
      <c r="H1157" s="50"/>
      <c r="I1157" s="82"/>
      <c r="J1157" s="83"/>
      <c r="K1157" s="83"/>
      <c r="L1157" s="84"/>
      <c r="M1157" s="84"/>
      <c r="N1157" s="84"/>
      <c r="O1157" s="85"/>
      <c r="P1157" s="84"/>
      <c r="Q1157" s="84"/>
      <c r="R1157" s="84"/>
      <c r="S1157" s="84"/>
      <c r="T1157" s="84"/>
      <c r="U1157" s="84"/>
      <c r="V1157" s="84"/>
      <c r="W1157" s="84"/>
      <c r="X1157" s="86"/>
    </row>
    <row r="1158" ht="15.0" customHeight="1">
      <c r="A1158" s="81"/>
      <c r="B1158" s="51"/>
      <c r="C1158" s="51"/>
      <c r="D1158" s="50"/>
      <c r="E1158" s="50"/>
      <c r="F1158" s="50"/>
      <c r="G1158" s="50"/>
      <c r="H1158" s="50"/>
      <c r="I1158" s="82"/>
      <c r="J1158" s="83"/>
      <c r="K1158" s="83"/>
      <c r="L1158" s="84"/>
      <c r="M1158" s="84"/>
      <c r="N1158" s="84"/>
      <c r="O1158" s="85"/>
      <c r="P1158" s="84"/>
      <c r="Q1158" s="84"/>
      <c r="R1158" s="84"/>
      <c r="S1158" s="84"/>
      <c r="T1158" s="84"/>
      <c r="U1158" s="84"/>
      <c r="V1158" s="84"/>
      <c r="W1158" s="84"/>
      <c r="X1158" s="86"/>
    </row>
    <row r="1159" ht="15.0" customHeight="1">
      <c r="A1159" s="81"/>
      <c r="B1159" s="51"/>
      <c r="C1159" s="51"/>
      <c r="D1159" s="50"/>
      <c r="E1159" s="50"/>
      <c r="F1159" s="50"/>
      <c r="G1159" s="50"/>
      <c r="H1159" s="50"/>
      <c r="I1159" s="82"/>
      <c r="J1159" s="83"/>
      <c r="K1159" s="83"/>
      <c r="L1159" s="84"/>
      <c r="M1159" s="84"/>
      <c r="N1159" s="84"/>
      <c r="O1159" s="85"/>
      <c r="P1159" s="84"/>
      <c r="Q1159" s="84"/>
      <c r="R1159" s="84"/>
      <c r="S1159" s="84"/>
      <c r="T1159" s="84"/>
      <c r="U1159" s="84"/>
      <c r="V1159" s="84"/>
      <c r="W1159" s="84"/>
      <c r="X1159" s="86"/>
    </row>
    <row r="1160" ht="15.0" customHeight="1">
      <c r="A1160" s="81"/>
      <c r="B1160" s="51"/>
      <c r="C1160" s="51"/>
      <c r="D1160" s="50"/>
      <c r="E1160" s="50"/>
      <c r="F1160" s="50"/>
      <c r="G1160" s="50"/>
      <c r="H1160" s="50"/>
      <c r="I1160" s="82"/>
      <c r="J1160" s="83"/>
      <c r="K1160" s="83"/>
      <c r="L1160" s="84"/>
      <c r="M1160" s="84"/>
      <c r="N1160" s="84"/>
      <c r="O1160" s="85"/>
      <c r="P1160" s="84"/>
      <c r="Q1160" s="84"/>
      <c r="R1160" s="84"/>
      <c r="S1160" s="84"/>
      <c r="T1160" s="84"/>
      <c r="U1160" s="84"/>
      <c r="V1160" s="84"/>
      <c r="W1160" s="84"/>
      <c r="X1160" s="86"/>
    </row>
    <row r="1161" ht="15.0" customHeight="1">
      <c r="A1161" s="81"/>
      <c r="B1161" s="51"/>
      <c r="C1161" s="51"/>
      <c r="D1161" s="50"/>
      <c r="E1161" s="50"/>
      <c r="F1161" s="50"/>
      <c r="G1161" s="50"/>
      <c r="H1161" s="50"/>
      <c r="I1161" s="82"/>
      <c r="J1161" s="83"/>
      <c r="K1161" s="83"/>
      <c r="L1161" s="84"/>
      <c r="M1161" s="84"/>
      <c r="N1161" s="84"/>
      <c r="O1161" s="85"/>
      <c r="P1161" s="84"/>
      <c r="Q1161" s="84"/>
      <c r="R1161" s="84"/>
      <c r="S1161" s="84"/>
      <c r="T1161" s="84"/>
      <c r="U1161" s="84"/>
      <c r="V1161" s="84"/>
      <c r="W1161" s="84"/>
      <c r="X1161" s="86"/>
    </row>
    <row r="1162" ht="15.0" customHeight="1">
      <c r="A1162" s="81"/>
      <c r="B1162" s="51"/>
      <c r="C1162" s="51"/>
      <c r="D1162" s="50"/>
      <c r="E1162" s="50"/>
      <c r="F1162" s="50"/>
      <c r="G1162" s="50"/>
      <c r="H1162" s="50"/>
      <c r="I1162" s="82"/>
      <c r="J1162" s="83"/>
      <c r="K1162" s="83"/>
      <c r="L1162" s="84"/>
      <c r="M1162" s="84"/>
      <c r="N1162" s="84"/>
      <c r="O1162" s="85"/>
      <c r="P1162" s="84"/>
      <c r="Q1162" s="84"/>
      <c r="R1162" s="84"/>
      <c r="S1162" s="84"/>
      <c r="T1162" s="84"/>
      <c r="U1162" s="84"/>
      <c r="V1162" s="84"/>
      <c r="W1162" s="84"/>
      <c r="X1162" s="86"/>
    </row>
    <row r="1163" ht="15.0" customHeight="1">
      <c r="A1163" s="81"/>
      <c r="B1163" s="51"/>
      <c r="C1163" s="51"/>
      <c r="D1163" s="50"/>
      <c r="E1163" s="50"/>
      <c r="F1163" s="50"/>
      <c r="G1163" s="50"/>
      <c r="H1163" s="50"/>
      <c r="I1163" s="82"/>
      <c r="J1163" s="83"/>
      <c r="K1163" s="83"/>
      <c r="L1163" s="84"/>
      <c r="M1163" s="84"/>
      <c r="N1163" s="84"/>
      <c r="O1163" s="85"/>
      <c r="P1163" s="84"/>
      <c r="Q1163" s="84"/>
      <c r="R1163" s="84"/>
      <c r="S1163" s="84"/>
      <c r="T1163" s="84"/>
      <c r="U1163" s="84"/>
      <c r="V1163" s="84"/>
      <c r="W1163" s="84"/>
      <c r="X1163" s="86"/>
    </row>
    <row r="1164" ht="15.0" customHeight="1">
      <c r="A1164" s="81"/>
      <c r="B1164" s="51"/>
      <c r="C1164" s="51"/>
      <c r="D1164" s="50"/>
      <c r="E1164" s="50"/>
      <c r="F1164" s="50"/>
      <c r="G1164" s="50"/>
      <c r="H1164" s="50"/>
      <c r="I1164" s="82"/>
      <c r="J1164" s="83"/>
      <c r="K1164" s="83"/>
      <c r="L1164" s="84"/>
      <c r="M1164" s="84"/>
      <c r="N1164" s="84"/>
      <c r="O1164" s="85"/>
      <c r="P1164" s="84"/>
      <c r="Q1164" s="84"/>
      <c r="R1164" s="84"/>
      <c r="S1164" s="84"/>
      <c r="T1164" s="84"/>
      <c r="U1164" s="84"/>
      <c r="V1164" s="84"/>
      <c r="W1164" s="84"/>
      <c r="X1164" s="86"/>
    </row>
    <row r="1165" ht="15.0" customHeight="1">
      <c r="A1165" s="81"/>
      <c r="B1165" s="51"/>
      <c r="C1165" s="51"/>
      <c r="D1165" s="50"/>
      <c r="E1165" s="50"/>
      <c r="F1165" s="50"/>
      <c r="G1165" s="50"/>
      <c r="H1165" s="50"/>
      <c r="I1165" s="82"/>
      <c r="J1165" s="83"/>
      <c r="K1165" s="83"/>
      <c r="L1165" s="84"/>
      <c r="M1165" s="84"/>
      <c r="N1165" s="84"/>
      <c r="O1165" s="85"/>
      <c r="P1165" s="84"/>
      <c r="Q1165" s="84"/>
      <c r="R1165" s="84"/>
      <c r="S1165" s="84"/>
      <c r="T1165" s="84"/>
      <c r="U1165" s="84"/>
      <c r="V1165" s="84"/>
      <c r="W1165" s="84"/>
      <c r="X1165" s="86"/>
    </row>
    <row r="1166" ht="15.0" customHeight="1">
      <c r="A1166" s="81"/>
      <c r="B1166" s="51"/>
      <c r="C1166" s="51"/>
      <c r="D1166" s="50"/>
      <c r="E1166" s="50"/>
      <c r="F1166" s="50"/>
      <c r="G1166" s="50"/>
      <c r="H1166" s="50"/>
      <c r="I1166" s="82"/>
      <c r="J1166" s="83"/>
      <c r="K1166" s="83"/>
      <c r="L1166" s="84"/>
      <c r="M1166" s="84"/>
      <c r="N1166" s="84"/>
      <c r="O1166" s="85"/>
      <c r="P1166" s="84"/>
      <c r="Q1166" s="84"/>
      <c r="R1166" s="84"/>
      <c r="S1166" s="84"/>
      <c r="T1166" s="84"/>
      <c r="U1166" s="84"/>
      <c r="V1166" s="84"/>
      <c r="W1166" s="84"/>
      <c r="X1166" s="86"/>
    </row>
    <row r="1167" ht="15.0" customHeight="1">
      <c r="A1167" s="81"/>
      <c r="B1167" s="51"/>
      <c r="C1167" s="51"/>
      <c r="D1167" s="50"/>
      <c r="E1167" s="50"/>
      <c r="F1167" s="50"/>
      <c r="G1167" s="50"/>
      <c r="H1167" s="50"/>
      <c r="I1167" s="82"/>
      <c r="J1167" s="83"/>
      <c r="K1167" s="83"/>
      <c r="L1167" s="84"/>
      <c r="M1167" s="84"/>
      <c r="N1167" s="84"/>
      <c r="O1167" s="85"/>
      <c r="P1167" s="84"/>
      <c r="Q1167" s="84"/>
      <c r="R1167" s="84"/>
      <c r="S1167" s="84"/>
      <c r="T1167" s="84"/>
      <c r="U1167" s="84"/>
      <c r="V1167" s="84"/>
      <c r="W1167" s="84"/>
      <c r="X1167" s="86"/>
    </row>
    <row r="1168" ht="15.0" customHeight="1">
      <c r="A1168" s="81"/>
      <c r="B1168" s="51"/>
      <c r="C1168" s="51"/>
      <c r="D1168" s="50"/>
      <c r="E1168" s="50"/>
      <c r="F1168" s="50"/>
      <c r="G1168" s="50"/>
      <c r="H1168" s="50"/>
      <c r="I1168" s="82"/>
      <c r="J1168" s="83"/>
      <c r="K1168" s="83"/>
      <c r="L1168" s="84"/>
      <c r="M1168" s="84"/>
      <c r="N1168" s="84"/>
      <c r="O1168" s="85"/>
      <c r="P1168" s="84"/>
      <c r="Q1168" s="84"/>
      <c r="R1168" s="84"/>
      <c r="S1168" s="84"/>
      <c r="T1168" s="84"/>
      <c r="U1168" s="84"/>
      <c r="V1168" s="84"/>
      <c r="W1168" s="84"/>
      <c r="X1168" s="86"/>
    </row>
    <row r="1169" ht="15.0" customHeight="1">
      <c r="A1169" s="81"/>
      <c r="B1169" s="51"/>
      <c r="C1169" s="51"/>
      <c r="D1169" s="50"/>
      <c r="E1169" s="50"/>
      <c r="F1169" s="50"/>
      <c r="G1169" s="50"/>
      <c r="H1169" s="50"/>
      <c r="I1169" s="82"/>
      <c r="J1169" s="83"/>
      <c r="K1169" s="83"/>
      <c r="L1169" s="84"/>
      <c r="M1169" s="84"/>
      <c r="N1169" s="84"/>
      <c r="O1169" s="85"/>
      <c r="P1169" s="84"/>
      <c r="Q1169" s="84"/>
      <c r="R1169" s="84"/>
      <c r="S1169" s="84"/>
      <c r="T1169" s="84"/>
      <c r="U1169" s="84"/>
      <c r="V1169" s="84"/>
      <c r="W1169" s="84"/>
      <c r="X1169" s="86"/>
    </row>
    <row r="1170" ht="15.0" customHeight="1">
      <c r="A1170" s="81"/>
      <c r="B1170" s="51"/>
      <c r="C1170" s="51"/>
      <c r="D1170" s="50"/>
      <c r="E1170" s="50"/>
      <c r="F1170" s="50"/>
      <c r="G1170" s="50"/>
      <c r="H1170" s="50"/>
      <c r="I1170" s="82"/>
      <c r="J1170" s="83"/>
      <c r="K1170" s="83"/>
      <c r="L1170" s="84"/>
      <c r="M1170" s="84"/>
      <c r="N1170" s="84"/>
      <c r="O1170" s="85"/>
      <c r="P1170" s="84"/>
      <c r="Q1170" s="84"/>
      <c r="R1170" s="84"/>
      <c r="S1170" s="84"/>
      <c r="T1170" s="84"/>
      <c r="U1170" s="84"/>
      <c r="V1170" s="84"/>
      <c r="W1170" s="84"/>
      <c r="X1170" s="86"/>
    </row>
    <row r="1171" ht="15.0" customHeight="1">
      <c r="A1171" s="81"/>
      <c r="B1171" s="51"/>
      <c r="C1171" s="51"/>
      <c r="D1171" s="50"/>
      <c r="E1171" s="50"/>
      <c r="F1171" s="50"/>
      <c r="G1171" s="50"/>
      <c r="H1171" s="50"/>
      <c r="I1171" s="82"/>
      <c r="J1171" s="83"/>
      <c r="K1171" s="83"/>
      <c r="L1171" s="84"/>
      <c r="M1171" s="84"/>
      <c r="N1171" s="84"/>
      <c r="O1171" s="85"/>
      <c r="P1171" s="84"/>
      <c r="Q1171" s="84"/>
      <c r="R1171" s="84"/>
      <c r="S1171" s="84"/>
      <c r="T1171" s="84"/>
      <c r="U1171" s="84"/>
      <c r="V1171" s="84"/>
      <c r="W1171" s="84"/>
      <c r="X1171" s="86"/>
    </row>
    <row r="1172" ht="15.0" customHeight="1">
      <c r="A1172" s="81"/>
      <c r="B1172" s="51"/>
      <c r="C1172" s="51"/>
      <c r="D1172" s="50"/>
      <c r="E1172" s="50"/>
      <c r="F1172" s="50"/>
      <c r="G1172" s="50"/>
      <c r="H1172" s="50"/>
      <c r="I1172" s="82"/>
      <c r="J1172" s="83"/>
      <c r="K1172" s="83"/>
      <c r="L1172" s="84"/>
      <c r="M1172" s="84"/>
      <c r="N1172" s="84"/>
      <c r="O1172" s="85"/>
      <c r="P1172" s="84"/>
      <c r="Q1172" s="84"/>
      <c r="R1172" s="84"/>
      <c r="S1172" s="84"/>
      <c r="T1172" s="84"/>
      <c r="U1172" s="84"/>
      <c r="V1172" s="84"/>
      <c r="W1172" s="84"/>
      <c r="X1172" s="86"/>
    </row>
    <row r="1173" ht="15.0" customHeight="1">
      <c r="A1173" s="81"/>
      <c r="B1173" s="51"/>
      <c r="C1173" s="51"/>
      <c r="D1173" s="50"/>
      <c r="E1173" s="50"/>
      <c r="F1173" s="50"/>
      <c r="G1173" s="50"/>
      <c r="H1173" s="50"/>
      <c r="I1173" s="82"/>
      <c r="J1173" s="83"/>
      <c r="K1173" s="83"/>
      <c r="L1173" s="84"/>
      <c r="M1173" s="84"/>
      <c r="N1173" s="84"/>
      <c r="O1173" s="85"/>
      <c r="P1173" s="84"/>
      <c r="Q1173" s="84"/>
      <c r="R1173" s="84"/>
      <c r="S1173" s="84"/>
      <c r="T1173" s="84"/>
      <c r="U1173" s="84"/>
      <c r="V1173" s="84"/>
      <c r="W1173" s="84"/>
      <c r="X1173" s="86"/>
    </row>
    <row r="1174" ht="15.0" customHeight="1">
      <c r="A1174" s="81"/>
      <c r="B1174" s="51"/>
      <c r="C1174" s="51"/>
      <c r="D1174" s="50"/>
      <c r="E1174" s="50"/>
      <c r="F1174" s="50"/>
      <c r="G1174" s="50"/>
      <c r="H1174" s="50"/>
      <c r="I1174" s="82"/>
      <c r="J1174" s="83"/>
      <c r="K1174" s="83"/>
      <c r="L1174" s="84"/>
      <c r="M1174" s="84"/>
      <c r="N1174" s="84"/>
      <c r="O1174" s="85"/>
      <c r="P1174" s="84"/>
      <c r="Q1174" s="84"/>
      <c r="R1174" s="84"/>
      <c r="S1174" s="84"/>
      <c r="T1174" s="84"/>
      <c r="U1174" s="84"/>
      <c r="V1174" s="84"/>
      <c r="W1174" s="84"/>
      <c r="X1174" s="86"/>
    </row>
    <row r="1175" ht="15.0" customHeight="1">
      <c r="A1175" s="81"/>
      <c r="B1175" s="51"/>
      <c r="C1175" s="51"/>
      <c r="D1175" s="50"/>
      <c r="E1175" s="50"/>
      <c r="F1175" s="50"/>
      <c r="G1175" s="50"/>
      <c r="H1175" s="50"/>
      <c r="I1175" s="82"/>
      <c r="J1175" s="83"/>
      <c r="K1175" s="83"/>
      <c r="L1175" s="84"/>
      <c r="M1175" s="84"/>
      <c r="N1175" s="84"/>
      <c r="O1175" s="85"/>
      <c r="P1175" s="84"/>
      <c r="Q1175" s="84"/>
      <c r="R1175" s="84"/>
      <c r="S1175" s="84"/>
      <c r="T1175" s="84"/>
      <c r="U1175" s="84"/>
      <c r="V1175" s="84"/>
      <c r="W1175" s="84"/>
      <c r="X1175" s="86"/>
    </row>
    <row r="1176" ht="15.0" customHeight="1">
      <c r="A1176" s="81"/>
      <c r="B1176" s="51"/>
      <c r="C1176" s="51"/>
      <c r="D1176" s="50"/>
      <c r="E1176" s="50"/>
      <c r="F1176" s="50"/>
      <c r="G1176" s="50"/>
      <c r="H1176" s="50"/>
      <c r="I1176" s="82"/>
      <c r="J1176" s="83"/>
      <c r="K1176" s="83"/>
      <c r="L1176" s="84"/>
      <c r="M1176" s="84"/>
      <c r="N1176" s="84"/>
      <c r="O1176" s="85"/>
      <c r="P1176" s="84"/>
      <c r="Q1176" s="84"/>
      <c r="R1176" s="84"/>
      <c r="S1176" s="84"/>
      <c r="T1176" s="84"/>
      <c r="U1176" s="84"/>
      <c r="V1176" s="84"/>
      <c r="W1176" s="84"/>
      <c r="X1176" s="86"/>
    </row>
    <row r="1177" ht="15.0" customHeight="1">
      <c r="A1177" s="81"/>
      <c r="B1177" s="51"/>
      <c r="C1177" s="51"/>
      <c r="D1177" s="50"/>
      <c r="E1177" s="50"/>
      <c r="F1177" s="50"/>
      <c r="G1177" s="50"/>
      <c r="H1177" s="50"/>
      <c r="I1177" s="82"/>
      <c r="J1177" s="83"/>
      <c r="K1177" s="83"/>
      <c r="L1177" s="84"/>
      <c r="M1177" s="84"/>
      <c r="N1177" s="84"/>
      <c r="O1177" s="85"/>
      <c r="P1177" s="84"/>
      <c r="Q1177" s="84"/>
      <c r="R1177" s="84"/>
      <c r="S1177" s="84"/>
      <c r="T1177" s="84"/>
      <c r="U1177" s="84"/>
      <c r="V1177" s="84"/>
      <c r="W1177" s="84"/>
      <c r="X1177" s="86"/>
    </row>
    <row r="1178" ht="15.0" customHeight="1">
      <c r="A1178" s="81"/>
      <c r="B1178" s="51"/>
      <c r="C1178" s="51"/>
      <c r="D1178" s="50"/>
      <c r="E1178" s="50"/>
      <c r="F1178" s="50"/>
      <c r="G1178" s="50"/>
      <c r="H1178" s="50"/>
      <c r="I1178" s="82"/>
      <c r="J1178" s="83"/>
      <c r="K1178" s="83"/>
      <c r="L1178" s="84"/>
      <c r="M1178" s="84"/>
      <c r="N1178" s="84"/>
      <c r="O1178" s="85"/>
      <c r="P1178" s="84"/>
      <c r="Q1178" s="84"/>
      <c r="R1178" s="84"/>
      <c r="S1178" s="84"/>
      <c r="T1178" s="84"/>
      <c r="U1178" s="84"/>
      <c r="V1178" s="84"/>
      <c r="W1178" s="84"/>
      <c r="X1178" s="86"/>
    </row>
    <row r="1179" ht="15.0" customHeight="1">
      <c r="A1179" s="81"/>
      <c r="B1179" s="51"/>
      <c r="C1179" s="51"/>
      <c r="D1179" s="50"/>
      <c r="E1179" s="50"/>
      <c r="F1179" s="50"/>
      <c r="G1179" s="50"/>
      <c r="H1179" s="50"/>
      <c r="I1179" s="82"/>
      <c r="J1179" s="83"/>
      <c r="K1179" s="83"/>
      <c r="L1179" s="84"/>
      <c r="M1179" s="84"/>
      <c r="N1179" s="84"/>
      <c r="O1179" s="85"/>
      <c r="P1179" s="84"/>
      <c r="Q1179" s="84"/>
      <c r="R1179" s="84"/>
      <c r="S1179" s="84"/>
      <c r="T1179" s="84"/>
      <c r="U1179" s="84"/>
      <c r="V1179" s="84"/>
      <c r="W1179" s="84"/>
      <c r="X1179" s="86"/>
    </row>
    <row r="1180" ht="15.0" customHeight="1">
      <c r="A1180" s="81"/>
      <c r="B1180" s="51"/>
      <c r="C1180" s="51"/>
      <c r="D1180" s="50"/>
      <c r="E1180" s="50"/>
      <c r="F1180" s="50"/>
      <c r="G1180" s="50"/>
      <c r="H1180" s="50"/>
      <c r="I1180" s="82"/>
      <c r="J1180" s="83"/>
      <c r="K1180" s="83"/>
      <c r="L1180" s="84"/>
      <c r="M1180" s="84"/>
      <c r="N1180" s="84"/>
      <c r="O1180" s="85"/>
      <c r="P1180" s="84"/>
      <c r="Q1180" s="84"/>
      <c r="R1180" s="84"/>
      <c r="S1180" s="84"/>
      <c r="T1180" s="84"/>
      <c r="U1180" s="84"/>
      <c r="V1180" s="84"/>
      <c r="W1180" s="84"/>
      <c r="X1180" s="86"/>
    </row>
    <row r="1181" ht="15.0" customHeight="1">
      <c r="A1181" s="81"/>
      <c r="B1181" s="51"/>
      <c r="C1181" s="51"/>
      <c r="D1181" s="50"/>
      <c r="E1181" s="50"/>
      <c r="F1181" s="50"/>
      <c r="G1181" s="50"/>
      <c r="H1181" s="50"/>
      <c r="I1181" s="82"/>
      <c r="J1181" s="83"/>
      <c r="K1181" s="83"/>
      <c r="L1181" s="84"/>
      <c r="M1181" s="84"/>
      <c r="N1181" s="84"/>
      <c r="O1181" s="85"/>
      <c r="P1181" s="84"/>
      <c r="Q1181" s="84"/>
      <c r="R1181" s="84"/>
      <c r="S1181" s="84"/>
      <c r="T1181" s="84"/>
      <c r="U1181" s="84"/>
      <c r="V1181" s="84"/>
      <c r="W1181" s="84"/>
      <c r="X1181" s="86"/>
    </row>
    <row r="1182" ht="15.0" customHeight="1">
      <c r="A1182" s="81"/>
      <c r="B1182" s="51"/>
      <c r="C1182" s="51"/>
      <c r="D1182" s="50"/>
      <c r="E1182" s="50"/>
      <c r="F1182" s="50"/>
      <c r="G1182" s="50"/>
      <c r="H1182" s="50"/>
      <c r="I1182" s="82"/>
      <c r="J1182" s="83"/>
      <c r="K1182" s="83"/>
      <c r="L1182" s="84"/>
      <c r="M1182" s="84"/>
      <c r="N1182" s="84"/>
      <c r="O1182" s="85"/>
      <c r="P1182" s="84"/>
      <c r="Q1182" s="84"/>
      <c r="R1182" s="84"/>
      <c r="S1182" s="84"/>
      <c r="T1182" s="84"/>
      <c r="U1182" s="84"/>
      <c r="V1182" s="84"/>
      <c r="W1182" s="84"/>
      <c r="X1182" s="86"/>
    </row>
    <row r="1183" ht="15.0" customHeight="1">
      <c r="A1183" s="81"/>
      <c r="B1183" s="51"/>
      <c r="C1183" s="51"/>
      <c r="D1183" s="50"/>
      <c r="E1183" s="50"/>
      <c r="F1183" s="50"/>
      <c r="G1183" s="50"/>
      <c r="H1183" s="50"/>
      <c r="I1183" s="82"/>
      <c r="J1183" s="83"/>
      <c r="K1183" s="83"/>
      <c r="L1183" s="84"/>
      <c r="M1183" s="84"/>
      <c r="N1183" s="84"/>
      <c r="O1183" s="85"/>
      <c r="P1183" s="84"/>
      <c r="Q1183" s="84"/>
      <c r="R1183" s="84"/>
      <c r="S1183" s="84"/>
      <c r="T1183" s="84"/>
      <c r="U1183" s="84"/>
      <c r="V1183" s="84"/>
      <c r="W1183" s="84"/>
      <c r="X1183" s="86"/>
    </row>
    <row r="1184" ht="15.0" customHeight="1">
      <c r="A1184" s="81"/>
      <c r="B1184" s="51"/>
      <c r="C1184" s="51"/>
      <c r="D1184" s="50"/>
      <c r="E1184" s="50"/>
      <c r="F1184" s="50"/>
      <c r="G1184" s="50"/>
      <c r="H1184" s="50"/>
      <c r="I1184" s="82"/>
      <c r="J1184" s="83"/>
      <c r="K1184" s="83"/>
      <c r="L1184" s="84"/>
      <c r="M1184" s="84"/>
      <c r="N1184" s="84"/>
      <c r="O1184" s="85"/>
      <c r="P1184" s="84"/>
      <c r="Q1184" s="84"/>
      <c r="R1184" s="84"/>
      <c r="S1184" s="84"/>
      <c r="T1184" s="84"/>
      <c r="U1184" s="84"/>
      <c r="V1184" s="84"/>
      <c r="W1184" s="84"/>
      <c r="X1184" s="86"/>
    </row>
    <row r="1185" ht="15.0" customHeight="1">
      <c r="A1185" s="81"/>
      <c r="B1185" s="51"/>
      <c r="C1185" s="51"/>
      <c r="D1185" s="50"/>
      <c r="E1185" s="50"/>
      <c r="F1185" s="50"/>
      <c r="G1185" s="50"/>
      <c r="H1185" s="50"/>
      <c r="I1185" s="82"/>
      <c r="J1185" s="83"/>
      <c r="K1185" s="83"/>
      <c r="L1185" s="84"/>
      <c r="M1185" s="84"/>
      <c r="N1185" s="84"/>
      <c r="O1185" s="85"/>
      <c r="P1185" s="84"/>
      <c r="Q1185" s="84"/>
      <c r="R1185" s="84"/>
      <c r="S1185" s="84"/>
      <c r="T1185" s="84"/>
      <c r="U1185" s="84"/>
      <c r="V1185" s="84"/>
      <c r="W1185" s="84"/>
      <c r="X1185" s="86"/>
    </row>
    <row r="1186" ht="15.0" customHeight="1">
      <c r="A1186" s="81"/>
      <c r="B1186" s="51"/>
      <c r="C1186" s="51"/>
      <c r="D1186" s="50"/>
      <c r="E1186" s="50"/>
      <c r="F1186" s="50"/>
      <c r="G1186" s="50"/>
      <c r="H1186" s="50"/>
      <c r="I1186" s="82"/>
      <c r="J1186" s="83"/>
      <c r="K1186" s="83"/>
      <c r="L1186" s="84"/>
      <c r="M1186" s="84"/>
      <c r="N1186" s="84"/>
      <c r="O1186" s="85"/>
      <c r="P1186" s="84"/>
      <c r="Q1186" s="84"/>
      <c r="R1186" s="84"/>
      <c r="S1186" s="84"/>
      <c r="T1186" s="84"/>
      <c r="U1186" s="84"/>
      <c r="V1186" s="84"/>
      <c r="W1186" s="84"/>
      <c r="X1186" s="86"/>
    </row>
    <row r="1187" ht="15.0" customHeight="1">
      <c r="A1187" s="81"/>
      <c r="B1187" s="51"/>
      <c r="C1187" s="51"/>
      <c r="D1187" s="50"/>
      <c r="E1187" s="50"/>
      <c r="F1187" s="50"/>
      <c r="G1187" s="50"/>
      <c r="H1187" s="50"/>
      <c r="I1187" s="82"/>
      <c r="J1187" s="83"/>
      <c r="K1187" s="83"/>
      <c r="L1187" s="84"/>
      <c r="M1187" s="84"/>
      <c r="N1187" s="84"/>
      <c r="O1187" s="85"/>
      <c r="P1187" s="84"/>
      <c r="Q1187" s="84"/>
      <c r="R1187" s="84"/>
      <c r="S1187" s="84"/>
      <c r="T1187" s="84"/>
      <c r="U1187" s="84"/>
      <c r="V1187" s="84"/>
      <c r="W1187" s="84"/>
      <c r="X1187" s="86"/>
    </row>
    <row r="1188" ht="15.0" customHeight="1">
      <c r="A1188" s="81"/>
      <c r="B1188" s="51"/>
      <c r="C1188" s="51"/>
      <c r="D1188" s="50"/>
      <c r="E1188" s="50"/>
      <c r="F1188" s="50"/>
      <c r="G1188" s="50"/>
      <c r="H1188" s="50"/>
      <c r="I1188" s="82"/>
      <c r="J1188" s="83"/>
      <c r="K1188" s="83"/>
      <c r="L1188" s="84"/>
      <c r="M1188" s="84"/>
      <c r="N1188" s="84"/>
      <c r="O1188" s="85"/>
      <c r="P1188" s="84"/>
      <c r="Q1188" s="84"/>
      <c r="R1188" s="84"/>
      <c r="S1188" s="84"/>
      <c r="T1188" s="84"/>
      <c r="U1188" s="84"/>
      <c r="V1188" s="84"/>
      <c r="W1188" s="84"/>
      <c r="X1188" s="86"/>
    </row>
    <row r="1189" ht="15.0" customHeight="1">
      <c r="A1189" s="81"/>
      <c r="B1189" s="51"/>
      <c r="C1189" s="51"/>
      <c r="D1189" s="50"/>
      <c r="E1189" s="50"/>
      <c r="F1189" s="50"/>
      <c r="G1189" s="50"/>
      <c r="H1189" s="50"/>
      <c r="I1189" s="82"/>
      <c r="J1189" s="83"/>
      <c r="K1189" s="83"/>
      <c r="L1189" s="84"/>
      <c r="M1189" s="84"/>
      <c r="N1189" s="84"/>
      <c r="O1189" s="85"/>
      <c r="P1189" s="84"/>
      <c r="Q1189" s="84"/>
      <c r="R1189" s="84"/>
      <c r="S1189" s="84"/>
      <c r="T1189" s="84"/>
      <c r="U1189" s="84"/>
      <c r="V1189" s="84"/>
      <c r="W1189" s="84"/>
      <c r="X1189" s="86"/>
    </row>
    <row r="1190" ht="15.0" customHeight="1">
      <c r="A1190" s="81"/>
      <c r="B1190" s="51"/>
      <c r="C1190" s="51"/>
      <c r="D1190" s="50"/>
      <c r="E1190" s="50"/>
      <c r="F1190" s="50"/>
      <c r="G1190" s="50"/>
      <c r="H1190" s="50"/>
      <c r="I1190" s="82"/>
      <c r="J1190" s="83"/>
      <c r="K1190" s="83"/>
      <c r="L1190" s="84"/>
      <c r="M1190" s="84"/>
      <c r="N1190" s="84"/>
      <c r="O1190" s="85"/>
      <c r="P1190" s="84"/>
      <c r="Q1190" s="84"/>
      <c r="R1190" s="84"/>
      <c r="S1190" s="84"/>
      <c r="T1190" s="84"/>
      <c r="U1190" s="84"/>
      <c r="V1190" s="84"/>
      <c r="W1190" s="84"/>
      <c r="X1190" s="86"/>
    </row>
    <row r="1191" ht="15.0" customHeight="1">
      <c r="A1191" s="81"/>
      <c r="B1191" s="51"/>
      <c r="C1191" s="51"/>
      <c r="D1191" s="50"/>
      <c r="E1191" s="50"/>
      <c r="F1191" s="50"/>
      <c r="G1191" s="50"/>
      <c r="H1191" s="50"/>
      <c r="I1191" s="82"/>
      <c r="J1191" s="83"/>
      <c r="K1191" s="83"/>
      <c r="L1191" s="84"/>
      <c r="M1191" s="84"/>
      <c r="N1191" s="84"/>
      <c r="O1191" s="85"/>
      <c r="P1191" s="84"/>
      <c r="Q1191" s="84"/>
      <c r="R1191" s="84"/>
      <c r="S1191" s="84"/>
      <c r="T1191" s="84"/>
      <c r="U1191" s="84"/>
      <c r="V1191" s="84"/>
      <c r="W1191" s="84"/>
      <c r="X1191" s="86"/>
    </row>
    <row r="1192" ht="15.0" customHeight="1">
      <c r="A1192" s="81"/>
      <c r="B1192" s="51"/>
      <c r="C1192" s="51"/>
      <c r="D1192" s="50"/>
      <c r="E1192" s="50"/>
      <c r="F1192" s="50"/>
      <c r="G1192" s="50"/>
      <c r="H1192" s="50"/>
      <c r="I1192" s="82"/>
      <c r="J1192" s="83"/>
      <c r="K1192" s="83"/>
      <c r="L1192" s="84"/>
      <c r="M1192" s="84"/>
      <c r="N1192" s="84"/>
      <c r="O1192" s="85"/>
      <c r="P1192" s="84"/>
      <c r="Q1192" s="84"/>
      <c r="R1192" s="84"/>
      <c r="S1192" s="84"/>
      <c r="T1192" s="84"/>
      <c r="U1192" s="84"/>
      <c r="V1192" s="84"/>
      <c r="W1192" s="84"/>
      <c r="X1192" s="86"/>
    </row>
    <row r="1193" ht="15.0" customHeight="1">
      <c r="A1193" s="81"/>
      <c r="B1193" s="51"/>
      <c r="C1193" s="51"/>
      <c r="D1193" s="50"/>
      <c r="E1193" s="50"/>
      <c r="F1193" s="50"/>
      <c r="G1193" s="50"/>
      <c r="H1193" s="50"/>
      <c r="I1193" s="82"/>
      <c r="J1193" s="83"/>
      <c r="K1193" s="83"/>
      <c r="L1193" s="84"/>
      <c r="M1193" s="84"/>
      <c r="N1193" s="84"/>
      <c r="O1193" s="85"/>
      <c r="P1193" s="84"/>
      <c r="Q1193" s="84"/>
      <c r="R1193" s="84"/>
      <c r="S1193" s="84"/>
      <c r="T1193" s="84"/>
      <c r="U1193" s="84"/>
      <c r="V1193" s="84"/>
      <c r="W1193" s="84"/>
      <c r="X1193" s="86"/>
    </row>
    <row r="1194" ht="15.0" customHeight="1">
      <c r="A1194" s="81"/>
      <c r="B1194" s="51"/>
      <c r="C1194" s="51"/>
      <c r="D1194" s="50"/>
      <c r="E1194" s="50"/>
      <c r="F1194" s="50"/>
      <c r="G1194" s="50"/>
      <c r="H1194" s="50"/>
      <c r="I1194" s="82"/>
      <c r="J1194" s="83"/>
      <c r="K1194" s="83"/>
      <c r="L1194" s="84"/>
      <c r="M1194" s="84"/>
      <c r="N1194" s="84"/>
      <c r="O1194" s="85"/>
      <c r="P1194" s="84"/>
      <c r="Q1194" s="84"/>
      <c r="R1194" s="84"/>
      <c r="S1194" s="84"/>
      <c r="T1194" s="84"/>
      <c r="U1194" s="84"/>
      <c r="V1194" s="84"/>
      <c r="W1194" s="84"/>
      <c r="X1194" s="86"/>
    </row>
    <row r="1195" ht="15.0" customHeight="1">
      <c r="A1195" s="81"/>
      <c r="B1195" s="51"/>
      <c r="C1195" s="51"/>
      <c r="D1195" s="50"/>
      <c r="E1195" s="50"/>
      <c r="F1195" s="50"/>
      <c r="G1195" s="50"/>
      <c r="H1195" s="50"/>
      <c r="I1195" s="82"/>
      <c r="J1195" s="83"/>
      <c r="K1195" s="83"/>
      <c r="L1195" s="84"/>
      <c r="M1195" s="84"/>
      <c r="N1195" s="84"/>
      <c r="O1195" s="85"/>
      <c r="P1195" s="84"/>
      <c r="Q1195" s="84"/>
      <c r="R1195" s="84"/>
      <c r="S1195" s="84"/>
      <c r="T1195" s="84"/>
      <c r="U1195" s="84"/>
      <c r="V1195" s="84"/>
      <c r="W1195" s="84"/>
      <c r="X1195" s="86"/>
    </row>
    <row r="1196" ht="15.0" customHeight="1">
      <c r="A1196" s="81"/>
      <c r="B1196" s="51"/>
      <c r="C1196" s="51"/>
      <c r="D1196" s="50"/>
      <c r="E1196" s="50"/>
      <c r="F1196" s="50"/>
      <c r="G1196" s="50"/>
      <c r="H1196" s="50"/>
      <c r="I1196" s="82"/>
      <c r="J1196" s="83"/>
      <c r="K1196" s="83"/>
      <c r="L1196" s="84"/>
      <c r="M1196" s="84"/>
      <c r="N1196" s="84"/>
      <c r="O1196" s="85"/>
      <c r="P1196" s="84"/>
      <c r="Q1196" s="84"/>
      <c r="R1196" s="84"/>
      <c r="S1196" s="84"/>
      <c r="T1196" s="84"/>
      <c r="U1196" s="84"/>
      <c r="V1196" s="84"/>
      <c r="W1196" s="84"/>
      <c r="X1196" s="86"/>
    </row>
    <row r="1197" ht="15.0" customHeight="1">
      <c r="A1197" s="81"/>
      <c r="B1197" s="51"/>
      <c r="C1197" s="51"/>
      <c r="D1197" s="50"/>
      <c r="E1197" s="50"/>
      <c r="F1197" s="50"/>
      <c r="G1197" s="50"/>
      <c r="H1197" s="50"/>
      <c r="I1197" s="82"/>
      <c r="J1197" s="83"/>
      <c r="K1197" s="83"/>
      <c r="L1197" s="84"/>
      <c r="M1197" s="84"/>
      <c r="N1197" s="84"/>
      <c r="O1197" s="85"/>
      <c r="P1197" s="84"/>
      <c r="Q1197" s="84"/>
      <c r="R1197" s="84"/>
      <c r="S1197" s="84"/>
      <c r="T1197" s="84"/>
      <c r="U1197" s="84"/>
      <c r="V1197" s="84"/>
      <c r="W1197" s="84"/>
      <c r="X1197" s="86"/>
    </row>
    <row r="1198" ht="15.0" customHeight="1">
      <c r="A1198" s="81"/>
      <c r="B1198" s="51"/>
      <c r="C1198" s="51"/>
      <c r="D1198" s="50"/>
      <c r="E1198" s="50"/>
      <c r="F1198" s="50"/>
      <c r="G1198" s="50"/>
      <c r="H1198" s="50"/>
      <c r="I1198" s="82"/>
      <c r="J1198" s="83"/>
      <c r="K1198" s="83"/>
      <c r="L1198" s="84"/>
      <c r="M1198" s="84"/>
      <c r="N1198" s="84"/>
      <c r="O1198" s="85"/>
      <c r="P1198" s="84"/>
      <c r="Q1198" s="84"/>
      <c r="R1198" s="84"/>
      <c r="S1198" s="84"/>
      <c r="T1198" s="84"/>
      <c r="U1198" s="84"/>
      <c r="V1198" s="84"/>
      <c r="W1198" s="84"/>
      <c r="X1198" s="86"/>
    </row>
    <row r="1199" ht="15.0" customHeight="1">
      <c r="A1199" s="81"/>
      <c r="B1199" s="51"/>
      <c r="C1199" s="51"/>
      <c r="D1199" s="50"/>
      <c r="E1199" s="50"/>
      <c r="F1199" s="50"/>
      <c r="G1199" s="50"/>
      <c r="H1199" s="50"/>
      <c r="I1199" s="82"/>
      <c r="J1199" s="83"/>
      <c r="K1199" s="83"/>
      <c r="L1199" s="84"/>
      <c r="M1199" s="84"/>
      <c r="N1199" s="84"/>
      <c r="O1199" s="85"/>
      <c r="P1199" s="84"/>
      <c r="Q1199" s="84"/>
      <c r="R1199" s="84"/>
      <c r="S1199" s="84"/>
      <c r="T1199" s="84"/>
      <c r="U1199" s="84"/>
      <c r="V1199" s="84"/>
      <c r="W1199" s="84"/>
      <c r="X1199" s="86"/>
    </row>
    <row r="1200" ht="15.0" customHeight="1">
      <c r="A1200" s="81"/>
      <c r="B1200" s="51"/>
      <c r="C1200" s="51"/>
      <c r="D1200" s="50"/>
      <c r="E1200" s="50"/>
      <c r="F1200" s="50"/>
      <c r="G1200" s="50"/>
      <c r="H1200" s="50"/>
      <c r="I1200" s="82"/>
      <c r="J1200" s="83"/>
      <c r="K1200" s="83"/>
      <c r="L1200" s="84"/>
      <c r="M1200" s="84"/>
      <c r="N1200" s="84"/>
      <c r="O1200" s="85"/>
      <c r="P1200" s="84"/>
      <c r="Q1200" s="84"/>
      <c r="R1200" s="84"/>
      <c r="S1200" s="84"/>
      <c r="T1200" s="84"/>
      <c r="U1200" s="84"/>
      <c r="V1200" s="84"/>
      <c r="W1200" s="84"/>
      <c r="X1200" s="86"/>
    </row>
    <row r="1201" ht="15.0" customHeight="1">
      <c r="A1201" s="81"/>
      <c r="B1201" s="51"/>
      <c r="C1201" s="51"/>
      <c r="D1201" s="50"/>
      <c r="E1201" s="50"/>
      <c r="F1201" s="50"/>
      <c r="G1201" s="50"/>
      <c r="H1201" s="50"/>
      <c r="I1201" s="82"/>
      <c r="J1201" s="83"/>
      <c r="K1201" s="83"/>
      <c r="L1201" s="84"/>
      <c r="M1201" s="84"/>
      <c r="N1201" s="84"/>
      <c r="O1201" s="85"/>
      <c r="P1201" s="84"/>
      <c r="Q1201" s="84"/>
      <c r="R1201" s="84"/>
      <c r="S1201" s="84"/>
      <c r="T1201" s="84"/>
      <c r="U1201" s="84"/>
      <c r="V1201" s="84"/>
      <c r="W1201" s="84"/>
      <c r="X1201" s="86"/>
    </row>
    <row r="1202" ht="15.0" customHeight="1">
      <c r="A1202" s="81"/>
      <c r="B1202" s="51"/>
      <c r="C1202" s="51"/>
      <c r="D1202" s="50"/>
      <c r="E1202" s="50"/>
      <c r="F1202" s="50"/>
      <c r="G1202" s="50"/>
      <c r="H1202" s="50"/>
      <c r="I1202" s="82"/>
      <c r="J1202" s="83"/>
      <c r="K1202" s="83"/>
      <c r="L1202" s="84"/>
      <c r="M1202" s="84"/>
      <c r="N1202" s="84"/>
      <c r="O1202" s="85"/>
      <c r="P1202" s="84"/>
      <c r="Q1202" s="84"/>
      <c r="R1202" s="84"/>
      <c r="S1202" s="84"/>
      <c r="T1202" s="84"/>
      <c r="U1202" s="84"/>
      <c r="V1202" s="84"/>
      <c r="W1202" s="84"/>
      <c r="X1202" s="86"/>
    </row>
    <row r="1203" ht="15.0" customHeight="1">
      <c r="A1203" s="81"/>
      <c r="B1203" s="51"/>
      <c r="C1203" s="51"/>
      <c r="D1203" s="50"/>
      <c r="E1203" s="50"/>
      <c r="F1203" s="50"/>
      <c r="G1203" s="50"/>
      <c r="H1203" s="50"/>
      <c r="I1203" s="82"/>
      <c r="J1203" s="83"/>
      <c r="K1203" s="83"/>
      <c r="L1203" s="84"/>
      <c r="M1203" s="84"/>
      <c r="N1203" s="84"/>
      <c r="O1203" s="85"/>
      <c r="P1203" s="84"/>
      <c r="Q1203" s="84"/>
      <c r="R1203" s="84"/>
      <c r="S1203" s="84"/>
      <c r="T1203" s="84"/>
      <c r="U1203" s="84"/>
      <c r="V1203" s="84"/>
      <c r="W1203" s="84"/>
      <c r="X1203" s="86"/>
    </row>
    <row r="1204" ht="15.0" customHeight="1">
      <c r="A1204" s="81"/>
      <c r="B1204" s="51"/>
      <c r="C1204" s="51"/>
      <c r="D1204" s="50"/>
      <c r="E1204" s="50"/>
      <c r="F1204" s="50"/>
      <c r="G1204" s="50"/>
      <c r="H1204" s="50"/>
      <c r="I1204" s="82"/>
      <c r="J1204" s="83"/>
      <c r="K1204" s="83"/>
      <c r="L1204" s="84"/>
      <c r="M1204" s="84"/>
      <c r="N1204" s="84"/>
      <c r="O1204" s="85"/>
      <c r="P1204" s="84"/>
      <c r="Q1204" s="84"/>
      <c r="R1204" s="84"/>
      <c r="S1204" s="84"/>
      <c r="T1204" s="84"/>
      <c r="U1204" s="84"/>
      <c r="V1204" s="84"/>
      <c r="W1204" s="84"/>
      <c r="X1204" s="86"/>
    </row>
    <row r="1205" ht="15.0" customHeight="1">
      <c r="A1205" s="81"/>
      <c r="B1205" s="51"/>
      <c r="C1205" s="51"/>
      <c r="D1205" s="50"/>
      <c r="E1205" s="50"/>
      <c r="F1205" s="50"/>
      <c r="G1205" s="50"/>
      <c r="H1205" s="50"/>
      <c r="I1205" s="82"/>
      <c r="J1205" s="83"/>
      <c r="K1205" s="83"/>
      <c r="L1205" s="84"/>
      <c r="M1205" s="84"/>
      <c r="N1205" s="84"/>
      <c r="O1205" s="85"/>
      <c r="P1205" s="84"/>
      <c r="Q1205" s="84"/>
      <c r="R1205" s="84"/>
      <c r="S1205" s="84"/>
      <c r="T1205" s="84"/>
      <c r="U1205" s="84"/>
      <c r="V1205" s="84"/>
      <c r="W1205" s="84"/>
      <c r="X1205" s="86"/>
    </row>
    <row r="1206" ht="15.0" customHeight="1">
      <c r="A1206" s="81"/>
      <c r="B1206" s="51"/>
      <c r="C1206" s="51"/>
      <c r="D1206" s="50"/>
      <c r="E1206" s="50"/>
      <c r="F1206" s="50"/>
      <c r="G1206" s="50"/>
      <c r="H1206" s="50"/>
      <c r="I1206" s="82"/>
      <c r="J1206" s="83"/>
      <c r="K1206" s="83"/>
      <c r="L1206" s="84"/>
      <c r="M1206" s="84"/>
      <c r="N1206" s="84"/>
      <c r="O1206" s="85"/>
      <c r="P1206" s="84"/>
      <c r="Q1206" s="84"/>
      <c r="R1206" s="84"/>
      <c r="S1206" s="84"/>
      <c r="T1206" s="84"/>
      <c r="U1206" s="84"/>
      <c r="V1206" s="84"/>
      <c r="W1206" s="84"/>
      <c r="X1206" s="86"/>
    </row>
    <row r="1207" ht="15.0" customHeight="1">
      <c r="A1207" s="81"/>
      <c r="B1207" s="51"/>
      <c r="C1207" s="51"/>
      <c r="D1207" s="50"/>
      <c r="E1207" s="50"/>
      <c r="F1207" s="50"/>
      <c r="G1207" s="50"/>
      <c r="H1207" s="50"/>
      <c r="I1207" s="82"/>
      <c r="J1207" s="83"/>
      <c r="K1207" s="83"/>
      <c r="L1207" s="84"/>
      <c r="M1207" s="84"/>
      <c r="N1207" s="84"/>
      <c r="O1207" s="85"/>
      <c r="P1207" s="84"/>
      <c r="Q1207" s="84"/>
      <c r="R1207" s="84"/>
      <c r="S1207" s="84"/>
      <c r="T1207" s="84"/>
      <c r="U1207" s="84"/>
      <c r="V1207" s="84"/>
      <c r="W1207" s="84"/>
      <c r="X1207" s="86"/>
    </row>
    <row r="1208" ht="15.0" customHeight="1">
      <c r="A1208" s="81"/>
      <c r="B1208" s="51"/>
      <c r="C1208" s="51"/>
      <c r="D1208" s="50"/>
      <c r="E1208" s="50"/>
      <c r="F1208" s="50"/>
      <c r="G1208" s="50"/>
      <c r="H1208" s="50"/>
      <c r="I1208" s="82"/>
      <c r="J1208" s="83"/>
      <c r="K1208" s="83"/>
      <c r="L1208" s="84"/>
      <c r="M1208" s="84"/>
      <c r="N1208" s="84"/>
      <c r="O1208" s="85"/>
      <c r="P1208" s="84"/>
      <c r="Q1208" s="84"/>
      <c r="R1208" s="84"/>
      <c r="S1208" s="84"/>
      <c r="T1208" s="84"/>
      <c r="U1208" s="84"/>
      <c r="V1208" s="84"/>
      <c r="W1208" s="84"/>
      <c r="X1208" s="86"/>
    </row>
    <row r="1209" ht="15.0" customHeight="1">
      <c r="A1209" s="81"/>
      <c r="B1209" s="51"/>
      <c r="C1209" s="51"/>
      <c r="D1209" s="50"/>
      <c r="E1209" s="50"/>
      <c r="F1209" s="50"/>
      <c r="G1209" s="50"/>
      <c r="H1209" s="50"/>
      <c r="I1209" s="82"/>
      <c r="J1209" s="83"/>
      <c r="K1209" s="83"/>
      <c r="L1209" s="84"/>
      <c r="M1209" s="84"/>
      <c r="N1209" s="84"/>
      <c r="O1209" s="85"/>
      <c r="P1209" s="84"/>
      <c r="Q1209" s="84"/>
      <c r="R1209" s="84"/>
      <c r="S1209" s="84"/>
      <c r="T1209" s="84"/>
      <c r="U1209" s="84"/>
      <c r="V1209" s="84"/>
      <c r="W1209" s="84"/>
      <c r="X1209" s="86"/>
    </row>
    <row r="1210" ht="15.0" customHeight="1">
      <c r="A1210" s="81"/>
      <c r="B1210" s="51"/>
      <c r="C1210" s="51"/>
      <c r="D1210" s="50"/>
      <c r="E1210" s="50"/>
      <c r="F1210" s="50"/>
      <c r="G1210" s="50"/>
      <c r="H1210" s="50"/>
      <c r="I1210" s="82"/>
      <c r="J1210" s="83"/>
      <c r="K1210" s="83"/>
      <c r="L1210" s="84"/>
      <c r="M1210" s="84"/>
      <c r="N1210" s="84"/>
      <c r="O1210" s="85"/>
      <c r="P1210" s="84"/>
      <c r="Q1210" s="84"/>
      <c r="R1210" s="84"/>
      <c r="S1210" s="84"/>
      <c r="T1210" s="84"/>
      <c r="U1210" s="84"/>
      <c r="V1210" s="84"/>
      <c r="W1210" s="84"/>
      <c r="X1210" s="86"/>
    </row>
    <row r="1211" ht="15.0" customHeight="1">
      <c r="A1211" s="81"/>
      <c r="B1211" s="51"/>
      <c r="C1211" s="51"/>
      <c r="D1211" s="50"/>
      <c r="E1211" s="50"/>
      <c r="F1211" s="50"/>
      <c r="G1211" s="50"/>
      <c r="H1211" s="50"/>
      <c r="I1211" s="82"/>
      <c r="J1211" s="83"/>
      <c r="K1211" s="83"/>
      <c r="L1211" s="84"/>
      <c r="M1211" s="84"/>
      <c r="N1211" s="84"/>
      <c r="O1211" s="85"/>
      <c r="P1211" s="84"/>
      <c r="Q1211" s="84"/>
      <c r="R1211" s="84"/>
      <c r="S1211" s="84"/>
      <c r="T1211" s="84"/>
      <c r="U1211" s="84"/>
      <c r="V1211" s="84"/>
      <c r="W1211" s="84"/>
      <c r="X1211" s="86"/>
    </row>
    <row r="1212" ht="15.0" customHeight="1">
      <c r="A1212" s="81"/>
      <c r="B1212" s="51"/>
      <c r="C1212" s="51"/>
      <c r="D1212" s="50"/>
      <c r="E1212" s="50"/>
      <c r="F1212" s="50"/>
      <c r="G1212" s="50"/>
      <c r="H1212" s="50"/>
      <c r="I1212" s="82"/>
      <c r="J1212" s="83"/>
      <c r="K1212" s="83"/>
      <c r="L1212" s="84"/>
      <c r="M1212" s="84"/>
      <c r="N1212" s="84"/>
      <c r="O1212" s="85"/>
      <c r="P1212" s="84"/>
      <c r="Q1212" s="84"/>
      <c r="R1212" s="84"/>
      <c r="S1212" s="84"/>
      <c r="T1212" s="84"/>
      <c r="U1212" s="84"/>
      <c r="V1212" s="84"/>
      <c r="W1212" s="84"/>
      <c r="X1212" s="86"/>
    </row>
    <row r="1213" ht="15.0" customHeight="1">
      <c r="A1213" s="81"/>
      <c r="B1213" s="51"/>
      <c r="C1213" s="51"/>
      <c r="D1213" s="50"/>
      <c r="E1213" s="50"/>
      <c r="F1213" s="50"/>
      <c r="G1213" s="50"/>
      <c r="H1213" s="50"/>
      <c r="I1213" s="82"/>
      <c r="J1213" s="83"/>
      <c r="K1213" s="83"/>
      <c r="L1213" s="84"/>
      <c r="M1213" s="84"/>
      <c r="N1213" s="84"/>
      <c r="O1213" s="85"/>
      <c r="P1213" s="84"/>
      <c r="Q1213" s="84"/>
      <c r="R1213" s="84"/>
      <c r="S1213" s="84"/>
      <c r="T1213" s="84"/>
      <c r="U1213" s="84"/>
      <c r="V1213" s="84"/>
      <c r="W1213" s="84"/>
      <c r="X1213" s="86"/>
    </row>
    <row r="1214" ht="15.0" customHeight="1">
      <c r="A1214" s="81"/>
      <c r="B1214" s="51"/>
      <c r="C1214" s="51"/>
      <c r="D1214" s="50"/>
      <c r="E1214" s="50"/>
      <c r="F1214" s="50"/>
      <c r="G1214" s="50"/>
      <c r="H1214" s="50"/>
      <c r="I1214" s="82"/>
      <c r="J1214" s="83"/>
      <c r="K1214" s="83"/>
      <c r="L1214" s="84"/>
      <c r="M1214" s="84"/>
      <c r="N1214" s="84"/>
      <c r="O1214" s="85"/>
      <c r="P1214" s="84"/>
      <c r="Q1214" s="84"/>
      <c r="R1214" s="84"/>
      <c r="S1214" s="84"/>
      <c r="T1214" s="84"/>
      <c r="U1214" s="84"/>
      <c r="V1214" s="84"/>
      <c r="W1214" s="84"/>
      <c r="X1214" s="86"/>
    </row>
    <row r="1215" ht="15.0" customHeight="1">
      <c r="A1215" s="81"/>
      <c r="B1215" s="51"/>
      <c r="C1215" s="51"/>
      <c r="D1215" s="50"/>
      <c r="E1215" s="50"/>
      <c r="F1215" s="50"/>
      <c r="G1215" s="50"/>
      <c r="H1215" s="50"/>
      <c r="I1215" s="82"/>
      <c r="J1215" s="83"/>
      <c r="K1215" s="83"/>
      <c r="L1215" s="84"/>
      <c r="M1215" s="84"/>
      <c r="N1215" s="84"/>
      <c r="O1215" s="85"/>
      <c r="P1215" s="84"/>
      <c r="Q1215" s="84"/>
      <c r="R1215" s="84"/>
      <c r="S1215" s="84"/>
      <c r="T1215" s="84"/>
      <c r="U1215" s="84"/>
      <c r="V1215" s="84"/>
      <c r="W1215" s="84"/>
      <c r="X1215" s="86"/>
    </row>
    <row r="1216" ht="15.0" customHeight="1">
      <c r="A1216" s="81"/>
      <c r="B1216" s="51"/>
      <c r="C1216" s="51"/>
      <c r="D1216" s="50"/>
      <c r="E1216" s="50"/>
      <c r="F1216" s="50"/>
      <c r="G1216" s="50"/>
      <c r="H1216" s="50"/>
      <c r="I1216" s="82"/>
      <c r="J1216" s="83"/>
      <c r="K1216" s="83"/>
      <c r="L1216" s="84"/>
      <c r="M1216" s="84"/>
      <c r="N1216" s="84"/>
      <c r="O1216" s="85"/>
      <c r="P1216" s="84"/>
      <c r="Q1216" s="84"/>
      <c r="R1216" s="84"/>
      <c r="S1216" s="84"/>
      <c r="T1216" s="84"/>
      <c r="U1216" s="84"/>
      <c r="V1216" s="84"/>
      <c r="W1216" s="84"/>
      <c r="X1216" s="86"/>
    </row>
    <row r="1217" ht="15.0" customHeight="1">
      <c r="A1217" s="81"/>
      <c r="B1217" s="51"/>
      <c r="C1217" s="51"/>
      <c r="D1217" s="50"/>
      <c r="E1217" s="50"/>
      <c r="F1217" s="50"/>
      <c r="G1217" s="50"/>
      <c r="H1217" s="50"/>
      <c r="I1217" s="82"/>
      <c r="J1217" s="83"/>
      <c r="K1217" s="83"/>
      <c r="L1217" s="84"/>
      <c r="M1217" s="84"/>
      <c r="N1217" s="84"/>
      <c r="O1217" s="85"/>
      <c r="P1217" s="84"/>
      <c r="Q1217" s="84"/>
      <c r="R1217" s="84"/>
      <c r="S1217" s="84"/>
      <c r="T1217" s="84"/>
      <c r="U1217" s="84"/>
      <c r="V1217" s="84"/>
      <c r="W1217" s="84"/>
      <c r="X1217" s="86"/>
    </row>
    <row r="1218" ht="15.0" customHeight="1">
      <c r="A1218" s="81"/>
      <c r="B1218" s="51"/>
      <c r="C1218" s="51"/>
      <c r="D1218" s="50"/>
      <c r="E1218" s="50"/>
      <c r="F1218" s="50"/>
      <c r="G1218" s="50"/>
      <c r="H1218" s="50"/>
      <c r="I1218" s="82"/>
      <c r="J1218" s="83"/>
      <c r="K1218" s="83"/>
      <c r="L1218" s="84"/>
      <c r="M1218" s="84"/>
      <c r="N1218" s="84"/>
      <c r="O1218" s="85"/>
      <c r="P1218" s="84"/>
      <c r="Q1218" s="84"/>
      <c r="R1218" s="84"/>
      <c r="S1218" s="84"/>
      <c r="T1218" s="84"/>
      <c r="U1218" s="84"/>
      <c r="V1218" s="84"/>
      <c r="W1218" s="84"/>
      <c r="X1218" s="86"/>
    </row>
    <row r="1219" ht="15.0" customHeight="1">
      <c r="A1219" s="81"/>
      <c r="B1219" s="51"/>
      <c r="C1219" s="51"/>
      <c r="D1219" s="50"/>
      <c r="E1219" s="50"/>
      <c r="F1219" s="50"/>
      <c r="G1219" s="50"/>
      <c r="H1219" s="50"/>
      <c r="I1219" s="82"/>
      <c r="J1219" s="83"/>
      <c r="K1219" s="83"/>
      <c r="L1219" s="84"/>
      <c r="M1219" s="84"/>
      <c r="N1219" s="84"/>
      <c r="O1219" s="85"/>
      <c r="P1219" s="84"/>
      <c r="Q1219" s="84"/>
      <c r="R1219" s="84"/>
      <c r="S1219" s="84"/>
      <c r="T1219" s="84"/>
      <c r="U1219" s="84"/>
      <c r="V1219" s="84"/>
      <c r="W1219" s="84"/>
      <c r="X1219" s="86"/>
    </row>
    <row r="1220" ht="15.0" customHeight="1">
      <c r="A1220" s="81"/>
      <c r="B1220" s="51"/>
      <c r="C1220" s="51"/>
      <c r="D1220" s="50"/>
      <c r="E1220" s="50"/>
      <c r="F1220" s="50"/>
      <c r="G1220" s="50"/>
      <c r="H1220" s="50"/>
      <c r="I1220" s="82"/>
      <c r="J1220" s="83"/>
      <c r="K1220" s="83"/>
      <c r="L1220" s="84"/>
      <c r="M1220" s="84"/>
      <c r="N1220" s="84"/>
      <c r="O1220" s="85"/>
      <c r="P1220" s="84"/>
      <c r="Q1220" s="84"/>
      <c r="R1220" s="84"/>
      <c r="S1220" s="84"/>
      <c r="T1220" s="84"/>
      <c r="U1220" s="84"/>
      <c r="V1220" s="84"/>
      <c r="W1220" s="84"/>
      <c r="X1220" s="86"/>
    </row>
    <row r="1221" ht="15.0" customHeight="1">
      <c r="A1221" s="81"/>
      <c r="B1221" s="51"/>
      <c r="C1221" s="51"/>
      <c r="D1221" s="50"/>
      <c r="E1221" s="50"/>
      <c r="F1221" s="50"/>
      <c r="G1221" s="50"/>
      <c r="H1221" s="50"/>
      <c r="I1221" s="82"/>
      <c r="J1221" s="83"/>
      <c r="K1221" s="83"/>
      <c r="L1221" s="84"/>
      <c r="M1221" s="84"/>
      <c r="N1221" s="84"/>
      <c r="O1221" s="85"/>
      <c r="P1221" s="84"/>
      <c r="Q1221" s="84"/>
      <c r="R1221" s="84"/>
      <c r="S1221" s="84"/>
      <c r="T1221" s="84"/>
      <c r="U1221" s="84"/>
      <c r="V1221" s="84"/>
      <c r="W1221" s="84"/>
      <c r="X1221" s="86"/>
    </row>
    <row r="1222" ht="15.0" customHeight="1">
      <c r="A1222" s="81"/>
      <c r="B1222" s="51"/>
      <c r="C1222" s="51"/>
      <c r="D1222" s="50"/>
      <c r="E1222" s="50"/>
      <c r="F1222" s="50"/>
      <c r="G1222" s="50"/>
      <c r="H1222" s="50"/>
      <c r="I1222" s="82"/>
      <c r="J1222" s="83"/>
      <c r="K1222" s="83"/>
      <c r="L1222" s="84"/>
      <c r="M1222" s="84"/>
      <c r="N1222" s="84"/>
      <c r="O1222" s="85"/>
      <c r="P1222" s="84"/>
      <c r="Q1222" s="84"/>
      <c r="R1222" s="84"/>
      <c r="S1222" s="84"/>
      <c r="T1222" s="84"/>
      <c r="U1222" s="84"/>
      <c r="V1222" s="84"/>
      <c r="W1222" s="84"/>
      <c r="X1222" s="86"/>
    </row>
    <row r="1223" ht="15.0" customHeight="1">
      <c r="A1223" s="81"/>
      <c r="B1223" s="51"/>
      <c r="C1223" s="51"/>
      <c r="D1223" s="50"/>
      <c r="E1223" s="50"/>
      <c r="F1223" s="50"/>
      <c r="G1223" s="50"/>
      <c r="H1223" s="50"/>
      <c r="I1223" s="82"/>
      <c r="J1223" s="83"/>
      <c r="K1223" s="83"/>
      <c r="L1223" s="84"/>
      <c r="M1223" s="84"/>
      <c r="N1223" s="84"/>
      <c r="O1223" s="85"/>
      <c r="P1223" s="84"/>
      <c r="Q1223" s="84"/>
      <c r="R1223" s="84"/>
      <c r="S1223" s="84"/>
      <c r="T1223" s="84"/>
      <c r="U1223" s="84"/>
      <c r="V1223" s="84"/>
      <c r="W1223" s="84"/>
      <c r="X1223" s="86"/>
    </row>
    <row r="1224" ht="15.0" customHeight="1">
      <c r="A1224" s="81"/>
      <c r="B1224" s="51"/>
      <c r="C1224" s="51"/>
      <c r="D1224" s="50"/>
      <c r="E1224" s="50"/>
      <c r="F1224" s="50"/>
      <c r="G1224" s="50"/>
      <c r="H1224" s="50"/>
      <c r="I1224" s="82"/>
      <c r="J1224" s="83"/>
      <c r="K1224" s="83"/>
      <c r="L1224" s="84"/>
      <c r="M1224" s="84"/>
      <c r="N1224" s="84"/>
      <c r="O1224" s="85"/>
      <c r="P1224" s="84"/>
      <c r="Q1224" s="84"/>
      <c r="R1224" s="84"/>
      <c r="S1224" s="84"/>
      <c r="T1224" s="84"/>
      <c r="U1224" s="84"/>
      <c r="V1224" s="84"/>
      <c r="W1224" s="84"/>
      <c r="X1224" s="86"/>
    </row>
    <row r="1225" ht="15.0" customHeight="1">
      <c r="A1225" s="81"/>
      <c r="B1225" s="51"/>
      <c r="C1225" s="51"/>
      <c r="D1225" s="50"/>
      <c r="E1225" s="50"/>
      <c r="F1225" s="50"/>
      <c r="G1225" s="50"/>
      <c r="H1225" s="50"/>
      <c r="I1225" s="82"/>
      <c r="J1225" s="83"/>
      <c r="K1225" s="83"/>
      <c r="L1225" s="84"/>
      <c r="M1225" s="84"/>
      <c r="N1225" s="84"/>
      <c r="O1225" s="85"/>
      <c r="P1225" s="84"/>
      <c r="Q1225" s="84"/>
      <c r="R1225" s="84"/>
      <c r="S1225" s="84"/>
      <c r="T1225" s="84"/>
      <c r="U1225" s="84"/>
      <c r="V1225" s="84"/>
      <c r="W1225" s="84"/>
      <c r="X1225" s="86"/>
    </row>
    <row r="1226" ht="15.0" customHeight="1">
      <c r="A1226" s="81"/>
      <c r="B1226" s="51"/>
      <c r="C1226" s="51"/>
      <c r="D1226" s="50"/>
      <c r="E1226" s="50"/>
      <c r="F1226" s="50"/>
      <c r="G1226" s="50"/>
      <c r="H1226" s="50"/>
      <c r="I1226" s="82"/>
      <c r="J1226" s="83"/>
      <c r="K1226" s="83"/>
      <c r="L1226" s="84"/>
      <c r="M1226" s="84"/>
      <c r="N1226" s="84"/>
      <c r="O1226" s="85"/>
      <c r="P1226" s="84"/>
      <c r="Q1226" s="84"/>
      <c r="R1226" s="84"/>
      <c r="S1226" s="84"/>
      <c r="T1226" s="84"/>
      <c r="U1226" s="84"/>
      <c r="V1226" s="84"/>
      <c r="W1226" s="84"/>
      <c r="X1226" s="86"/>
    </row>
    <row r="1227" ht="15.0" customHeight="1">
      <c r="A1227" s="81"/>
      <c r="B1227" s="51"/>
      <c r="C1227" s="51"/>
      <c r="D1227" s="50"/>
      <c r="E1227" s="50"/>
      <c r="F1227" s="50"/>
      <c r="G1227" s="50"/>
      <c r="H1227" s="50"/>
      <c r="I1227" s="82"/>
      <c r="J1227" s="83"/>
      <c r="K1227" s="83"/>
      <c r="L1227" s="84"/>
      <c r="M1227" s="84"/>
      <c r="N1227" s="84"/>
      <c r="O1227" s="85"/>
      <c r="P1227" s="84"/>
      <c r="Q1227" s="84"/>
      <c r="R1227" s="84"/>
      <c r="S1227" s="84"/>
      <c r="T1227" s="84"/>
      <c r="U1227" s="84"/>
      <c r="V1227" s="84"/>
      <c r="W1227" s="84"/>
      <c r="X1227" s="86"/>
    </row>
    <row r="1228" ht="15.0" customHeight="1">
      <c r="A1228" s="81"/>
      <c r="B1228" s="51"/>
      <c r="C1228" s="51"/>
      <c r="D1228" s="50"/>
      <c r="E1228" s="50"/>
      <c r="F1228" s="50"/>
      <c r="G1228" s="50"/>
      <c r="H1228" s="50"/>
      <c r="I1228" s="82"/>
      <c r="J1228" s="83"/>
      <c r="K1228" s="83"/>
      <c r="L1228" s="84"/>
      <c r="M1228" s="84"/>
      <c r="N1228" s="84"/>
      <c r="O1228" s="85"/>
      <c r="P1228" s="84"/>
      <c r="Q1228" s="84"/>
      <c r="R1228" s="84"/>
      <c r="S1228" s="84"/>
      <c r="T1228" s="84"/>
      <c r="U1228" s="84"/>
      <c r="V1228" s="84"/>
      <c r="W1228" s="84"/>
      <c r="X1228" s="86"/>
    </row>
    <row r="1229" ht="15.0" customHeight="1">
      <c r="A1229" s="81"/>
      <c r="B1229" s="51"/>
      <c r="C1229" s="51"/>
      <c r="D1229" s="50"/>
      <c r="E1229" s="50"/>
      <c r="F1229" s="50"/>
      <c r="G1229" s="50"/>
      <c r="H1229" s="50"/>
      <c r="I1229" s="82"/>
      <c r="J1229" s="83"/>
      <c r="K1229" s="83"/>
      <c r="L1229" s="84"/>
      <c r="M1229" s="84"/>
      <c r="N1229" s="84"/>
      <c r="O1229" s="85"/>
      <c r="P1229" s="84"/>
      <c r="Q1229" s="84"/>
      <c r="R1229" s="84"/>
      <c r="S1229" s="84"/>
      <c r="T1229" s="84"/>
      <c r="U1229" s="84"/>
      <c r="V1229" s="84"/>
      <c r="W1229" s="84"/>
      <c r="X1229" s="86"/>
    </row>
    <row r="1230" ht="15.0" customHeight="1">
      <c r="A1230" s="81"/>
      <c r="B1230" s="51"/>
      <c r="C1230" s="51"/>
      <c r="D1230" s="50"/>
      <c r="E1230" s="50"/>
      <c r="F1230" s="50"/>
      <c r="G1230" s="50"/>
      <c r="H1230" s="50"/>
      <c r="I1230" s="82"/>
      <c r="J1230" s="83"/>
      <c r="K1230" s="83"/>
      <c r="L1230" s="84"/>
      <c r="M1230" s="84"/>
      <c r="N1230" s="84"/>
      <c r="O1230" s="85"/>
      <c r="P1230" s="84"/>
      <c r="Q1230" s="84"/>
      <c r="R1230" s="84"/>
      <c r="S1230" s="84"/>
      <c r="T1230" s="84"/>
      <c r="U1230" s="84"/>
      <c r="V1230" s="84"/>
      <c r="W1230" s="84"/>
      <c r="X1230" s="86"/>
    </row>
    <row r="1231" ht="15.0" customHeight="1">
      <c r="A1231" s="81"/>
      <c r="B1231" s="51"/>
      <c r="C1231" s="51"/>
      <c r="D1231" s="50"/>
      <c r="E1231" s="50"/>
      <c r="F1231" s="50"/>
      <c r="G1231" s="50"/>
      <c r="H1231" s="50"/>
      <c r="I1231" s="82"/>
      <c r="J1231" s="83"/>
      <c r="K1231" s="83"/>
      <c r="L1231" s="84"/>
      <c r="M1231" s="84"/>
      <c r="N1231" s="84"/>
      <c r="O1231" s="85"/>
      <c r="P1231" s="84"/>
      <c r="Q1231" s="84"/>
      <c r="R1231" s="84"/>
      <c r="S1231" s="84"/>
      <c r="T1231" s="84"/>
      <c r="U1231" s="84"/>
      <c r="V1231" s="84"/>
      <c r="W1231" s="84"/>
      <c r="X1231" s="86"/>
    </row>
    <row r="1232" ht="15.0" customHeight="1">
      <c r="A1232" s="81"/>
      <c r="B1232" s="51"/>
      <c r="C1232" s="51"/>
      <c r="D1232" s="50"/>
      <c r="E1232" s="50"/>
      <c r="F1232" s="50"/>
      <c r="G1232" s="50"/>
      <c r="H1232" s="50"/>
      <c r="I1232" s="82"/>
      <c r="J1232" s="83"/>
      <c r="K1232" s="83"/>
      <c r="L1232" s="84"/>
      <c r="M1232" s="84"/>
      <c r="N1232" s="84"/>
      <c r="O1232" s="85"/>
      <c r="P1232" s="84"/>
      <c r="Q1232" s="84"/>
      <c r="R1232" s="84"/>
      <c r="S1232" s="84"/>
      <c r="T1232" s="84"/>
      <c r="U1232" s="84"/>
      <c r="V1232" s="84"/>
      <c r="W1232" s="84"/>
      <c r="X1232" s="86"/>
    </row>
    <row r="1233" ht="15.0" customHeight="1">
      <c r="A1233" s="81"/>
      <c r="B1233" s="51"/>
      <c r="C1233" s="51"/>
      <c r="D1233" s="50"/>
      <c r="E1233" s="50"/>
      <c r="F1233" s="50"/>
      <c r="G1233" s="50"/>
      <c r="H1233" s="50"/>
      <c r="I1233" s="82"/>
      <c r="J1233" s="83"/>
      <c r="K1233" s="83"/>
      <c r="L1233" s="84"/>
      <c r="M1233" s="84"/>
      <c r="N1233" s="84"/>
      <c r="O1233" s="85"/>
      <c r="P1233" s="84"/>
      <c r="Q1233" s="84"/>
      <c r="R1233" s="84"/>
      <c r="S1233" s="84"/>
      <c r="T1233" s="84"/>
      <c r="U1233" s="84"/>
      <c r="V1233" s="84"/>
      <c r="W1233" s="84"/>
      <c r="X1233" s="86"/>
    </row>
    <row r="1234" ht="15.0" customHeight="1">
      <c r="A1234" s="81"/>
      <c r="B1234" s="51"/>
      <c r="C1234" s="51"/>
      <c r="D1234" s="50"/>
      <c r="E1234" s="50"/>
      <c r="F1234" s="50"/>
      <c r="G1234" s="50"/>
      <c r="H1234" s="50"/>
      <c r="I1234" s="82"/>
      <c r="J1234" s="83"/>
      <c r="K1234" s="83"/>
      <c r="L1234" s="84"/>
      <c r="M1234" s="84"/>
      <c r="N1234" s="84"/>
      <c r="O1234" s="85"/>
      <c r="P1234" s="84"/>
      <c r="Q1234" s="84"/>
      <c r="R1234" s="84"/>
      <c r="S1234" s="84"/>
      <c r="T1234" s="84"/>
      <c r="U1234" s="84"/>
      <c r="V1234" s="84"/>
      <c r="W1234" s="84"/>
      <c r="X1234" s="86"/>
    </row>
    <row r="1235" ht="15.0" customHeight="1">
      <c r="A1235" s="81"/>
      <c r="B1235" s="51"/>
      <c r="C1235" s="51"/>
      <c r="D1235" s="50"/>
      <c r="E1235" s="50"/>
      <c r="F1235" s="50"/>
      <c r="G1235" s="50"/>
      <c r="H1235" s="50"/>
      <c r="I1235" s="82"/>
      <c r="J1235" s="83"/>
      <c r="K1235" s="83"/>
      <c r="L1235" s="84"/>
      <c r="M1235" s="84"/>
      <c r="N1235" s="84"/>
      <c r="O1235" s="85"/>
      <c r="P1235" s="84"/>
      <c r="Q1235" s="84"/>
      <c r="R1235" s="84"/>
      <c r="S1235" s="84"/>
      <c r="T1235" s="84"/>
      <c r="U1235" s="84"/>
      <c r="V1235" s="84"/>
      <c r="W1235" s="84"/>
      <c r="X1235" s="86"/>
    </row>
    <row r="1236" ht="15.0" customHeight="1">
      <c r="A1236" s="81"/>
      <c r="B1236" s="51"/>
      <c r="C1236" s="51"/>
      <c r="D1236" s="50"/>
      <c r="E1236" s="50"/>
      <c r="F1236" s="50"/>
      <c r="G1236" s="50"/>
      <c r="H1236" s="50"/>
      <c r="I1236" s="82"/>
      <c r="J1236" s="83"/>
      <c r="K1236" s="83"/>
      <c r="L1236" s="84"/>
      <c r="M1236" s="84"/>
      <c r="N1236" s="84"/>
      <c r="O1236" s="85"/>
      <c r="P1236" s="84"/>
      <c r="Q1236" s="84"/>
      <c r="R1236" s="84"/>
      <c r="S1236" s="84"/>
      <c r="T1236" s="84"/>
      <c r="U1236" s="84"/>
      <c r="V1236" s="84"/>
      <c r="W1236" s="84"/>
      <c r="X1236" s="86"/>
    </row>
    <row r="1237" ht="15.0" customHeight="1">
      <c r="A1237" s="81"/>
      <c r="B1237" s="51"/>
      <c r="C1237" s="51"/>
      <c r="D1237" s="50"/>
      <c r="E1237" s="50"/>
      <c r="F1237" s="50"/>
      <c r="G1237" s="50"/>
      <c r="H1237" s="50"/>
      <c r="I1237" s="82"/>
      <c r="J1237" s="83"/>
      <c r="K1237" s="83"/>
      <c r="L1237" s="84"/>
      <c r="M1237" s="84"/>
      <c r="N1237" s="84"/>
      <c r="O1237" s="85"/>
      <c r="P1237" s="84"/>
      <c r="Q1237" s="84"/>
      <c r="R1237" s="84"/>
      <c r="S1237" s="84"/>
      <c r="T1237" s="84"/>
      <c r="U1237" s="84"/>
      <c r="V1237" s="84"/>
      <c r="W1237" s="84"/>
      <c r="X1237" s="86"/>
    </row>
    <row r="1238" ht="15.0" customHeight="1">
      <c r="A1238" s="81"/>
      <c r="B1238" s="51"/>
      <c r="C1238" s="51"/>
      <c r="D1238" s="50"/>
      <c r="E1238" s="50"/>
      <c r="F1238" s="50"/>
      <c r="G1238" s="50"/>
      <c r="H1238" s="50"/>
      <c r="I1238" s="82"/>
      <c r="J1238" s="83"/>
      <c r="K1238" s="83"/>
      <c r="L1238" s="84"/>
      <c r="M1238" s="84"/>
      <c r="N1238" s="84"/>
      <c r="O1238" s="85"/>
      <c r="P1238" s="84"/>
      <c r="Q1238" s="84"/>
      <c r="R1238" s="84"/>
      <c r="S1238" s="84"/>
      <c r="T1238" s="84"/>
      <c r="U1238" s="84"/>
      <c r="V1238" s="84"/>
      <c r="W1238" s="84"/>
      <c r="X1238" s="86"/>
    </row>
    <row r="1239" ht="15.0" customHeight="1">
      <c r="A1239" s="81"/>
      <c r="B1239" s="51"/>
      <c r="C1239" s="51"/>
      <c r="D1239" s="50"/>
      <c r="E1239" s="50"/>
      <c r="F1239" s="50"/>
      <c r="G1239" s="50"/>
      <c r="H1239" s="50"/>
      <c r="I1239" s="82"/>
      <c r="J1239" s="83"/>
      <c r="K1239" s="83"/>
      <c r="L1239" s="84"/>
      <c r="M1239" s="84"/>
      <c r="N1239" s="84"/>
      <c r="O1239" s="85"/>
      <c r="P1239" s="84"/>
      <c r="Q1239" s="84"/>
      <c r="R1239" s="84"/>
      <c r="S1239" s="84"/>
      <c r="T1239" s="84"/>
      <c r="U1239" s="84"/>
      <c r="V1239" s="84"/>
      <c r="W1239" s="84"/>
      <c r="X1239" s="86"/>
    </row>
    <row r="1240" ht="15.0" customHeight="1">
      <c r="A1240" s="81"/>
      <c r="B1240" s="51"/>
      <c r="C1240" s="51"/>
      <c r="D1240" s="50"/>
      <c r="E1240" s="50"/>
      <c r="F1240" s="50"/>
      <c r="G1240" s="50"/>
      <c r="H1240" s="50"/>
      <c r="I1240" s="82"/>
      <c r="J1240" s="83"/>
      <c r="K1240" s="83"/>
      <c r="L1240" s="84"/>
      <c r="M1240" s="84"/>
      <c r="N1240" s="84"/>
      <c r="O1240" s="85"/>
      <c r="P1240" s="84"/>
      <c r="Q1240" s="84"/>
      <c r="R1240" s="84"/>
      <c r="S1240" s="84"/>
      <c r="T1240" s="84"/>
      <c r="U1240" s="84"/>
      <c r="V1240" s="84"/>
      <c r="W1240" s="84"/>
      <c r="X1240" s="86"/>
    </row>
    <row r="1241" ht="15.0" customHeight="1">
      <c r="A1241" s="81"/>
      <c r="B1241" s="51"/>
      <c r="C1241" s="51"/>
      <c r="D1241" s="50"/>
      <c r="E1241" s="50"/>
      <c r="F1241" s="50"/>
      <c r="G1241" s="50"/>
      <c r="H1241" s="50"/>
      <c r="I1241" s="82"/>
      <c r="J1241" s="83"/>
      <c r="K1241" s="83"/>
      <c r="L1241" s="84"/>
      <c r="M1241" s="84"/>
      <c r="N1241" s="84"/>
      <c r="O1241" s="85"/>
      <c r="P1241" s="84"/>
      <c r="Q1241" s="84"/>
      <c r="R1241" s="84"/>
      <c r="S1241" s="84"/>
      <c r="T1241" s="84"/>
      <c r="U1241" s="84"/>
      <c r="V1241" s="84"/>
      <c r="W1241" s="84"/>
      <c r="X1241" s="86"/>
    </row>
    <row r="1242" ht="15.0" customHeight="1">
      <c r="A1242" s="81"/>
      <c r="B1242" s="51"/>
      <c r="C1242" s="51"/>
      <c r="D1242" s="50"/>
      <c r="E1242" s="50"/>
      <c r="F1242" s="50"/>
      <c r="G1242" s="50"/>
      <c r="H1242" s="50"/>
      <c r="I1242" s="82"/>
      <c r="J1242" s="83"/>
      <c r="K1242" s="83"/>
      <c r="L1242" s="84"/>
      <c r="M1242" s="84"/>
      <c r="N1242" s="84"/>
      <c r="O1242" s="85"/>
      <c r="P1242" s="84"/>
      <c r="Q1242" s="84"/>
      <c r="R1242" s="84"/>
      <c r="S1242" s="84"/>
      <c r="T1242" s="84"/>
      <c r="U1242" s="84"/>
      <c r="V1242" s="84"/>
      <c r="W1242" s="84"/>
      <c r="X1242" s="86"/>
    </row>
    <row r="1243" ht="15.0" customHeight="1">
      <c r="A1243" s="81"/>
      <c r="B1243" s="51"/>
      <c r="C1243" s="51"/>
      <c r="D1243" s="50"/>
      <c r="E1243" s="50"/>
      <c r="F1243" s="50"/>
      <c r="G1243" s="50"/>
      <c r="H1243" s="50"/>
      <c r="I1243" s="82"/>
      <c r="J1243" s="83"/>
      <c r="K1243" s="83"/>
      <c r="L1243" s="84"/>
      <c r="M1243" s="84"/>
      <c r="N1243" s="84"/>
      <c r="O1243" s="85"/>
      <c r="P1243" s="84"/>
      <c r="Q1243" s="84"/>
      <c r="R1243" s="84"/>
      <c r="S1243" s="84"/>
      <c r="T1243" s="84"/>
      <c r="U1243" s="84"/>
      <c r="V1243" s="84"/>
      <c r="W1243" s="84"/>
      <c r="X1243" s="86"/>
    </row>
    <row r="1244" ht="15.0" customHeight="1">
      <c r="A1244" s="81"/>
      <c r="B1244" s="51"/>
      <c r="C1244" s="51"/>
      <c r="D1244" s="50"/>
      <c r="E1244" s="50"/>
      <c r="F1244" s="50"/>
      <c r="G1244" s="50"/>
      <c r="H1244" s="50"/>
      <c r="I1244" s="82"/>
      <c r="J1244" s="83"/>
      <c r="K1244" s="83"/>
      <c r="L1244" s="84"/>
      <c r="M1244" s="84"/>
      <c r="N1244" s="84"/>
      <c r="O1244" s="85"/>
      <c r="P1244" s="84"/>
      <c r="Q1244" s="84"/>
      <c r="R1244" s="84"/>
      <c r="S1244" s="84"/>
      <c r="T1244" s="84"/>
      <c r="U1244" s="84"/>
      <c r="V1244" s="84"/>
      <c r="W1244" s="84"/>
      <c r="X1244" s="86"/>
    </row>
    <row r="1245" ht="15.0" customHeight="1">
      <c r="A1245" s="81"/>
      <c r="B1245" s="51"/>
      <c r="C1245" s="51"/>
      <c r="D1245" s="50"/>
      <c r="E1245" s="50"/>
      <c r="F1245" s="50"/>
      <c r="G1245" s="50"/>
      <c r="H1245" s="50"/>
      <c r="I1245" s="82"/>
      <c r="J1245" s="83"/>
      <c r="K1245" s="83"/>
      <c r="L1245" s="84"/>
      <c r="M1245" s="84"/>
      <c r="N1245" s="84"/>
      <c r="O1245" s="85"/>
      <c r="P1245" s="84"/>
      <c r="Q1245" s="84"/>
      <c r="R1245" s="84"/>
      <c r="S1245" s="84"/>
      <c r="T1245" s="84"/>
      <c r="U1245" s="84"/>
      <c r="V1245" s="84"/>
      <c r="W1245" s="84"/>
      <c r="X1245" s="86"/>
    </row>
    <row r="1246" ht="15.0" customHeight="1">
      <c r="A1246" s="81"/>
      <c r="B1246" s="51"/>
      <c r="C1246" s="51"/>
      <c r="D1246" s="50"/>
      <c r="E1246" s="50"/>
      <c r="F1246" s="50"/>
      <c r="G1246" s="50"/>
      <c r="H1246" s="50"/>
      <c r="I1246" s="82"/>
      <c r="J1246" s="83"/>
      <c r="K1246" s="83"/>
      <c r="L1246" s="84"/>
      <c r="M1246" s="84"/>
      <c r="N1246" s="84"/>
      <c r="O1246" s="85"/>
      <c r="P1246" s="84"/>
      <c r="Q1246" s="84"/>
      <c r="R1246" s="84"/>
      <c r="S1246" s="84"/>
      <c r="T1246" s="84"/>
      <c r="U1246" s="84"/>
      <c r="V1246" s="84"/>
      <c r="W1246" s="84"/>
      <c r="X1246" s="86"/>
    </row>
    <row r="1247" ht="15.0" customHeight="1">
      <c r="A1247" s="81"/>
      <c r="B1247" s="51"/>
      <c r="C1247" s="51"/>
      <c r="D1247" s="50"/>
      <c r="E1247" s="50"/>
      <c r="F1247" s="50"/>
      <c r="G1247" s="50"/>
      <c r="H1247" s="50"/>
      <c r="I1247" s="82"/>
      <c r="J1247" s="83"/>
      <c r="K1247" s="83"/>
      <c r="L1247" s="84"/>
      <c r="M1247" s="84"/>
      <c r="N1247" s="84"/>
      <c r="O1247" s="85"/>
      <c r="P1247" s="84"/>
      <c r="Q1247" s="84"/>
      <c r="R1247" s="84"/>
      <c r="S1247" s="84"/>
      <c r="T1247" s="84"/>
      <c r="U1247" s="84"/>
      <c r="V1247" s="84"/>
      <c r="W1247" s="84"/>
      <c r="X1247" s="86"/>
    </row>
    <row r="1248" ht="15.0" customHeight="1">
      <c r="A1248" s="81"/>
      <c r="B1248" s="51"/>
      <c r="C1248" s="51"/>
      <c r="D1248" s="50"/>
      <c r="E1248" s="50"/>
      <c r="F1248" s="50"/>
      <c r="G1248" s="50"/>
      <c r="H1248" s="50"/>
      <c r="I1248" s="82"/>
      <c r="J1248" s="83"/>
      <c r="K1248" s="83"/>
      <c r="L1248" s="84"/>
      <c r="M1248" s="84"/>
      <c r="N1248" s="84"/>
      <c r="O1248" s="85"/>
      <c r="P1248" s="84"/>
      <c r="Q1248" s="84"/>
      <c r="R1248" s="84"/>
      <c r="S1248" s="84"/>
      <c r="T1248" s="84"/>
      <c r="U1248" s="84"/>
      <c r="V1248" s="84"/>
      <c r="W1248" s="84"/>
      <c r="X1248" s="86"/>
    </row>
    <row r="1249" ht="15.0" customHeight="1">
      <c r="A1249" s="81"/>
      <c r="B1249" s="51"/>
      <c r="C1249" s="51"/>
      <c r="D1249" s="50"/>
      <c r="E1249" s="50"/>
      <c r="F1249" s="50"/>
      <c r="G1249" s="50"/>
      <c r="H1249" s="50"/>
      <c r="I1249" s="82"/>
      <c r="J1249" s="83"/>
      <c r="K1249" s="83"/>
      <c r="L1249" s="84"/>
      <c r="M1249" s="84"/>
      <c r="N1249" s="84"/>
      <c r="O1249" s="85"/>
      <c r="P1249" s="84"/>
      <c r="Q1249" s="84"/>
      <c r="R1249" s="84"/>
      <c r="S1249" s="84"/>
      <c r="T1249" s="84"/>
      <c r="U1249" s="84"/>
      <c r="V1249" s="84"/>
      <c r="W1249" s="84"/>
      <c r="X1249" s="86"/>
    </row>
    <row r="1250" ht="15.0" customHeight="1">
      <c r="A1250" s="81"/>
      <c r="B1250" s="51"/>
      <c r="C1250" s="51"/>
      <c r="D1250" s="50"/>
      <c r="E1250" s="50"/>
      <c r="F1250" s="50"/>
      <c r="G1250" s="50"/>
      <c r="H1250" s="50"/>
      <c r="I1250" s="82"/>
      <c r="J1250" s="83"/>
      <c r="K1250" s="83"/>
      <c r="L1250" s="84"/>
      <c r="M1250" s="84"/>
      <c r="N1250" s="84"/>
      <c r="O1250" s="85"/>
      <c r="P1250" s="84"/>
      <c r="Q1250" s="84"/>
      <c r="R1250" s="84"/>
      <c r="S1250" s="84"/>
      <c r="T1250" s="84"/>
      <c r="U1250" s="84"/>
      <c r="V1250" s="84"/>
      <c r="W1250" s="84"/>
      <c r="X1250" s="86"/>
    </row>
    <row r="1251" ht="15.0" customHeight="1">
      <c r="A1251" s="81"/>
      <c r="B1251" s="51"/>
      <c r="C1251" s="51"/>
      <c r="D1251" s="50"/>
      <c r="E1251" s="50"/>
      <c r="F1251" s="50"/>
      <c r="G1251" s="50"/>
      <c r="H1251" s="50"/>
      <c r="I1251" s="82"/>
      <c r="J1251" s="83"/>
      <c r="K1251" s="83"/>
      <c r="L1251" s="84"/>
      <c r="M1251" s="84"/>
      <c r="N1251" s="84"/>
      <c r="O1251" s="85"/>
      <c r="P1251" s="84"/>
      <c r="Q1251" s="84"/>
      <c r="R1251" s="84"/>
      <c r="S1251" s="84"/>
      <c r="T1251" s="84"/>
      <c r="U1251" s="84"/>
      <c r="V1251" s="84"/>
      <c r="W1251" s="84"/>
      <c r="X1251" s="86"/>
    </row>
    <row r="1252" ht="15.0" customHeight="1">
      <c r="A1252" s="81"/>
      <c r="B1252" s="51"/>
      <c r="C1252" s="51"/>
      <c r="D1252" s="50"/>
      <c r="E1252" s="50"/>
      <c r="F1252" s="50"/>
      <c r="G1252" s="50"/>
      <c r="H1252" s="50"/>
      <c r="I1252" s="82"/>
      <c r="J1252" s="83"/>
      <c r="K1252" s="83"/>
      <c r="L1252" s="84"/>
      <c r="M1252" s="84"/>
      <c r="N1252" s="84"/>
      <c r="O1252" s="85"/>
      <c r="P1252" s="84"/>
      <c r="Q1252" s="84"/>
      <c r="R1252" s="84"/>
      <c r="S1252" s="84"/>
      <c r="T1252" s="84"/>
      <c r="U1252" s="84"/>
      <c r="V1252" s="84"/>
      <c r="W1252" s="84"/>
      <c r="X1252" s="86"/>
    </row>
    <row r="1253" ht="15.0" customHeight="1">
      <c r="A1253" s="81"/>
      <c r="B1253" s="51"/>
      <c r="C1253" s="51"/>
      <c r="D1253" s="50"/>
      <c r="E1253" s="50"/>
      <c r="F1253" s="50"/>
      <c r="G1253" s="50"/>
      <c r="H1253" s="50"/>
      <c r="I1253" s="82"/>
      <c r="J1253" s="83"/>
      <c r="K1253" s="83"/>
      <c r="L1253" s="84"/>
      <c r="M1253" s="84"/>
      <c r="N1253" s="84"/>
      <c r="O1253" s="85"/>
      <c r="P1253" s="84"/>
      <c r="Q1253" s="84"/>
      <c r="R1253" s="84"/>
      <c r="S1253" s="84"/>
      <c r="T1253" s="84"/>
      <c r="U1253" s="84"/>
      <c r="V1253" s="84"/>
      <c r="W1253" s="84"/>
      <c r="X1253" s="86"/>
    </row>
    <row r="1254" ht="15.0" customHeight="1">
      <c r="A1254" s="81"/>
      <c r="B1254" s="51"/>
      <c r="C1254" s="51"/>
      <c r="D1254" s="50"/>
      <c r="E1254" s="50"/>
      <c r="F1254" s="50"/>
      <c r="G1254" s="50"/>
      <c r="H1254" s="50"/>
      <c r="I1254" s="82"/>
      <c r="J1254" s="83"/>
      <c r="K1254" s="83"/>
      <c r="L1254" s="84"/>
      <c r="M1254" s="84"/>
      <c r="N1254" s="84"/>
      <c r="O1254" s="85"/>
      <c r="P1254" s="84"/>
      <c r="Q1254" s="84"/>
      <c r="R1254" s="84"/>
      <c r="S1254" s="84"/>
      <c r="T1254" s="84"/>
      <c r="U1254" s="84"/>
      <c r="V1254" s="84"/>
      <c r="W1254" s="84"/>
      <c r="X1254" s="86"/>
    </row>
    <row r="1255" ht="15.0" customHeight="1">
      <c r="A1255" s="81"/>
      <c r="B1255" s="51"/>
      <c r="C1255" s="51"/>
      <c r="D1255" s="50"/>
      <c r="E1255" s="50"/>
      <c r="F1255" s="50"/>
      <c r="G1255" s="50"/>
      <c r="H1255" s="50"/>
      <c r="I1255" s="82"/>
      <c r="J1255" s="83"/>
      <c r="K1255" s="83"/>
      <c r="L1255" s="84"/>
      <c r="M1255" s="84"/>
      <c r="N1255" s="84"/>
      <c r="O1255" s="85"/>
      <c r="P1255" s="84"/>
      <c r="Q1255" s="84"/>
      <c r="R1255" s="84"/>
      <c r="S1255" s="84"/>
      <c r="T1255" s="84"/>
      <c r="U1255" s="84"/>
      <c r="V1255" s="84"/>
      <c r="W1255" s="84"/>
      <c r="X1255" s="86"/>
    </row>
    <row r="1256" ht="15.0" customHeight="1">
      <c r="A1256" s="81"/>
      <c r="B1256" s="51"/>
      <c r="C1256" s="51"/>
      <c r="D1256" s="50"/>
      <c r="E1256" s="50"/>
      <c r="F1256" s="50"/>
      <c r="G1256" s="50"/>
      <c r="H1256" s="50"/>
      <c r="I1256" s="82"/>
      <c r="J1256" s="83"/>
      <c r="K1256" s="83"/>
      <c r="L1256" s="84"/>
      <c r="M1256" s="84"/>
      <c r="N1256" s="84"/>
      <c r="O1256" s="85"/>
      <c r="P1256" s="84"/>
      <c r="Q1256" s="84"/>
      <c r="R1256" s="84"/>
      <c r="S1256" s="84"/>
      <c r="T1256" s="84"/>
      <c r="U1256" s="84"/>
      <c r="V1256" s="84"/>
      <c r="W1256" s="84"/>
      <c r="X1256" s="86"/>
    </row>
    <row r="1257" ht="15.0" customHeight="1">
      <c r="A1257" s="81"/>
      <c r="B1257" s="51"/>
      <c r="C1257" s="51"/>
      <c r="D1257" s="50"/>
      <c r="E1257" s="50"/>
      <c r="F1257" s="50"/>
      <c r="G1257" s="50"/>
      <c r="H1257" s="50"/>
      <c r="I1257" s="82"/>
      <c r="J1257" s="83"/>
      <c r="K1257" s="83"/>
      <c r="L1257" s="84"/>
      <c r="M1257" s="84"/>
      <c r="N1257" s="84"/>
      <c r="O1257" s="85"/>
      <c r="P1257" s="84"/>
      <c r="Q1257" s="84"/>
      <c r="R1257" s="84"/>
      <c r="S1257" s="84"/>
      <c r="T1257" s="84"/>
      <c r="U1257" s="84"/>
      <c r="V1257" s="84"/>
      <c r="W1257" s="84"/>
      <c r="X1257" s="86"/>
    </row>
    <row r="1258" ht="15.0" customHeight="1">
      <c r="A1258" s="81"/>
      <c r="B1258" s="51"/>
      <c r="C1258" s="51"/>
      <c r="D1258" s="50"/>
      <c r="E1258" s="50"/>
      <c r="F1258" s="50"/>
      <c r="G1258" s="50"/>
      <c r="H1258" s="50"/>
      <c r="I1258" s="82"/>
      <c r="J1258" s="83"/>
      <c r="K1258" s="83"/>
      <c r="L1258" s="84"/>
      <c r="M1258" s="84"/>
      <c r="N1258" s="84"/>
      <c r="O1258" s="85"/>
      <c r="P1258" s="84"/>
      <c r="Q1258" s="84"/>
      <c r="R1258" s="84"/>
      <c r="S1258" s="84"/>
      <c r="T1258" s="84"/>
      <c r="U1258" s="84"/>
      <c r="V1258" s="84"/>
      <c r="W1258" s="84"/>
      <c r="X1258" s="86"/>
    </row>
    <row r="1259" ht="15.0" customHeight="1">
      <c r="A1259" s="81"/>
      <c r="B1259" s="51"/>
      <c r="C1259" s="51"/>
      <c r="D1259" s="50"/>
      <c r="E1259" s="50"/>
      <c r="F1259" s="50"/>
      <c r="G1259" s="50"/>
      <c r="H1259" s="50"/>
      <c r="I1259" s="82"/>
      <c r="J1259" s="83"/>
      <c r="K1259" s="83"/>
      <c r="L1259" s="84"/>
      <c r="M1259" s="84"/>
      <c r="N1259" s="84"/>
      <c r="O1259" s="85"/>
      <c r="P1259" s="84"/>
      <c r="Q1259" s="84"/>
      <c r="R1259" s="84"/>
      <c r="S1259" s="84"/>
      <c r="T1259" s="84"/>
      <c r="U1259" s="84"/>
      <c r="V1259" s="84"/>
      <c r="W1259" s="84"/>
      <c r="X1259" s="86"/>
    </row>
    <row r="1260" ht="15.0" customHeight="1">
      <c r="A1260" s="81"/>
      <c r="B1260" s="51"/>
      <c r="C1260" s="51"/>
      <c r="D1260" s="50"/>
      <c r="E1260" s="50"/>
      <c r="F1260" s="50"/>
      <c r="G1260" s="50"/>
      <c r="H1260" s="50"/>
      <c r="I1260" s="82"/>
      <c r="J1260" s="83"/>
      <c r="K1260" s="83"/>
      <c r="L1260" s="84"/>
      <c r="M1260" s="84"/>
      <c r="N1260" s="84"/>
      <c r="O1260" s="85"/>
      <c r="P1260" s="84"/>
      <c r="Q1260" s="84"/>
      <c r="R1260" s="84"/>
      <c r="S1260" s="84"/>
      <c r="T1260" s="84"/>
      <c r="U1260" s="84"/>
      <c r="V1260" s="84"/>
      <c r="W1260" s="84"/>
      <c r="X1260" s="86"/>
    </row>
    <row r="1261" ht="15.0" customHeight="1">
      <c r="A1261" s="81"/>
      <c r="B1261" s="51"/>
      <c r="C1261" s="51"/>
      <c r="D1261" s="50"/>
      <c r="E1261" s="50"/>
      <c r="F1261" s="50"/>
      <c r="G1261" s="50"/>
      <c r="H1261" s="50"/>
      <c r="I1261" s="82"/>
      <c r="J1261" s="83"/>
      <c r="K1261" s="83"/>
      <c r="L1261" s="84"/>
      <c r="M1261" s="84"/>
      <c r="N1261" s="84"/>
      <c r="O1261" s="85"/>
      <c r="P1261" s="84"/>
      <c r="Q1261" s="84"/>
      <c r="R1261" s="84"/>
      <c r="S1261" s="84"/>
      <c r="T1261" s="84"/>
      <c r="U1261" s="84"/>
      <c r="V1261" s="84"/>
      <c r="W1261" s="84"/>
      <c r="X1261" s="86"/>
    </row>
    <row r="1262" ht="15.0" customHeight="1">
      <c r="A1262" s="81"/>
      <c r="B1262" s="51"/>
      <c r="C1262" s="51"/>
      <c r="D1262" s="50"/>
      <c r="E1262" s="50"/>
      <c r="F1262" s="50"/>
      <c r="G1262" s="50"/>
      <c r="H1262" s="50"/>
      <c r="I1262" s="82"/>
      <c r="J1262" s="83"/>
      <c r="K1262" s="83"/>
      <c r="L1262" s="84"/>
      <c r="M1262" s="84"/>
      <c r="N1262" s="84"/>
      <c r="O1262" s="85"/>
      <c r="P1262" s="84"/>
      <c r="Q1262" s="84"/>
      <c r="R1262" s="84"/>
      <c r="S1262" s="84"/>
      <c r="T1262" s="84"/>
      <c r="U1262" s="84"/>
      <c r="V1262" s="84"/>
      <c r="W1262" s="84"/>
      <c r="X1262" s="86"/>
    </row>
    <row r="1263" ht="15.0" customHeight="1">
      <c r="A1263" s="81"/>
      <c r="B1263" s="51"/>
      <c r="C1263" s="51"/>
      <c r="D1263" s="50"/>
      <c r="E1263" s="50"/>
      <c r="F1263" s="50"/>
      <c r="G1263" s="50"/>
      <c r="H1263" s="50"/>
      <c r="I1263" s="82"/>
      <c r="J1263" s="83"/>
      <c r="K1263" s="83"/>
      <c r="L1263" s="84"/>
      <c r="M1263" s="84"/>
      <c r="N1263" s="84"/>
      <c r="O1263" s="85"/>
      <c r="P1263" s="84"/>
      <c r="Q1263" s="84"/>
      <c r="R1263" s="84"/>
      <c r="S1263" s="84"/>
      <c r="T1263" s="84"/>
      <c r="U1263" s="84"/>
      <c r="V1263" s="84"/>
      <c r="W1263" s="84"/>
      <c r="X1263" s="86"/>
    </row>
    <row r="1264" ht="15.0" customHeight="1">
      <c r="A1264" s="81"/>
      <c r="B1264" s="51"/>
      <c r="C1264" s="51"/>
      <c r="D1264" s="50"/>
      <c r="E1264" s="50"/>
      <c r="F1264" s="50"/>
      <c r="G1264" s="50"/>
      <c r="H1264" s="50"/>
      <c r="I1264" s="82"/>
      <c r="J1264" s="83"/>
      <c r="K1264" s="83"/>
      <c r="L1264" s="84"/>
      <c r="M1264" s="84"/>
      <c r="N1264" s="84"/>
      <c r="O1264" s="85"/>
      <c r="P1264" s="84"/>
      <c r="Q1264" s="84"/>
      <c r="R1264" s="84"/>
      <c r="S1264" s="84"/>
      <c r="T1264" s="84"/>
      <c r="U1264" s="84"/>
      <c r="V1264" s="84"/>
      <c r="W1264" s="84"/>
      <c r="X1264" s="86"/>
    </row>
    <row r="1265" ht="15.0" customHeight="1">
      <c r="A1265" s="81"/>
      <c r="B1265" s="51"/>
      <c r="C1265" s="51"/>
      <c r="D1265" s="50"/>
      <c r="E1265" s="50"/>
      <c r="F1265" s="50"/>
      <c r="G1265" s="50"/>
      <c r="H1265" s="50"/>
      <c r="I1265" s="82"/>
      <c r="J1265" s="83"/>
      <c r="K1265" s="83"/>
      <c r="L1265" s="84"/>
      <c r="M1265" s="84"/>
      <c r="N1265" s="84"/>
      <c r="O1265" s="85"/>
      <c r="P1265" s="84"/>
      <c r="Q1265" s="84"/>
      <c r="R1265" s="84"/>
      <c r="S1265" s="84"/>
      <c r="T1265" s="84"/>
      <c r="U1265" s="84"/>
      <c r="V1265" s="84"/>
      <c r="W1265" s="84"/>
      <c r="X1265" s="86"/>
    </row>
    <row r="1266" ht="15.0" customHeight="1">
      <c r="A1266" s="81"/>
      <c r="B1266" s="51"/>
      <c r="C1266" s="51"/>
      <c r="D1266" s="50"/>
      <c r="E1266" s="50"/>
      <c r="F1266" s="50"/>
      <c r="G1266" s="50"/>
      <c r="H1266" s="50"/>
      <c r="I1266" s="82"/>
      <c r="J1266" s="83"/>
      <c r="K1266" s="83"/>
      <c r="L1266" s="84"/>
      <c r="M1266" s="84"/>
      <c r="N1266" s="84"/>
      <c r="O1266" s="85"/>
      <c r="P1266" s="84"/>
      <c r="Q1266" s="84"/>
      <c r="R1266" s="84"/>
      <c r="S1266" s="84"/>
      <c r="T1266" s="84"/>
      <c r="U1266" s="84"/>
      <c r="V1266" s="84"/>
      <c r="W1266" s="84"/>
      <c r="X1266" s="86"/>
    </row>
    <row r="1267" ht="15.0" customHeight="1">
      <c r="A1267" s="81"/>
      <c r="B1267" s="51"/>
      <c r="C1267" s="51"/>
      <c r="D1267" s="50"/>
      <c r="E1267" s="50"/>
      <c r="F1267" s="50"/>
      <c r="G1267" s="50"/>
      <c r="H1267" s="50"/>
      <c r="I1267" s="82"/>
      <c r="J1267" s="83"/>
      <c r="K1267" s="83"/>
      <c r="L1267" s="84"/>
      <c r="M1267" s="84"/>
      <c r="N1267" s="84"/>
      <c r="O1267" s="85"/>
      <c r="P1267" s="84"/>
      <c r="Q1267" s="84"/>
      <c r="R1267" s="84"/>
      <c r="S1267" s="84"/>
      <c r="T1267" s="84"/>
      <c r="U1267" s="84"/>
      <c r="V1267" s="84"/>
      <c r="W1267" s="84"/>
      <c r="X1267" s="86"/>
    </row>
    <row r="1268" ht="15.0" customHeight="1">
      <c r="A1268" s="81"/>
      <c r="B1268" s="51"/>
      <c r="C1268" s="51"/>
      <c r="D1268" s="50"/>
      <c r="E1268" s="50"/>
      <c r="F1268" s="50"/>
      <c r="G1268" s="50"/>
      <c r="H1268" s="50"/>
      <c r="I1268" s="82"/>
      <c r="J1268" s="83"/>
      <c r="K1268" s="83"/>
      <c r="L1268" s="84"/>
      <c r="M1268" s="84"/>
      <c r="N1268" s="84"/>
      <c r="O1268" s="85"/>
      <c r="P1268" s="84"/>
      <c r="Q1268" s="84"/>
      <c r="R1268" s="84"/>
      <c r="S1268" s="84"/>
      <c r="T1268" s="84"/>
      <c r="U1268" s="84"/>
      <c r="V1268" s="84"/>
      <c r="W1268" s="84"/>
      <c r="X1268" s="86"/>
    </row>
    <row r="1269" ht="15.0" customHeight="1">
      <c r="A1269" s="81"/>
      <c r="B1269" s="51"/>
      <c r="C1269" s="51"/>
      <c r="D1269" s="50"/>
      <c r="E1269" s="50"/>
      <c r="F1269" s="50"/>
      <c r="G1269" s="50"/>
      <c r="H1269" s="50"/>
      <c r="I1269" s="82"/>
      <c r="J1269" s="83"/>
      <c r="K1269" s="83"/>
      <c r="L1269" s="84"/>
      <c r="M1269" s="84"/>
      <c r="N1269" s="84"/>
      <c r="O1269" s="85"/>
      <c r="P1269" s="84"/>
      <c r="Q1269" s="84"/>
      <c r="R1269" s="84"/>
      <c r="S1269" s="84"/>
      <c r="T1269" s="84"/>
      <c r="U1269" s="84"/>
      <c r="V1269" s="84"/>
      <c r="W1269" s="84"/>
      <c r="X1269" s="86"/>
    </row>
    <row r="1270" ht="15.0" customHeight="1">
      <c r="A1270" s="81"/>
      <c r="B1270" s="51"/>
      <c r="C1270" s="51"/>
      <c r="D1270" s="50"/>
      <c r="E1270" s="50"/>
      <c r="F1270" s="50"/>
      <c r="G1270" s="50"/>
      <c r="H1270" s="50"/>
      <c r="I1270" s="82"/>
      <c r="J1270" s="83"/>
      <c r="K1270" s="83"/>
      <c r="L1270" s="84"/>
      <c r="M1270" s="84"/>
      <c r="N1270" s="84"/>
      <c r="O1270" s="85"/>
      <c r="P1270" s="84"/>
      <c r="Q1270" s="84"/>
      <c r="R1270" s="84"/>
      <c r="S1270" s="84"/>
      <c r="T1270" s="84"/>
      <c r="U1270" s="84"/>
      <c r="V1270" s="84"/>
      <c r="W1270" s="84"/>
      <c r="X1270" s="86"/>
    </row>
    <row r="1271" ht="15.0" customHeight="1">
      <c r="A1271" s="81"/>
      <c r="B1271" s="51"/>
      <c r="C1271" s="51"/>
      <c r="D1271" s="50"/>
      <c r="E1271" s="50"/>
      <c r="F1271" s="50"/>
      <c r="G1271" s="50"/>
      <c r="H1271" s="50"/>
      <c r="I1271" s="82"/>
      <c r="J1271" s="83"/>
      <c r="K1271" s="83"/>
      <c r="L1271" s="84"/>
      <c r="M1271" s="84"/>
      <c r="N1271" s="84"/>
      <c r="O1271" s="85"/>
      <c r="P1271" s="84"/>
      <c r="Q1271" s="84"/>
      <c r="R1271" s="84"/>
      <c r="S1271" s="84"/>
      <c r="T1271" s="84"/>
      <c r="U1271" s="84"/>
      <c r="V1271" s="84"/>
      <c r="W1271" s="84"/>
      <c r="X1271" s="86"/>
    </row>
    <row r="1272" ht="15.0" customHeight="1">
      <c r="A1272" s="81"/>
      <c r="B1272" s="51"/>
      <c r="C1272" s="51"/>
      <c r="D1272" s="50"/>
      <c r="E1272" s="50"/>
      <c r="F1272" s="50"/>
      <c r="G1272" s="50"/>
      <c r="H1272" s="50"/>
      <c r="I1272" s="82"/>
      <c r="J1272" s="83"/>
      <c r="K1272" s="83"/>
      <c r="L1272" s="84"/>
      <c r="M1272" s="84"/>
      <c r="N1272" s="84"/>
      <c r="O1272" s="85"/>
      <c r="P1272" s="84"/>
      <c r="Q1272" s="84"/>
      <c r="R1272" s="84"/>
      <c r="S1272" s="84"/>
      <c r="T1272" s="84"/>
      <c r="U1272" s="84"/>
      <c r="V1272" s="84"/>
      <c r="W1272" s="84"/>
      <c r="X1272" s="86"/>
    </row>
    <row r="1273" ht="15.0" customHeight="1">
      <c r="A1273" s="81"/>
      <c r="B1273" s="51"/>
      <c r="C1273" s="51"/>
      <c r="D1273" s="50"/>
      <c r="E1273" s="50"/>
      <c r="F1273" s="50"/>
      <c r="G1273" s="50"/>
      <c r="H1273" s="50"/>
      <c r="I1273" s="82"/>
      <c r="J1273" s="83"/>
      <c r="K1273" s="83"/>
      <c r="L1273" s="84"/>
      <c r="M1273" s="84"/>
      <c r="N1273" s="84"/>
      <c r="O1273" s="85"/>
      <c r="P1273" s="84"/>
      <c r="Q1273" s="84"/>
      <c r="R1273" s="84"/>
      <c r="S1273" s="84"/>
      <c r="T1273" s="84"/>
      <c r="U1273" s="84"/>
      <c r="V1273" s="84"/>
      <c r="W1273" s="84"/>
      <c r="X1273" s="86"/>
    </row>
    <row r="1274" ht="15.0" customHeight="1">
      <c r="A1274" s="81"/>
      <c r="B1274" s="51"/>
      <c r="C1274" s="51"/>
      <c r="D1274" s="50"/>
      <c r="E1274" s="50"/>
      <c r="F1274" s="50"/>
      <c r="G1274" s="50"/>
      <c r="H1274" s="50"/>
      <c r="I1274" s="82"/>
      <c r="J1274" s="83"/>
      <c r="K1274" s="83"/>
      <c r="L1274" s="84"/>
      <c r="M1274" s="84"/>
      <c r="N1274" s="84"/>
      <c r="O1274" s="85"/>
      <c r="P1274" s="84"/>
      <c r="Q1274" s="84"/>
      <c r="R1274" s="84"/>
      <c r="S1274" s="84"/>
      <c r="T1274" s="84"/>
      <c r="U1274" s="84"/>
      <c r="V1274" s="84"/>
      <c r="W1274" s="84"/>
      <c r="X1274" s="86"/>
    </row>
    <row r="1275" ht="15.0" customHeight="1">
      <c r="A1275" s="81"/>
      <c r="B1275" s="51"/>
      <c r="C1275" s="51"/>
      <c r="D1275" s="50"/>
      <c r="E1275" s="50"/>
      <c r="F1275" s="50"/>
      <c r="G1275" s="50"/>
      <c r="H1275" s="50"/>
      <c r="I1275" s="82"/>
      <c r="J1275" s="83"/>
      <c r="K1275" s="83"/>
      <c r="L1275" s="84"/>
      <c r="M1275" s="84"/>
      <c r="N1275" s="84"/>
      <c r="O1275" s="85"/>
      <c r="P1275" s="84"/>
      <c r="Q1275" s="84"/>
      <c r="R1275" s="84"/>
      <c r="S1275" s="84"/>
      <c r="T1275" s="84"/>
      <c r="U1275" s="84"/>
      <c r="V1275" s="84"/>
      <c r="W1275" s="84"/>
      <c r="X1275" s="86"/>
    </row>
    <row r="1276" ht="15.0" customHeight="1">
      <c r="A1276" s="81"/>
      <c r="B1276" s="51"/>
      <c r="C1276" s="51"/>
      <c r="D1276" s="50"/>
      <c r="E1276" s="50"/>
      <c r="F1276" s="50"/>
      <c r="G1276" s="50"/>
      <c r="H1276" s="50"/>
      <c r="I1276" s="82"/>
      <c r="J1276" s="83"/>
      <c r="K1276" s="83"/>
      <c r="L1276" s="84"/>
      <c r="M1276" s="84"/>
      <c r="N1276" s="84"/>
      <c r="O1276" s="85"/>
      <c r="P1276" s="84"/>
      <c r="Q1276" s="84"/>
      <c r="R1276" s="84"/>
      <c r="S1276" s="84"/>
      <c r="T1276" s="84"/>
      <c r="U1276" s="84"/>
      <c r="V1276" s="84"/>
      <c r="W1276" s="84"/>
      <c r="X1276" s="86"/>
    </row>
    <row r="1277" ht="15.0" customHeight="1">
      <c r="A1277" s="81"/>
      <c r="B1277" s="51"/>
      <c r="C1277" s="51"/>
      <c r="D1277" s="50"/>
      <c r="E1277" s="50"/>
      <c r="F1277" s="50"/>
      <c r="G1277" s="50"/>
      <c r="H1277" s="50"/>
      <c r="I1277" s="82"/>
      <c r="J1277" s="83"/>
      <c r="K1277" s="83"/>
      <c r="L1277" s="84"/>
      <c r="M1277" s="84"/>
      <c r="N1277" s="84"/>
      <c r="O1277" s="85"/>
      <c r="P1277" s="84"/>
      <c r="Q1277" s="84"/>
      <c r="R1277" s="84"/>
      <c r="S1277" s="84"/>
      <c r="T1277" s="84"/>
      <c r="U1277" s="84"/>
      <c r="V1277" s="84"/>
      <c r="W1277" s="84"/>
      <c r="X1277" s="86"/>
    </row>
    <row r="1278" ht="15.0" customHeight="1">
      <c r="A1278" s="81"/>
      <c r="B1278" s="51"/>
      <c r="C1278" s="51"/>
      <c r="D1278" s="50"/>
      <c r="E1278" s="50"/>
      <c r="F1278" s="50"/>
      <c r="G1278" s="50"/>
      <c r="H1278" s="50"/>
      <c r="I1278" s="82"/>
      <c r="J1278" s="83"/>
      <c r="K1278" s="83"/>
      <c r="L1278" s="84"/>
      <c r="M1278" s="84"/>
      <c r="N1278" s="84"/>
      <c r="O1278" s="85"/>
      <c r="P1278" s="84"/>
      <c r="Q1278" s="84"/>
      <c r="R1278" s="84"/>
      <c r="S1278" s="84"/>
      <c r="T1278" s="84"/>
      <c r="U1278" s="84"/>
      <c r="V1278" s="84"/>
      <c r="W1278" s="84"/>
      <c r="X1278" s="86"/>
    </row>
    <row r="1279" ht="15.0" customHeight="1">
      <c r="A1279" s="81"/>
      <c r="B1279" s="51"/>
      <c r="C1279" s="51"/>
      <c r="D1279" s="50"/>
      <c r="E1279" s="50"/>
      <c r="F1279" s="50"/>
      <c r="G1279" s="50"/>
      <c r="H1279" s="50"/>
      <c r="I1279" s="82"/>
      <c r="J1279" s="83"/>
      <c r="K1279" s="83"/>
      <c r="L1279" s="84"/>
      <c r="M1279" s="84"/>
      <c r="N1279" s="84"/>
      <c r="O1279" s="85"/>
      <c r="P1279" s="84"/>
      <c r="Q1279" s="84"/>
      <c r="R1279" s="84"/>
      <c r="S1279" s="84"/>
      <c r="T1279" s="84"/>
      <c r="U1279" s="84"/>
      <c r="V1279" s="84"/>
      <c r="W1279" s="84"/>
      <c r="X1279" s="86"/>
    </row>
    <row r="1280" ht="15.0" customHeight="1">
      <c r="A1280" s="81"/>
      <c r="B1280" s="51"/>
      <c r="C1280" s="51"/>
      <c r="D1280" s="50"/>
      <c r="E1280" s="50"/>
      <c r="F1280" s="50"/>
      <c r="G1280" s="50"/>
      <c r="H1280" s="50"/>
      <c r="I1280" s="82"/>
      <c r="J1280" s="83"/>
      <c r="K1280" s="83"/>
      <c r="L1280" s="84"/>
      <c r="M1280" s="84"/>
      <c r="N1280" s="84"/>
      <c r="O1280" s="85"/>
      <c r="P1280" s="84"/>
      <c r="Q1280" s="84"/>
      <c r="R1280" s="84"/>
      <c r="S1280" s="84"/>
      <c r="T1280" s="84"/>
      <c r="U1280" s="84"/>
      <c r="V1280" s="84"/>
      <c r="W1280" s="84"/>
      <c r="X1280" s="86"/>
    </row>
    <row r="1281" ht="15.0" customHeight="1">
      <c r="A1281" s="81"/>
      <c r="B1281" s="51"/>
      <c r="C1281" s="51"/>
      <c r="D1281" s="50"/>
      <c r="E1281" s="50"/>
      <c r="F1281" s="50"/>
      <c r="G1281" s="50"/>
      <c r="H1281" s="50"/>
      <c r="I1281" s="82"/>
      <c r="J1281" s="83"/>
      <c r="K1281" s="83"/>
      <c r="L1281" s="84"/>
      <c r="M1281" s="84"/>
      <c r="N1281" s="84"/>
      <c r="O1281" s="85"/>
      <c r="P1281" s="84"/>
      <c r="Q1281" s="84"/>
      <c r="R1281" s="84"/>
      <c r="S1281" s="84"/>
      <c r="T1281" s="84"/>
      <c r="U1281" s="84"/>
      <c r="V1281" s="84"/>
      <c r="W1281" s="84"/>
      <c r="X1281" s="86"/>
    </row>
    <row r="1282" ht="15.0" customHeight="1">
      <c r="A1282" s="81"/>
      <c r="B1282" s="51"/>
      <c r="C1282" s="51"/>
      <c r="D1282" s="50"/>
      <c r="E1282" s="50"/>
      <c r="F1282" s="50"/>
      <c r="G1282" s="50"/>
      <c r="H1282" s="50"/>
      <c r="I1282" s="82"/>
      <c r="J1282" s="83"/>
      <c r="K1282" s="83"/>
      <c r="L1282" s="84"/>
      <c r="M1282" s="84"/>
      <c r="N1282" s="84"/>
      <c r="O1282" s="85"/>
      <c r="P1282" s="84"/>
      <c r="Q1282" s="84"/>
      <c r="R1282" s="84"/>
      <c r="S1282" s="84"/>
      <c r="T1282" s="84"/>
      <c r="U1282" s="84"/>
      <c r="V1282" s="84"/>
      <c r="W1282" s="84"/>
      <c r="X1282" s="86"/>
    </row>
    <row r="1283" ht="15.0" customHeight="1">
      <c r="A1283" s="81"/>
      <c r="B1283" s="51"/>
      <c r="C1283" s="51"/>
      <c r="D1283" s="50"/>
      <c r="E1283" s="50"/>
      <c r="F1283" s="50"/>
      <c r="G1283" s="50"/>
      <c r="H1283" s="50"/>
      <c r="I1283" s="82"/>
      <c r="J1283" s="83"/>
      <c r="K1283" s="83"/>
      <c r="L1283" s="84"/>
      <c r="M1283" s="84"/>
      <c r="N1283" s="84"/>
      <c r="O1283" s="85"/>
      <c r="P1283" s="84"/>
      <c r="Q1283" s="84"/>
      <c r="R1283" s="84"/>
      <c r="S1283" s="84"/>
      <c r="T1283" s="84"/>
      <c r="U1283" s="84"/>
      <c r="V1283" s="84"/>
      <c r="W1283" s="84"/>
      <c r="X1283" s="86"/>
    </row>
    <row r="1284" ht="15.0" customHeight="1">
      <c r="A1284" s="81"/>
      <c r="B1284" s="51"/>
      <c r="C1284" s="51"/>
      <c r="D1284" s="50"/>
      <c r="E1284" s="50"/>
      <c r="F1284" s="50"/>
      <c r="G1284" s="50"/>
      <c r="H1284" s="50"/>
      <c r="I1284" s="82"/>
      <c r="J1284" s="83"/>
      <c r="K1284" s="83"/>
      <c r="L1284" s="84"/>
      <c r="M1284" s="84"/>
      <c r="N1284" s="84"/>
      <c r="O1284" s="85"/>
      <c r="P1284" s="84"/>
      <c r="Q1284" s="84"/>
      <c r="R1284" s="84"/>
      <c r="S1284" s="84"/>
      <c r="T1284" s="84"/>
      <c r="U1284" s="84"/>
      <c r="V1284" s="84"/>
      <c r="W1284" s="84"/>
      <c r="X1284" s="86"/>
    </row>
    <row r="1285" ht="15.0" customHeight="1">
      <c r="A1285" s="81"/>
      <c r="B1285" s="51"/>
      <c r="C1285" s="51"/>
      <c r="D1285" s="50"/>
      <c r="E1285" s="50"/>
      <c r="F1285" s="50"/>
      <c r="G1285" s="50"/>
      <c r="H1285" s="50"/>
      <c r="I1285" s="82"/>
      <c r="J1285" s="83"/>
      <c r="K1285" s="83"/>
      <c r="L1285" s="84"/>
      <c r="M1285" s="84"/>
      <c r="N1285" s="84"/>
      <c r="O1285" s="85"/>
      <c r="P1285" s="84"/>
      <c r="Q1285" s="84"/>
      <c r="R1285" s="84"/>
      <c r="S1285" s="84"/>
      <c r="T1285" s="84"/>
      <c r="U1285" s="84"/>
      <c r="V1285" s="84"/>
      <c r="W1285" s="84"/>
      <c r="X1285" s="86"/>
    </row>
    <row r="1286" ht="15.0" customHeight="1">
      <c r="A1286" s="81"/>
      <c r="B1286" s="51"/>
      <c r="C1286" s="51"/>
      <c r="D1286" s="50"/>
      <c r="E1286" s="50"/>
      <c r="F1286" s="50"/>
      <c r="G1286" s="50"/>
      <c r="H1286" s="50"/>
      <c r="I1286" s="82"/>
      <c r="J1286" s="83"/>
      <c r="K1286" s="83"/>
      <c r="L1286" s="84"/>
      <c r="M1286" s="84"/>
      <c r="N1286" s="84"/>
      <c r="O1286" s="85"/>
      <c r="P1286" s="84"/>
      <c r="Q1286" s="84"/>
      <c r="R1286" s="84"/>
      <c r="S1286" s="84"/>
      <c r="T1286" s="84"/>
      <c r="U1286" s="84"/>
      <c r="V1286" s="84"/>
      <c r="W1286" s="84"/>
      <c r="X1286" s="86"/>
    </row>
    <row r="1287" ht="15.0" customHeight="1">
      <c r="A1287" s="81"/>
      <c r="B1287" s="51"/>
      <c r="C1287" s="51"/>
      <c r="D1287" s="50"/>
      <c r="E1287" s="50"/>
      <c r="F1287" s="50"/>
      <c r="G1287" s="50"/>
      <c r="H1287" s="50"/>
      <c r="I1287" s="82"/>
      <c r="J1287" s="83"/>
      <c r="K1287" s="83"/>
      <c r="L1287" s="84"/>
      <c r="M1287" s="84"/>
      <c r="N1287" s="84"/>
      <c r="O1287" s="85"/>
      <c r="P1287" s="84"/>
      <c r="Q1287" s="84"/>
      <c r="R1287" s="84"/>
      <c r="S1287" s="84"/>
      <c r="T1287" s="84"/>
      <c r="U1287" s="84"/>
      <c r="V1287" s="84"/>
      <c r="W1287" s="84"/>
      <c r="X1287" s="86"/>
    </row>
    <row r="1288" ht="15.0" customHeight="1">
      <c r="A1288" s="81"/>
      <c r="B1288" s="51"/>
      <c r="C1288" s="51"/>
      <c r="D1288" s="50"/>
      <c r="E1288" s="50"/>
      <c r="F1288" s="50"/>
      <c r="G1288" s="50"/>
      <c r="H1288" s="50"/>
      <c r="I1288" s="82"/>
      <c r="J1288" s="83"/>
      <c r="K1288" s="83"/>
      <c r="L1288" s="84"/>
      <c r="M1288" s="84"/>
      <c r="N1288" s="84"/>
      <c r="O1288" s="85"/>
      <c r="P1288" s="84"/>
      <c r="Q1288" s="84"/>
      <c r="R1288" s="84"/>
      <c r="S1288" s="84"/>
      <c r="T1288" s="84"/>
      <c r="U1288" s="84"/>
      <c r="V1288" s="84"/>
      <c r="W1288" s="84"/>
      <c r="X1288" s="86"/>
    </row>
    <row r="1289" ht="15.0" customHeight="1">
      <c r="A1289" s="81"/>
      <c r="B1289" s="51"/>
      <c r="C1289" s="51"/>
      <c r="D1289" s="50"/>
      <c r="E1289" s="50"/>
      <c r="F1289" s="50"/>
      <c r="G1289" s="50"/>
      <c r="H1289" s="50"/>
      <c r="I1289" s="82"/>
      <c r="J1289" s="83"/>
      <c r="K1289" s="83"/>
      <c r="L1289" s="84"/>
      <c r="M1289" s="84"/>
      <c r="N1289" s="84"/>
      <c r="O1289" s="85"/>
      <c r="P1289" s="84"/>
      <c r="Q1289" s="84"/>
      <c r="R1289" s="84"/>
      <c r="S1289" s="84"/>
      <c r="T1289" s="84"/>
      <c r="U1289" s="84"/>
      <c r="V1289" s="84"/>
      <c r="W1289" s="84"/>
      <c r="X1289" s="86"/>
    </row>
    <row r="1290" ht="15.0" customHeight="1">
      <c r="A1290" s="81"/>
      <c r="B1290" s="51"/>
      <c r="C1290" s="51"/>
      <c r="D1290" s="50"/>
      <c r="E1290" s="50"/>
      <c r="F1290" s="50"/>
      <c r="G1290" s="50"/>
      <c r="H1290" s="50"/>
      <c r="I1290" s="82"/>
      <c r="J1290" s="83"/>
      <c r="K1290" s="83"/>
      <c r="L1290" s="84"/>
      <c r="M1290" s="84"/>
      <c r="N1290" s="84"/>
      <c r="O1290" s="85"/>
      <c r="P1290" s="84"/>
      <c r="Q1290" s="84"/>
      <c r="R1290" s="84"/>
      <c r="S1290" s="84"/>
      <c r="T1290" s="84"/>
      <c r="U1290" s="84"/>
      <c r="V1290" s="84"/>
      <c r="W1290" s="84"/>
      <c r="X1290" s="86"/>
    </row>
    <row r="1291" ht="15.0" customHeight="1">
      <c r="A1291" s="81"/>
      <c r="B1291" s="51"/>
      <c r="C1291" s="51"/>
      <c r="D1291" s="50"/>
      <c r="E1291" s="50"/>
      <c r="F1291" s="50"/>
      <c r="G1291" s="50"/>
      <c r="H1291" s="50"/>
      <c r="I1291" s="82"/>
      <c r="J1291" s="83"/>
      <c r="K1291" s="83"/>
      <c r="L1291" s="84"/>
      <c r="M1291" s="84"/>
      <c r="N1291" s="84"/>
      <c r="O1291" s="85"/>
      <c r="P1291" s="84"/>
      <c r="Q1291" s="84"/>
      <c r="R1291" s="84"/>
      <c r="S1291" s="84"/>
      <c r="T1291" s="84"/>
      <c r="U1291" s="84"/>
      <c r="V1291" s="84"/>
      <c r="W1291" s="84"/>
      <c r="X1291" s="86"/>
    </row>
    <row r="1292" ht="15.0" customHeight="1">
      <c r="A1292" s="81"/>
      <c r="B1292" s="51"/>
      <c r="C1292" s="51"/>
      <c r="D1292" s="50"/>
      <c r="E1292" s="50"/>
      <c r="F1292" s="50"/>
      <c r="G1292" s="50"/>
      <c r="H1292" s="50"/>
      <c r="I1292" s="82"/>
      <c r="J1292" s="83"/>
      <c r="K1292" s="83"/>
      <c r="L1292" s="84"/>
      <c r="M1292" s="84"/>
      <c r="N1292" s="84"/>
      <c r="O1292" s="85"/>
      <c r="P1292" s="84"/>
      <c r="Q1292" s="84"/>
      <c r="R1292" s="84"/>
      <c r="S1292" s="84"/>
      <c r="T1292" s="84"/>
      <c r="U1292" s="84"/>
      <c r="V1292" s="84"/>
      <c r="W1292" s="84"/>
      <c r="X1292" s="86"/>
    </row>
    <row r="1293" ht="15.0" customHeight="1">
      <c r="A1293" s="81"/>
      <c r="B1293" s="51"/>
      <c r="C1293" s="51"/>
      <c r="D1293" s="50"/>
      <c r="E1293" s="50"/>
      <c r="F1293" s="50"/>
      <c r="G1293" s="50"/>
      <c r="H1293" s="50"/>
      <c r="I1293" s="82"/>
      <c r="J1293" s="83"/>
      <c r="K1293" s="83"/>
      <c r="L1293" s="84"/>
      <c r="M1293" s="84"/>
      <c r="N1293" s="84"/>
      <c r="O1293" s="85"/>
      <c r="P1293" s="84"/>
      <c r="Q1293" s="84"/>
      <c r="R1293" s="84"/>
      <c r="S1293" s="84"/>
      <c r="T1293" s="84"/>
      <c r="U1293" s="84"/>
      <c r="V1293" s="84"/>
      <c r="W1293" s="84"/>
      <c r="X1293" s="86"/>
    </row>
    <row r="1294" ht="15.0" customHeight="1">
      <c r="A1294" s="81"/>
      <c r="B1294" s="51"/>
      <c r="C1294" s="51"/>
      <c r="D1294" s="50"/>
      <c r="E1294" s="50"/>
      <c r="F1294" s="50"/>
      <c r="G1294" s="50"/>
      <c r="H1294" s="50"/>
      <c r="I1294" s="82"/>
      <c r="J1294" s="83"/>
      <c r="K1294" s="83"/>
      <c r="L1294" s="84"/>
      <c r="M1294" s="84"/>
      <c r="N1294" s="84"/>
      <c r="O1294" s="85"/>
      <c r="P1294" s="84"/>
      <c r="Q1294" s="84"/>
      <c r="R1294" s="84"/>
      <c r="S1294" s="84"/>
      <c r="T1294" s="84"/>
      <c r="U1294" s="84"/>
      <c r="V1294" s="84"/>
      <c r="W1294" s="84"/>
      <c r="X1294" s="86"/>
    </row>
    <row r="1295" ht="15.0" customHeight="1">
      <c r="A1295" s="81"/>
      <c r="B1295" s="51"/>
      <c r="C1295" s="51"/>
      <c r="D1295" s="50"/>
      <c r="E1295" s="50"/>
      <c r="F1295" s="50"/>
      <c r="G1295" s="50"/>
      <c r="H1295" s="50"/>
      <c r="I1295" s="82"/>
      <c r="J1295" s="83"/>
      <c r="K1295" s="83"/>
      <c r="L1295" s="84"/>
      <c r="M1295" s="84"/>
      <c r="N1295" s="84"/>
      <c r="O1295" s="85"/>
      <c r="P1295" s="84"/>
      <c r="Q1295" s="84"/>
      <c r="R1295" s="84"/>
      <c r="S1295" s="84"/>
      <c r="T1295" s="84"/>
      <c r="U1295" s="84"/>
      <c r="V1295" s="84"/>
      <c r="W1295" s="84"/>
      <c r="X1295" s="86"/>
    </row>
    <row r="1296" ht="15.0" customHeight="1">
      <c r="A1296" s="81"/>
      <c r="B1296" s="51"/>
      <c r="C1296" s="51"/>
      <c r="D1296" s="50"/>
      <c r="E1296" s="50"/>
      <c r="F1296" s="50"/>
      <c r="G1296" s="50"/>
      <c r="H1296" s="50"/>
      <c r="I1296" s="82"/>
      <c r="J1296" s="83"/>
      <c r="K1296" s="83"/>
      <c r="L1296" s="84"/>
      <c r="M1296" s="84"/>
      <c r="N1296" s="84"/>
      <c r="O1296" s="85"/>
      <c r="P1296" s="84"/>
      <c r="Q1296" s="84"/>
      <c r="R1296" s="84"/>
      <c r="S1296" s="84"/>
      <c r="T1296" s="84"/>
      <c r="U1296" s="84"/>
      <c r="V1296" s="84"/>
      <c r="W1296" s="84"/>
      <c r="X1296" s="86"/>
    </row>
    <row r="1297" ht="15.0" customHeight="1">
      <c r="A1297" s="81"/>
      <c r="B1297" s="51"/>
      <c r="C1297" s="51"/>
      <c r="D1297" s="50"/>
      <c r="E1297" s="50"/>
      <c r="F1297" s="50"/>
      <c r="G1297" s="50"/>
      <c r="H1297" s="50"/>
      <c r="I1297" s="82"/>
      <c r="J1297" s="83"/>
      <c r="K1297" s="83"/>
      <c r="L1297" s="84"/>
      <c r="M1297" s="84"/>
      <c r="N1297" s="84"/>
      <c r="O1297" s="85"/>
      <c r="P1297" s="84"/>
      <c r="Q1297" s="84"/>
      <c r="R1297" s="84"/>
      <c r="S1297" s="84"/>
      <c r="T1297" s="84"/>
      <c r="U1297" s="84"/>
      <c r="V1297" s="84"/>
      <c r="W1297" s="84"/>
      <c r="X1297" s="86"/>
    </row>
    <row r="1298" ht="15.0" customHeight="1">
      <c r="A1298" s="81"/>
      <c r="B1298" s="51"/>
      <c r="C1298" s="51"/>
      <c r="D1298" s="50"/>
      <c r="E1298" s="50"/>
      <c r="F1298" s="50"/>
      <c r="G1298" s="50"/>
      <c r="H1298" s="50"/>
      <c r="I1298" s="82"/>
      <c r="J1298" s="83"/>
      <c r="K1298" s="83"/>
      <c r="L1298" s="84"/>
      <c r="M1298" s="84"/>
      <c r="N1298" s="84"/>
      <c r="O1298" s="85"/>
      <c r="P1298" s="84"/>
      <c r="Q1298" s="84"/>
      <c r="R1298" s="84"/>
      <c r="S1298" s="84"/>
      <c r="T1298" s="84"/>
      <c r="U1298" s="84"/>
      <c r="V1298" s="84"/>
      <c r="W1298" s="84"/>
      <c r="X1298" s="86"/>
    </row>
    <row r="1299" ht="15.0" customHeight="1">
      <c r="A1299" s="81"/>
      <c r="B1299" s="51"/>
      <c r="C1299" s="51"/>
      <c r="D1299" s="50"/>
      <c r="E1299" s="50"/>
      <c r="F1299" s="50"/>
      <c r="G1299" s="50"/>
      <c r="H1299" s="50"/>
      <c r="I1299" s="82"/>
      <c r="J1299" s="83"/>
      <c r="K1299" s="83"/>
      <c r="L1299" s="84"/>
      <c r="M1299" s="84"/>
      <c r="N1299" s="84"/>
      <c r="O1299" s="85"/>
      <c r="P1299" s="84"/>
      <c r="Q1299" s="84"/>
      <c r="R1299" s="84"/>
      <c r="S1299" s="84"/>
      <c r="T1299" s="84"/>
      <c r="U1299" s="84"/>
      <c r="V1299" s="84"/>
      <c r="W1299" s="84"/>
      <c r="X1299" s="86"/>
    </row>
    <row r="1300" ht="15.0" customHeight="1">
      <c r="A1300" s="81"/>
      <c r="B1300" s="51"/>
      <c r="C1300" s="51"/>
      <c r="D1300" s="50"/>
      <c r="E1300" s="50"/>
      <c r="F1300" s="50"/>
      <c r="G1300" s="50"/>
      <c r="H1300" s="50"/>
      <c r="I1300" s="82"/>
      <c r="J1300" s="83"/>
      <c r="K1300" s="83"/>
      <c r="L1300" s="84"/>
      <c r="M1300" s="84"/>
      <c r="N1300" s="84"/>
      <c r="O1300" s="85"/>
      <c r="P1300" s="84"/>
      <c r="Q1300" s="84"/>
      <c r="R1300" s="84"/>
      <c r="S1300" s="84"/>
      <c r="T1300" s="84"/>
      <c r="U1300" s="84"/>
      <c r="V1300" s="84"/>
      <c r="W1300" s="84"/>
      <c r="X1300" s="86"/>
    </row>
    <row r="1301" ht="15.0" customHeight="1">
      <c r="A1301" s="81"/>
      <c r="B1301" s="51"/>
      <c r="C1301" s="51"/>
      <c r="D1301" s="50"/>
      <c r="E1301" s="50"/>
      <c r="F1301" s="50"/>
      <c r="G1301" s="50"/>
      <c r="H1301" s="50"/>
      <c r="I1301" s="82"/>
      <c r="J1301" s="83"/>
      <c r="K1301" s="83"/>
      <c r="L1301" s="84"/>
      <c r="M1301" s="84"/>
      <c r="N1301" s="84"/>
      <c r="O1301" s="85"/>
      <c r="P1301" s="84"/>
      <c r="Q1301" s="84"/>
      <c r="R1301" s="84"/>
      <c r="S1301" s="84"/>
      <c r="T1301" s="84"/>
      <c r="U1301" s="84"/>
      <c r="V1301" s="84"/>
      <c r="W1301" s="84"/>
      <c r="X1301" s="86"/>
    </row>
    <row r="1302" ht="15.0" customHeight="1">
      <c r="A1302" s="81"/>
      <c r="B1302" s="51"/>
      <c r="C1302" s="51"/>
      <c r="D1302" s="50"/>
      <c r="E1302" s="50"/>
      <c r="F1302" s="50"/>
      <c r="G1302" s="50"/>
      <c r="H1302" s="50"/>
      <c r="I1302" s="82"/>
      <c r="J1302" s="83"/>
      <c r="K1302" s="83"/>
      <c r="L1302" s="84"/>
      <c r="M1302" s="84"/>
      <c r="N1302" s="84"/>
      <c r="O1302" s="85"/>
      <c r="P1302" s="84"/>
      <c r="Q1302" s="84"/>
      <c r="R1302" s="84"/>
      <c r="S1302" s="84"/>
      <c r="T1302" s="84"/>
      <c r="U1302" s="84"/>
      <c r="V1302" s="84"/>
      <c r="W1302" s="84"/>
      <c r="X1302" s="86"/>
    </row>
    <row r="1303" ht="15.0" customHeight="1">
      <c r="A1303" s="81"/>
      <c r="B1303" s="51"/>
      <c r="C1303" s="51"/>
      <c r="D1303" s="50"/>
      <c r="E1303" s="50"/>
      <c r="F1303" s="50"/>
      <c r="G1303" s="50"/>
      <c r="H1303" s="50"/>
      <c r="I1303" s="82"/>
      <c r="J1303" s="83"/>
      <c r="K1303" s="83"/>
      <c r="L1303" s="84"/>
      <c r="M1303" s="84"/>
      <c r="N1303" s="84"/>
      <c r="O1303" s="85"/>
      <c r="P1303" s="84"/>
      <c r="Q1303" s="84"/>
      <c r="R1303" s="84"/>
      <c r="S1303" s="84"/>
      <c r="T1303" s="84"/>
      <c r="U1303" s="84"/>
      <c r="V1303" s="84"/>
      <c r="W1303" s="84"/>
      <c r="X1303" s="86"/>
    </row>
    <row r="1304" ht="15.0" customHeight="1">
      <c r="A1304" s="81"/>
      <c r="B1304" s="51"/>
      <c r="C1304" s="51"/>
      <c r="D1304" s="50"/>
      <c r="E1304" s="50"/>
      <c r="F1304" s="50"/>
      <c r="G1304" s="50"/>
      <c r="H1304" s="50"/>
      <c r="I1304" s="82"/>
      <c r="J1304" s="83"/>
      <c r="K1304" s="83"/>
      <c r="L1304" s="84"/>
      <c r="M1304" s="84"/>
      <c r="N1304" s="84"/>
      <c r="O1304" s="85"/>
      <c r="P1304" s="84"/>
      <c r="Q1304" s="84"/>
      <c r="R1304" s="84"/>
      <c r="S1304" s="84"/>
      <c r="T1304" s="84"/>
      <c r="U1304" s="84"/>
      <c r="V1304" s="84"/>
      <c r="W1304" s="84"/>
      <c r="X1304" s="86"/>
    </row>
    <row r="1305" ht="15.0" customHeight="1">
      <c r="A1305" s="81"/>
      <c r="B1305" s="51"/>
      <c r="C1305" s="51"/>
      <c r="D1305" s="50"/>
      <c r="E1305" s="50"/>
      <c r="F1305" s="50"/>
      <c r="G1305" s="50"/>
      <c r="H1305" s="50"/>
      <c r="I1305" s="82"/>
      <c r="J1305" s="83"/>
      <c r="K1305" s="83"/>
      <c r="L1305" s="84"/>
      <c r="M1305" s="84"/>
      <c r="N1305" s="84"/>
      <c r="O1305" s="85"/>
      <c r="P1305" s="84"/>
      <c r="Q1305" s="84"/>
      <c r="R1305" s="84"/>
      <c r="S1305" s="84"/>
      <c r="T1305" s="84"/>
      <c r="U1305" s="84"/>
      <c r="V1305" s="84"/>
      <c r="W1305" s="84"/>
      <c r="X1305" s="86"/>
    </row>
    <row r="1306" ht="15.0" customHeight="1">
      <c r="A1306" s="81"/>
      <c r="B1306" s="51"/>
      <c r="C1306" s="51"/>
      <c r="D1306" s="50"/>
      <c r="E1306" s="50"/>
      <c r="F1306" s="50"/>
      <c r="G1306" s="50"/>
      <c r="H1306" s="50"/>
      <c r="I1306" s="82"/>
      <c r="J1306" s="83"/>
      <c r="K1306" s="83"/>
      <c r="L1306" s="84"/>
      <c r="M1306" s="84"/>
      <c r="N1306" s="84"/>
      <c r="O1306" s="85"/>
      <c r="P1306" s="84"/>
      <c r="Q1306" s="84"/>
      <c r="R1306" s="84"/>
      <c r="S1306" s="84"/>
      <c r="T1306" s="84"/>
      <c r="U1306" s="84"/>
      <c r="V1306" s="84"/>
      <c r="W1306" s="84"/>
      <c r="X1306" s="86"/>
    </row>
    <row r="1307" ht="15.0" customHeight="1">
      <c r="A1307" s="81"/>
      <c r="B1307" s="51"/>
      <c r="C1307" s="51"/>
      <c r="D1307" s="50"/>
      <c r="E1307" s="50"/>
      <c r="F1307" s="50"/>
      <c r="G1307" s="50"/>
      <c r="H1307" s="50"/>
      <c r="I1307" s="82"/>
      <c r="J1307" s="83"/>
      <c r="K1307" s="83"/>
      <c r="L1307" s="84"/>
      <c r="M1307" s="84"/>
      <c r="N1307" s="84"/>
      <c r="O1307" s="85"/>
      <c r="P1307" s="84"/>
      <c r="Q1307" s="84"/>
      <c r="R1307" s="84"/>
      <c r="S1307" s="84"/>
      <c r="T1307" s="84"/>
      <c r="U1307" s="84"/>
      <c r="V1307" s="84"/>
      <c r="W1307" s="84"/>
      <c r="X1307" s="86"/>
    </row>
    <row r="1308" ht="15.0" customHeight="1">
      <c r="A1308" s="81"/>
      <c r="B1308" s="51"/>
      <c r="C1308" s="51"/>
      <c r="D1308" s="50"/>
      <c r="E1308" s="50"/>
      <c r="F1308" s="50"/>
      <c r="G1308" s="50"/>
      <c r="H1308" s="50"/>
      <c r="I1308" s="82"/>
      <c r="J1308" s="83"/>
      <c r="K1308" s="83"/>
      <c r="L1308" s="84"/>
      <c r="M1308" s="84"/>
      <c r="N1308" s="84"/>
      <c r="O1308" s="85"/>
      <c r="P1308" s="84"/>
      <c r="Q1308" s="84"/>
      <c r="R1308" s="84"/>
      <c r="S1308" s="84"/>
      <c r="T1308" s="84"/>
      <c r="U1308" s="84"/>
      <c r="V1308" s="84"/>
      <c r="W1308" s="84"/>
      <c r="X1308" s="86"/>
    </row>
    <row r="1309" ht="15.0" customHeight="1">
      <c r="A1309" s="81"/>
      <c r="B1309" s="51"/>
      <c r="C1309" s="51"/>
      <c r="D1309" s="50"/>
      <c r="E1309" s="50"/>
      <c r="F1309" s="50"/>
      <c r="G1309" s="50"/>
      <c r="H1309" s="50"/>
      <c r="I1309" s="82"/>
      <c r="J1309" s="83"/>
      <c r="K1309" s="83"/>
      <c r="L1309" s="84"/>
      <c r="M1309" s="84"/>
      <c r="N1309" s="84"/>
      <c r="O1309" s="85"/>
      <c r="P1309" s="84"/>
      <c r="Q1309" s="84"/>
      <c r="R1309" s="84"/>
      <c r="S1309" s="84"/>
      <c r="T1309" s="84"/>
      <c r="U1309" s="84"/>
      <c r="V1309" s="84"/>
      <c r="W1309" s="84"/>
      <c r="X1309" s="86"/>
    </row>
    <row r="1310" ht="15.0" customHeight="1">
      <c r="A1310" s="81"/>
      <c r="B1310" s="51"/>
      <c r="C1310" s="51"/>
      <c r="D1310" s="50"/>
      <c r="E1310" s="50"/>
      <c r="F1310" s="50"/>
      <c r="G1310" s="50"/>
      <c r="H1310" s="50"/>
      <c r="I1310" s="82"/>
      <c r="J1310" s="83"/>
      <c r="K1310" s="83"/>
      <c r="L1310" s="84"/>
      <c r="M1310" s="84"/>
      <c r="N1310" s="84"/>
      <c r="O1310" s="85"/>
      <c r="P1310" s="84"/>
      <c r="Q1310" s="84"/>
      <c r="R1310" s="84"/>
      <c r="S1310" s="84"/>
      <c r="T1310" s="84"/>
      <c r="U1310" s="84"/>
      <c r="V1310" s="84"/>
      <c r="W1310" s="84"/>
      <c r="X1310" s="86"/>
    </row>
    <row r="1311" ht="15.0" customHeight="1">
      <c r="A1311" s="81"/>
      <c r="B1311" s="51"/>
      <c r="C1311" s="51"/>
      <c r="D1311" s="50"/>
      <c r="E1311" s="50"/>
      <c r="F1311" s="50"/>
      <c r="G1311" s="50"/>
      <c r="H1311" s="50"/>
      <c r="I1311" s="82"/>
      <c r="J1311" s="83"/>
      <c r="K1311" s="83"/>
      <c r="L1311" s="84"/>
      <c r="M1311" s="84"/>
      <c r="N1311" s="84"/>
      <c r="O1311" s="85"/>
      <c r="P1311" s="84"/>
      <c r="Q1311" s="84"/>
      <c r="R1311" s="84"/>
      <c r="S1311" s="84"/>
      <c r="T1311" s="84"/>
      <c r="U1311" s="84"/>
      <c r="V1311" s="84"/>
      <c r="W1311" s="84"/>
      <c r="X1311" s="86"/>
    </row>
    <row r="1312" ht="15.0" customHeight="1">
      <c r="A1312" s="81"/>
      <c r="B1312" s="51"/>
      <c r="C1312" s="51"/>
      <c r="D1312" s="50"/>
      <c r="E1312" s="50"/>
      <c r="F1312" s="50"/>
      <c r="G1312" s="50"/>
      <c r="H1312" s="50"/>
      <c r="I1312" s="82"/>
      <c r="J1312" s="83"/>
      <c r="K1312" s="83"/>
      <c r="L1312" s="84"/>
      <c r="M1312" s="84"/>
      <c r="N1312" s="84"/>
      <c r="O1312" s="85"/>
      <c r="P1312" s="84"/>
      <c r="Q1312" s="84"/>
      <c r="R1312" s="84"/>
      <c r="S1312" s="84"/>
      <c r="T1312" s="84"/>
      <c r="U1312" s="84"/>
      <c r="V1312" s="84"/>
      <c r="W1312" s="84"/>
      <c r="X1312" s="86"/>
    </row>
    <row r="1313" ht="15.0" customHeight="1">
      <c r="A1313" s="81"/>
      <c r="B1313" s="51"/>
      <c r="C1313" s="51"/>
      <c r="D1313" s="50"/>
      <c r="E1313" s="50"/>
      <c r="F1313" s="50"/>
      <c r="G1313" s="50"/>
      <c r="H1313" s="50"/>
      <c r="I1313" s="82"/>
      <c r="J1313" s="83"/>
      <c r="K1313" s="83"/>
      <c r="L1313" s="84"/>
      <c r="M1313" s="84"/>
      <c r="N1313" s="84"/>
      <c r="O1313" s="85"/>
      <c r="P1313" s="84"/>
      <c r="Q1313" s="84"/>
      <c r="R1313" s="84"/>
      <c r="S1313" s="84"/>
      <c r="T1313" s="84"/>
      <c r="U1313" s="84"/>
      <c r="V1313" s="84"/>
      <c r="W1313" s="84"/>
      <c r="X1313" s="86"/>
    </row>
    <row r="1314" ht="15.0" customHeight="1">
      <c r="A1314" s="81"/>
      <c r="B1314" s="51"/>
      <c r="C1314" s="51"/>
      <c r="D1314" s="50"/>
      <c r="E1314" s="50"/>
      <c r="F1314" s="50"/>
      <c r="G1314" s="50"/>
      <c r="H1314" s="50"/>
      <c r="I1314" s="82"/>
      <c r="J1314" s="83"/>
      <c r="K1314" s="83"/>
      <c r="L1314" s="84"/>
      <c r="M1314" s="84"/>
      <c r="N1314" s="84"/>
      <c r="O1314" s="85"/>
      <c r="P1314" s="84"/>
      <c r="Q1314" s="84"/>
      <c r="R1314" s="84"/>
      <c r="S1314" s="84"/>
      <c r="T1314" s="84"/>
      <c r="U1314" s="84"/>
      <c r="V1314" s="84"/>
      <c r="W1314" s="84"/>
      <c r="X1314" s="86"/>
    </row>
    <row r="1315" ht="15.0" customHeight="1">
      <c r="A1315" s="81"/>
      <c r="B1315" s="51"/>
      <c r="C1315" s="51"/>
      <c r="D1315" s="50"/>
      <c r="E1315" s="50"/>
      <c r="F1315" s="50"/>
      <c r="G1315" s="50"/>
      <c r="H1315" s="50"/>
      <c r="I1315" s="82"/>
      <c r="J1315" s="83"/>
      <c r="K1315" s="83"/>
      <c r="L1315" s="84"/>
      <c r="M1315" s="84"/>
      <c r="N1315" s="84"/>
      <c r="O1315" s="85"/>
      <c r="P1315" s="84"/>
      <c r="Q1315" s="84"/>
      <c r="R1315" s="84"/>
      <c r="S1315" s="84"/>
      <c r="T1315" s="84"/>
      <c r="U1315" s="84"/>
      <c r="V1315" s="84"/>
      <c r="W1315" s="84"/>
      <c r="X1315" s="86"/>
    </row>
    <row r="1316" ht="15.0" customHeight="1">
      <c r="A1316" s="81"/>
      <c r="B1316" s="51"/>
      <c r="C1316" s="51"/>
      <c r="D1316" s="50"/>
      <c r="E1316" s="50"/>
      <c r="F1316" s="50"/>
      <c r="G1316" s="50"/>
      <c r="H1316" s="50"/>
      <c r="I1316" s="82"/>
      <c r="J1316" s="83"/>
      <c r="K1316" s="83"/>
      <c r="L1316" s="84"/>
      <c r="M1316" s="84"/>
      <c r="N1316" s="84"/>
      <c r="O1316" s="85"/>
      <c r="P1316" s="84"/>
      <c r="Q1316" s="84"/>
      <c r="R1316" s="84"/>
      <c r="S1316" s="84"/>
      <c r="T1316" s="84"/>
      <c r="U1316" s="84"/>
      <c r="V1316" s="84"/>
      <c r="W1316" s="84"/>
      <c r="X1316" s="86"/>
    </row>
    <row r="1317" ht="15.0" customHeight="1">
      <c r="A1317" s="81"/>
      <c r="B1317" s="51"/>
      <c r="C1317" s="51"/>
      <c r="D1317" s="50"/>
      <c r="E1317" s="50"/>
      <c r="F1317" s="50"/>
      <c r="G1317" s="50"/>
      <c r="H1317" s="50"/>
      <c r="I1317" s="82"/>
      <c r="J1317" s="83"/>
      <c r="K1317" s="83"/>
      <c r="L1317" s="84"/>
      <c r="M1317" s="84"/>
      <c r="N1317" s="84"/>
      <c r="O1317" s="85"/>
      <c r="P1317" s="84"/>
      <c r="Q1317" s="84"/>
      <c r="R1317" s="84"/>
      <c r="S1317" s="84"/>
      <c r="T1317" s="84"/>
      <c r="U1317" s="84"/>
      <c r="V1317" s="84"/>
      <c r="W1317" s="84"/>
      <c r="X1317" s="86"/>
    </row>
    <row r="1318" ht="15.0" customHeight="1">
      <c r="A1318" s="81"/>
      <c r="B1318" s="51"/>
      <c r="C1318" s="51"/>
      <c r="D1318" s="50"/>
      <c r="E1318" s="50"/>
      <c r="F1318" s="50"/>
      <c r="G1318" s="50"/>
      <c r="H1318" s="50"/>
      <c r="I1318" s="82"/>
      <c r="J1318" s="83"/>
      <c r="K1318" s="83"/>
      <c r="L1318" s="84"/>
      <c r="M1318" s="84"/>
      <c r="N1318" s="84"/>
      <c r="O1318" s="85"/>
      <c r="P1318" s="84"/>
      <c r="Q1318" s="84"/>
      <c r="R1318" s="84"/>
      <c r="S1318" s="84"/>
      <c r="T1318" s="84"/>
      <c r="U1318" s="84"/>
      <c r="V1318" s="84"/>
      <c r="W1318" s="84"/>
      <c r="X1318" s="86"/>
    </row>
    <row r="1319" ht="15.0" customHeight="1">
      <c r="A1319" s="81"/>
      <c r="B1319" s="51"/>
      <c r="C1319" s="51"/>
      <c r="D1319" s="50"/>
      <c r="E1319" s="50"/>
      <c r="F1319" s="50"/>
      <c r="G1319" s="50"/>
      <c r="H1319" s="50"/>
      <c r="I1319" s="82"/>
      <c r="J1319" s="83"/>
      <c r="K1319" s="83"/>
      <c r="L1319" s="84"/>
      <c r="M1319" s="84"/>
      <c r="N1319" s="84"/>
      <c r="O1319" s="85"/>
      <c r="P1319" s="84"/>
      <c r="Q1319" s="84"/>
      <c r="R1319" s="84"/>
      <c r="S1319" s="84"/>
      <c r="T1319" s="84"/>
      <c r="U1319" s="84"/>
      <c r="V1319" s="84"/>
      <c r="W1319" s="84"/>
      <c r="X1319" s="86"/>
    </row>
    <row r="1320" ht="15.0" customHeight="1">
      <c r="A1320" s="81"/>
      <c r="B1320" s="51"/>
      <c r="C1320" s="51"/>
      <c r="D1320" s="50"/>
      <c r="E1320" s="50"/>
      <c r="F1320" s="50"/>
      <c r="G1320" s="50"/>
      <c r="H1320" s="50"/>
      <c r="I1320" s="82"/>
      <c r="J1320" s="83"/>
      <c r="K1320" s="83"/>
      <c r="L1320" s="84"/>
      <c r="M1320" s="84"/>
      <c r="N1320" s="84"/>
      <c r="O1320" s="85"/>
      <c r="P1320" s="84"/>
      <c r="Q1320" s="84"/>
      <c r="R1320" s="84"/>
      <c r="S1320" s="84"/>
      <c r="T1320" s="84"/>
      <c r="U1320" s="84"/>
      <c r="V1320" s="84"/>
      <c r="W1320" s="84"/>
      <c r="X1320" s="86"/>
    </row>
    <row r="1321" ht="15.0" customHeight="1">
      <c r="A1321" s="81"/>
      <c r="B1321" s="51"/>
      <c r="C1321" s="51"/>
      <c r="D1321" s="50"/>
      <c r="E1321" s="50"/>
      <c r="F1321" s="50"/>
      <c r="G1321" s="50"/>
      <c r="H1321" s="50"/>
      <c r="I1321" s="82"/>
      <c r="J1321" s="83"/>
      <c r="K1321" s="83"/>
      <c r="L1321" s="84"/>
      <c r="M1321" s="84"/>
      <c r="N1321" s="84"/>
      <c r="O1321" s="85"/>
      <c r="P1321" s="84"/>
      <c r="Q1321" s="84"/>
      <c r="R1321" s="84"/>
      <c r="S1321" s="84"/>
      <c r="T1321" s="84"/>
      <c r="U1321" s="84"/>
      <c r="V1321" s="84"/>
      <c r="W1321" s="84"/>
      <c r="X1321" s="86"/>
    </row>
    <row r="1322" ht="15.0" customHeight="1">
      <c r="A1322" s="81"/>
      <c r="B1322" s="51"/>
      <c r="C1322" s="138"/>
      <c r="D1322" s="50"/>
      <c r="E1322" s="50"/>
      <c r="F1322" s="50"/>
      <c r="G1322" s="50"/>
      <c r="H1322" s="50"/>
      <c r="I1322" s="82"/>
      <c r="J1322" s="83"/>
      <c r="K1322" s="83"/>
      <c r="L1322" s="84"/>
      <c r="M1322" s="84"/>
      <c r="N1322" s="84"/>
      <c r="O1322" s="85"/>
      <c r="P1322" s="84"/>
      <c r="Q1322" s="84"/>
      <c r="R1322" s="84"/>
      <c r="S1322" s="84"/>
      <c r="T1322" s="84"/>
      <c r="U1322" s="84"/>
      <c r="V1322" s="84"/>
      <c r="W1322" s="84"/>
      <c r="X1322" s="86"/>
    </row>
    <row r="1323" ht="15.0" customHeight="1">
      <c r="A1323" s="81"/>
      <c r="B1323" s="51"/>
      <c r="C1323" s="51"/>
      <c r="D1323" s="50"/>
      <c r="E1323" s="50"/>
      <c r="F1323" s="50"/>
      <c r="G1323" s="50"/>
      <c r="H1323" s="50"/>
      <c r="I1323" s="82"/>
      <c r="J1323" s="83"/>
      <c r="K1323" s="83"/>
      <c r="L1323" s="84"/>
      <c r="M1323" s="84"/>
      <c r="N1323" s="84"/>
      <c r="O1323" s="85"/>
      <c r="P1323" s="84"/>
      <c r="Q1323" s="84"/>
      <c r="R1323" s="84"/>
      <c r="S1323" s="84"/>
      <c r="T1323" s="84"/>
      <c r="U1323" s="84"/>
      <c r="V1323" s="84"/>
      <c r="W1323" s="84"/>
      <c r="X1323" s="86"/>
    </row>
    <row r="1324" ht="15.0" customHeight="1">
      <c r="A1324" s="81"/>
      <c r="B1324" s="51"/>
      <c r="C1324" s="51"/>
      <c r="D1324" s="50"/>
      <c r="E1324" s="50"/>
      <c r="F1324" s="50"/>
      <c r="G1324" s="50"/>
      <c r="H1324" s="50"/>
      <c r="I1324" s="82"/>
      <c r="J1324" s="83"/>
      <c r="K1324" s="83"/>
      <c r="L1324" s="84"/>
      <c r="M1324" s="84"/>
      <c r="N1324" s="84"/>
      <c r="O1324" s="85"/>
      <c r="P1324" s="84"/>
      <c r="Q1324" s="84"/>
      <c r="R1324" s="84"/>
      <c r="S1324" s="84"/>
      <c r="T1324" s="84"/>
      <c r="U1324" s="84"/>
      <c r="V1324" s="84"/>
      <c r="W1324" s="84"/>
      <c r="X1324" s="86"/>
    </row>
    <row r="1325" ht="15.0" customHeight="1">
      <c r="A1325" s="81"/>
      <c r="B1325" s="51"/>
      <c r="C1325" s="51"/>
      <c r="D1325" s="50"/>
      <c r="E1325" s="50"/>
      <c r="F1325" s="50"/>
      <c r="G1325" s="50"/>
      <c r="H1325" s="50"/>
      <c r="I1325" s="82"/>
      <c r="J1325" s="83"/>
      <c r="K1325" s="83"/>
      <c r="L1325" s="84"/>
      <c r="M1325" s="84"/>
      <c r="N1325" s="84"/>
      <c r="O1325" s="85"/>
      <c r="P1325" s="84"/>
      <c r="Q1325" s="84"/>
      <c r="R1325" s="84"/>
      <c r="S1325" s="84"/>
      <c r="T1325" s="84"/>
      <c r="U1325" s="84"/>
      <c r="V1325" s="84"/>
      <c r="W1325" s="84"/>
      <c r="X1325" s="86"/>
    </row>
    <row r="1326" ht="15.0" customHeight="1">
      <c r="A1326" s="81"/>
      <c r="B1326" s="51"/>
      <c r="C1326" s="51"/>
      <c r="D1326" s="50"/>
      <c r="E1326" s="50"/>
      <c r="F1326" s="50"/>
      <c r="G1326" s="50"/>
      <c r="H1326" s="50"/>
      <c r="I1326" s="82"/>
      <c r="J1326" s="83"/>
      <c r="K1326" s="83"/>
      <c r="L1326" s="84"/>
      <c r="M1326" s="84"/>
      <c r="N1326" s="84"/>
      <c r="O1326" s="85"/>
      <c r="P1326" s="84"/>
      <c r="Q1326" s="84"/>
      <c r="R1326" s="84"/>
      <c r="S1326" s="84"/>
      <c r="T1326" s="84"/>
      <c r="U1326" s="84"/>
      <c r="V1326" s="84"/>
      <c r="W1326" s="84"/>
      <c r="X1326" s="86"/>
    </row>
    <row r="1327" ht="15.0" customHeight="1">
      <c r="A1327" s="81"/>
      <c r="B1327" s="51"/>
      <c r="C1327" s="51"/>
      <c r="D1327" s="50"/>
      <c r="E1327" s="50"/>
      <c r="F1327" s="50"/>
      <c r="G1327" s="50"/>
      <c r="H1327" s="50"/>
      <c r="I1327" s="82"/>
      <c r="J1327" s="83"/>
      <c r="K1327" s="83"/>
      <c r="L1327" s="84"/>
      <c r="M1327" s="84"/>
      <c r="N1327" s="84"/>
      <c r="O1327" s="85"/>
      <c r="P1327" s="84"/>
      <c r="Q1327" s="84"/>
      <c r="R1327" s="84"/>
      <c r="S1327" s="84"/>
      <c r="T1327" s="84"/>
      <c r="U1327" s="84"/>
      <c r="V1327" s="84"/>
      <c r="W1327" s="84"/>
      <c r="X1327" s="86"/>
    </row>
    <row r="1328" ht="15.0" customHeight="1">
      <c r="A1328" s="81"/>
      <c r="B1328" s="51"/>
      <c r="C1328" s="51"/>
      <c r="D1328" s="50"/>
      <c r="E1328" s="50"/>
      <c r="F1328" s="50"/>
      <c r="G1328" s="50"/>
      <c r="H1328" s="50"/>
      <c r="I1328" s="82"/>
      <c r="J1328" s="83"/>
      <c r="K1328" s="83"/>
      <c r="L1328" s="84"/>
      <c r="M1328" s="84"/>
      <c r="N1328" s="84"/>
      <c r="O1328" s="85"/>
      <c r="P1328" s="84"/>
      <c r="Q1328" s="84"/>
      <c r="R1328" s="84"/>
      <c r="S1328" s="84"/>
      <c r="T1328" s="84"/>
      <c r="U1328" s="84"/>
      <c r="V1328" s="84"/>
      <c r="W1328" s="84"/>
      <c r="X1328" s="86"/>
    </row>
    <row r="1329" ht="15.0" customHeight="1">
      <c r="A1329" s="81"/>
      <c r="B1329" s="51"/>
      <c r="C1329" s="51"/>
      <c r="D1329" s="50"/>
      <c r="E1329" s="50"/>
      <c r="F1329" s="50"/>
      <c r="G1329" s="50"/>
      <c r="H1329" s="50"/>
      <c r="I1329" s="82"/>
      <c r="J1329" s="83"/>
      <c r="K1329" s="83"/>
      <c r="L1329" s="84"/>
      <c r="M1329" s="84"/>
      <c r="N1329" s="84"/>
      <c r="O1329" s="85"/>
      <c r="P1329" s="84"/>
      <c r="Q1329" s="84"/>
      <c r="R1329" s="84"/>
      <c r="S1329" s="84"/>
      <c r="T1329" s="84"/>
      <c r="U1329" s="84"/>
      <c r="V1329" s="84"/>
      <c r="W1329" s="84"/>
      <c r="X1329" s="86"/>
    </row>
    <row r="1330" ht="15.0" customHeight="1">
      <c r="A1330" s="81"/>
      <c r="B1330" s="51"/>
      <c r="C1330" s="51"/>
      <c r="D1330" s="50"/>
      <c r="E1330" s="50"/>
      <c r="F1330" s="50"/>
      <c r="G1330" s="50"/>
      <c r="H1330" s="50"/>
      <c r="I1330" s="82"/>
      <c r="J1330" s="83"/>
      <c r="K1330" s="83"/>
      <c r="L1330" s="84"/>
      <c r="M1330" s="84"/>
      <c r="N1330" s="84"/>
      <c r="O1330" s="85"/>
      <c r="P1330" s="84"/>
      <c r="Q1330" s="84"/>
      <c r="R1330" s="84"/>
      <c r="S1330" s="84"/>
      <c r="T1330" s="84"/>
      <c r="U1330" s="84"/>
      <c r="V1330" s="84"/>
      <c r="W1330" s="84"/>
      <c r="X1330" s="86"/>
    </row>
    <row r="1331" ht="15.0" customHeight="1">
      <c r="A1331" s="81"/>
      <c r="B1331" s="51"/>
      <c r="C1331" s="51"/>
      <c r="D1331" s="50"/>
      <c r="E1331" s="50"/>
      <c r="F1331" s="50"/>
      <c r="G1331" s="50"/>
      <c r="H1331" s="50"/>
      <c r="I1331" s="82"/>
      <c r="J1331" s="83"/>
      <c r="K1331" s="83"/>
      <c r="L1331" s="84"/>
      <c r="M1331" s="84"/>
      <c r="N1331" s="84"/>
      <c r="O1331" s="85"/>
      <c r="P1331" s="84"/>
      <c r="Q1331" s="84"/>
      <c r="R1331" s="84"/>
      <c r="S1331" s="84"/>
      <c r="T1331" s="84"/>
      <c r="U1331" s="84"/>
      <c r="V1331" s="84"/>
      <c r="W1331" s="84"/>
      <c r="X1331" s="86"/>
    </row>
    <row r="1332" ht="15.0" customHeight="1">
      <c r="A1332" s="81"/>
      <c r="B1332" s="51"/>
      <c r="C1332" s="51"/>
      <c r="D1332" s="50"/>
      <c r="E1332" s="50"/>
      <c r="F1332" s="50"/>
      <c r="G1332" s="50"/>
      <c r="H1332" s="50"/>
      <c r="I1332" s="82"/>
      <c r="J1332" s="83"/>
      <c r="K1332" s="83"/>
      <c r="L1332" s="84"/>
      <c r="M1332" s="84"/>
      <c r="N1332" s="84"/>
      <c r="O1332" s="85"/>
      <c r="P1332" s="84"/>
      <c r="Q1332" s="84"/>
      <c r="R1332" s="84"/>
      <c r="S1332" s="84"/>
      <c r="T1332" s="84"/>
      <c r="U1332" s="84"/>
      <c r="V1332" s="84"/>
      <c r="W1332" s="84"/>
      <c r="X1332" s="86"/>
    </row>
    <row r="1333" ht="15.0" customHeight="1">
      <c r="A1333" s="81"/>
      <c r="B1333" s="51"/>
      <c r="C1333" s="51"/>
      <c r="D1333" s="50"/>
      <c r="E1333" s="50"/>
      <c r="F1333" s="50"/>
      <c r="G1333" s="50"/>
      <c r="H1333" s="50"/>
      <c r="I1333" s="82"/>
      <c r="J1333" s="83"/>
      <c r="K1333" s="83"/>
      <c r="L1333" s="84"/>
      <c r="M1333" s="84"/>
      <c r="N1333" s="84"/>
      <c r="O1333" s="85"/>
      <c r="P1333" s="84"/>
      <c r="Q1333" s="84"/>
      <c r="R1333" s="84"/>
      <c r="S1333" s="84"/>
      <c r="T1333" s="84"/>
      <c r="U1333" s="84"/>
      <c r="V1333" s="84"/>
      <c r="W1333" s="84"/>
      <c r="X1333" s="86"/>
    </row>
    <row r="1334" ht="15.0" customHeight="1">
      <c r="A1334" s="81"/>
      <c r="B1334" s="51"/>
      <c r="C1334" s="51"/>
      <c r="D1334" s="50"/>
      <c r="E1334" s="50"/>
      <c r="F1334" s="50"/>
      <c r="G1334" s="50"/>
      <c r="H1334" s="50"/>
      <c r="I1334" s="82"/>
      <c r="J1334" s="83"/>
      <c r="K1334" s="83"/>
      <c r="L1334" s="84"/>
      <c r="M1334" s="84"/>
      <c r="N1334" s="84"/>
      <c r="O1334" s="85"/>
      <c r="P1334" s="84"/>
      <c r="Q1334" s="84"/>
      <c r="R1334" s="84"/>
      <c r="S1334" s="84"/>
      <c r="T1334" s="84"/>
      <c r="U1334" s="84"/>
      <c r="V1334" s="84"/>
      <c r="W1334" s="84"/>
      <c r="X1334" s="86"/>
    </row>
  </sheetData>
  <customSheetViews>
    <customSheetView guid="{196E67E1-827B-460C-B6F7-15B643C48C5D}" filter="1" showAutoFilter="1">
      <autoFilter ref="$A$1:$W$1334">
        <filterColumn colId="1">
          <filters blank="1"/>
        </filterColumn>
      </autoFilter>
    </customSheetView>
  </customSheetView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63"/>
    <col customWidth="1" min="2" max="2" width="35.63"/>
  </cols>
  <sheetData>
    <row r="1">
      <c r="A1" s="101"/>
      <c r="B1" s="101" t="s">
        <v>85</v>
      </c>
      <c r="C1" s="101"/>
      <c r="D1" s="101"/>
      <c r="E1" s="101"/>
    </row>
    <row r="2">
      <c r="A2" s="101" t="s">
        <v>86</v>
      </c>
      <c r="B2" s="101" t="s">
        <v>87</v>
      </c>
      <c r="C2" s="101"/>
      <c r="D2" s="101"/>
      <c r="E2" s="101"/>
    </row>
    <row r="3">
      <c r="A3" s="101"/>
      <c r="B3" s="101"/>
      <c r="C3" s="101"/>
      <c r="D3" s="101"/>
      <c r="E3" s="101"/>
    </row>
    <row r="4">
      <c r="A4" s="101"/>
      <c r="B4" s="101"/>
      <c r="C4" s="101"/>
      <c r="D4" s="101"/>
      <c r="E4" s="101"/>
    </row>
    <row r="5">
      <c r="A5" s="101"/>
      <c r="B5" s="101"/>
      <c r="C5" s="101"/>
      <c r="D5" s="101"/>
      <c r="E5" s="101"/>
    </row>
    <row r="6">
      <c r="A6" s="101"/>
      <c r="B6" s="101"/>
      <c r="C6" s="101"/>
      <c r="D6" s="101"/>
      <c r="E6" s="101"/>
    </row>
    <row r="7">
      <c r="A7" s="101"/>
      <c r="B7" s="101"/>
      <c r="C7" s="101"/>
      <c r="D7" s="101"/>
      <c r="E7" s="101"/>
    </row>
    <row r="8">
      <c r="A8" s="101"/>
      <c r="B8" s="101"/>
      <c r="C8" s="101"/>
      <c r="D8" s="101"/>
      <c r="E8" s="101"/>
    </row>
    <row r="9">
      <c r="A9" s="101"/>
      <c r="B9" s="101"/>
      <c r="C9" s="101"/>
      <c r="D9" s="101"/>
      <c r="E9" s="101"/>
    </row>
    <row r="10">
      <c r="A10" s="101"/>
      <c r="B10" s="101"/>
      <c r="C10" s="101"/>
      <c r="D10" s="101"/>
      <c r="E10" s="10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5" max="5" width="42.25"/>
  </cols>
  <sheetData>
    <row r="1">
      <c r="A1" s="102" t="s">
        <v>88</v>
      </c>
      <c r="B1" s="102" t="s">
        <v>89</v>
      </c>
      <c r="C1" s="102" t="s">
        <v>90</v>
      </c>
      <c r="D1" s="102" t="s">
        <v>91</v>
      </c>
      <c r="E1" s="102" t="s">
        <v>92</v>
      </c>
    </row>
    <row r="2">
      <c r="A2" s="102"/>
      <c r="B2" s="102"/>
      <c r="C2" s="102"/>
      <c r="D2" s="102"/>
      <c r="E2" s="102"/>
    </row>
    <row r="3">
      <c r="A3" s="102"/>
      <c r="B3" s="102"/>
      <c r="C3" s="102"/>
      <c r="D3" s="102"/>
      <c r="E3" s="102"/>
    </row>
    <row r="4">
      <c r="A4" s="102"/>
      <c r="B4" s="102"/>
      <c r="C4" s="102"/>
      <c r="D4" s="102"/>
      <c r="E4" s="102"/>
    </row>
    <row r="5">
      <c r="A5" s="102"/>
      <c r="B5" s="102"/>
      <c r="C5" s="102"/>
      <c r="D5" s="102"/>
      <c r="E5" s="102"/>
    </row>
    <row r="6">
      <c r="A6" s="102"/>
      <c r="B6" s="102"/>
      <c r="C6" s="102"/>
      <c r="D6" s="102"/>
      <c r="E6" s="102"/>
    </row>
    <row r="7">
      <c r="A7" s="102"/>
      <c r="B7" s="102"/>
      <c r="C7" s="102"/>
      <c r="D7" s="102"/>
      <c r="E7" s="102"/>
    </row>
    <row r="8">
      <c r="A8" s="102"/>
      <c r="B8" s="102"/>
      <c r="C8" s="102"/>
      <c r="D8" s="102"/>
      <c r="E8" s="102"/>
    </row>
    <row r="9">
      <c r="A9" s="102"/>
      <c r="B9" s="102"/>
      <c r="C9" s="102"/>
      <c r="D9" s="102"/>
      <c r="E9" s="102"/>
    </row>
    <row r="10">
      <c r="A10" s="102"/>
      <c r="B10" s="102"/>
      <c r="C10" s="102"/>
      <c r="D10" s="102"/>
      <c r="E10" s="103"/>
    </row>
    <row r="11">
      <c r="A11" s="102"/>
      <c r="B11" s="102"/>
      <c r="C11" s="102"/>
      <c r="D11" s="102"/>
      <c r="E11" s="102"/>
    </row>
    <row r="12">
      <c r="A12" s="102"/>
      <c r="B12" s="102"/>
      <c r="C12" s="102"/>
      <c r="D12" s="102"/>
      <c r="E12" s="102"/>
    </row>
    <row r="13">
      <c r="A13" s="102"/>
      <c r="B13" s="102"/>
      <c r="C13" s="102"/>
      <c r="D13" s="102"/>
      <c r="E13" s="102"/>
    </row>
    <row r="14">
      <c r="A14" s="102"/>
      <c r="B14" s="102"/>
      <c r="C14" s="102"/>
      <c r="D14" s="102"/>
      <c r="E14" s="103"/>
    </row>
    <row r="15">
      <c r="A15" s="102"/>
      <c r="B15" s="102"/>
      <c r="C15" s="102"/>
      <c r="D15" s="102"/>
      <c r="E15" s="102"/>
    </row>
    <row r="16">
      <c r="A16" s="102"/>
      <c r="B16" s="102"/>
      <c r="C16" s="102"/>
      <c r="D16" s="102"/>
      <c r="E16" s="102"/>
    </row>
    <row r="17">
      <c r="A17" s="102"/>
      <c r="B17" s="102"/>
      <c r="C17" s="102"/>
      <c r="D17" s="102"/>
      <c r="E17" s="102"/>
    </row>
    <row r="18">
      <c r="A18" s="102"/>
      <c r="B18" s="102"/>
      <c r="C18" s="102"/>
      <c r="D18" s="102"/>
      <c r="E18" s="102"/>
    </row>
    <row r="19">
      <c r="A19" s="102"/>
      <c r="B19" s="102"/>
      <c r="C19" s="102"/>
      <c r="D19" s="102"/>
      <c r="E19" s="103"/>
    </row>
    <row r="20">
      <c r="A20" s="102"/>
      <c r="B20" s="102"/>
      <c r="C20" s="102"/>
      <c r="D20" s="102"/>
      <c r="E20" s="102"/>
    </row>
    <row r="21">
      <c r="A21" s="102"/>
      <c r="B21" s="102"/>
      <c r="C21" s="102"/>
      <c r="D21" s="102"/>
      <c r="E21" s="102"/>
    </row>
    <row r="22">
      <c r="A22" s="102"/>
      <c r="B22" s="102"/>
      <c r="C22" s="102"/>
      <c r="D22" s="102"/>
      <c r="E22" s="102"/>
    </row>
    <row r="23">
      <c r="A23" s="102"/>
      <c r="B23" s="102"/>
      <c r="C23" s="102"/>
      <c r="D23" s="102"/>
      <c r="E23" s="103"/>
    </row>
    <row r="24">
      <c r="A24" s="102"/>
      <c r="B24" s="102"/>
      <c r="C24" s="102"/>
      <c r="D24" s="102"/>
      <c r="E24" s="103"/>
    </row>
    <row r="25">
      <c r="A25" s="102"/>
      <c r="B25" s="102"/>
      <c r="C25" s="102"/>
      <c r="D25" s="102"/>
      <c r="E25" s="102"/>
    </row>
    <row r="26">
      <c r="A26" s="102"/>
      <c r="B26" s="102"/>
      <c r="C26" s="102"/>
      <c r="D26" s="102"/>
      <c r="E26" s="103"/>
    </row>
    <row r="27">
      <c r="A27" s="102"/>
      <c r="B27" s="102"/>
      <c r="C27" s="102"/>
      <c r="D27" s="102"/>
      <c r="E27" s="102"/>
    </row>
    <row r="28">
      <c r="A28" s="102"/>
      <c r="B28" s="102"/>
      <c r="C28" s="102"/>
      <c r="D28" s="102"/>
      <c r="E28" s="102"/>
    </row>
    <row r="29">
      <c r="A29" s="102"/>
      <c r="B29" s="102"/>
      <c r="C29" s="102"/>
      <c r="D29" s="102"/>
      <c r="E29" s="102"/>
    </row>
    <row r="30">
      <c r="A30" s="102"/>
      <c r="B30" s="102"/>
      <c r="C30" s="102"/>
      <c r="D30" s="102"/>
      <c r="E30" s="102"/>
    </row>
    <row r="31">
      <c r="A31" s="102"/>
      <c r="B31" s="102"/>
      <c r="C31" s="102"/>
      <c r="D31" s="102"/>
      <c r="E31" s="103"/>
    </row>
    <row r="32">
      <c r="A32" s="102"/>
      <c r="B32" s="102"/>
      <c r="C32" s="102"/>
      <c r="D32" s="102"/>
      <c r="E32" s="102"/>
    </row>
    <row r="33">
      <c r="A33" s="102"/>
      <c r="B33" s="102"/>
      <c r="C33" s="102"/>
      <c r="D33" s="102"/>
      <c r="E33" s="102"/>
    </row>
    <row r="34">
      <c r="A34" s="102"/>
      <c r="B34" s="102"/>
      <c r="C34" s="102"/>
      <c r="D34" s="102"/>
      <c r="E34" s="102"/>
    </row>
    <row r="35">
      <c r="A35" s="102"/>
      <c r="B35" s="102"/>
      <c r="C35" s="102"/>
      <c r="D35" s="102"/>
      <c r="E35" s="103"/>
    </row>
    <row r="36">
      <c r="A36" s="102"/>
      <c r="B36" s="102"/>
      <c r="C36" s="102"/>
      <c r="D36" s="102"/>
      <c r="E36" s="102"/>
    </row>
    <row r="37">
      <c r="A37" s="102"/>
      <c r="B37" s="102"/>
      <c r="C37" s="102"/>
      <c r="D37" s="102"/>
      <c r="E37" s="103"/>
    </row>
    <row r="38">
      <c r="A38" s="102"/>
      <c r="B38" s="102"/>
      <c r="C38" s="102"/>
      <c r="D38" s="102"/>
      <c r="E38" s="103"/>
    </row>
    <row r="39">
      <c r="A39" s="102"/>
      <c r="B39" s="102"/>
      <c r="C39" s="102"/>
      <c r="D39" s="102"/>
      <c r="E39" s="103"/>
    </row>
    <row r="40">
      <c r="A40" s="102"/>
      <c r="B40" s="102"/>
      <c r="C40" s="102"/>
      <c r="D40" s="102"/>
      <c r="E40" s="102"/>
    </row>
    <row r="41">
      <c r="A41" s="102"/>
      <c r="B41" s="102"/>
      <c r="C41" s="102"/>
      <c r="D41" s="102"/>
      <c r="E41" s="103"/>
    </row>
    <row r="42">
      <c r="A42" s="102"/>
      <c r="B42" s="102"/>
      <c r="C42" s="102"/>
      <c r="D42" s="102"/>
      <c r="E42" s="103"/>
    </row>
    <row r="43">
      <c r="A43" s="102"/>
      <c r="B43" s="102"/>
      <c r="C43" s="102"/>
      <c r="D43" s="102"/>
      <c r="E43" s="102"/>
    </row>
    <row r="44">
      <c r="A44" s="102"/>
      <c r="B44" s="102"/>
      <c r="C44" s="102"/>
      <c r="D44" s="102"/>
      <c r="E44" s="102"/>
    </row>
    <row r="45">
      <c r="A45" s="102"/>
      <c r="B45" s="102"/>
      <c r="C45" s="102"/>
      <c r="D45" s="102"/>
      <c r="E45" s="102"/>
    </row>
    <row r="46">
      <c r="A46" s="102"/>
      <c r="B46" s="102"/>
      <c r="C46" s="102"/>
      <c r="D46" s="102"/>
      <c r="E46" s="102"/>
    </row>
    <row r="47">
      <c r="A47" s="102"/>
      <c r="B47" s="102"/>
      <c r="C47" s="102"/>
      <c r="D47" s="102"/>
      <c r="E47" s="102"/>
    </row>
    <row r="48">
      <c r="A48" s="102"/>
      <c r="B48" s="102"/>
      <c r="C48" s="102"/>
      <c r="D48" s="102"/>
      <c r="E48" s="103"/>
    </row>
    <row r="49">
      <c r="A49" s="102"/>
      <c r="B49" s="102"/>
      <c r="C49" s="102"/>
      <c r="D49" s="102"/>
      <c r="E49" s="102"/>
    </row>
    <row r="50">
      <c r="A50" s="102"/>
      <c r="B50" s="102"/>
      <c r="C50" s="102"/>
      <c r="D50" s="102"/>
      <c r="E50" s="102"/>
    </row>
    <row r="51">
      <c r="A51" s="102"/>
      <c r="B51" s="102"/>
      <c r="C51" s="102"/>
      <c r="D51" s="102"/>
      <c r="E51" s="102"/>
    </row>
    <row r="52">
      <c r="A52" s="102"/>
      <c r="B52" s="102"/>
      <c r="C52" s="102"/>
      <c r="D52" s="102"/>
      <c r="E52" s="102"/>
    </row>
    <row r="53">
      <c r="A53" s="102"/>
      <c r="B53" s="102"/>
      <c r="C53" s="102"/>
      <c r="D53" s="102"/>
      <c r="E53" s="102"/>
    </row>
    <row r="54">
      <c r="A54" s="102"/>
      <c r="B54" s="102"/>
      <c r="C54" s="102"/>
      <c r="D54" s="102"/>
      <c r="E54" s="103"/>
    </row>
    <row r="55">
      <c r="D55" s="104"/>
    </row>
    <row r="56">
      <c r="D56" s="104"/>
    </row>
    <row r="57">
      <c r="D57" s="104"/>
    </row>
    <row r="58">
      <c r="D58" s="104"/>
    </row>
    <row r="59">
      <c r="D59" s="104"/>
    </row>
    <row r="60">
      <c r="D60" s="104"/>
    </row>
    <row r="61">
      <c r="D61" s="104"/>
    </row>
    <row r="62">
      <c r="D62" s="104"/>
    </row>
    <row r="63">
      <c r="D63" s="104"/>
    </row>
    <row r="64">
      <c r="D64" s="104"/>
    </row>
    <row r="65">
      <c r="D65" s="104"/>
    </row>
    <row r="66">
      <c r="D66" s="104"/>
    </row>
    <row r="67">
      <c r="D67" s="104"/>
    </row>
    <row r="68">
      <c r="D68" s="104"/>
    </row>
    <row r="69">
      <c r="D69" s="104"/>
    </row>
    <row r="70">
      <c r="D70" s="104"/>
    </row>
    <row r="71">
      <c r="D71" s="104"/>
    </row>
    <row r="72">
      <c r="D72" s="104"/>
    </row>
    <row r="73">
      <c r="D73" s="104"/>
    </row>
    <row r="74">
      <c r="D74" s="104"/>
    </row>
    <row r="75">
      <c r="D75" s="104"/>
    </row>
    <row r="76">
      <c r="D76" s="104"/>
    </row>
    <row r="77">
      <c r="D77" s="104"/>
    </row>
    <row r="78">
      <c r="D78" s="104"/>
    </row>
    <row r="79">
      <c r="D79" s="104"/>
    </row>
    <row r="80">
      <c r="D80" s="104"/>
    </row>
    <row r="81">
      <c r="D81" s="104"/>
    </row>
    <row r="82">
      <c r="D82" s="104"/>
    </row>
    <row r="83">
      <c r="D83" s="104"/>
    </row>
    <row r="84">
      <c r="D84" s="104"/>
    </row>
    <row r="85">
      <c r="D85" s="104"/>
    </row>
    <row r="86">
      <c r="D86" s="104"/>
    </row>
    <row r="87">
      <c r="D87" s="104"/>
    </row>
    <row r="88">
      <c r="D88" s="104"/>
    </row>
    <row r="89">
      <c r="D89" s="104"/>
    </row>
    <row r="90">
      <c r="D90" s="104"/>
    </row>
    <row r="91">
      <c r="D91" s="104"/>
    </row>
    <row r="92">
      <c r="D92" s="104"/>
    </row>
    <row r="93">
      <c r="D93" s="104"/>
    </row>
    <row r="94">
      <c r="D94" s="104"/>
    </row>
    <row r="95">
      <c r="D95" s="104"/>
    </row>
    <row r="96">
      <c r="D96" s="104"/>
    </row>
    <row r="97">
      <c r="D97" s="104"/>
    </row>
    <row r="98">
      <c r="D98" s="104"/>
    </row>
    <row r="99">
      <c r="D99" s="104"/>
    </row>
    <row r="100">
      <c r="D100" s="104"/>
    </row>
    <row r="101">
      <c r="D101" s="104"/>
    </row>
    <row r="102">
      <c r="D102" s="104"/>
    </row>
    <row r="103">
      <c r="D103" s="104"/>
    </row>
    <row r="104">
      <c r="D104" s="104"/>
    </row>
    <row r="105">
      <c r="D105" s="104"/>
    </row>
    <row r="106">
      <c r="D106" s="104"/>
    </row>
    <row r="107">
      <c r="D107" s="104"/>
    </row>
    <row r="108">
      <c r="D108" s="104"/>
    </row>
    <row r="109">
      <c r="D109" s="104"/>
    </row>
    <row r="110">
      <c r="D110" s="104"/>
    </row>
    <row r="111">
      <c r="D111" s="104"/>
    </row>
    <row r="112">
      <c r="D112" s="104"/>
    </row>
    <row r="113">
      <c r="D113" s="104"/>
    </row>
    <row r="114">
      <c r="D114" s="104"/>
    </row>
    <row r="115">
      <c r="D115" s="104"/>
    </row>
    <row r="116">
      <c r="D116" s="104"/>
    </row>
    <row r="117">
      <c r="D117" s="104"/>
    </row>
    <row r="118">
      <c r="D118" s="104"/>
    </row>
    <row r="119">
      <c r="D119" s="104"/>
    </row>
    <row r="120">
      <c r="D120" s="104"/>
    </row>
    <row r="121">
      <c r="D121" s="104"/>
    </row>
    <row r="122">
      <c r="D122" s="104"/>
    </row>
    <row r="123">
      <c r="D123" s="104"/>
    </row>
    <row r="124">
      <c r="D124" s="104"/>
    </row>
    <row r="125">
      <c r="D125" s="104"/>
    </row>
    <row r="126">
      <c r="D126" s="104"/>
    </row>
    <row r="127">
      <c r="D127" s="104"/>
    </row>
    <row r="128">
      <c r="D128" s="104"/>
    </row>
    <row r="129">
      <c r="D129" s="104"/>
    </row>
    <row r="130">
      <c r="D130" s="104"/>
    </row>
    <row r="131">
      <c r="D131" s="104"/>
    </row>
    <row r="132">
      <c r="D132" s="104"/>
    </row>
    <row r="133">
      <c r="D133" s="104"/>
    </row>
    <row r="134">
      <c r="D134" s="104"/>
    </row>
    <row r="135">
      <c r="D135" s="104"/>
    </row>
    <row r="136">
      <c r="D136" s="104"/>
    </row>
    <row r="137">
      <c r="D137" s="104"/>
    </row>
    <row r="138">
      <c r="D138" s="104"/>
    </row>
    <row r="139">
      <c r="D139" s="104"/>
    </row>
    <row r="140">
      <c r="D140" s="104"/>
    </row>
    <row r="141">
      <c r="D141" s="104"/>
    </row>
    <row r="142">
      <c r="D142" s="104"/>
    </row>
    <row r="143">
      <c r="D143" s="104"/>
    </row>
    <row r="144">
      <c r="D144" s="104"/>
    </row>
    <row r="145">
      <c r="D145" s="104"/>
    </row>
    <row r="146">
      <c r="D146" s="104"/>
    </row>
    <row r="147">
      <c r="D147" s="104"/>
    </row>
    <row r="148">
      <c r="D148" s="104"/>
    </row>
    <row r="149">
      <c r="D149" s="104"/>
    </row>
    <row r="150">
      <c r="D150" s="104"/>
    </row>
    <row r="151">
      <c r="D151" s="104"/>
    </row>
    <row r="152">
      <c r="D152" s="104"/>
    </row>
    <row r="153">
      <c r="D153" s="104"/>
    </row>
    <row r="154">
      <c r="D154" s="104"/>
    </row>
    <row r="155">
      <c r="D155" s="104"/>
    </row>
    <row r="156">
      <c r="D156" s="104"/>
    </row>
    <row r="157">
      <c r="D157" s="104"/>
    </row>
    <row r="158">
      <c r="D158" s="104"/>
    </row>
    <row r="159">
      <c r="D159" s="104"/>
    </row>
    <row r="160">
      <c r="D160" s="104"/>
    </row>
    <row r="161">
      <c r="D161" s="104"/>
    </row>
    <row r="162">
      <c r="D162" s="104"/>
    </row>
    <row r="163">
      <c r="D163" s="104"/>
    </row>
    <row r="164">
      <c r="D164" s="104"/>
    </row>
    <row r="165">
      <c r="D165" s="104"/>
    </row>
    <row r="166">
      <c r="D166" s="104"/>
    </row>
    <row r="167">
      <c r="D167" s="104"/>
    </row>
    <row r="168">
      <c r="D168" s="104"/>
    </row>
    <row r="169">
      <c r="D169" s="104"/>
    </row>
    <row r="170">
      <c r="D170" s="104"/>
    </row>
    <row r="171">
      <c r="D171" s="104"/>
    </row>
    <row r="172">
      <c r="D172" s="104"/>
    </row>
    <row r="173">
      <c r="D173" s="104"/>
    </row>
    <row r="174">
      <c r="D174" s="104"/>
    </row>
    <row r="175">
      <c r="D175" s="104"/>
    </row>
    <row r="176">
      <c r="D176" s="104"/>
    </row>
    <row r="177">
      <c r="D177" s="104"/>
    </row>
    <row r="178">
      <c r="D178" s="104"/>
    </row>
    <row r="179">
      <c r="D179" s="104"/>
    </row>
    <row r="180">
      <c r="D180" s="104"/>
    </row>
    <row r="181">
      <c r="D181" s="104"/>
    </row>
    <row r="182">
      <c r="D182" s="104"/>
    </row>
    <row r="183">
      <c r="D183" s="104"/>
    </row>
    <row r="184">
      <c r="D184" s="104"/>
    </row>
    <row r="185">
      <c r="D185" s="104"/>
    </row>
    <row r="186">
      <c r="D186" s="104"/>
    </row>
    <row r="187">
      <c r="D187" s="104"/>
    </row>
    <row r="188">
      <c r="D188" s="104"/>
    </row>
    <row r="189">
      <c r="D189" s="104"/>
    </row>
    <row r="190">
      <c r="D190" s="104"/>
    </row>
    <row r="191">
      <c r="D191" s="104"/>
    </row>
    <row r="192">
      <c r="D192" s="104"/>
    </row>
    <row r="193">
      <c r="D193" s="104"/>
    </row>
    <row r="194">
      <c r="D194" s="104"/>
    </row>
    <row r="195">
      <c r="D195" s="104"/>
    </row>
    <row r="196">
      <c r="D196" s="104"/>
    </row>
    <row r="197">
      <c r="D197" s="104"/>
    </row>
    <row r="198">
      <c r="D198" s="104"/>
    </row>
    <row r="199">
      <c r="D199" s="104"/>
    </row>
    <row r="200">
      <c r="D200" s="104"/>
    </row>
    <row r="201">
      <c r="D201" s="104"/>
    </row>
    <row r="202">
      <c r="D202" s="104"/>
    </row>
    <row r="203">
      <c r="D203" s="104"/>
    </row>
    <row r="204">
      <c r="D204" s="104"/>
    </row>
    <row r="205">
      <c r="D205" s="104"/>
    </row>
    <row r="206">
      <c r="D206" s="104"/>
    </row>
    <row r="207">
      <c r="D207" s="104"/>
    </row>
    <row r="208">
      <c r="D208" s="104"/>
    </row>
    <row r="209">
      <c r="D209" s="104"/>
    </row>
    <row r="210">
      <c r="D210" s="104"/>
    </row>
    <row r="211">
      <c r="D211" s="104"/>
    </row>
    <row r="212">
      <c r="D212" s="104"/>
    </row>
    <row r="213">
      <c r="D213" s="104"/>
    </row>
    <row r="214">
      <c r="D214" s="104"/>
    </row>
    <row r="215">
      <c r="D215" s="104"/>
    </row>
    <row r="216">
      <c r="D216" s="104"/>
    </row>
    <row r="217">
      <c r="D217" s="104"/>
    </row>
    <row r="218">
      <c r="D218" s="104"/>
    </row>
    <row r="219">
      <c r="D219" s="104"/>
    </row>
    <row r="220">
      <c r="D220" s="104"/>
    </row>
    <row r="221">
      <c r="D221" s="104"/>
    </row>
    <row r="222">
      <c r="D222" s="104"/>
    </row>
    <row r="223">
      <c r="D223" s="104"/>
    </row>
    <row r="224">
      <c r="D224" s="104"/>
    </row>
    <row r="225">
      <c r="D225" s="104"/>
    </row>
    <row r="226">
      <c r="D226" s="104"/>
    </row>
    <row r="227">
      <c r="D227" s="104"/>
    </row>
    <row r="228">
      <c r="D228" s="104"/>
    </row>
    <row r="229">
      <c r="D229" s="104"/>
    </row>
    <row r="230">
      <c r="D230" s="104"/>
    </row>
    <row r="231">
      <c r="D231" s="104"/>
    </row>
    <row r="232">
      <c r="D232" s="104"/>
    </row>
    <row r="233">
      <c r="D233" s="104"/>
    </row>
    <row r="234">
      <c r="D234" s="104"/>
    </row>
    <row r="235">
      <c r="D235" s="104"/>
    </row>
    <row r="236">
      <c r="D236" s="104"/>
    </row>
    <row r="237">
      <c r="D237" s="104"/>
    </row>
    <row r="238">
      <c r="D238" s="104"/>
    </row>
    <row r="239">
      <c r="D239" s="104"/>
    </row>
    <row r="240">
      <c r="D240" s="104"/>
    </row>
    <row r="241">
      <c r="D241" s="104"/>
    </row>
    <row r="242">
      <c r="D242" s="104"/>
    </row>
    <row r="243">
      <c r="D243" s="104"/>
    </row>
    <row r="244">
      <c r="D244" s="104"/>
    </row>
    <row r="245">
      <c r="D245" s="104"/>
    </row>
    <row r="246">
      <c r="D246" s="104"/>
    </row>
    <row r="247">
      <c r="D247" s="104"/>
    </row>
    <row r="248">
      <c r="D248" s="104"/>
    </row>
    <row r="249">
      <c r="D249" s="104"/>
    </row>
    <row r="250">
      <c r="D250" s="104"/>
    </row>
    <row r="251">
      <c r="D251" s="104"/>
    </row>
    <row r="252">
      <c r="D252" s="104"/>
    </row>
    <row r="253">
      <c r="D253" s="104"/>
    </row>
    <row r="254">
      <c r="D254" s="104"/>
    </row>
    <row r="255">
      <c r="D255" s="104"/>
    </row>
    <row r="256">
      <c r="D256" s="104"/>
    </row>
    <row r="257">
      <c r="D257" s="104"/>
    </row>
    <row r="258">
      <c r="D258" s="104"/>
    </row>
    <row r="259">
      <c r="D259" s="104"/>
    </row>
    <row r="260">
      <c r="D260" s="104"/>
    </row>
    <row r="261">
      <c r="D261" s="104"/>
    </row>
    <row r="262">
      <c r="D262" s="104"/>
    </row>
    <row r="263">
      <c r="D263" s="104"/>
    </row>
    <row r="264">
      <c r="D264" s="104"/>
    </row>
    <row r="265">
      <c r="D265" s="104"/>
    </row>
    <row r="266">
      <c r="D266" s="104"/>
    </row>
    <row r="267">
      <c r="D267" s="104"/>
    </row>
    <row r="268">
      <c r="D268" s="104"/>
    </row>
    <row r="269">
      <c r="D269" s="104"/>
    </row>
    <row r="270">
      <c r="D270" s="104"/>
    </row>
    <row r="271">
      <c r="D271" s="104"/>
    </row>
    <row r="272">
      <c r="D272" s="104"/>
    </row>
    <row r="273">
      <c r="D273" s="104"/>
    </row>
    <row r="274">
      <c r="D274" s="104"/>
    </row>
    <row r="275">
      <c r="D275" s="104"/>
    </row>
    <row r="276">
      <c r="D276" s="104"/>
    </row>
    <row r="277">
      <c r="D277" s="104"/>
    </row>
    <row r="278">
      <c r="D278" s="104"/>
    </row>
    <row r="279">
      <c r="D279" s="104"/>
    </row>
    <row r="280">
      <c r="D280" s="104"/>
    </row>
    <row r="281">
      <c r="D281" s="104"/>
    </row>
    <row r="282">
      <c r="D282" s="104"/>
    </row>
    <row r="283">
      <c r="D283" s="104"/>
    </row>
    <row r="284">
      <c r="D284" s="104"/>
    </row>
    <row r="285">
      <c r="D285" s="104"/>
    </row>
    <row r="286">
      <c r="D286" s="104"/>
    </row>
    <row r="287">
      <c r="D287" s="104"/>
    </row>
    <row r="288">
      <c r="D288" s="104"/>
    </row>
    <row r="289">
      <c r="D289" s="104"/>
    </row>
    <row r="290">
      <c r="D290" s="104"/>
    </row>
    <row r="291">
      <c r="D291" s="104"/>
    </row>
    <row r="292">
      <c r="D292" s="104"/>
    </row>
    <row r="293">
      <c r="D293" s="104"/>
    </row>
    <row r="294">
      <c r="D294" s="104"/>
    </row>
    <row r="295">
      <c r="D295" s="104"/>
    </row>
    <row r="296">
      <c r="D296" s="104"/>
    </row>
    <row r="297">
      <c r="D297" s="104"/>
    </row>
    <row r="298">
      <c r="D298" s="104"/>
    </row>
    <row r="299">
      <c r="D299" s="104"/>
    </row>
    <row r="300">
      <c r="D300" s="104"/>
    </row>
    <row r="301">
      <c r="D301" s="104"/>
    </row>
    <row r="302">
      <c r="D302" s="104"/>
    </row>
    <row r="303">
      <c r="D303" s="104"/>
    </row>
    <row r="304">
      <c r="D304" s="104"/>
    </row>
    <row r="305">
      <c r="D305" s="104"/>
    </row>
    <row r="306">
      <c r="D306" s="104"/>
    </row>
    <row r="307">
      <c r="D307" s="104"/>
    </row>
    <row r="308">
      <c r="D308" s="104"/>
    </row>
    <row r="309">
      <c r="D309" s="104"/>
    </row>
    <row r="310">
      <c r="D310" s="104"/>
    </row>
    <row r="311">
      <c r="D311" s="104"/>
    </row>
    <row r="312">
      <c r="D312" s="104"/>
    </row>
    <row r="313">
      <c r="D313" s="104"/>
    </row>
    <row r="314">
      <c r="A314" s="109"/>
      <c r="B314" s="109"/>
      <c r="C314" s="109"/>
      <c r="D314" s="109"/>
      <c r="E314" s="109"/>
    </row>
    <row r="315">
      <c r="A315" s="109"/>
      <c r="B315" s="109"/>
      <c r="C315" s="109"/>
      <c r="D315" s="109"/>
      <c r="E315" s="109"/>
    </row>
    <row r="316">
      <c r="A316" s="109"/>
      <c r="B316" s="109"/>
      <c r="C316" s="109"/>
      <c r="D316" s="109"/>
      <c r="E316" s="109"/>
    </row>
    <row r="317">
      <c r="A317" s="109"/>
      <c r="B317" s="109"/>
      <c r="C317" s="109"/>
      <c r="D317" s="109"/>
      <c r="E317" s="109"/>
    </row>
    <row r="318">
      <c r="A318" s="109"/>
      <c r="B318" s="109"/>
      <c r="C318" s="109"/>
      <c r="D318" s="109"/>
      <c r="E318" s="109"/>
    </row>
    <row r="319">
      <c r="A319" s="109"/>
      <c r="B319" s="109"/>
      <c r="C319" s="109"/>
      <c r="D319" s="109"/>
      <c r="E319" s="109"/>
    </row>
    <row r="320">
      <c r="A320" s="109"/>
      <c r="B320" s="109"/>
      <c r="C320" s="109"/>
      <c r="D320" s="109"/>
      <c r="E320" s="109"/>
    </row>
    <row r="321">
      <c r="A321" s="109"/>
      <c r="B321" s="109"/>
      <c r="C321" s="109"/>
      <c r="D321" s="109"/>
      <c r="E321" s="109"/>
    </row>
    <row r="322">
      <c r="A322" s="109"/>
      <c r="B322" s="109"/>
      <c r="C322" s="109"/>
      <c r="D322" s="109"/>
      <c r="E322" s="109"/>
    </row>
    <row r="323">
      <c r="A323" s="109"/>
      <c r="B323" s="109"/>
      <c r="C323" s="109"/>
      <c r="D323" s="109"/>
      <c r="E323" s="109"/>
    </row>
    <row r="324">
      <c r="A324" s="109"/>
      <c r="B324" s="109"/>
      <c r="C324" s="109"/>
      <c r="D324" s="109"/>
      <c r="E324" s="109"/>
    </row>
    <row r="325">
      <c r="A325" s="109"/>
      <c r="B325" s="109"/>
      <c r="C325" s="109"/>
      <c r="D325" s="109"/>
      <c r="E325" s="109"/>
    </row>
    <row r="326">
      <c r="A326" s="109"/>
      <c r="B326" s="109"/>
      <c r="C326" s="109"/>
      <c r="D326" s="109"/>
      <c r="E326" s="109"/>
    </row>
    <row r="327">
      <c r="A327" s="109"/>
      <c r="B327" s="109"/>
      <c r="C327" s="109"/>
      <c r="D327" s="109"/>
      <c r="E327" s="109"/>
    </row>
    <row r="328">
      <c r="A328" s="109"/>
      <c r="B328" s="109"/>
      <c r="C328" s="109"/>
      <c r="D328" s="109"/>
      <c r="E328" s="109"/>
    </row>
    <row r="329">
      <c r="A329" s="109"/>
      <c r="B329" s="109"/>
      <c r="C329" s="109"/>
      <c r="D329" s="109"/>
      <c r="E329" s="109"/>
    </row>
    <row r="330">
      <c r="A330" s="109"/>
      <c r="B330" s="109"/>
      <c r="C330" s="109"/>
      <c r="D330" s="109"/>
      <c r="E330" s="109"/>
    </row>
    <row r="331">
      <c r="A331" s="109"/>
      <c r="B331" s="109"/>
      <c r="C331" s="109"/>
      <c r="D331" s="109"/>
      <c r="E331" s="109"/>
    </row>
    <row r="332">
      <c r="A332" s="109"/>
      <c r="B332" s="109"/>
      <c r="C332" s="109"/>
      <c r="D332" s="109"/>
      <c r="E332" s="109"/>
    </row>
    <row r="333">
      <c r="A333" s="109"/>
      <c r="B333" s="109"/>
      <c r="C333" s="109"/>
      <c r="D333" s="109"/>
      <c r="E333" s="109"/>
    </row>
    <row r="334">
      <c r="A334" s="109"/>
      <c r="B334" s="109"/>
      <c r="C334" s="109"/>
      <c r="D334" s="109"/>
      <c r="E334" s="109"/>
    </row>
    <row r="335">
      <c r="A335" s="109"/>
      <c r="B335" s="109"/>
      <c r="C335" s="109"/>
      <c r="D335" s="109"/>
      <c r="E335" s="109"/>
    </row>
    <row r="336">
      <c r="A336" s="109"/>
      <c r="B336" s="109"/>
      <c r="C336" s="109"/>
      <c r="D336" s="109"/>
      <c r="E336" s="109"/>
    </row>
    <row r="337">
      <c r="A337" s="109"/>
      <c r="B337" s="109"/>
      <c r="C337" s="109"/>
      <c r="D337" s="109"/>
      <c r="E337" s="109"/>
    </row>
    <row r="338">
      <c r="A338" s="109"/>
      <c r="B338" s="109"/>
      <c r="C338" s="109"/>
      <c r="D338" s="109"/>
      <c r="E338" s="109"/>
    </row>
    <row r="339">
      <c r="A339" s="109"/>
      <c r="B339" s="109"/>
      <c r="C339" s="109"/>
      <c r="D339" s="109"/>
      <c r="E339" s="109"/>
    </row>
    <row r="340">
      <c r="A340" s="109"/>
      <c r="B340" s="109"/>
      <c r="C340" s="109"/>
      <c r="D340" s="109"/>
      <c r="E340" s="109"/>
    </row>
    <row r="341">
      <c r="A341" s="109"/>
      <c r="B341" s="109"/>
      <c r="C341" s="109"/>
      <c r="D341" s="109"/>
      <c r="E341" s="109"/>
    </row>
    <row r="342">
      <c r="A342" s="109"/>
      <c r="B342" s="109"/>
      <c r="C342" s="109"/>
      <c r="D342" s="109"/>
      <c r="E342" s="109"/>
    </row>
    <row r="343">
      <c r="A343" s="109"/>
      <c r="B343" s="109"/>
      <c r="C343" s="109"/>
      <c r="D343" s="109"/>
      <c r="E343" s="109"/>
    </row>
    <row r="344">
      <c r="A344" s="109"/>
      <c r="B344" s="109"/>
      <c r="C344" s="109"/>
      <c r="D344" s="109"/>
      <c r="E344" s="109"/>
    </row>
    <row r="345">
      <c r="A345" s="109"/>
      <c r="B345" s="109"/>
      <c r="C345" s="109"/>
      <c r="D345" s="109"/>
      <c r="E345" s="109"/>
    </row>
    <row r="346">
      <c r="A346" s="109"/>
      <c r="B346" s="109"/>
      <c r="C346" s="109"/>
      <c r="D346" s="109"/>
      <c r="E346" s="109"/>
    </row>
    <row r="347">
      <c r="A347" s="109"/>
      <c r="B347" s="109"/>
      <c r="C347" s="109"/>
      <c r="D347" s="109"/>
      <c r="E347" s="109"/>
    </row>
    <row r="348">
      <c r="A348" s="109"/>
      <c r="B348" s="109"/>
      <c r="C348" s="109"/>
      <c r="D348" s="109"/>
      <c r="E348" s="109"/>
    </row>
    <row r="349">
      <c r="A349" s="109"/>
      <c r="B349" s="109"/>
      <c r="C349" s="109"/>
      <c r="D349" s="109"/>
      <c r="E349" s="109"/>
    </row>
    <row r="350">
      <c r="A350" s="109"/>
      <c r="B350" s="109"/>
      <c r="C350" s="109"/>
      <c r="D350" s="109"/>
      <c r="E350" s="109"/>
    </row>
    <row r="351">
      <c r="A351" s="109"/>
      <c r="B351" s="109"/>
      <c r="C351" s="109"/>
      <c r="D351" s="109"/>
      <c r="E351" s="109"/>
    </row>
    <row r="352">
      <c r="A352" s="109"/>
      <c r="B352" s="109"/>
      <c r="C352" s="109"/>
      <c r="D352" s="109"/>
      <c r="E352" s="109"/>
    </row>
    <row r="353">
      <c r="A353" s="109"/>
      <c r="B353" s="109"/>
      <c r="C353" s="109"/>
      <c r="D353" s="109"/>
      <c r="E353" s="109"/>
    </row>
    <row r="354">
      <c r="A354" s="109"/>
      <c r="B354" s="109"/>
      <c r="C354" s="109"/>
      <c r="D354" s="109"/>
      <c r="E354" s="109"/>
    </row>
    <row r="355">
      <c r="A355" s="109"/>
      <c r="B355" s="109"/>
      <c r="C355" s="109"/>
      <c r="D355" s="109"/>
      <c r="E355" s="109"/>
    </row>
    <row r="356">
      <c r="A356" s="109"/>
      <c r="B356" s="109"/>
      <c r="C356" s="109"/>
      <c r="D356" s="109"/>
      <c r="E356" s="109"/>
    </row>
    <row r="357">
      <c r="A357" s="109"/>
      <c r="B357" s="109"/>
      <c r="C357" s="109"/>
      <c r="D357" s="109"/>
      <c r="E357" s="109"/>
    </row>
    <row r="358">
      <c r="A358" s="109"/>
      <c r="B358" s="109"/>
      <c r="C358" s="109"/>
      <c r="D358" s="109"/>
      <c r="E358" s="109"/>
    </row>
    <row r="359">
      <c r="A359" s="109"/>
      <c r="B359" s="109"/>
      <c r="C359" s="109"/>
      <c r="D359" s="109"/>
      <c r="E359" s="109"/>
    </row>
    <row r="360">
      <c r="A360" s="109"/>
      <c r="B360" s="109"/>
      <c r="C360" s="109"/>
      <c r="D360" s="109"/>
      <c r="E360" s="109"/>
    </row>
    <row r="361">
      <c r="A361" s="109"/>
      <c r="B361" s="109"/>
      <c r="C361" s="109"/>
      <c r="D361" s="109"/>
      <c r="E361" s="109"/>
    </row>
    <row r="362">
      <c r="A362" s="109"/>
      <c r="B362" s="109"/>
      <c r="C362" s="109"/>
      <c r="D362" s="109"/>
      <c r="E362" s="109"/>
    </row>
    <row r="363">
      <c r="A363" s="109"/>
      <c r="B363" s="109"/>
      <c r="C363" s="109"/>
      <c r="D363" s="109"/>
      <c r="E363" s="109"/>
    </row>
    <row r="364">
      <c r="A364" s="109"/>
      <c r="B364" s="109"/>
      <c r="C364" s="109"/>
      <c r="D364" s="109"/>
      <c r="E364" s="109"/>
    </row>
    <row r="365">
      <c r="A365" s="109"/>
      <c r="B365" s="109"/>
      <c r="C365" s="109"/>
      <c r="D365" s="109"/>
      <c r="E365" s="109"/>
    </row>
    <row r="366">
      <c r="A366" s="109"/>
      <c r="B366" s="109"/>
      <c r="C366" s="109"/>
      <c r="D366" s="109"/>
      <c r="E366" s="109"/>
    </row>
    <row r="367">
      <c r="A367" s="109"/>
      <c r="B367" s="109"/>
      <c r="C367" s="109"/>
      <c r="D367" s="109"/>
      <c r="E367" s="109"/>
    </row>
    <row r="368">
      <c r="A368" s="109"/>
      <c r="B368" s="109"/>
      <c r="C368" s="109"/>
      <c r="D368" s="109"/>
      <c r="E368" s="109"/>
    </row>
    <row r="369">
      <c r="A369" s="109"/>
      <c r="B369" s="109"/>
      <c r="C369" s="109"/>
      <c r="D369" s="109"/>
      <c r="E369" s="109"/>
    </row>
    <row r="370">
      <c r="A370" s="109"/>
      <c r="B370" s="109"/>
      <c r="C370" s="109"/>
      <c r="D370" s="109"/>
      <c r="E370" s="109"/>
    </row>
    <row r="371">
      <c r="A371" s="109"/>
      <c r="B371" s="109"/>
      <c r="C371" s="109"/>
      <c r="D371" s="109"/>
      <c r="E371" s="109"/>
    </row>
    <row r="372">
      <c r="A372" s="109"/>
      <c r="B372" s="109"/>
      <c r="C372" s="109"/>
      <c r="D372" s="109"/>
      <c r="E372" s="109"/>
    </row>
    <row r="373">
      <c r="A373" s="109"/>
      <c r="B373" s="109"/>
      <c r="C373" s="109"/>
      <c r="D373" s="109"/>
      <c r="E373" s="109"/>
    </row>
    <row r="374">
      <c r="A374" s="109"/>
      <c r="B374" s="109"/>
      <c r="C374" s="109"/>
      <c r="D374" s="109"/>
      <c r="E374" s="109"/>
    </row>
    <row r="375">
      <c r="A375" s="109"/>
      <c r="B375" s="109"/>
      <c r="C375" s="109"/>
      <c r="D375" s="109"/>
      <c r="E375" s="109"/>
    </row>
    <row r="376">
      <c r="A376" s="109"/>
      <c r="B376" s="109"/>
      <c r="C376" s="109"/>
      <c r="D376" s="109"/>
      <c r="E376" s="109"/>
    </row>
    <row r="377">
      <c r="A377" s="109"/>
      <c r="B377" s="109"/>
      <c r="C377" s="109"/>
      <c r="D377" s="109"/>
      <c r="E377" s="109"/>
    </row>
    <row r="378">
      <c r="A378" s="109"/>
      <c r="B378" s="109"/>
      <c r="C378" s="109"/>
      <c r="D378" s="109"/>
      <c r="E378" s="109"/>
    </row>
    <row r="379">
      <c r="A379" s="109"/>
      <c r="B379" s="109"/>
      <c r="C379" s="109"/>
      <c r="D379" s="109"/>
      <c r="E379" s="109"/>
    </row>
    <row r="380">
      <c r="A380" s="109"/>
      <c r="B380" s="109"/>
      <c r="C380" s="109"/>
      <c r="D380" s="109"/>
      <c r="E380" s="109"/>
    </row>
    <row r="381">
      <c r="A381" s="109"/>
      <c r="B381" s="109"/>
      <c r="C381" s="109"/>
      <c r="D381" s="109"/>
      <c r="E381" s="109"/>
    </row>
    <row r="382">
      <c r="A382" s="109"/>
      <c r="B382" s="109"/>
      <c r="C382" s="109"/>
      <c r="D382" s="109"/>
      <c r="E382" s="109"/>
    </row>
    <row r="383">
      <c r="A383" s="109"/>
      <c r="B383" s="109"/>
      <c r="C383" s="109"/>
      <c r="D383" s="109"/>
      <c r="E383" s="109"/>
    </row>
    <row r="384">
      <c r="A384" s="109"/>
      <c r="B384" s="109"/>
      <c r="C384" s="109"/>
      <c r="D384" s="109"/>
      <c r="E384" s="109"/>
    </row>
    <row r="385">
      <c r="A385" s="109"/>
      <c r="B385" s="109"/>
      <c r="C385" s="109"/>
      <c r="D385" s="109"/>
      <c r="E385" s="109"/>
    </row>
    <row r="386">
      <c r="A386" s="109"/>
      <c r="B386" s="109"/>
      <c r="C386" s="109"/>
      <c r="D386" s="109"/>
      <c r="E386" s="109"/>
    </row>
    <row r="387">
      <c r="A387" s="109"/>
      <c r="B387" s="109"/>
      <c r="C387" s="109"/>
      <c r="D387" s="109"/>
      <c r="E387" s="109"/>
    </row>
    <row r="388">
      <c r="A388" s="109"/>
      <c r="B388" s="109"/>
      <c r="C388" s="109"/>
      <c r="D388" s="109"/>
      <c r="E388" s="109"/>
    </row>
    <row r="389">
      <c r="A389" s="109"/>
      <c r="B389" s="109"/>
      <c r="C389" s="109"/>
      <c r="D389" s="109"/>
      <c r="E389" s="109"/>
    </row>
    <row r="390">
      <c r="A390" s="109"/>
      <c r="B390" s="109"/>
      <c r="C390" s="109"/>
      <c r="D390" s="109"/>
      <c r="E390" s="109"/>
    </row>
    <row r="391">
      <c r="A391" s="109"/>
      <c r="B391" s="109"/>
      <c r="C391" s="109"/>
      <c r="D391" s="109"/>
      <c r="E391" s="109"/>
    </row>
    <row r="392">
      <c r="A392" s="109"/>
      <c r="B392" s="109"/>
      <c r="C392" s="109"/>
      <c r="D392" s="109"/>
      <c r="E392" s="109"/>
    </row>
    <row r="393">
      <c r="A393" s="109"/>
      <c r="B393" s="109"/>
      <c r="C393" s="109"/>
      <c r="D393" s="109"/>
      <c r="E393" s="109"/>
    </row>
    <row r="394">
      <c r="A394" s="109"/>
      <c r="B394" s="109"/>
      <c r="C394" s="109"/>
      <c r="D394" s="109"/>
      <c r="E394" s="109"/>
    </row>
    <row r="395">
      <c r="A395" s="109"/>
      <c r="B395" s="109"/>
      <c r="C395" s="109"/>
      <c r="D395" s="109"/>
      <c r="E395" s="109"/>
    </row>
    <row r="396">
      <c r="A396" s="109"/>
      <c r="B396" s="109"/>
      <c r="C396" s="109"/>
      <c r="D396" s="109"/>
      <c r="E396" s="109"/>
    </row>
    <row r="397">
      <c r="A397" s="109"/>
      <c r="B397" s="109"/>
      <c r="C397" s="109"/>
      <c r="D397" s="109"/>
      <c r="E397" s="109"/>
    </row>
    <row r="398">
      <c r="A398" s="109"/>
      <c r="B398" s="109"/>
      <c r="C398" s="109"/>
      <c r="D398" s="109"/>
      <c r="E398" s="109"/>
    </row>
    <row r="399">
      <c r="A399" s="109"/>
      <c r="B399" s="109"/>
      <c r="C399" s="109"/>
      <c r="D399" s="109"/>
      <c r="E399" s="109"/>
    </row>
    <row r="400">
      <c r="A400" s="109"/>
      <c r="B400" s="109"/>
      <c r="C400" s="109"/>
      <c r="D400" s="109"/>
      <c r="E400" s="109"/>
    </row>
    <row r="401">
      <c r="A401" s="109"/>
      <c r="B401" s="109"/>
      <c r="C401" s="109"/>
      <c r="D401" s="109"/>
      <c r="E401" s="109"/>
    </row>
    <row r="402">
      <c r="A402" s="109"/>
      <c r="B402" s="109"/>
      <c r="C402" s="109"/>
      <c r="D402" s="109"/>
      <c r="E402" s="109"/>
    </row>
    <row r="403">
      <c r="A403" s="109"/>
      <c r="B403" s="109"/>
      <c r="C403" s="109"/>
      <c r="D403" s="109"/>
      <c r="E403" s="109"/>
    </row>
    <row r="404">
      <c r="A404" s="109"/>
      <c r="B404" s="109"/>
      <c r="C404" s="109"/>
      <c r="D404" s="109"/>
      <c r="E404" s="109"/>
    </row>
    <row r="405">
      <c r="A405" s="109"/>
      <c r="B405" s="109"/>
      <c r="C405" s="109"/>
      <c r="D405" s="109"/>
      <c r="E405" s="109"/>
    </row>
    <row r="406">
      <c r="A406" s="109"/>
      <c r="B406" s="109"/>
      <c r="C406" s="109"/>
      <c r="D406" s="109"/>
      <c r="E406" s="109"/>
    </row>
    <row r="407">
      <c r="A407" s="109"/>
      <c r="B407" s="109"/>
      <c r="C407" s="109"/>
      <c r="D407" s="109"/>
      <c r="E407" s="109"/>
    </row>
    <row r="408">
      <c r="A408" s="109"/>
      <c r="B408" s="109"/>
      <c r="C408" s="109"/>
      <c r="D408" s="109"/>
      <c r="E408" s="109"/>
    </row>
    <row r="409">
      <c r="A409" s="109"/>
      <c r="B409" s="109"/>
      <c r="C409" s="109"/>
      <c r="D409" s="109"/>
      <c r="E409" s="109"/>
    </row>
    <row r="410">
      <c r="A410" s="109"/>
      <c r="B410" s="109"/>
      <c r="C410" s="109"/>
      <c r="D410" s="109"/>
      <c r="E410" s="109"/>
    </row>
    <row r="411">
      <c r="A411" s="109"/>
      <c r="B411" s="109"/>
      <c r="C411" s="109"/>
      <c r="D411" s="109"/>
      <c r="E411" s="109"/>
    </row>
    <row r="412">
      <c r="A412" s="109"/>
      <c r="B412" s="109"/>
      <c r="C412" s="109"/>
      <c r="D412" s="109"/>
      <c r="E412" s="109"/>
    </row>
    <row r="413">
      <c r="A413" s="109"/>
      <c r="B413" s="109"/>
      <c r="C413" s="109"/>
      <c r="D413" s="109"/>
      <c r="E413" s="109"/>
    </row>
    <row r="414">
      <c r="A414" s="109"/>
      <c r="B414" s="109"/>
      <c r="C414" s="109"/>
      <c r="D414" s="109"/>
      <c r="E414" s="109"/>
    </row>
    <row r="415">
      <c r="A415" s="109"/>
      <c r="B415" s="109"/>
      <c r="C415" s="109"/>
      <c r="D415" s="109"/>
      <c r="E415" s="109"/>
    </row>
    <row r="416">
      <c r="A416" s="109"/>
      <c r="B416" s="109"/>
      <c r="C416" s="109"/>
      <c r="D416" s="109"/>
      <c r="E416" s="109"/>
    </row>
    <row r="417">
      <c r="A417" s="109"/>
      <c r="B417" s="109"/>
      <c r="C417" s="109"/>
      <c r="D417" s="109"/>
      <c r="E417" s="109"/>
    </row>
    <row r="418">
      <c r="A418" s="109"/>
      <c r="B418" s="109"/>
      <c r="C418" s="109"/>
      <c r="D418" s="109"/>
      <c r="E418" s="109"/>
    </row>
    <row r="419">
      <c r="A419" s="109"/>
      <c r="B419" s="109"/>
      <c r="C419" s="109"/>
      <c r="D419" s="109"/>
      <c r="E419" s="109"/>
    </row>
    <row r="420">
      <c r="A420" s="109"/>
      <c r="B420" s="109"/>
      <c r="C420" s="109"/>
      <c r="D420" s="109"/>
      <c r="E420" s="109"/>
    </row>
    <row r="421">
      <c r="A421" s="109"/>
      <c r="B421" s="109"/>
      <c r="C421" s="109"/>
      <c r="D421" s="109"/>
      <c r="E421" s="109"/>
    </row>
    <row r="422">
      <c r="A422" s="109"/>
      <c r="B422" s="109"/>
      <c r="C422" s="109"/>
      <c r="D422" s="109"/>
      <c r="E422" s="109"/>
    </row>
    <row r="423">
      <c r="A423" s="109"/>
      <c r="B423" s="109"/>
      <c r="C423" s="109"/>
      <c r="D423" s="109"/>
      <c r="E423" s="109"/>
    </row>
    <row r="424">
      <c r="A424" s="109"/>
      <c r="B424" s="109"/>
      <c r="C424" s="109"/>
      <c r="D424" s="109"/>
      <c r="E424" s="109"/>
    </row>
    <row r="425">
      <c r="A425" s="109"/>
      <c r="B425" s="109"/>
      <c r="C425" s="109"/>
      <c r="D425" s="109"/>
      <c r="E425" s="109"/>
    </row>
    <row r="426">
      <c r="A426" s="109"/>
      <c r="B426" s="109"/>
      <c r="C426" s="109"/>
      <c r="D426" s="109"/>
      <c r="E426" s="109"/>
    </row>
    <row r="427">
      <c r="A427" s="109"/>
      <c r="B427" s="109"/>
      <c r="C427" s="109"/>
      <c r="D427" s="109"/>
      <c r="E427" s="109"/>
    </row>
    <row r="428">
      <c r="A428" s="109"/>
      <c r="B428" s="109"/>
      <c r="C428" s="109"/>
      <c r="D428" s="109"/>
      <c r="E428" s="109"/>
    </row>
    <row r="429">
      <c r="A429" s="109"/>
      <c r="B429" s="109"/>
      <c r="C429" s="109"/>
      <c r="D429" s="109"/>
      <c r="E429" s="109"/>
    </row>
    <row r="430">
      <c r="A430" s="109"/>
      <c r="B430" s="109"/>
      <c r="C430" s="109"/>
      <c r="D430" s="109"/>
      <c r="E430" s="109"/>
    </row>
    <row r="431">
      <c r="A431" s="109"/>
      <c r="B431" s="109"/>
      <c r="C431" s="109"/>
      <c r="D431" s="109"/>
      <c r="E431" s="109"/>
    </row>
    <row r="432">
      <c r="A432" s="109"/>
      <c r="B432" s="109"/>
      <c r="C432" s="109"/>
      <c r="D432" s="109"/>
      <c r="E432" s="109"/>
    </row>
    <row r="433">
      <c r="A433" s="109"/>
      <c r="B433" s="109"/>
      <c r="C433" s="109"/>
      <c r="D433" s="109"/>
      <c r="E433" s="109"/>
    </row>
    <row r="434">
      <c r="A434" s="109"/>
      <c r="B434" s="109"/>
      <c r="C434" s="109"/>
      <c r="D434" s="109"/>
      <c r="E434" s="109"/>
    </row>
    <row r="435">
      <c r="A435" s="109"/>
      <c r="B435" s="109"/>
      <c r="C435" s="109"/>
      <c r="D435" s="109"/>
      <c r="E435" s="109"/>
    </row>
    <row r="436">
      <c r="A436" s="109"/>
      <c r="B436" s="109"/>
      <c r="C436" s="109"/>
      <c r="D436" s="109"/>
      <c r="E436" s="109"/>
    </row>
    <row r="437">
      <c r="A437" s="109"/>
      <c r="B437" s="109"/>
      <c r="C437" s="109"/>
      <c r="D437" s="109"/>
      <c r="E437" s="109"/>
    </row>
    <row r="438">
      <c r="A438" s="109"/>
      <c r="B438" s="109"/>
      <c r="C438" s="109"/>
      <c r="D438" s="109"/>
      <c r="E438" s="109"/>
    </row>
    <row r="439">
      <c r="A439" s="109"/>
      <c r="B439" s="109"/>
      <c r="C439" s="109"/>
      <c r="D439" s="109"/>
      <c r="E439" s="109"/>
    </row>
    <row r="440">
      <c r="A440" s="109"/>
      <c r="B440" s="109"/>
      <c r="C440" s="109"/>
      <c r="D440" s="109"/>
      <c r="E440" s="109"/>
    </row>
    <row r="441">
      <c r="A441" s="109"/>
      <c r="B441" s="109"/>
      <c r="C441" s="109"/>
      <c r="D441" s="109"/>
      <c r="E441" s="109"/>
    </row>
    <row r="442">
      <c r="A442" s="109"/>
      <c r="B442" s="109"/>
      <c r="C442" s="109"/>
      <c r="D442" s="109"/>
      <c r="E442" s="109"/>
    </row>
    <row r="443">
      <c r="A443" s="109"/>
      <c r="B443" s="109"/>
      <c r="C443" s="109"/>
      <c r="D443" s="109"/>
      <c r="E443" s="109"/>
    </row>
    <row r="444">
      <c r="A444" s="109"/>
      <c r="B444" s="109"/>
      <c r="C444" s="109"/>
      <c r="D444" s="109"/>
      <c r="E444" s="109"/>
    </row>
    <row r="445">
      <c r="A445" s="109"/>
      <c r="B445" s="109"/>
      <c r="C445" s="109"/>
      <c r="D445" s="109"/>
      <c r="E445" s="109"/>
    </row>
    <row r="446">
      <c r="A446" s="109"/>
      <c r="B446" s="109"/>
      <c r="C446" s="109"/>
      <c r="D446" s="109"/>
      <c r="E446" s="109"/>
    </row>
    <row r="447">
      <c r="A447" s="109"/>
      <c r="B447" s="109"/>
      <c r="C447" s="109"/>
      <c r="D447" s="109"/>
      <c r="E447" s="109"/>
    </row>
    <row r="448">
      <c r="A448" s="109"/>
      <c r="B448" s="109"/>
      <c r="C448" s="109"/>
      <c r="D448" s="109"/>
      <c r="E448" s="109"/>
    </row>
    <row r="449">
      <c r="A449" s="109"/>
      <c r="B449" s="109"/>
      <c r="C449" s="109"/>
      <c r="D449" s="109"/>
      <c r="E449" s="109"/>
    </row>
    <row r="450">
      <c r="A450" s="109"/>
      <c r="B450" s="109"/>
      <c r="C450" s="109"/>
      <c r="D450" s="109"/>
      <c r="E450" s="109"/>
    </row>
    <row r="451">
      <c r="A451" s="109"/>
      <c r="B451" s="109"/>
      <c r="C451" s="109"/>
      <c r="D451" s="109"/>
      <c r="E451" s="109"/>
    </row>
    <row r="452">
      <c r="A452" s="109"/>
      <c r="B452" s="109"/>
      <c r="C452" s="109"/>
      <c r="D452" s="109"/>
      <c r="E452" s="109"/>
    </row>
    <row r="453">
      <c r="A453" s="109"/>
      <c r="B453" s="109"/>
      <c r="C453" s="109"/>
      <c r="D453" s="109"/>
      <c r="E453" s="109"/>
    </row>
    <row r="454">
      <c r="A454" s="109"/>
      <c r="B454" s="109"/>
      <c r="C454" s="109"/>
      <c r="D454" s="109"/>
      <c r="E454" s="109"/>
    </row>
    <row r="455">
      <c r="A455" s="109"/>
      <c r="B455" s="109"/>
      <c r="C455" s="109"/>
      <c r="D455" s="109"/>
      <c r="E455" s="109"/>
    </row>
    <row r="456">
      <c r="A456" s="109"/>
      <c r="B456" s="109"/>
      <c r="C456" s="109"/>
      <c r="D456" s="109"/>
      <c r="E456" s="109"/>
    </row>
    <row r="457">
      <c r="A457" s="109"/>
      <c r="B457" s="109"/>
      <c r="C457" s="109"/>
      <c r="D457" s="109"/>
      <c r="E457" s="109"/>
    </row>
    <row r="458">
      <c r="A458" s="109"/>
      <c r="B458" s="109"/>
      <c r="C458" s="109"/>
      <c r="D458" s="109"/>
      <c r="E458" s="109"/>
    </row>
    <row r="459">
      <c r="A459" s="109"/>
      <c r="B459" s="109"/>
      <c r="C459" s="109"/>
      <c r="D459" s="109"/>
      <c r="E459" s="109"/>
    </row>
    <row r="460">
      <c r="A460" s="109"/>
      <c r="B460" s="109"/>
      <c r="C460" s="109"/>
      <c r="D460" s="109"/>
      <c r="E460" s="109"/>
    </row>
    <row r="461">
      <c r="A461" s="109"/>
      <c r="B461" s="109"/>
      <c r="C461" s="109"/>
      <c r="D461" s="109"/>
      <c r="E461" s="109"/>
    </row>
    <row r="462">
      <c r="A462" s="109"/>
      <c r="B462" s="109"/>
      <c r="C462" s="109"/>
      <c r="D462" s="109"/>
      <c r="E462" s="109"/>
    </row>
    <row r="463">
      <c r="A463" s="109"/>
      <c r="B463" s="109"/>
      <c r="C463" s="109"/>
      <c r="D463" s="109"/>
      <c r="E463" s="109"/>
    </row>
    <row r="464">
      <c r="A464" s="109"/>
      <c r="B464" s="109"/>
      <c r="C464" s="109"/>
      <c r="D464" s="109"/>
      <c r="E464" s="109"/>
    </row>
    <row r="465">
      <c r="A465" s="109"/>
      <c r="B465" s="109"/>
      <c r="C465" s="109"/>
      <c r="D465" s="109"/>
      <c r="E465" s="109"/>
    </row>
    <row r="466">
      <c r="A466" s="109"/>
      <c r="B466" s="109"/>
      <c r="C466" s="109"/>
      <c r="D466" s="109"/>
      <c r="E466" s="109"/>
    </row>
    <row r="467">
      <c r="A467" s="109"/>
      <c r="B467" s="109"/>
      <c r="C467" s="109"/>
      <c r="D467" s="109"/>
      <c r="E467" s="109"/>
    </row>
    <row r="468">
      <c r="A468" s="109"/>
      <c r="B468" s="109"/>
      <c r="C468" s="109"/>
      <c r="D468" s="109"/>
      <c r="E468" s="109"/>
    </row>
    <row r="469">
      <c r="A469" s="109"/>
      <c r="B469" s="109"/>
      <c r="C469" s="109"/>
      <c r="D469" s="109"/>
      <c r="E469" s="109"/>
    </row>
    <row r="470">
      <c r="A470" s="109"/>
      <c r="B470" s="109"/>
      <c r="C470" s="109"/>
      <c r="D470" s="109"/>
      <c r="E470" s="109"/>
    </row>
    <row r="471">
      <c r="A471" s="109"/>
      <c r="B471" s="109"/>
      <c r="C471" s="109"/>
      <c r="D471" s="109"/>
      <c r="E471" s="109"/>
    </row>
    <row r="472">
      <c r="A472" s="109"/>
      <c r="B472" s="109"/>
      <c r="C472" s="109"/>
      <c r="D472" s="109"/>
      <c r="E472" s="109"/>
    </row>
    <row r="473">
      <c r="A473" s="109"/>
      <c r="B473" s="109"/>
      <c r="C473" s="109"/>
      <c r="D473" s="109"/>
      <c r="E473" s="109"/>
    </row>
    <row r="474">
      <c r="A474" s="109"/>
      <c r="B474" s="109"/>
      <c r="C474" s="109"/>
      <c r="D474" s="109"/>
      <c r="E474" s="109"/>
    </row>
    <row r="475">
      <c r="A475" s="109"/>
      <c r="B475" s="109"/>
      <c r="C475" s="109"/>
      <c r="D475" s="109"/>
      <c r="E475" s="109"/>
    </row>
    <row r="476">
      <c r="A476" s="109"/>
      <c r="B476" s="109"/>
      <c r="C476" s="109"/>
      <c r="D476" s="109"/>
      <c r="E476" s="109"/>
    </row>
    <row r="477">
      <c r="A477" s="109"/>
      <c r="B477" s="109"/>
      <c r="C477" s="109"/>
      <c r="D477" s="109"/>
      <c r="E477" s="109"/>
    </row>
    <row r="478">
      <c r="A478" s="109"/>
      <c r="B478" s="109"/>
      <c r="C478" s="109"/>
      <c r="D478" s="109"/>
      <c r="E478" s="109"/>
    </row>
    <row r="479">
      <c r="A479" s="109"/>
      <c r="B479" s="109"/>
      <c r="C479" s="109"/>
      <c r="D479" s="109"/>
      <c r="E479" s="109"/>
    </row>
    <row r="480">
      <c r="A480" s="109"/>
      <c r="B480" s="109"/>
      <c r="C480" s="109"/>
      <c r="D480" s="109"/>
      <c r="E480" s="109"/>
    </row>
    <row r="481">
      <c r="A481" s="109"/>
      <c r="B481" s="109"/>
      <c r="C481" s="109"/>
      <c r="D481" s="109"/>
      <c r="E481" s="109"/>
    </row>
    <row r="482">
      <c r="A482" s="109"/>
      <c r="B482" s="109"/>
      <c r="C482" s="109"/>
      <c r="D482" s="109"/>
      <c r="E482" s="109"/>
    </row>
    <row r="483">
      <c r="A483" s="109"/>
      <c r="B483" s="109"/>
      <c r="C483" s="109"/>
      <c r="D483" s="109"/>
      <c r="E483" s="109"/>
    </row>
    <row r="484">
      <c r="A484" s="109"/>
      <c r="B484" s="109"/>
      <c r="C484" s="109"/>
      <c r="D484" s="109"/>
      <c r="E484" s="109"/>
    </row>
    <row r="485">
      <c r="A485" s="109"/>
      <c r="B485" s="109"/>
      <c r="C485" s="109"/>
      <c r="D485" s="109"/>
      <c r="E485" s="109"/>
    </row>
    <row r="486">
      <c r="A486" s="109"/>
      <c r="B486" s="109"/>
      <c r="C486" s="109"/>
      <c r="D486" s="109"/>
      <c r="E486" s="109"/>
    </row>
    <row r="487">
      <c r="A487" s="109"/>
      <c r="B487" s="109"/>
      <c r="C487" s="109"/>
      <c r="D487" s="109"/>
      <c r="E487" s="109"/>
    </row>
    <row r="488">
      <c r="A488" s="109"/>
      <c r="B488" s="109"/>
      <c r="C488" s="109"/>
      <c r="D488" s="109"/>
      <c r="E488" s="109"/>
    </row>
    <row r="489">
      <c r="A489" s="109"/>
      <c r="B489" s="109"/>
      <c r="C489" s="109"/>
      <c r="D489" s="109"/>
      <c r="E489" s="109"/>
    </row>
    <row r="490">
      <c r="A490" s="109"/>
      <c r="B490" s="109"/>
      <c r="C490" s="109"/>
      <c r="D490" s="109"/>
      <c r="E490" s="109"/>
    </row>
    <row r="491">
      <c r="A491" s="109"/>
      <c r="B491" s="109"/>
      <c r="C491" s="109"/>
      <c r="D491" s="109"/>
      <c r="E491" s="109"/>
    </row>
    <row r="492">
      <c r="A492" s="109"/>
      <c r="B492" s="109"/>
      <c r="C492" s="109"/>
      <c r="D492" s="109"/>
      <c r="E492" s="109"/>
    </row>
    <row r="493">
      <c r="A493" s="109"/>
      <c r="B493" s="109"/>
      <c r="C493" s="109"/>
      <c r="D493" s="109"/>
      <c r="E493" s="109"/>
    </row>
    <row r="494">
      <c r="A494" s="109"/>
      <c r="B494" s="109"/>
      <c r="C494" s="109"/>
      <c r="D494" s="109"/>
      <c r="E494" s="109"/>
    </row>
    <row r="495">
      <c r="A495" s="109"/>
      <c r="B495" s="109"/>
      <c r="C495" s="109"/>
      <c r="D495" s="109"/>
      <c r="E495" s="109"/>
    </row>
    <row r="496">
      <c r="A496" s="109"/>
      <c r="B496" s="109"/>
      <c r="C496" s="109"/>
      <c r="D496" s="109"/>
      <c r="E496" s="109"/>
    </row>
    <row r="497">
      <c r="A497" s="109"/>
      <c r="B497" s="109"/>
      <c r="C497" s="109"/>
      <c r="D497" s="109"/>
      <c r="E497" s="109"/>
    </row>
    <row r="498">
      <c r="A498" s="109"/>
      <c r="B498" s="109"/>
      <c r="C498" s="109"/>
      <c r="D498" s="109"/>
      <c r="E498" s="109"/>
    </row>
    <row r="499">
      <c r="A499" s="109"/>
      <c r="B499" s="109"/>
      <c r="C499" s="109"/>
      <c r="D499" s="109"/>
      <c r="E499" s="109"/>
    </row>
    <row r="500">
      <c r="A500" s="109"/>
      <c r="B500" s="109"/>
      <c r="C500" s="109"/>
      <c r="D500" s="109"/>
      <c r="E500" s="109"/>
    </row>
    <row r="501">
      <c r="A501" s="109"/>
      <c r="B501" s="109"/>
      <c r="C501" s="109"/>
      <c r="D501" s="109"/>
      <c r="E501" s="109"/>
    </row>
    <row r="502">
      <c r="A502" s="109"/>
      <c r="B502" s="109"/>
      <c r="C502" s="109"/>
      <c r="D502" s="109"/>
      <c r="E502" s="109"/>
    </row>
    <row r="503">
      <c r="A503" s="109"/>
      <c r="B503" s="109"/>
      <c r="C503" s="109"/>
      <c r="D503" s="109"/>
      <c r="E503" s="109"/>
    </row>
    <row r="504">
      <c r="A504" s="109"/>
      <c r="B504" s="109"/>
      <c r="C504" s="109"/>
      <c r="D504" s="109"/>
      <c r="E504" s="109"/>
    </row>
    <row r="505">
      <c r="A505" s="109"/>
      <c r="B505" s="109"/>
      <c r="C505" s="109"/>
      <c r="D505" s="109"/>
      <c r="E505" s="109"/>
    </row>
    <row r="506">
      <c r="A506" s="109"/>
      <c r="B506" s="109"/>
      <c r="C506" s="109"/>
      <c r="D506" s="109"/>
      <c r="E506" s="109"/>
    </row>
    <row r="507">
      <c r="A507" s="109"/>
      <c r="B507" s="109"/>
      <c r="C507" s="109"/>
      <c r="D507" s="109"/>
      <c r="E507" s="109"/>
    </row>
    <row r="508">
      <c r="A508" s="109"/>
      <c r="B508" s="109"/>
      <c r="C508" s="109"/>
      <c r="D508" s="109"/>
      <c r="E508" s="109"/>
    </row>
    <row r="509">
      <c r="A509" s="109"/>
      <c r="B509" s="109"/>
      <c r="C509" s="109"/>
      <c r="D509" s="109"/>
      <c r="E509" s="109"/>
    </row>
    <row r="510">
      <c r="A510" s="109"/>
      <c r="B510" s="109"/>
      <c r="C510" s="109"/>
      <c r="D510" s="109"/>
      <c r="E510" s="109"/>
    </row>
    <row r="511">
      <c r="A511" s="109"/>
      <c r="B511" s="109"/>
      <c r="C511" s="109"/>
      <c r="D511" s="109"/>
      <c r="E511" s="109"/>
    </row>
    <row r="512">
      <c r="A512" s="109"/>
      <c r="B512" s="109"/>
      <c r="C512" s="109"/>
      <c r="D512" s="109"/>
      <c r="E512" s="109"/>
    </row>
    <row r="513">
      <c r="A513" s="109"/>
      <c r="B513" s="109"/>
      <c r="C513" s="109"/>
      <c r="D513" s="109"/>
      <c r="E513" s="109"/>
    </row>
    <row r="514">
      <c r="A514" s="109"/>
      <c r="B514" s="109"/>
      <c r="C514" s="109"/>
      <c r="D514" s="109"/>
      <c r="E514" s="109"/>
    </row>
    <row r="515">
      <c r="A515" s="109"/>
      <c r="B515" s="109"/>
      <c r="C515" s="109"/>
      <c r="D515" s="109"/>
      <c r="E515" s="109"/>
    </row>
    <row r="516">
      <c r="A516" s="109"/>
      <c r="B516" s="109"/>
      <c r="C516" s="109"/>
      <c r="D516" s="109"/>
      <c r="E516" s="109"/>
    </row>
    <row r="517">
      <c r="A517" s="109"/>
      <c r="B517" s="109"/>
      <c r="C517" s="109"/>
      <c r="D517" s="109"/>
      <c r="E517" s="109"/>
    </row>
    <row r="518">
      <c r="A518" s="109"/>
      <c r="B518" s="109"/>
      <c r="C518" s="109"/>
      <c r="D518" s="109"/>
      <c r="E518" s="109"/>
    </row>
    <row r="519">
      <c r="A519" s="109"/>
      <c r="B519" s="109"/>
      <c r="C519" s="109"/>
      <c r="D519" s="109"/>
      <c r="E519" s="109"/>
    </row>
    <row r="520">
      <c r="A520" s="109"/>
      <c r="B520" s="109"/>
      <c r="C520" s="109"/>
      <c r="D520" s="109"/>
      <c r="E520" s="109"/>
    </row>
    <row r="521">
      <c r="A521" s="109"/>
      <c r="B521" s="109"/>
      <c r="C521" s="109"/>
      <c r="D521" s="109"/>
      <c r="E521" s="109"/>
    </row>
    <row r="522">
      <c r="A522" s="109"/>
      <c r="B522" s="109"/>
      <c r="C522" s="109"/>
      <c r="D522" s="109"/>
      <c r="E522" s="109"/>
    </row>
    <row r="523">
      <c r="A523" s="109"/>
      <c r="B523" s="109"/>
      <c r="C523" s="109"/>
      <c r="D523" s="109"/>
      <c r="E523" s="109"/>
    </row>
    <row r="524">
      <c r="A524" s="109"/>
      <c r="B524" s="109"/>
      <c r="C524" s="109"/>
      <c r="D524" s="109"/>
      <c r="E524" s="109"/>
    </row>
    <row r="525">
      <c r="A525" s="109"/>
      <c r="B525" s="109"/>
      <c r="C525" s="109"/>
      <c r="D525" s="109"/>
      <c r="E525" s="109"/>
    </row>
    <row r="526">
      <c r="A526" s="109"/>
      <c r="B526" s="109"/>
      <c r="C526" s="109"/>
      <c r="D526" s="109"/>
      <c r="E526" s="109"/>
    </row>
    <row r="527">
      <c r="A527" s="109"/>
      <c r="B527" s="109"/>
      <c r="C527" s="109"/>
      <c r="D527" s="109"/>
      <c r="E527" s="109"/>
    </row>
    <row r="528">
      <c r="A528" s="109"/>
      <c r="B528" s="109"/>
      <c r="C528" s="109"/>
      <c r="D528" s="109"/>
      <c r="E528" s="109"/>
    </row>
    <row r="529">
      <c r="A529" s="109"/>
      <c r="B529" s="109"/>
      <c r="C529" s="109"/>
      <c r="D529" s="109"/>
      <c r="E529" s="109"/>
    </row>
    <row r="530">
      <c r="A530" s="109"/>
      <c r="B530" s="109"/>
      <c r="C530" s="109"/>
      <c r="D530" s="109"/>
      <c r="E530" s="109"/>
    </row>
    <row r="531">
      <c r="A531" s="109"/>
      <c r="B531" s="109"/>
      <c r="C531" s="109"/>
      <c r="D531" s="109"/>
      <c r="E531" s="109"/>
    </row>
    <row r="532">
      <c r="A532" s="109"/>
      <c r="B532" s="109"/>
      <c r="C532" s="109"/>
      <c r="D532" s="109"/>
      <c r="E532" s="109"/>
    </row>
    <row r="533">
      <c r="A533" s="109"/>
      <c r="B533" s="109"/>
      <c r="C533" s="109"/>
      <c r="D533" s="109"/>
      <c r="E533" s="109"/>
    </row>
    <row r="534">
      <c r="A534" s="109"/>
      <c r="B534" s="109"/>
      <c r="C534" s="109"/>
      <c r="D534" s="109"/>
      <c r="E534" s="109"/>
    </row>
    <row r="535">
      <c r="A535" s="109"/>
      <c r="B535" s="109"/>
      <c r="C535" s="109"/>
      <c r="D535" s="109"/>
      <c r="E535" s="109"/>
    </row>
    <row r="536">
      <c r="A536" s="109"/>
      <c r="B536" s="109"/>
      <c r="C536" s="109"/>
      <c r="D536" s="109"/>
      <c r="E536" s="109"/>
    </row>
    <row r="537">
      <c r="A537" s="109"/>
      <c r="B537" s="109"/>
      <c r="C537" s="109"/>
      <c r="D537" s="109"/>
      <c r="E537" s="109"/>
    </row>
    <row r="538">
      <c r="A538" s="109"/>
      <c r="B538" s="109"/>
      <c r="C538" s="109"/>
      <c r="D538" s="109"/>
      <c r="E538" s="109"/>
    </row>
    <row r="539">
      <c r="A539" s="109"/>
      <c r="B539" s="109"/>
      <c r="C539" s="109"/>
      <c r="D539" s="109"/>
      <c r="E539" s="109"/>
    </row>
    <row r="540">
      <c r="A540" s="109"/>
      <c r="B540" s="109"/>
      <c r="C540" s="109"/>
      <c r="D540" s="109"/>
      <c r="E540" s="109"/>
    </row>
    <row r="541">
      <c r="A541" s="109"/>
      <c r="B541" s="109"/>
      <c r="C541" s="109"/>
      <c r="D541" s="109"/>
      <c r="E541" s="109"/>
    </row>
    <row r="542">
      <c r="A542" s="109"/>
      <c r="B542" s="109"/>
      <c r="C542" s="109"/>
      <c r="D542" s="109"/>
      <c r="E542" s="109"/>
    </row>
    <row r="543">
      <c r="A543" s="109"/>
      <c r="B543" s="109"/>
      <c r="C543" s="109"/>
      <c r="D543" s="109"/>
      <c r="E543" s="109"/>
    </row>
    <row r="544">
      <c r="A544" s="109"/>
      <c r="B544" s="109"/>
      <c r="C544" s="109"/>
      <c r="D544" s="109"/>
      <c r="E544" s="109"/>
    </row>
    <row r="545">
      <c r="A545" s="109"/>
      <c r="B545" s="109"/>
      <c r="C545" s="109"/>
      <c r="D545" s="109"/>
      <c r="E545" s="109"/>
    </row>
    <row r="546">
      <c r="A546" s="109"/>
      <c r="B546" s="109"/>
      <c r="C546" s="109"/>
      <c r="D546" s="109"/>
      <c r="E546" s="109"/>
    </row>
    <row r="547">
      <c r="A547" s="109"/>
      <c r="B547" s="109"/>
      <c r="C547" s="109"/>
      <c r="D547" s="109"/>
      <c r="E547" s="109"/>
    </row>
    <row r="548">
      <c r="A548" s="109"/>
      <c r="B548" s="109"/>
      <c r="C548" s="109"/>
      <c r="D548" s="109"/>
      <c r="E548" s="109"/>
    </row>
    <row r="549">
      <c r="A549" s="109"/>
      <c r="B549" s="109"/>
      <c r="C549" s="109"/>
      <c r="D549" s="109"/>
      <c r="E549" s="109"/>
    </row>
    <row r="550">
      <c r="A550" s="109"/>
      <c r="B550" s="109"/>
      <c r="C550" s="109"/>
      <c r="D550" s="109"/>
      <c r="E550" s="109"/>
    </row>
    <row r="551">
      <c r="A551" s="109"/>
      <c r="B551" s="109"/>
      <c r="C551" s="109"/>
      <c r="D551" s="109"/>
      <c r="E551" s="109"/>
    </row>
    <row r="552">
      <c r="A552" s="109"/>
      <c r="B552" s="109"/>
      <c r="C552" s="109"/>
      <c r="D552" s="109"/>
      <c r="E552" s="109"/>
    </row>
    <row r="553">
      <c r="A553" s="109"/>
      <c r="B553" s="109"/>
      <c r="C553" s="109"/>
      <c r="D553" s="109"/>
      <c r="E553" s="109"/>
    </row>
    <row r="554">
      <c r="A554" s="109"/>
      <c r="B554" s="109"/>
      <c r="C554" s="109"/>
      <c r="D554" s="109"/>
      <c r="E554" s="109"/>
    </row>
    <row r="555">
      <c r="A555" s="109"/>
      <c r="B555" s="109"/>
      <c r="C555" s="109"/>
      <c r="D555" s="109"/>
      <c r="E555" s="109"/>
    </row>
    <row r="556">
      <c r="A556" s="109"/>
      <c r="B556" s="109"/>
      <c r="C556" s="109"/>
      <c r="D556" s="109"/>
      <c r="E556" s="109"/>
    </row>
    <row r="557">
      <c r="A557" s="109"/>
      <c r="B557" s="109"/>
      <c r="C557" s="109"/>
      <c r="D557" s="109"/>
      <c r="E557" s="109"/>
    </row>
    <row r="558">
      <c r="A558" s="109"/>
      <c r="B558" s="109"/>
      <c r="C558" s="109"/>
      <c r="D558" s="109"/>
      <c r="E558" s="109"/>
    </row>
    <row r="559">
      <c r="A559" s="109"/>
      <c r="B559" s="109"/>
      <c r="C559" s="109"/>
      <c r="D559" s="109"/>
      <c r="E559" s="109"/>
    </row>
    <row r="560">
      <c r="A560" s="109"/>
      <c r="B560" s="109"/>
      <c r="C560" s="109"/>
      <c r="D560" s="109"/>
      <c r="E560" s="109"/>
    </row>
    <row r="561">
      <c r="A561" s="109"/>
      <c r="B561" s="109"/>
      <c r="C561" s="109"/>
      <c r="D561" s="109"/>
      <c r="E561" s="109"/>
    </row>
    <row r="562">
      <c r="A562" s="109"/>
      <c r="B562" s="109"/>
      <c r="C562" s="109"/>
      <c r="D562" s="109"/>
      <c r="E562" s="109"/>
    </row>
    <row r="563">
      <c r="A563" s="109"/>
      <c r="B563" s="109"/>
      <c r="C563" s="109"/>
      <c r="D563" s="109"/>
      <c r="E563" s="109"/>
    </row>
    <row r="564">
      <c r="A564" s="109"/>
      <c r="B564" s="109"/>
      <c r="C564" s="109"/>
      <c r="D564" s="109"/>
      <c r="E564" s="109"/>
    </row>
    <row r="565">
      <c r="A565" s="109"/>
      <c r="B565" s="109"/>
      <c r="C565" s="109"/>
      <c r="D565" s="109"/>
      <c r="E565" s="109"/>
    </row>
    <row r="566">
      <c r="A566" s="109"/>
      <c r="B566" s="109"/>
      <c r="C566" s="109"/>
      <c r="D566" s="109"/>
      <c r="E566" s="109"/>
    </row>
    <row r="567">
      <c r="A567" s="109"/>
      <c r="B567" s="109"/>
      <c r="C567" s="109"/>
      <c r="D567" s="109"/>
      <c r="E567" s="109"/>
    </row>
    <row r="568">
      <c r="A568" s="109"/>
      <c r="B568" s="109"/>
      <c r="C568" s="109"/>
      <c r="D568" s="109"/>
      <c r="E568" s="109"/>
    </row>
    <row r="569">
      <c r="A569" s="109"/>
      <c r="B569" s="109"/>
      <c r="C569" s="109"/>
      <c r="D569" s="109"/>
      <c r="E569" s="109"/>
    </row>
    <row r="570">
      <c r="A570" s="109"/>
      <c r="B570" s="109"/>
      <c r="C570" s="109"/>
      <c r="D570" s="109"/>
      <c r="E570" s="109"/>
    </row>
    <row r="571">
      <c r="A571" s="109"/>
      <c r="B571" s="109"/>
      <c r="C571" s="109"/>
      <c r="D571" s="109"/>
      <c r="E571" s="109"/>
    </row>
    <row r="572">
      <c r="A572" s="109"/>
      <c r="B572" s="109"/>
      <c r="C572" s="109"/>
      <c r="D572" s="109"/>
      <c r="E572" s="109"/>
    </row>
    <row r="573">
      <c r="A573" s="109"/>
      <c r="B573" s="109"/>
      <c r="C573" s="109"/>
      <c r="D573" s="109"/>
      <c r="E573" s="109"/>
    </row>
    <row r="574">
      <c r="A574" s="109"/>
      <c r="B574" s="109"/>
      <c r="C574" s="109"/>
      <c r="D574" s="109"/>
      <c r="E574" s="109"/>
    </row>
    <row r="575">
      <c r="A575" s="109"/>
      <c r="B575" s="109"/>
      <c r="C575" s="109"/>
      <c r="D575" s="109"/>
      <c r="E575" s="109"/>
    </row>
    <row r="576">
      <c r="A576" s="109"/>
      <c r="B576" s="109"/>
      <c r="C576" s="109"/>
      <c r="D576" s="109"/>
      <c r="E576" s="109"/>
    </row>
    <row r="577">
      <c r="A577" s="109"/>
      <c r="B577" s="109"/>
      <c r="C577" s="109"/>
      <c r="D577" s="109"/>
      <c r="E577" s="109"/>
    </row>
    <row r="578">
      <c r="A578" s="109"/>
      <c r="B578" s="109"/>
      <c r="C578" s="109"/>
      <c r="D578" s="109"/>
      <c r="E578" s="109"/>
    </row>
    <row r="579">
      <c r="A579" s="109"/>
      <c r="B579" s="109"/>
      <c r="C579" s="109"/>
      <c r="D579" s="109"/>
      <c r="E579" s="109"/>
    </row>
    <row r="580">
      <c r="A580" s="109"/>
      <c r="B580" s="109"/>
      <c r="C580" s="109"/>
      <c r="D580" s="109"/>
      <c r="E580" s="109"/>
    </row>
    <row r="581">
      <c r="A581" s="109"/>
      <c r="B581" s="109"/>
      <c r="C581" s="109"/>
      <c r="D581" s="109"/>
      <c r="E581" s="109"/>
    </row>
    <row r="582">
      <c r="A582" s="109"/>
      <c r="B582" s="109"/>
      <c r="C582" s="109"/>
      <c r="D582" s="109"/>
      <c r="E582" s="109"/>
    </row>
    <row r="583">
      <c r="A583" s="109"/>
      <c r="B583" s="109"/>
      <c r="C583" s="109"/>
      <c r="D583" s="109"/>
      <c r="E583" s="109"/>
    </row>
    <row r="584">
      <c r="A584" s="109"/>
      <c r="B584" s="109"/>
      <c r="C584" s="109"/>
      <c r="D584" s="109"/>
      <c r="E584" s="109"/>
    </row>
    <row r="585">
      <c r="A585" s="109"/>
      <c r="B585" s="109"/>
      <c r="C585" s="109"/>
      <c r="D585" s="109"/>
      <c r="E585" s="109"/>
    </row>
    <row r="586">
      <c r="A586" s="109"/>
      <c r="B586" s="109"/>
      <c r="C586" s="109"/>
      <c r="D586" s="109"/>
      <c r="E586" s="109"/>
    </row>
    <row r="587">
      <c r="A587" s="109"/>
      <c r="B587" s="109"/>
      <c r="C587" s="109"/>
      <c r="D587" s="109"/>
      <c r="E587" s="109"/>
    </row>
    <row r="588">
      <c r="A588" s="109"/>
      <c r="B588" s="109"/>
      <c r="C588" s="109"/>
      <c r="D588" s="109"/>
      <c r="E588" s="109"/>
    </row>
    <row r="589">
      <c r="A589" s="109"/>
      <c r="B589" s="109"/>
      <c r="C589" s="109"/>
      <c r="D589" s="109"/>
      <c r="E589" s="109"/>
    </row>
    <row r="590">
      <c r="A590" s="109"/>
      <c r="B590" s="109"/>
      <c r="C590" s="109"/>
      <c r="D590" s="109"/>
      <c r="E590" s="109"/>
    </row>
    <row r="591">
      <c r="A591" s="109"/>
      <c r="B591" s="109"/>
      <c r="C591" s="109"/>
      <c r="D591" s="109"/>
      <c r="E591" s="109"/>
    </row>
    <row r="592">
      <c r="A592" s="109"/>
      <c r="B592" s="109"/>
      <c r="C592" s="109"/>
      <c r="D592" s="109"/>
      <c r="E592" s="109"/>
    </row>
    <row r="593">
      <c r="A593" s="109"/>
      <c r="B593" s="109"/>
      <c r="C593" s="109"/>
      <c r="D593" s="109"/>
      <c r="E593" s="109"/>
    </row>
    <row r="594">
      <c r="A594" s="109"/>
      <c r="B594" s="109"/>
      <c r="C594" s="109"/>
      <c r="D594" s="109"/>
      <c r="E594" s="109"/>
    </row>
    <row r="595">
      <c r="A595" s="109"/>
      <c r="B595" s="109"/>
      <c r="C595" s="109"/>
      <c r="D595" s="109"/>
      <c r="E595" s="109"/>
    </row>
    <row r="596">
      <c r="A596" s="109"/>
      <c r="B596" s="109"/>
      <c r="C596" s="109"/>
      <c r="D596" s="109"/>
      <c r="E596" s="109"/>
    </row>
    <row r="597">
      <c r="A597" s="109"/>
      <c r="B597" s="109"/>
      <c r="C597" s="109"/>
      <c r="D597" s="109"/>
      <c r="E597" s="109"/>
    </row>
    <row r="598">
      <c r="A598" s="109"/>
      <c r="B598" s="109"/>
      <c r="C598" s="109"/>
      <c r="D598" s="109"/>
      <c r="E598" s="109"/>
    </row>
    <row r="599">
      <c r="A599" s="109"/>
      <c r="B599" s="109"/>
      <c r="C599" s="109"/>
      <c r="D599" s="109"/>
      <c r="E599" s="109"/>
    </row>
    <row r="600">
      <c r="A600" s="109"/>
      <c r="B600" s="109"/>
      <c r="C600" s="109"/>
      <c r="D600" s="109"/>
      <c r="E600" s="109"/>
    </row>
    <row r="601">
      <c r="A601" s="109"/>
      <c r="B601" s="109"/>
      <c r="C601" s="109"/>
      <c r="D601" s="109"/>
      <c r="E601" s="109"/>
    </row>
    <row r="602">
      <c r="A602" s="109"/>
      <c r="B602" s="109"/>
      <c r="C602" s="109"/>
      <c r="D602" s="109"/>
      <c r="E602" s="109"/>
    </row>
    <row r="603">
      <c r="A603" s="109"/>
      <c r="B603" s="109"/>
      <c r="C603" s="109"/>
      <c r="D603" s="109"/>
      <c r="E603" s="109"/>
    </row>
    <row r="604">
      <c r="A604" s="109"/>
      <c r="B604" s="109"/>
      <c r="C604" s="109"/>
      <c r="D604" s="109"/>
      <c r="E604" s="109"/>
    </row>
    <row r="605">
      <c r="A605" s="109"/>
      <c r="B605" s="109"/>
      <c r="C605" s="109"/>
      <c r="D605" s="109"/>
      <c r="E605" s="109"/>
    </row>
    <row r="606">
      <c r="A606" s="109"/>
      <c r="B606" s="109"/>
      <c r="C606" s="109"/>
      <c r="D606" s="109"/>
      <c r="E606" s="109"/>
    </row>
    <row r="607">
      <c r="A607" s="109"/>
      <c r="B607" s="109"/>
      <c r="C607" s="109"/>
      <c r="D607" s="109"/>
      <c r="E607" s="109"/>
    </row>
    <row r="608">
      <c r="A608" s="109"/>
      <c r="B608" s="109"/>
      <c r="C608" s="109"/>
      <c r="D608" s="109"/>
      <c r="E608" s="109"/>
    </row>
    <row r="609">
      <c r="A609" s="109"/>
      <c r="B609" s="109"/>
      <c r="C609" s="109"/>
      <c r="D609" s="109"/>
      <c r="E609" s="109"/>
    </row>
    <row r="610">
      <c r="A610" s="109"/>
      <c r="B610" s="109"/>
      <c r="C610" s="109"/>
      <c r="D610" s="109"/>
      <c r="E610" s="109"/>
    </row>
    <row r="611">
      <c r="A611" s="109"/>
      <c r="B611" s="109"/>
      <c r="C611" s="109"/>
      <c r="D611" s="109"/>
      <c r="E611" s="109"/>
    </row>
    <row r="612">
      <c r="A612" s="109"/>
      <c r="B612" s="109"/>
      <c r="C612" s="109"/>
      <c r="D612" s="109"/>
      <c r="E612" s="109"/>
    </row>
    <row r="613">
      <c r="A613" s="109"/>
      <c r="B613" s="109"/>
      <c r="C613" s="109"/>
      <c r="D613" s="109"/>
      <c r="E613" s="109"/>
    </row>
    <row r="614">
      <c r="A614" s="109"/>
      <c r="B614" s="109"/>
      <c r="C614" s="109"/>
      <c r="D614" s="109"/>
      <c r="E614" s="109"/>
    </row>
    <row r="615">
      <c r="A615" s="109"/>
      <c r="B615" s="109"/>
      <c r="C615" s="109"/>
      <c r="D615" s="109"/>
      <c r="E615" s="109"/>
    </row>
    <row r="616">
      <c r="A616" s="109"/>
      <c r="B616" s="109"/>
      <c r="C616" s="109"/>
      <c r="D616" s="109"/>
      <c r="E616" s="109"/>
    </row>
    <row r="617">
      <c r="A617" s="109"/>
      <c r="B617" s="109"/>
      <c r="C617" s="109"/>
      <c r="D617" s="109"/>
      <c r="E617" s="109"/>
    </row>
    <row r="618">
      <c r="A618" s="109"/>
      <c r="B618" s="109"/>
      <c r="C618" s="109"/>
      <c r="D618" s="109"/>
      <c r="E618" s="109"/>
    </row>
    <row r="619">
      <c r="A619" s="109"/>
      <c r="B619" s="109"/>
      <c r="C619" s="109"/>
      <c r="D619" s="109"/>
      <c r="E619" s="109"/>
    </row>
    <row r="620">
      <c r="A620" s="109"/>
      <c r="B620" s="109"/>
      <c r="C620" s="109"/>
      <c r="D620" s="109"/>
      <c r="E620" s="109"/>
    </row>
    <row r="621">
      <c r="A621" s="109"/>
      <c r="B621" s="109"/>
      <c r="C621" s="109"/>
      <c r="D621" s="109"/>
      <c r="E621" s="109"/>
    </row>
    <row r="622">
      <c r="A622" s="109"/>
      <c r="B622" s="109"/>
      <c r="C622" s="109"/>
      <c r="D622" s="109"/>
      <c r="E622" s="109"/>
    </row>
    <row r="623">
      <c r="A623" s="109"/>
      <c r="B623" s="109"/>
      <c r="C623" s="109"/>
      <c r="D623" s="109"/>
      <c r="E623" s="109"/>
    </row>
    <row r="624">
      <c r="A624" s="109"/>
      <c r="B624" s="109"/>
      <c r="C624" s="109"/>
      <c r="D624" s="109"/>
      <c r="E624" s="109"/>
    </row>
    <row r="625">
      <c r="A625" s="109"/>
      <c r="B625" s="109"/>
      <c r="C625" s="109"/>
      <c r="D625" s="109"/>
      <c r="E625" s="109"/>
    </row>
    <row r="626">
      <c r="A626" s="109"/>
      <c r="B626" s="109"/>
      <c r="C626" s="109"/>
      <c r="D626" s="109"/>
      <c r="E626" s="109"/>
    </row>
    <row r="627">
      <c r="A627" s="109"/>
      <c r="B627" s="109"/>
      <c r="C627" s="109"/>
      <c r="D627" s="109"/>
      <c r="E627" s="109"/>
    </row>
    <row r="628">
      <c r="A628" s="109"/>
      <c r="B628" s="109"/>
      <c r="C628" s="109"/>
      <c r="D628" s="109"/>
      <c r="E628" s="109"/>
    </row>
    <row r="629">
      <c r="A629" s="109"/>
      <c r="B629" s="109"/>
      <c r="C629" s="109"/>
      <c r="D629" s="109"/>
      <c r="E629" s="109"/>
    </row>
    <row r="630">
      <c r="A630" s="109"/>
      <c r="B630" s="109"/>
      <c r="C630" s="109"/>
      <c r="D630" s="109"/>
      <c r="E630" s="109"/>
    </row>
    <row r="631">
      <c r="A631" s="109"/>
      <c r="B631" s="109"/>
      <c r="C631" s="109"/>
      <c r="D631" s="109"/>
      <c r="E631" s="109"/>
    </row>
    <row r="632">
      <c r="A632" s="109"/>
      <c r="B632" s="109"/>
      <c r="C632" s="109"/>
      <c r="D632" s="109"/>
      <c r="E632" s="109"/>
    </row>
    <row r="633">
      <c r="A633" s="109"/>
      <c r="B633" s="109"/>
      <c r="C633" s="109"/>
      <c r="D633" s="109"/>
      <c r="E633" s="109"/>
    </row>
    <row r="634">
      <c r="A634" s="109"/>
      <c r="B634" s="109"/>
      <c r="C634" s="109"/>
      <c r="D634" s="109"/>
      <c r="E634" s="109"/>
    </row>
    <row r="635">
      <c r="A635" s="109"/>
      <c r="B635" s="109"/>
      <c r="C635" s="109"/>
      <c r="D635" s="109"/>
      <c r="E635" s="109"/>
    </row>
    <row r="636">
      <c r="A636" s="109"/>
      <c r="B636" s="109"/>
      <c r="C636" s="109"/>
      <c r="D636" s="109"/>
      <c r="E636" s="109"/>
    </row>
    <row r="637">
      <c r="A637" s="109"/>
      <c r="B637" s="109"/>
      <c r="C637" s="109"/>
      <c r="D637" s="109"/>
      <c r="E637" s="109"/>
    </row>
    <row r="638">
      <c r="A638" s="109"/>
      <c r="B638" s="109"/>
      <c r="C638" s="109"/>
      <c r="D638" s="109"/>
      <c r="E638" s="109"/>
    </row>
    <row r="639">
      <c r="A639" s="109"/>
      <c r="B639" s="109"/>
      <c r="C639" s="109"/>
      <c r="D639" s="109"/>
      <c r="E639" s="109"/>
    </row>
    <row r="640">
      <c r="A640" s="109"/>
      <c r="B640" s="109"/>
      <c r="C640" s="109"/>
      <c r="D640" s="109"/>
      <c r="E640" s="109"/>
    </row>
    <row r="641">
      <c r="A641" s="109"/>
      <c r="B641" s="109"/>
      <c r="C641" s="109"/>
      <c r="D641" s="109"/>
      <c r="E641" s="109"/>
    </row>
    <row r="642">
      <c r="A642" s="109"/>
      <c r="B642" s="109"/>
      <c r="C642" s="109"/>
      <c r="D642" s="109"/>
      <c r="E642" s="109"/>
    </row>
    <row r="643">
      <c r="A643" s="109"/>
      <c r="B643" s="109"/>
      <c r="C643" s="109"/>
      <c r="D643" s="109"/>
      <c r="E643" s="109"/>
    </row>
    <row r="644">
      <c r="A644" s="109"/>
      <c r="B644" s="109"/>
      <c r="C644" s="109"/>
      <c r="D644" s="109"/>
      <c r="E644" s="109"/>
    </row>
    <row r="645">
      <c r="A645" s="109"/>
      <c r="B645" s="109"/>
      <c r="C645" s="109"/>
      <c r="D645" s="109"/>
      <c r="E645" s="109"/>
    </row>
    <row r="646">
      <c r="A646" s="109"/>
      <c r="B646" s="109"/>
      <c r="C646" s="109"/>
      <c r="D646" s="109"/>
      <c r="E646" s="109"/>
    </row>
    <row r="647">
      <c r="A647" s="109"/>
      <c r="B647" s="109"/>
      <c r="C647" s="109"/>
      <c r="D647" s="109"/>
      <c r="E647" s="109"/>
    </row>
    <row r="648">
      <c r="A648" s="109"/>
      <c r="B648" s="109"/>
      <c r="C648" s="109"/>
      <c r="D648" s="109"/>
      <c r="E648" s="109"/>
    </row>
    <row r="649">
      <c r="A649" s="109"/>
      <c r="B649" s="109"/>
      <c r="C649" s="109"/>
      <c r="D649" s="109"/>
      <c r="E649" s="109"/>
    </row>
    <row r="650">
      <c r="A650" s="109"/>
      <c r="B650" s="109"/>
      <c r="C650" s="109"/>
      <c r="D650" s="109"/>
      <c r="E650" s="109"/>
    </row>
    <row r="651">
      <c r="A651" s="109"/>
      <c r="B651" s="109"/>
      <c r="C651" s="109"/>
      <c r="D651" s="109"/>
      <c r="E651" s="109"/>
    </row>
    <row r="652">
      <c r="A652" s="109"/>
      <c r="B652" s="109"/>
      <c r="C652" s="109"/>
      <c r="D652" s="109"/>
      <c r="E652" s="109"/>
    </row>
    <row r="653">
      <c r="A653" s="109"/>
      <c r="B653" s="109"/>
      <c r="C653" s="109"/>
      <c r="D653" s="109"/>
      <c r="E653" s="109"/>
    </row>
    <row r="654">
      <c r="A654" s="109"/>
      <c r="B654" s="109"/>
      <c r="C654" s="109"/>
      <c r="D654" s="109"/>
      <c r="E654" s="109"/>
    </row>
    <row r="655">
      <c r="A655" s="109"/>
      <c r="B655" s="109"/>
      <c r="C655" s="109"/>
      <c r="D655" s="109"/>
      <c r="E655" s="109"/>
    </row>
    <row r="656">
      <c r="A656" s="109"/>
      <c r="B656" s="109"/>
      <c r="C656" s="109"/>
      <c r="D656" s="109"/>
      <c r="E656" s="109"/>
    </row>
    <row r="657">
      <c r="A657" s="109"/>
      <c r="B657" s="109"/>
      <c r="C657" s="109"/>
      <c r="D657" s="109"/>
      <c r="E657" s="109"/>
    </row>
    <row r="658">
      <c r="A658" s="109"/>
      <c r="B658" s="109"/>
      <c r="C658" s="109"/>
      <c r="D658" s="109"/>
      <c r="E658" s="109"/>
    </row>
    <row r="659">
      <c r="A659" s="109"/>
      <c r="B659" s="109"/>
      <c r="C659" s="109"/>
      <c r="D659" s="109"/>
      <c r="E659" s="109"/>
    </row>
    <row r="660">
      <c r="A660" s="109"/>
      <c r="B660" s="109"/>
      <c r="C660" s="109"/>
      <c r="D660" s="109"/>
      <c r="E660" s="109"/>
    </row>
    <row r="661">
      <c r="A661" s="109"/>
      <c r="B661" s="109"/>
      <c r="C661" s="109"/>
      <c r="D661" s="109"/>
      <c r="E661" s="109"/>
    </row>
    <row r="662">
      <c r="A662" s="109"/>
      <c r="B662" s="109"/>
      <c r="C662" s="109"/>
      <c r="D662" s="109"/>
      <c r="E662" s="109"/>
    </row>
    <row r="663">
      <c r="A663" s="109"/>
      <c r="B663" s="109"/>
      <c r="C663" s="109"/>
      <c r="D663" s="109"/>
      <c r="E663" s="109"/>
    </row>
    <row r="664">
      <c r="A664" s="109"/>
      <c r="B664" s="109"/>
      <c r="C664" s="109"/>
      <c r="D664" s="109"/>
      <c r="E664" s="109"/>
    </row>
    <row r="665">
      <c r="A665" s="109"/>
      <c r="B665" s="109"/>
      <c r="C665" s="109"/>
      <c r="D665" s="109"/>
      <c r="E665" s="109"/>
    </row>
    <row r="666">
      <c r="A666" s="109"/>
      <c r="B666" s="109"/>
      <c r="C666" s="109"/>
      <c r="D666" s="109"/>
      <c r="E666" s="109"/>
    </row>
    <row r="667">
      <c r="A667" s="109"/>
      <c r="B667" s="109"/>
      <c r="C667" s="109"/>
      <c r="D667" s="109"/>
      <c r="E667" s="109"/>
    </row>
    <row r="668">
      <c r="A668" s="109"/>
      <c r="B668" s="109"/>
      <c r="C668" s="109"/>
      <c r="D668" s="109"/>
      <c r="E668" s="109"/>
    </row>
    <row r="669">
      <c r="A669" s="109"/>
      <c r="B669" s="109"/>
      <c r="C669" s="109"/>
      <c r="D669" s="109"/>
      <c r="E669" s="109"/>
    </row>
    <row r="670">
      <c r="A670" s="109"/>
      <c r="B670" s="109"/>
      <c r="C670" s="109"/>
      <c r="D670" s="109"/>
      <c r="E670" s="109"/>
    </row>
    <row r="671">
      <c r="A671" s="109"/>
      <c r="B671" s="109"/>
      <c r="C671" s="109"/>
      <c r="D671" s="109"/>
      <c r="E671" s="109"/>
    </row>
    <row r="672">
      <c r="A672" s="109"/>
      <c r="B672" s="109"/>
      <c r="C672" s="109"/>
      <c r="D672" s="109"/>
      <c r="E672" s="109"/>
    </row>
    <row r="673">
      <c r="A673" s="109"/>
      <c r="B673" s="109"/>
      <c r="C673" s="109"/>
      <c r="D673" s="109"/>
      <c r="E673" s="109"/>
    </row>
    <row r="674">
      <c r="A674" s="109"/>
      <c r="B674" s="109"/>
      <c r="C674" s="109"/>
      <c r="D674" s="109"/>
      <c r="E674" s="109"/>
    </row>
    <row r="675">
      <c r="A675" s="109"/>
      <c r="B675" s="109"/>
      <c r="C675" s="109"/>
      <c r="D675" s="109"/>
      <c r="E675" s="109"/>
    </row>
    <row r="676">
      <c r="A676" s="109"/>
      <c r="B676" s="109"/>
      <c r="C676" s="109"/>
      <c r="D676" s="109"/>
      <c r="E676" s="109"/>
    </row>
    <row r="677">
      <c r="A677" s="109"/>
      <c r="B677" s="109"/>
      <c r="C677" s="109"/>
      <c r="D677" s="109"/>
      <c r="E677" s="109"/>
    </row>
    <row r="678">
      <c r="A678" s="109"/>
      <c r="B678" s="109"/>
      <c r="C678" s="109"/>
      <c r="D678" s="109"/>
      <c r="E678" s="109"/>
    </row>
    <row r="679">
      <c r="A679" s="109"/>
      <c r="B679" s="109"/>
      <c r="C679" s="109"/>
      <c r="D679" s="109"/>
      <c r="E679" s="109"/>
    </row>
    <row r="680">
      <c r="A680" s="109"/>
      <c r="B680" s="109"/>
      <c r="C680" s="109"/>
      <c r="D680" s="109"/>
      <c r="E680" s="109"/>
    </row>
    <row r="681">
      <c r="A681" s="109"/>
      <c r="B681" s="109"/>
      <c r="C681" s="109"/>
      <c r="D681" s="109"/>
      <c r="E681" s="109"/>
    </row>
    <row r="682">
      <c r="A682" s="109"/>
      <c r="B682" s="109"/>
      <c r="C682" s="109"/>
      <c r="D682" s="109"/>
      <c r="E682" s="109"/>
    </row>
    <row r="683">
      <c r="A683" s="109"/>
      <c r="B683" s="109"/>
      <c r="C683" s="109"/>
      <c r="D683" s="109"/>
      <c r="E683" s="109"/>
    </row>
    <row r="684">
      <c r="A684" s="109"/>
      <c r="B684" s="109"/>
      <c r="C684" s="109"/>
      <c r="D684" s="109"/>
      <c r="E684" s="109"/>
    </row>
    <row r="685">
      <c r="A685" s="109"/>
      <c r="B685" s="109"/>
      <c r="C685" s="109"/>
      <c r="D685" s="109"/>
      <c r="E685" s="109"/>
    </row>
    <row r="686">
      <c r="A686" s="109"/>
      <c r="B686" s="109"/>
      <c r="C686" s="109"/>
      <c r="D686" s="109"/>
      <c r="E686" s="109"/>
    </row>
    <row r="687">
      <c r="A687" s="109"/>
      <c r="B687" s="109"/>
      <c r="C687" s="109"/>
      <c r="D687" s="109"/>
      <c r="E687" s="109"/>
    </row>
    <row r="688">
      <c r="A688" s="109"/>
      <c r="B688" s="109"/>
      <c r="C688" s="109"/>
      <c r="D688" s="109"/>
      <c r="E688" s="109"/>
    </row>
    <row r="689">
      <c r="A689" s="109"/>
      <c r="B689" s="109"/>
      <c r="C689" s="109"/>
      <c r="D689" s="109"/>
      <c r="E689" s="109"/>
    </row>
    <row r="690">
      <c r="A690" s="109"/>
      <c r="B690" s="109"/>
      <c r="C690" s="109"/>
      <c r="D690" s="109"/>
      <c r="E690" s="109"/>
    </row>
    <row r="691">
      <c r="A691" s="109"/>
      <c r="B691" s="109"/>
      <c r="C691" s="109"/>
      <c r="D691" s="109"/>
      <c r="E691" s="109"/>
    </row>
    <row r="692">
      <c r="A692" s="109"/>
      <c r="B692" s="109"/>
      <c r="C692" s="109"/>
      <c r="D692" s="109"/>
      <c r="E692" s="109"/>
    </row>
    <row r="693">
      <c r="A693" s="109"/>
      <c r="B693" s="109"/>
      <c r="C693" s="109"/>
      <c r="D693" s="109"/>
      <c r="E693" s="109"/>
    </row>
    <row r="694">
      <c r="A694" s="109"/>
      <c r="B694" s="109"/>
      <c r="C694" s="109"/>
      <c r="D694" s="109"/>
      <c r="E694" s="109"/>
    </row>
    <row r="695">
      <c r="A695" s="109"/>
      <c r="B695" s="109"/>
      <c r="C695" s="109"/>
      <c r="D695" s="109"/>
      <c r="E695" s="109"/>
    </row>
    <row r="696">
      <c r="A696" s="109"/>
      <c r="B696" s="109"/>
      <c r="C696" s="109"/>
      <c r="D696" s="109"/>
      <c r="E696" s="109"/>
    </row>
    <row r="697">
      <c r="A697" s="109"/>
      <c r="B697" s="109"/>
      <c r="C697" s="109"/>
      <c r="D697" s="109"/>
      <c r="E697" s="109"/>
    </row>
    <row r="698">
      <c r="A698" s="109"/>
      <c r="B698" s="109"/>
      <c r="C698" s="109"/>
      <c r="D698" s="109"/>
      <c r="E698" s="109"/>
    </row>
    <row r="699">
      <c r="A699" s="109"/>
      <c r="B699" s="109"/>
      <c r="C699" s="109"/>
      <c r="D699" s="109"/>
      <c r="E699" s="109"/>
    </row>
    <row r="700">
      <c r="A700" s="109"/>
      <c r="B700" s="109"/>
      <c r="C700" s="109"/>
      <c r="D700" s="109"/>
      <c r="E700" s="109"/>
    </row>
    <row r="701">
      <c r="A701" s="109"/>
      <c r="B701" s="109"/>
      <c r="C701" s="109"/>
      <c r="D701" s="109"/>
      <c r="E701" s="109"/>
    </row>
    <row r="702">
      <c r="A702" s="109"/>
      <c r="B702" s="109"/>
      <c r="C702" s="109"/>
      <c r="D702" s="109"/>
      <c r="E702" s="109"/>
    </row>
    <row r="703">
      <c r="A703" s="109"/>
      <c r="B703" s="109"/>
      <c r="C703" s="109"/>
      <c r="D703" s="109"/>
      <c r="E703" s="109"/>
    </row>
    <row r="704">
      <c r="A704" s="109"/>
      <c r="B704" s="109"/>
      <c r="C704" s="109"/>
      <c r="D704" s="109"/>
      <c r="E704" s="109"/>
    </row>
    <row r="705">
      <c r="A705" s="109"/>
      <c r="B705" s="109"/>
      <c r="C705" s="109"/>
      <c r="D705" s="109"/>
      <c r="E705" s="109"/>
    </row>
    <row r="706">
      <c r="A706" s="109"/>
      <c r="B706" s="109"/>
      <c r="C706" s="109"/>
      <c r="D706" s="109"/>
      <c r="E706" s="109"/>
    </row>
    <row r="707">
      <c r="A707" s="109"/>
      <c r="B707" s="109"/>
      <c r="C707" s="109"/>
      <c r="D707" s="109"/>
      <c r="E707" s="109"/>
    </row>
    <row r="708">
      <c r="A708" s="109"/>
      <c r="B708" s="109"/>
      <c r="C708" s="109"/>
      <c r="D708" s="109"/>
      <c r="E708" s="109"/>
    </row>
    <row r="709">
      <c r="A709" s="109"/>
      <c r="B709" s="109"/>
      <c r="C709" s="109"/>
      <c r="D709" s="109"/>
      <c r="E709" s="109"/>
    </row>
    <row r="710">
      <c r="A710" s="109"/>
      <c r="B710" s="109"/>
      <c r="C710" s="109"/>
      <c r="D710" s="109"/>
      <c r="E710" s="109"/>
    </row>
    <row r="711">
      <c r="A711" s="109"/>
      <c r="B711" s="109"/>
      <c r="C711" s="109"/>
      <c r="D711" s="109"/>
      <c r="E711" s="109"/>
    </row>
    <row r="712">
      <c r="A712" s="109"/>
      <c r="B712" s="109"/>
      <c r="C712" s="109"/>
      <c r="D712" s="109"/>
      <c r="E712" s="109"/>
    </row>
    <row r="713">
      <c r="A713" s="109"/>
      <c r="B713" s="109"/>
      <c r="C713" s="109"/>
      <c r="D713" s="109"/>
      <c r="E713" s="109"/>
    </row>
    <row r="714">
      <c r="A714" s="109"/>
      <c r="B714" s="109"/>
      <c r="C714" s="109"/>
      <c r="D714" s="109"/>
      <c r="E714" s="109"/>
    </row>
    <row r="715">
      <c r="A715" s="109"/>
      <c r="B715" s="109"/>
      <c r="C715" s="109"/>
      <c r="D715" s="109"/>
      <c r="E715" s="109"/>
    </row>
    <row r="716">
      <c r="A716" s="109"/>
      <c r="B716" s="109"/>
      <c r="C716" s="109"/>
      <c r="D716" s="109"/>
      <c r="E716" s="109"/>
    </row>
    <row r="717">
      <c r="A717" s="109"/>
      <c r="B717" s="109"/>
      <c r="C717" s="109"/>
      <c r="D717" s="109"/>
      <c r="E717" s="109"/>
    </row>
    <row r="718">
      <c r="A718" s="109"/>
      <c r="B718" s="109"/>
      <c r="C718" s="109"/>
      <c r="D718" s="109"/>
      <c r="E718" s="109"/>
    </row>
    <row r="719">
      <c r="A719" s="109"/>
      <c r="B719" s="109"/>
      <c r="C719" s="109"/>
      <c r="D719" s="109"/>
      <c r="E719" s="109"/>
    </row>
    <row r="720">
      <c r="A720" s="109"/>
      <c r="B720" s="109"/>
      <c r="C720" s="109"/>
      <c r="D720" s="109"/>
      <c r="E720" s="109"/>
    </row>
    <row r="721">
      <c r="A721" s="109"/>
      <c r="B721" s="109"/>
      <c r="C721" s="109"/>
      <c r="D721" s="109"/>
      <c r="E721" s="109"/>
    </row>
    <row r="722">
      <c r="A722" s="109"/>
      <c r="B722" s="109"/>
      <c r="C722" s="109"/>
      <c r="D722" s="109"/>
      <c r="E722" s="109"/>
    </row>
    <row r="723">
      <c r="A723" s="109"/>
      <c r="B723" s="109"/>
      <c r="C723" s="109"/>
      <c r="D723" s="109"/>
      <c r="E723" s="109"/>
    </row>
    <row r="724">
      <c r="A724" s="109"/>
      <c r="B724" s="109"/>
      <c r="C724" s="109"/>
      <c r="D724" s="109"/>
      <c r="E724" s="109"/>
    </row>
    <row r="725">
      <c r="A725" s="109"/>
      <c r="B725" s="109"/>
      <c r="C725" s="109"/>
      <c r="D725" s="109"/>
      <c r="E725" s="109"/>
    </row>
    <row r="726">
      <c r="A726" s="109"/>
      <c r="B726" s="109"/>
      <c r="C726" s="109"/>
      <c r="D726" s="109"/>
      <c r="E726" s="109"/>
    </row>
    <row r="727">
      <c r="A727" s="109"/>
      <c r="B727" s="109"/>
      <c r="C727" s="109"/>
      <c r="D727" s="109"/>
      <c r="E727" s="109"/>
    </row>
    <row r="728">
      <c r="A728" s="109"/>
      <c r="B728" s="109"/>
      <c r="C728" s="109"/>
      <c r="D728" s="109"/>
      <c r="E728" s="109"/>
    </row>
    <row r="729">
      <c r="A729" s="109"/>
      <c r="B729" s="109"/>
      <c r="C729" s="109"/>
      <c r="D729" s="109"/>
      <c r="E729" s="109"/>
    </row>
    <row r="730">
      <c r="A730" s="109"/>
      <c r="B730" s="109"/>
      <c r="C730" s="109"/>
      <c r="D730" s="109"/>
      <c r="E730" s="109"/>
    </row>
    <row r="731">
      <c r="A731" s="109"/>
      <c r="B731" s="109"/>
      <c r="C731" s="109"/>
      <c r="D731" s="109"/>
      <c r="E731" s="109"/>
    </row>
    <row r="732">
      <c r="A732" s="109"/>
      <c r="B732" s="109"/>
      <c r="C732" s="109"/>
      <c r="D732" s="109"/>
      <c r="E732" s="109"/>
    </row>
    <row r="733">
      <c r="A733" s="109"/>
      <c r="B733" s="109"/>
      <c r="C733" s="109"/>
      <c r="D733" s="109"/>
      <c r="E733" s="109"/>
    </row>
    <row r="734">
      <c r="A734" s="109"/>
      <c r="B734" s="109"/>
      <c r="C734" s="109"/>
      <c r="D734" s="109"/>
      <c r="E734" s="109"/>
    </row>
    <row r="735">
      <c r="A735" s="109"/>
      <c r="B735" s="109"/>
      <c r="C735" s="109"/>
      <c r="D735" s="109"/>
      <c r="E735" s="109"/>
    </row>
    <row r="736">
      <c r="A736" s="109"/>
      <c r="B736" s="109"/>
      <c r="C736" s="109"/>
      <c r="D736" s="109"/>
      <c r="E736" s="109"/>
    </row>
    <row r="737">
      <c r="A737" s="109"/>
      <c r="B737" s="109"/>
      <c r="C737" s="109"/>
      <c r="D737" s="109"/>
      <c r="E737" s="109"/>
    </row>
    <row r="738">
      <c r="A738" s="109"/>
      <c r="B738" s="109"/>
      <c r="C738" s="109"/>
      <c r="D738" s="109"/>
      <c r="E738" s="109"/>
    </row>
    <row r="739">
      <c r="A739" s="109"/>
      <c r="B739" s="109"/>
      <c r="C739" s="109"/>
      <c r="D739" s="109"/>
      <c r="E739" s="109"/>
    </row>
    <row r="740">
      <c r="A740" s="109"/>
      <c r="B740" s="109"/>
      <c r="C740" s="109"/>
      <c r="D740" s="109"/>
      <c r="E740" s="109"/>
    </row>
    <row r="741">
      <c r="A741" s="109"/>
      <c r="B741" s="109"/>
      <c r="C741" s="109"/>
      <c r="D741" s="109"/>
      <c r="E741" s="109"/>
    </row>
    <row r="742">
      <c r="A742" s="109"/>
      <c r="B742" s="109"/>
      <c r="C742" s="109"/>
      <c r="D742" s="109"/>
      <c r="E742" s="109"/>
    </row>
    <row r="743">
      <c r="A743" s="109"/>
      <c r="B743" s="109"/>
      <c r="C743" s="109"/>
      <c r="D743" s="109"/>
      <c r="E743" s="109"/>
    </row>
    <row r="744">
      <c r="A744" s="109"/>
      <c r="B744" s="109"/>
      <c r="C744" s="109"/>
      <c r="D744" s="109"/>
      <c r="E744" s="109"/>
    </row>
    <row r="745">
      <c r="A745" s="109"/>
      <c r="B745" s="109"/>
      <c r="C745" s="109"/>
      <c r="D745" s="109"/>
      <c r="E745" s="109"/>
    </row>
    <row r="746">
      <c r="A746" s="109"/>
      <c r="B746" s="109"/>
      <c r="C746" s="109"/>
      <c r="D746" s="109"/>
      <c r="E746" s="109"/>
    </row>
    <row r="747">
      <c r="A747" s="109"/>
      <c r="B747" s="109"/>
      <c r="C747" s="109"/>
      <c r="D747" s="109"/>
      <c r="E747" s="109"/>
    </row>
    <row r="748">
      <c r="A748" s="109"/>
      <c r="B748" s="109"/>
      <c r="C748" s="109"/>
      <c r="D748" s="109"/>
      <c r="E748" s="109"/>
    </row>
    <row r="749">
      <c r="A749" s="109"/>
      <c r="B749" s="109"/>
      <c r="C749" s="109"/>
      <c r="D749" s="109"/>
      <c r="E749" s="109"/>
    </row>
    <row r="750">
      <c r="A750" s="109"/>
      <c r="B750" s="109"/>
      <c r="C750" s="109"/>
      <c r="D750" s="109"/>
      <c r="E750" s="109"/>
    </row>
    <row r="751">
      <c r="A751" s="109"/>
      <c r="B751" s="109"/>
      <c r="C751" s="109"/>
      <c r="D751" s="109"/>
      <c r="E751" s="109"/>
    </row>
    <row r="752">
      <c r="A752" s="109"/>
      <c r="B752" s="109"/>
      <c r="C752" s="109"/>
      <c r="D752" s="109"/>
      <c r="E752" s="109"/>
    </row>
    <row r="753">
      <c r="A753" s="109"/>
      <c r="B753" s="109"/>
      <c r="C753" s="109"/>
      <c r="D753" s="109"/>
      <c r="E753" s="109"/>
    </row>
    <row r="754">
      <c r="A754" s="109"/>
      <c r="B754" s="109"/>
      <c r="C754" s="109"/>
      <c r="D754" s="109"/>
      <c r="E754" s="109"/>
    </row>
    <row r="755">
      <c r="A755" s="109"/>
      <c r="B755" s="109"/>
      <c r="C755" s="109"/>
      <c r="D755" s="109"/>
      <c r="E755" s="109"/>
    </row>
    <row r="756">
      <c r="A756" s="109"/>
      <c r="B756" s="109"/>
      <c r="C756" s="109"/>
      <c r="D756" s="109"/>
      <c r="E756" s="109"/>
    </row>
    <row r="757">
      <c r="A757" s="109"/>
      <c r="B757" s="109"/>
      <c r="C757" s="109"/>
      <c r="D757" s="109"/>
      <c r="E757" s="109"/>
    </row>
    <row r="758">
      <c r="A758" s="109"/>
      <c r="B758" s="109"/>
      <c r="C758" s="109"/>
      <c r="D758" s="109"/>
      <c r="E758" s="109"/>
    </row>
    <row r="759">
      <c r="A759" s="109"/>
      <c r="B759" s="109"/>
      <c r="C759" s="109"/>
      <c r="D759" s="109"/>
      <c r="E759" s="109"/>
    </row>
    <row r="760">
      <c r="A760" s="109"/>
      <c r="B760" s="109"/>
      <c r="C760" s="109"/>
      <c r="D760" s="109"/>
      <c r="E760" s="109"/>
    </row>
    <row r="761">
      <c r="A761" s="109"/>
      <c r="B761" s="109"/>
      <c r="C761" s="109"/>
      <c r="D761" s="109"/>
      <c r="E761" s="109"/>
    </row>
    <row r="762">
      <c r="A762" s="109"/>
      <c r="B762" s="109"/>
      <c r="C762" s="109"/>
      <c r="D762" s="109"/>
      <c r="E762" s="109"/>
    </row>
    <row r="763">
      <c r="A763" s="109"/>
      <c r="B763" s="109"/>
      <c r="C763" s="109"/>
      <c r="D763" s="109"/>
      <c r="E763" s="109"/>
    </row>
    <row r="764">
      <c r="A764" s="109"/>
      <c r="B764" s="109"/>
      <c r="C764" s="109"/>
      <c r="D764" s="109"/>
      <c r="E764" s="109"/>
    </row>
    <row r="765">
      <c r="A765" s="109"/>
      <c r="B765" s="109"/>
      <c r="C765" s="109"/>
      <c r="D765" s="109"/>
      <c r="E765" s="109"/>
    </row>
    <row r="766">
      <c r="A766" s="109"/>
      <c r="B766" s="109"/>
      <c r="C766" s="109"/>
      <c r="D766" s="109"/>
      <c r="E766" s="109"/>
    </row>
    <row r="767">
      <c r="A767" s="109"/>
      <c r="B767" s="109"/>
      <c r="C767" s="109"/>
      <c r="D767" s="109"/>
      <c r="E767" s="109"/>
    </row>
    <row r="768">
      <c r="A768" s="109"/>
      <c r="B768" s="109"/>
      <c r="C768" s="109"/>
      <c r="D768" s="109"/>
      <c r="E768" s="109"/>
    </row>
    <row r="769">
      <c r="A769" s="109"/>
      <c r="B769" s="109"/>
      <c r="C769" s="109"/>
      <c r="D769" s="109"/>
      <c r="E769" s="109"/>
    </row>
    <row r="770">
      <c r="A770" s="109"/>
      <c r="B770" s="109"/>
      <c r="C770" s="109"/>
      <c r="D770" s="109"/>
      <c r="E770" s="109"/>
    </row>
    <row r="771">
      <c r="A771" s="109"/>
      <c r="B771" s="109"/>
      <c r="C771" s="109"/>
      <c r="D771" s="109"/>
      <c r="E771" s="109"/>
    </row>
    <row r="772">
      <c r="A772" s="109"/>
      <c r="B772" s="109"/>
      <c r="C772" s="109"/>
      <c r="D772" s="109"/>
      <c r="E772" s="109"/>
    </row>
    <row r="773">
      <c r="A773" s="109"/>
      <c r="B773" s="109"/>
      <c r="C773" s="109"/>
      <c r="D773" s="109"/>
      <c r="E773" s="109"/>
    </row>
    <row r="774">
      <c r="A774" s="109"/>
      <c r="B774" s="109"/>
      <c r="C774" s="109"/>
      <c r="D774" s="109"/>
      <c r="E774" s="109"/>
    </row>
    <row r="775">
      <c r="A775" s="109"/>
      <c r="B775" s="109"/>
      <c r="C775" s="109"/>
      <c r="D775" s="109"/>
      <c r="E775" s="109"/>
    </row>
    <row r="776">
      <c r="A776" s="109"/>
      <c r="B776" s="109"/>
      <c r="C776" s="109"/>
      <c r="D776" s="109"/>
      <c r="E776" s="109"/>
    </row>
    <row r="777">
      <c r="A777" s="109"/>
      <c r="B777" s="109"/>
      <c r="C777" s="109"/>
      <c r="D777" s="109"/>
      <c r="E777" s="109"/>
    </row>
    <row r="778">
      <c r="A778" s="109"/>
      <c r="B778" s="109"/>
      <c r="C778" s="109"/>
      <c r="D778" s="109"/>
      <c r="E778" s="109"/>
    </row>
    <row r="779">
      <c r="A779" s="109"/>
      <c r="B779" s="109"/>
      <c r="C779" s="109"/>
      <c r="D779" s="109"/>
      <c r="E779" s="109"/>
    </row>
    <row r="780">
      <c r="A780" s="109"/>
      <c r="B780" s="109"/>
      <c r="C780" s="109"/>
      <c r="D780" s="109"/>
      <c r="E780" s="109"/>
    </row>
    <row r="781">
      <c r="A781" s="109"/>
      <c r="B781" s="109"/>
      <c r="C781" s="109"/>
      <c r="D781" s="109"/>
      <c r="E781" s="109"/>
    </row>
    <row r="782">
      <c r="A782" s="109"/>
      <c r="B782" s="109"/>
      <c r="C782" s="109"/>
      <c r="D782" s="109"/>
      <c r="E782" s="109"/>
    </row>
    <row r="783">
      <c r="A783" s="109"/>
      <c r="B783" s="109"/>
      <c r="C783" s="109"/>
      <c r="D783" s="109"/>
      <c r="E783" s="109"/>
    </row>
    <row r="784">
      <c r="A784" s="109"/>
      <c r="B784" s="109"/>
      <c r="C784" s="109"/>
      <c r="D784" s="109"/>
      <c r="E784" s="109"/>
    </row>
    <row r="785">
      <c r="A785" s="109"/>
      <c r="B785" s="109"/>
      <c r="C785" s="109"/>
      <c r="D785" s="109"/>
      <c r="E785" s="109"/>
    </row>
    <row r="786">
      <c r="A786" s="109"/>
      <c r="B786" s="109"/>
      <c r="C786" s="109"/>
      <c r="D786" s="109"/>
      <c r="E786" s="109"/>
    </row>
    <row r="787">
      <c r="A787" s="109"/>
      <c r="B787" s="109"/>
      <c r="C787" s="109"/>
      <c r="D787" s="109"/>
      <c r="E787" s="109"/>
    </row>
    <row r="788">
      <c r="A788" s="109"/>
      <c r="B788" s="109"/>
      <c r="C788" s="109"/>
      <c r="D788" s="109"/>
      <c r="E788" s="109"/>
    </row>
    <row r="789">
      <c r="A789" s="109"/>
      <c r="B789" s="109"/>
      <c r="C789" s="109"/>
      <c r="D789" s="109"/>
      <c r="E789" s="109"/>
    </row>
    <row r="790">
      <c r="A790" s="109"/>
      <c r="B790" s="109"/>
      <c r="C790" s="109"/>
      <c r="D790" s="109"/>
      <c r="E790" s="109"/>
    </row>
    <row r="791">
      <c r="A791" s="109"/>
      <c r="B791" s="109"/>
      <c r="C791" s="109"/>
      <c r="D791" s="109"/>
      <c r="E791" s="109"/>
    </row>
    <row r="792">
      <c r="A792" s="109"/>
      <c r="B792" s="109"/>
      <c r="C792" s="109"/>
      <c r="D792" s="109"/>
      <c r="E792" s="109"/>
    </row>
    <row r="793">
      <c r="A793" s="109"/>
      <c r="B793" s="109"/>
      <c r="C793" s="109"/>
      <c r="D793" s="109"/>
      <c r="E793" s="109"/>
    </row>
    <row r="794">
      <c r="A794" s="109"/>
      <c r="B794" s="109"/>
      <c r="C794" s="109"/>
      <c r="D794" s="109"/>
      <c r="E794" s="109"/>
    </row>
    <row r="795">
      <c r="A795" s="109"/>
      <c r="B795" s="109"/>
      <c r="C795" s="109"/>
      <c r="D795" s="109"/>
      <c r="E795" s="109"/>
    </row>
    <row r="796">
      <c r="A796" s="109"/>
      <c r="B796" s="109"/>
      <c r="C796" s="109"/>
      <c r="D796" s="109"/>
      <c r="E796" s="109"/>
    </row>
    <row r="797">
      <c r="A797" s="109"/>
      <c r="B797" s="109"/>
      <c r="C797" s="109"/>
      <c r="D797" s="109"/>
      <c r="E797" s="109"/>
    </row>
    <row r="798">
      <c r="A798" s="109"/>
      <c r="B798" s="109"/>
      <c r="C798" s="109"/>
      <c r="D798" s="109"/>
      <c r="E798" s="109"/>
    </row>
    <row r="799">
      <c r="A799" s="109"/>
      <c r="B799" s="109"/>
      <c r="C799" s="109"/>
      <c r="D799" s="109"/>
      <c r="E799" s="109"/>
    </row>
    <row r="800">
      <c r="A800" s="109"/>
      <c r="B800" s="109"/>
      <c r="C800" s="109"/>
      <c r="D800" s="109"/>
      <c r="E800" s="109"/>
    </row>
    <row r="801">
      <c r="A801" s="109"/>
      <c r="B801" s="109"/>
      <c r="C801" s="109"/>
      <c r="D801" s="109"/>
      <c r="E801" s="109"/>
    </row>
    <row r="802">
      <c r="A802" s="109"/>
      <c r="B802" s="109"/>
      <c r="C802" s="109"/>
      <c r="D802" s="109"/>
      <c r="E802" s="109"/>
    </row>
    <row r="803">
      <c r="A803" s="109"/>
      <c r="B803" s="109"/>
      <c r="C803" s="109"/>
      <c r="D803" s="109"/>
      <c r="E803" s="109"/>
    </row>
    <row r="804">
      <c r="A804" s="109"/>
      <c r="B804" s="109"/>
      <c r="C804" s="109"/>
      <c r="D804" s="109"/>
      <c r="E804" s="109"/>
    </row>
    <row r="805">
      <c r="A805" s="109"/>
      <c r="B805" s="109"/>
      <c r="C805" s="109"/>
      <c r="D805" s="109"/>
      <c r="E805" s="109"/>
    </row>
    <row r="806">
      <c r="A806" s="109"/>
      <c r="B806" s="109"/>
      <c r="C806" s="109"/>
      <c r="D806" s="109"/>
      <c r="E806" s="109"/>
    </row>
    <row r="807">
      <c r="A807" s="109"/>
      <c r="B807" s="109"/>
      <c r="C807" s="109"/>
      <c r="D807" s="109"/>
      <c r="E807" s="109"/>
    </row>
    <row r="808">
      <c r="A808" s="109"/>
      <c r="B808" s="109"/>
      <c r="C808" s="109"/>
      <c r="D808" s="109"/>
      <c r="E808" s="109"/>
    </row>
    <row r="809">
      <c r="A809" s="109"/>
      <c r="B809" s="109"/>
      <c r="C809" s="109"/>
      <c r="D809" s="109"/>
      <c r="E809" s="109"/>
    </row>
    <row r="810">
      <c r="A810" s="109"/>
      <c r="B810" s="109"/>
      <c r="C810" s="109"/>
      <c r="D810" s="109"/>
      <c r="E810" s="109"/>
    </row>
    <row r="811">
      <c r="A811" s="109"/>
      <c r="B811" s="109"/>
      <c r="C811" s="109"/>
      <c r="D811" s="109"/>
      <c r="E811" s="109"/>
    </row>
    <row r="812">
      <c r="A812" s="109"/>
      <c r="B812" s="109"/>
      <c r="C812" s="109"/>
      <c r="D812" s="109"/>
      <c r="E812" s="109"/>
    </row>
    <row r="813">
      <c r="A813" s="109"/>
      <c r="B813" s="109"/>
      <c r="C813" s="109"/>
      <c r="D813" s="109"/>
      <c r="E813" s="109"/>
    </row>
    <row r="814">
      <c r="A814" s="109"/>
      <c r="B814" s="109"/>
      <c r="C814" s="109"/>
      <c r="D814" s="109"/>
      <c r="E814" s="109"/>
    </row>
    <row r="815">
      <c r="A815" s="109"/>
      <c r="B815" s="109"/>
      <c r="C815" s="109"/>
      <c r="D815" s="109"/>
      <c r="E815" s="109"/>
    </row>
    <row r="816">
      <c r="A816" s="109"/>
      <c r="B816" s="109"/>
      <c r="C816" s="109"/>
      <c r="D816" s="109"/>
      <c r="E816" s="109"/>
    </row>
    <row r="817">
      <c r="A817" s="109"/>
      <c r="B817" s="109"/>
      <c r="C817" s="109"/>
      <c r="D817" s="109"/>
      <c r="E817" s="109"/>
    </row>
    <row r="818">
      <c r="A818" s="109"/>
      <c r="B818" s="109"/>
      <c r="C818" s="109"/>
      <c r="D818" s="109"/>
      <c r="E818" s="109"/>
    </row>
    <row r="819">
      <c r="A819" s="109"/>
      <c r="B819" s="109"/>
      <c r="C819" s="109"/>
      <c r="D819" s="109"/>
      <c r="E819" s="109"/>
    </row>
    <row r="820">
      <c r="A820" s="109"/>
      <c r="B820" s="109"/>
      <c r="C820" s="109"/>
      <c r="D820" s="109"/>
      <c r="E820" s="109"/>
    </row>
    <row r="821">
      <c r="A821" s="109"/>
      <c r="B821" s="109"/>
      <c r="C821" s="109"/>
      <c r="D821" s="109"/>
      <c r="E821" s="109"/>
    </row>
    <row r="822">
      <c r="A822" s="109"/>
      <c r="B822" s="109"/>
      <c r="C822" s="109"/>
      <c r="D822" s="109"/>
      <c r="E822" s="109"/>
    </row>
    <row r="823">
      <c r="A823" s="109"/>
      <c r="B823" s="109"/>
      <c r="C823" s="109"/>
      <c r="D823" s="109"/>
      <c r="E823" s="109"/>
    </row>
    <row r="824">
      <c r="A824" s="109"/>
      <c r="B824" s="109"/>
      <c r="C824" s="109"/>
      <c r="D824" s="109"/>
      <c r="E824" s="109"/>
    </row>
    <row r="825">
      <c r="A825" s="109"/>
      <c r="B825" s="109"/>
      <c r="C825" s="109"/>
      <c r="D825" s="109"/>
      <c r="E825" s="109"/>
    </row>
    <row r="826">
      <c r="A826" s="109"/>
      <c r="B826" s="109"/>
      <c r="C826" s="109"/>
      <c r="D826" s="109"/>
      <c r="E826" s="109"/>
    </row>
    <row r="827">
      <c r="A827" s="109"/>
      <c r="B827" s="109"/>
      <c r="C827" s="109"/>
      <c r="D827" s="109"/>
      <c r="E827" s="109"/>
    </row>
    <row r="828">
      <c r="A828" s="109"/>
      <c r="B828" s="109"/>
      <c r="C828" s="109"/>
      <c r="D828" s="109"/>
      <c r="E828" s="109"/>
    </row>
    <row r="829">
      <c r="A829" s="109"/>
      <c r="B829" s="109"/>
      <c r="C829" s="109"/>
      <c r="D829" s="109"/>
      <c r="E829" s="109"/>
    </row>
    <row r="830">
      <c r="A830" s="109"/>
      <c r="B830" s="109"/>
      <c r="C830" s="109"/>
      <c r="D830" s="109"/>
      <c r="E830" s="109"/>
    </row>
    <row r="831">
      <c r="A831" s="109"/>
      <c r="B831" s="109"/>
      <c r="C831" s="109"/>
      <c r="D831" s="109"/>
      <c r="E831" s="109"/>
    </row>
    <row r="832">
      <c r="A832" s="109"/>
      <c r="B832" s="109"/>
      <c r="C832" s="109"/>
      <c r="D832" s="109"/>
      <c r="E832" s="109"/>
    </row>
    <row r="833">
      <c r="A833" s="109"/>
      <c r="B833" s="109"/>
      <c r="C833" s="109"/>
      <c r="D833" s="109"/>
      <c r="E833" s="109"/>
    </row>
    <row r="834">
      <c r="A834" s="109"/>
      <c r="B834" s="109"/>
      <c r="C834" s="109"/>
      <c r="D834" s="109"/>
      <c r="E834" s="109"/>
    </row>
    <row r="835">
      <c r="A835" s="109"/>
      <c r="B835" s="109"/>
      <c r="C835" s="109"/>
      <c r="D835" s="109"/>
      <c r="E835" s="109"/>
    </row>
    <row r="836">
      <c r="A836" s="109"/>
      <c r="B836" s="109"/>
      <c r="C836" s="109"/>
      <c r="D836" s="109"/>
      <c r="E836" s="109"/>
    </row>
    <row r="837">
      <c r="A837" s="109"/>
      <c r="B837" s="109"/>
      <c r="C837" s="109"/>
      <c r="D837" s="109"/>
      <c r="E837" s="109"/>
    </row>
    <row r="838">
      <c r="A838" s="109"/>
      <c r="B838" s="109"/>
      <c r="C838" s="109"/>
      <c r="D838" s="109"/>
      <c r="E838" s="109"/>
    </row>
    <row r="839">
      <c r="A839" s="109"/>
      <c r="B839" s="109"/>
      <c r="C839" s="109"/>
      <c r="D839" s="109"/>
      <c r="E839" s="109"/>
    </row>
    <row r="840">
      <c r="A840" s="109"/>
      <c r="B840" s="109"/>
      <c r="C840" s="109"/>
      <c r="D840" s="109"/>
      <c r="E840" s="109"/>
    </row>
    <row r="841">
      <c r="A841" s="109"/>
      <c r="B841" s="109"/>
      <c r="C841" s="109"/>
      <c r="D841" s="109"/>
      <c r="E841" s="109"/>
    </row>
    <row r="842">
      <c r="A842" s="109"/>
      <c r="B842" s="109"/>
      <c r="C842" s="109"/>
      <c r="D842" s="109"/>
      <c r="E842" s="109"/>
    </row>
    <row r="843">
      <c r="A843" s="109"/>
      <c r="B843" s="109"/>
      <c r="C843" s="109"/>
      <c r="D843" s="109"/>
      <c r="E843" s="109"/>
    </row>
    <row r="844">
      <c r="A844" s="109"/>
      <c r="B844" s="109"/>
      <c r="C844" s="109"/>
      <c r="D844" s="109"/>
      <c r="E844" s="109"/>
    </row>
    <row r="845">
      <c r="A845" s="109"/>
      <c r="B845" s="109"/>
      <c r="C845" s="109"/>
      <c r="D845" s="109"/>
      <c r="E845" s="109"/>
    </row>
    <row r="846">
      <c r="A846" s="109"/>
      <c r="B846" s="109"/>
      <c r="C846" s="109"/>
      <c r="D846" s="109"/>
      <c r="E846" s="109"/>
    </row>
    <row r="847">
      <c r="A847" s="109"/>
      <c r="B847" s="109"/>
      <c r="C847" s="109"/>
      <c r="D847" s="109"/>
      <c r="E847" s="109"/>
    </row>
    <row r="848">
      <c r="A848" s="109"/>
      <c r="B848" s="109"/>
      <c r="C848" s="109"/>
      <c r="D848" s="109"/>
      <c r="E848" s="109"/>
    </row>
    <row r="849">
      <c r="A849" s="109"/>
      <c r="B849" s="109"/>
      <c r="C849" s="109"/>
      <c r="D849" s="109"/>
      <c r="E849" s="109"/>
    </row>
    <row r="850">
      <c r="A850" s="109"/>
      <c r="B850" s="109"/>
      <c r="C850" s="109"/>
      <c r="D850" s="109"/>
      <c r="E850" s="109"/>
    </row>
    <row r="851">
      <c r="A851" s="109"/>
      <c r="B851" s="109"/>
      <c r="C851" s="109"/>
      <c r="D851" s="109"/>
      <c r="E851" s="109"/>
    </row>
    <row r="852">
      <c r="A852" s="109"/>
      <c r="B852" s="109"/>
      <c r="C852" s="109"/>
      <c r="D852" s="109"/>
      <c r="E852" s="109"/>
    </row>
    <row r="853">
      <c r="A853" s="109"/>
      <c r="B853" s="109"/>
      <c r="C853" s="109"/>
      <c r="D853" s="109"/>
      <c r="E853" s="109"/>
    </row>
    <row r="854">
      <c r="A854" s="109"/>
      <c r="B854" s="109"/>
      <c r="C854" s="109"/>
      <c r="D854" s="109"/>
      <c r="E854" s="109"/>
    </row>
    <row r="855">
      <c r="A855" s="109"/>
      <c r="B855" s="109"/>
      <c r="C855" s="109"/>
      <c r="D855" s="109"/>
      <c r="E855" s="109"/>
    </row>
    <row r="856">
      <c r="A856" s="109"/>
      <c r="B856" s="109"/>
      <c r="C856" s="109"/>
      <c r="D856" s="109"/>
      <c r="E856" s="109"/>
    </row>
    <row r="857">
      <c r="A857" s="109"/>
      <c r="B857" s="109"/>
      <c r="C857" s="109"/>
      <c r="D857" s="109"/>
      <c r="E857" s="109"/>
    </row>
    <row r="858">
      <c r="A858" s="109"/>
      <c r="B858" s="109"/>
      <c r="C858" s="109"/>
      <c r="D858" s="109"/>
      <c r="E858" s="109"/>
    </row>
    <row r="859">
      <c r="A859" s="109"/>
      <c r="B859" s="109"/>
      <c r="C859" s="109"/>
      <c r="D859" s="109"/>
      <c r="E859" s="109"/>
    </row>
    <row r="860">
      <c r="A860" s="109"/>
      <c r="B860" s="109"/>
      <c r="C860" s="109"/>
      <c r="D860" s="109"/>
      <c r="E860" s="109"/>
    </row>
    <row r="861">
      <c r="A861" s="109"/>
      <c r="B861" s="109"/>
      <c r="C861" s="109"/>
      <c r="D861" s="109"/>
      <c r="E861" s="109"/>
    </row>
    <row r="862">
      <c r="A862" s="109"/>
      <c r="B862" s="109"/>
      <c r="C862" s="109"/>
      <c r="D862" s="109"/>
      <c r="E862" s="109"/>
    </row>
    <row r="863">
      <c r="A863" s="109"/>
      <c r="B863" s="109"/>
      <c r="C863" s="109"/>
      <c r="D863" s="109"/>
      <c r="E863" s="109"/>
    </row>
    <row r="864">
      <c r="A864" s="109"/>
      <c r="B864" s="109"/>
      <c r="C864" s="109"/>
      <c r="D864" s="109"/>
      <c r="E864" s="109"/>
    </row>
    <row r="865">
      <c r="A865" s="109"/>
      <c r="B865" s="109"/>
      <c r="C865" s="109"/>
      <c r="D865" s="109"/>
      <c r="E865" s="109"/>
    </row>
    <row r="866">
      <c r="A866" s="109"/>
      <c r="B866" s="109"/>
      <c r="C866" s="109"/>
      <c r="D866" s="109"/>
      <c r="E866" s="109"/>
    </row>
    <row r="867">
      <c r="A867" s="109"/>
      <c r="B867" s="109"/>
      <c r="C867" s="109"/>
      <c r="D867" s="109"/>
      <c r="E867" s="109"/>
    </row>
    <row r="868">
      <c r="A868" s="109"/>
      <c r="B868" s="109"/>
      <c r="C868" s="109"/>
      <c r="D868" s="109"/>
      <c r="E868" s="109"/>
    </row>
    <row r="869">
      <c r="A869" s="109"/>
      <c r="B869" s="109"/>
      <c r="C869" s="109"/>
      <c r="D869" s="109"/>
      <c r="E869" s="109"/>
    </row>
    <row r="870">
      <c r="A870" s="109"/>
      <c r="B870" s="109"/>
      <c r="C870" s="109"/>
      <c r="D870" s="109"/>
      <c r="E870" s="109"/>
    </row>
    <row r="871">
      <c r="A871" s="109"/>
      <c r="B871" s="109"/>
      <c r="C871" s="109"/>
      <c r="D871" s="109"/>
      <c r="E871" s="109"/>
    </row>
    <row r="872">
      <c r="A872" s="109"/>
      <c r="B872" s="109"/>
      <c r="C872" s="109"/>
      <c r="D872" s="109"/>
      <c r="E872" s="109"/>
    </row>
    <row r="873">
      <c r="A873" s="109"/>
      <c r="B873" s="109"/>
      <c r="C873" s="109"/>
      <c r="D873" s="109"/>
      <c r="E873" s="109"/>
    </row>
    <row r="874">
      <c r="A874" s="109"/>
      <c r="B874" s="109"/>
      <c r="C874" s="109"/>
      <c r="D874" s="109"/>
      <c r="E874" s="109"/>
    </row>
    <row r="875">
      <c r="A875" s="109"/>
      <c r="B875" s="109"/>
      <c r="C875" s="109"/>
      <c r="D875" s="109"/>
      <c r="E875" s="109"/>
    </row>
    <row r="876">
      <c r="A876" s="109"/>
      <c r="B876" s="109"/>
      <c r="C876" s="109"/>
      <c r="D876" s="109"/>
      <c r="E876" s="109"/>
    </row>
    <row r="877">
      <c r="A877" s="109"/>
      <c r="B877" s="109"/>
      <c r="C877" s="109"/>
      <c r="D877" s="109"/>
      <c r="E877" s="109"/>
    </row>
    <row r="878">
      <c r="A878" s="109"/>
      <c r="B878" s="109"/>
      <c r="C878" s="109"/>
      <c r="D878" s="109"/>
      <c r="E878" s="109"/>
    </row>
    <row r="879">
      <c r="A879" s="109"/>
      <c r="B879" s="109"/>
      <c r="C879" s="109"/>
      <c r="D879" s="109"/>
      <c r="E879" s="109"/>
    </row>
    <row r="880">
      <c r="A880" s="109"/>
      <c r="B880" s="109"/>
      <c r="C880" s="109"/>
      <c r="D880" s="109"/>
      <c r="E880" s="109"/>
    </row>
    <row r="881">
      <c r="A881" s="109"/>
      <c r="B881" s="109"/>
      <c r="C881" s="109"/>
      <c r="D881" s="109"/>
      <c r="E881" s="109"/>
    </row>
    <row r="882">
      <c r="A882" s="109"/>
      <c r="B882" s="109"/>
      <c r="C882" s="109"/>
      <c r="D882" s="109"/>
      <c r="E882" s="109"/>
    </row>
    <row r="883">
      <c r="A883" s="109"/>
      <c r="B883" s="109"/>
      <c r="C883" s="109"/>
      <c r="D883" s="109"/>
      <c r="E883" s="109"/>
    </row>
    <row r="884">
      <c r="A884" s="109"/>
      <c r="B884" s="109"/>
      <c r="C884" s="109"/>
      <c r="D884" s="109"/>
      <c r="E884" s="109"/>
    </row>
    <row r="885">
      <c r="A885" s="109"/>
      <c r="B885" s="109"/>
      <c r="C885" s="109"/>
      <c r="D885" s="109"/>
      <c r="E885" s="109"/>
    </row>
    <row r="886">
      <c r="A886" s="109"/>
      <c r="B886" s="109"/>
      <c r="C886" s="109"/>
      <c r="D886" s="109"/>
      <c r="E886" s="109"/>
    </row>
    <row r="887">
      <c r="A887" s="109"/>
      <c r="B887" s="109"/>
      <c r="C887" s="109"/>
      <c r="D887" s="109"/>
      <c r="E887" s="109"/>
    </row>
    <row r="888">
      <c r="A888" s="109"/>
      <c r="B888" s="109"/>
      <c r="C888" s="109"/>
      <c r="D888" s="109"/>
      <c r="E888" s="109"/>
    </row>
    <row r="889">
      <c r="A889" s="109"/>
      <c r="B889" s="109"/>
      <c r="C889" s="109"/>
      <c r="D889" s="109"/>
      <c r="E889" s="109"/>
    </row>
    <row r="890">
      <c r="A890" s="109"/>
      <c r="B890" s="109"/>
      <c r="C890" s="109"/>
      <c r="D890" s="109"/>
      <c r="E890" s="109"/>
    </row>
    <row r="891">
      <c r="A891" s="109"/>
      <c r="B891" s="109"/>
      <c r="C891" s="109"/>
      <c r="D891" s="109"/>
      <c r="E891" s="109"/>
    </row>
    <row r="892">
      <c r="A892" s="109"/>
      <c r="B892" s="109"/>
      <c r="C892" s="109"/>
      <c r="D892" s="109"/>
      <c r="E892" s="109"/>
    </row>
    <row r="893">
      <c r="A893" s="109"/>
      <c r="B893" s="109"/>
      <c r="C893" s="109"/>
      <c r="D893" s="109"/>
      <c r="E893" s="109"/>
    </row>
    <row r="894">
      <c r="A894" s="109"/>
      <c r="B894" s="109"/>
      <c r="C894" s="109"/>
      <c r="D894" s="109"/>
      <c r="E894" s="109"/>
    </row>
    <row r="895">
      <c r="A895" s="109"/>
      <c r="B895" s="109"/>
      <c r="C895" s="109"/>
      <c r="D895" s="109"/>
      <c r="E895" s="109"/>
    </row>
    <row r="896">
      <c r="A896" s="109"/>
      <c r="B896" s="109"/>
      <c r="C896" s="109"/>
      <c r="D896" s="109"/>
      <c r="E896" s="109"/>
    </row>
    <row r="897">
      <c r="A897" s="109"/>
      <c r="B897" s="109"/>
      <c r="C897" s="109"/>
      <c r="D897" s="109"/>
      <c r="E897" s="109"/>
    </row>
    <row r="898">
      <c r="A898" s="109"/>
      <c r="B898" s="109"/>
      <c r="C898" s="109"/>
      <c r="D898" s="109"/>
      <c r="E898" s="109"/>
    </row>
    <row r="899">
      <c r="A899" s="109"/>
      <c r="B899" s="109"/>
      <c r="C899" s="109"/>
      <c r="D899" s="109"/>
      <c r="E899" s="109"/>
    </row>
    <row r="900">
      <c r="A900" s="109"/>
      <c r="B900" s="109"/>
      <c r="C900" s="109"/>
      <c r="D900" s="109"/>
      <c r="E900" s="109"/>
    </row>
    <row r="901">
      <c r="A901" s="109"/>
      <c r="B901" s="109"/>
      <c r="C901" s="109"/>
      <c r="D901" s="109"/>
      <c r="E901" s="109"/>
    </row>
    <row r="902">
      <c r="A902" s="109"/>
      <c r="B902" s="109"/>
      <c r="C902" s="109"/>
      <c r="D902" s="109"/>
      <c r="E902" s="109"/>
    </row>
    <row r="903">
      <c r="A903" s="109"/>
      <c r="B903" s="109"/>
      <c r="C903" s="109"/>
      <c r="D903" s="109"/>
      <c r="E903" s="109"/>
    </row>
    <row r="904">
      <c r="A904" s="109"/>
      <c r="B904" s="109"/>
      <c r="C904" s="109"/>
      <c r="D904" s="109"/>
      <c r="E904" s="109"/>
    </row>
    <row r="905">
      <c r="A905" s="109"/>
      <c r="B905" s="109"/>
      <c r="C905" s="109"/>
      <c r="D905" s="109"/>
      <c r="E905" s="109"/>
    </row>
    <row r="906">
      <c r="A906" s="109"/>
      <c r="B906" s="109"/>
      <c r="C906" s="109"/>
      <c r="D906" s="109"/>
      <c r="E906" s="109"/>
    </row>
    <row r="907">
      <c r="A907" s="109"/>
      <c r="B907" s="109"/>
      <c r="C907" s="109"/>
      <c r="D907" s="109"/>
      <c r="E907" s="109"/>
    </row>
    <row r="908">
      <c r="A908" s="109"/>
      <c r="B908" s="109"/>
      <c r="C908" s="109"/>
      <c r="D908" s="109"/>
      <c r="E908" s="109"/>
    </row>
    <row r="909">
      <c r="A909" s="109"/>
      <c r="B909" s="109"/>
      <c r="C909" s="109"/>
      <c r="D909" s="109"/>
      <c r="E909" s="109"/>
    </row>
    <row r="910">
      <c r="A910" s="109"/>
      <c r="B910" s="109"/>
      <c r="C910" s="109"/>
      <c r="D910" s="109"/>
      <c r="E910" s="109"/>
    </row>
    <row r="911">
      <c r="A911" s="109"/>
      <c r="B911" s="109"/>
      <c r="C911" s="109"/>
      <c r="D911" s="109"/>
      <c r="E911" s="109"/>
    </row>
    <row r="912">
      <c r="A912" s="109"/>
      <c r="B912" s="109"/>
      <c r="C912" s="109"/>
      <c r="D912" s="109"/>
      <c r="E912" s="109"/>
    </row>
    <row r="913">
      <c r="A913" s="109"/>
      <c r="B913" s="109"/>
      <c r="C913" s="109"/>
      <c r="D913" s="109"/>
      <c r="E913" s="109"/>
    </row>
    <row r="914">
      <c r="A914" s="109"/>
      <c r="B914" s="109"/>
      <c r="C914" s="109"/>
      <c r="D914" s="109"/>
      <c r="E914" s="109"/>
    </row>
    <row r="915">
      <c r="A915" s="109"/>
      <c r="B915" s="109"/>
      <c r="C915" s="109"/>
      <c r="D915" s="109"/>
      <c r="E915" s="109"/>
    </row>
    <row r="916">
      <c r="A916" s="109"/>
      <c r="B916" s="109"/>
      <c r="C916" s="109"/>
      <c r="D916" s="109"/>
      <c r="E916" s="109"/>
    </row>
    <row r="917">
      <c r="A917" s="109"/>
      <c r="B917" s="109"/>
      <c r="C917" s="109"/>
      <c r="D917" s="109"/>
      <c r="E917" s="109"/>
    </row>
    <row r="918">
      <c r="A918" s="109"/>
      <c r="B918" s="109"/>
      <c r="C918" s="109"/>
      <c r="D918" s="109"/>
      <c r="E918" s="109"/>
    </row>
    <row r="919">
      <c r="A919" s="109"/>
      <c r="B919" s="109"/>
      <c r="C919" s="109"/>
      <c r="D919" s="109"/>
      <c r="E919" s="109"/>
    </row>
    <row r="920">
      <c r="A920" s="109"/>
      <c r="B920" s="109"/>
      <c r="C920" s="109"/>
      <c r="D920" s="109"/>
      <c r="E920" s="109"/>
    </row>
    <row r="921">
      <c r="A921" s="109"/>
      <c r="B921" s="109"/>
      <c r="C921" s="109"/>
      <c r="D921" s="109"/>
      <c r="E921" s="109"/>
    </row>
    <row r="922">
      <c r="A922" s="109"/>
      <c r="B922" s="109"/>
      <c r="C922" s="109"/>
      <c r="D922" s="109"/>
      <c r="E922" s="109"/>
    </row>
    <row r="923">
      <c r="A923" s="109"/>
      <c r="B923" s="109"/>
      <c r="C923" s="109"/>
      <c r="D923" s="109"/>
      <c r="E923" s="109"/>
    </row>
    <row r="924">
      <c r="A924" s="109"/>
      <c r="B924" s="109"/>
      <c r="C924" s="109"/>
      <c r="D924" s="109"/>
      <c r="E924" s="109"/>
    </row>
    <row r="925">
      <c r="A925" s="109"/>
      <c r="B925" s="109"/>
      <c r="C925" s="109"/>
      <c r="D925" s="109"/>
      <c r="E925" s="109"/>
    </row>
    <row r="926">
      <c r="A926" s="109"/>
      <c r="B926" s="109"/>
      <c r="C926" s="109"/>
      <c r="D926" s="109"/>
      <c r="E926" s="109"/>
    </row>
    <row r="927">
      <c r="A927" s="109"/>
      <c r="B927" s="109"/>
      <c r="C927" s="109"/>
      <c r="D927" s="109"/>
      <c r="E927" s="109"/>
    </row>
    <row r="928">
      <c r="A928" s="109"/>
      <c r="B928" s="109"/>
      <c r="C928" s="109"/>
      <c r="D928" s="109"/>
      <c r="E928" s="109"/>
    </row>
    <row r="929">
      <c r="A929" s="109"/>
      <c r="B929" s="109"/>
      <c r="C929" s="109"/>
      <c r="D929" s="109"/>
      <c r="E929" s="109"/>
    </row>
    <row r="930">
      <c r="A930" s="109"/>
      <c r="B930" s="109"/>
      <c r="C930" s="109"/>
      <c r="D930" s="109"/>
      <c r="E930" s="109"/>
    </row>
    <row r="931">
      <c r="A931" s="109"/>
      <c r="B931" s="109"/>
      <c r="C931" s="109"/>
      <c r="D931" s="109"/>
      <c r="E931" s="109"/>
    </row>
    <row r="932">
      <c r="A932" s="109"/>
      <c r="B932" s="109"/>
      <c r="C932" s="109"/>
      <c r="D932" s="109"/>
      <c r="E932" s="109"/>
    </row>
    <row r="933">
      <c r="A933" s="109"/>
      <c r="B933" s="109"/>
      <c r="C933" s="109"/>
      <c r="D933" s="109"/>
      <c r="E933" s="109"/>
    </row>
    <row r="934">
      <c r="A934" s="109"/>
      <c r="B934" s="109"/>
      <c r="C934" s="109"/>
      <c r="D934" s="109"/>
      <c r="E934" s="109"/>
    </row>
    <row r="935">
      <c r="A935" s="109"/>
      <c r="B935" s="109"/>
      <c r="C935" s="109"/>
      <c r="D935" s="109"/>
      <c r="E935" s="109"/>
    </row>
    <row r="936">
      <c r="A936" s="109"/>
      <c r="B936" s="109"/>
      <c r="C936" s="109"/>
      <c r="D936" s="109"/>
      <c r="E936" s="109"/>
    </row>
    <row r="937">
      <c r="A937" s="109"/>
      <c r="B937" s="109"/>
      <c r="C937" s="109"/>
      <c r="D937" s="109"/>
      <c r="E937" s="109"/>
    </row>
    <row r="938">
      <c r="A938" s="109"/>
      <c r="B938" s="109"/>
      <c r="C938" s="109"/>
      <c r="D938" s="109"/>
      <c r="E938" s="109"/>
    </row>
    <row r="939">
      <c r="A939" s="109"/>
      <c r="B939" s="109"/>
      <c r="C939" s="109"/>
      <c r="D939" s="109"/>
      <c r="E939" s="109"/>
    </row>
    <row r="940">
      <c r="A940" s="109"/>
      <c r="B940" s="109"/>
      <c r="C940" s="109"/>
      <c r="D940" s="109"/>
      <c r="E940" s="109"/>
    </row>
    <row r="941">
      <c r="A941" s="109"/>
      <c r="B941" s="109"/>
      <c r="C941" s="109"/>
      <c r="D941" s="109"/>
      <c r="E941" s="109"/>
    </row>
    <row r="942">
      <c r="A942" s="109"/>
      <c r="B942" s="109"/>
      <c r="C942" s="109"/>
      <c r="D942" s="109"/>
      <c r="E942" s="109"/>
    </row>
    <row r="943">
      <c r="A943" s="109"/>
      <c r="B943" s="109"/>
      <c r="C943" s="109"/>
      <c r="D943" s="109"/>
      <c r="E943" s="109"/>
    </row>
    <row r="944">
      <c r="A944" s="109"/>
      <c r="B944" s="109"/>
      <c r="C944" s="109"/>
      <c r="D944" s="109"/>
      <c r="E944" s="109"/>
    </row>
    <row r="945">
      <c r="A945" s="109"/>
      <c r="B945" s="109"/>
      <c r="C945" s="109"/>
      <c r="D945" s="109"/>
      <c r="E945" s="109"/>
    </row>
    <row r="946">
      <c r="A946" s="109"/>
      <c r="B946" s="109"/>
      <c r="C946" s="109"/>
      <c r="D946" s="109"/>
      <c r="E946" s="109"/>
    </row>
    <row r="947">
      <c r="A947" s="109"/>
      <c r="B947" s="109"/>
      <c r="C947" s="109"/>
      <c r="D947" s="109"/>
      <c r="E947" s="109"/>
    </row>
    <row r="948">
      <c r="A948" s="109"/>
      <c r="B948" s="109"/>
      <c r="C948" s="109"/>
      <c r="D948" s="109"/>
      <c r="E948" s="109"/>
    </row>
    <row r="949">
      <c r="A949" s="109"/>
      <c r="B949" s="109"/>
      <c r="C949" s="109"/>
      <c r="D949" s="109"/>
      <c r="E949" s="109"/>
    </row>
    <row r="950">
      <c r="A950" s="109"/>
      <c r="B950" s="109"/>
      <c r="C950" s="109"/>
      <c r="D950" s="109"/>
      <c r="E950" s="109"/>
    </row>
    <row r="951">
      <c r="A951" s="109"/>
      <c r="B951" s="109"/>
      <c r="C951" s="109"/>
      <c r="D951" s="109"/>
      <c r="E951" s="109"/>
    </row>
    <row r="952">
      <c r="A952" s="109"/>
      <c r="B952" s="109"/>
      <c r="C952" s="109"/>
      <c r="D952" s="109"/>
      <c r="E952" s="109"/>
    </row>
    <row r="953">
      <c r="A953" s="109"/>
      <c r="B953" s="109"/>
      <c r="C953" s="109"/>
      <c r="D953" s="109"/>
      <c r="E953" s="109"/>
    </row>
    <row r="954">
      <c r="A954" s="109"/>
      <c r="B954" s="109"/>
      <c r="C954" s="109"/>
      <c r="D954" s="109"/>
      <c r="E954" s="109"/>
    </row>
    <row r="955">
      <c r="A955" s="109"/>
      <c r="B955" s="109"/>
      <c r="C955" s="109"/>
      <c r="D955" s="109"/>
      <c r="E955" s="109"/>
    </row>
    <row r="956">
      <c r="A956" s="109"/>
      <c r="B956" s="109"/>
      <c r="C956" s="109"/>
      <c r="D956" s="109"/>
      <c r="E956" s="109"/>
    </row>
    <row r="957">
      <c r="A957" s="109"/>
      <c r="B957" s="109"/>
      <c r="C957" s="109"/>
      <c r="D957" s="109"/>
      <c r="E957" s="109"/>
    </row>
    <row r="958">
      <c r="A958" s="109"/>
      <c r="B958" s="109"/>
      <c r="C958" s="109"/>
      <c r="D958" s="109"/>
      <c r="E958" s="109"/>
    </row>
    <row r="959">
      <c r="A959" s="109"/>
      <c r="B959" s="109"/>
      <c r="C959" s="109"/>
      <c r="D959" s="109"/>
      <c r="E959" s="109"/>
    </row>
    <row r="960">
      <c r="A960" s="109"/>
      <c r="B960" s="109"/>
      <c r="C960" s="109"/>
      <c r="D960" s="109"/>
      <c r="E960" s="109"/>
    </row>
    <row r="961">
      <c r="A961" s="109"/>
      <c r="B961" s="109"/>
      <c r="C961" s="109"/>
      <c r="D961" s="109"/>
      <c r="E961" s="109"/>
    </row>
    <row r="962">
      <c r="A962" s="109"/>
      <c r="B962" s="109"/>
      <c r="C962" s="109"/>
      <c r="D962" s="109"/>
      <c r="E962" s="109"/>
    </row>
    <row r="963">
      <c r="A963" s="109"/>
      <c r="B963" s="109"/>
      <c r="C963" s="109"/>
      <c r="D963" s="109"/>
      <c r="E963" s="109"/>
    </row>
    <row r="964">
      <c r="A964" s="109"/>
      <c r="B964" s="109"/>
      <c r="C964" s="109"/>
      <c r="D964" s="109"/>
      <c r="E964" s="109"/>
    </row>
    <row r="965">
      <c r="A965" s="109"/>
      <c r="B965" s="109"/>
      <c r="C965" s="109"/>
      <c r="D965" s="109"/>
      <c r="E965" s="109"/>
    </row>
    <row r="966">
      <c r="A966" s="109"/>
      <c r="B966" s="109"/>
      <c r="C966" s="109"/>
      <c r="D966" s="109"/>
      <c r="E966" s="109"/>
    </row>
    <row r="967">
      <c r="A967" s="109"/>
      <c r="B967" s="109"/>
      <c r="C967" s="109"/>
      <c r="D967" s="109"/>
      <c r="E967" s="109"/>
    </row>
    <row r="968">
      <c r="A968" s="109"/>
      <c r="B968" s="109"/>
      <c r="C968" s="109"/>
      <c r="D968" s="109"/>
      <c r="E968" s="109"/>
    </row>
    <row r="969">
      <c r="A969" s="109"/>
      <c r="B969" s="109"/>
      <c r="C969" s="109"/>
      <c r="D969" s="109"/>
      <c r="E969" s="109"/>
    </row>
    <row r="970">
      <c r="A970" s="109"/>
      <c r="B970" s="109"/>
      <c r="C970" s="109"/>
      <c r="D970" s="109"/>
      <c r="E970" s="109"/>
    </row>
    <row r="971">
      <c r="A971" s="109"/>
      <c r="B971" s="109"/>
      <c r="C971" s="109"/>
      <c r="D971" s="109"/>
      <c r="E971" s="109"/>
    </row>
    <row r="972">
      <c r="A972" s="109"/>
      <c r="B972" s="109"/>
      <c r="C972" s="109"/>
      <c r="D972" s="109"/>
      <c r="E972" s="109"/>
    </row>
    <row r="973">
      <c r="A973" s="109"/>
      <c r="B973" s="109"/>
      <c r="C973" s="109"/>
      <c r="D973" s="109"/>
      <c r="E973" s="109"/>
    </row>
    <row r="974">
      <c r="A974" s="109"/>
      <c r="B974" s="109"/>
      <c r="C974" s="109"/>
      <c r="D974" s="109"/>
      <c r="E974" s="109"/>
    </row>
    <row r="975">
      <c r="A975" s="109"/>
      <c r="B975" s="109"/>
      <c r="C975" s="109"/>
      <c r="D975" s="109"/>
      <c r="E975" s="109"/>
    </row>
    <row r="976">
      <c r="A976" s="109"/>
      <c r="B976" s="109"/>
      <c r="C976" s="109"/>
      <c r="D976" s="109"/>
      <c r="E976" s="109"/>
    </row>
    <row r="977">
      <c r="A977" s="109"/>
      <c r="B977" s="109"/>
      <c r="C977" s="109"/>
      <c r="D977" s="109"/>
      <c r="E977" s="109"/>
    </row>
    <row r="978">
      <c r="A978" s="109"/>
      <c r="B978" s="109"/>
      <c r="C978" s="109"/>
      <c r="D978" s="109"/>
      <c r="E978" s="109"/>
    </row>
    <row r="979">
      <c r="A979" s="109"/>
      <c r="B979" s="109"/>
      <c r="C979" s="109"/>
      <c r="D979" s="109"/>
      <c r="E979" s="109"/>
    </row>
    <row r="980">
      <c r="A980" s="109"/>
      <c r="B980" s="109"/>
      <c r="C980" s="109"/>
      <c r="D980" s="109"/>
      <c r="E980" s="109"/>
    </row>
    <row r="981">
      <c r="A981" s="109"/>
      <c r="B981" s="109"/>
      <c r="C981" s="109"/>
      <c r="D981" s="109"/>
      <c r="E981" s="109"/>
    </row>
    <row r="982">
      <c r="A982" s="109"/>
      <c r="B982" s="109"/>
      <c r="C982" s="109"/>
      <c r="D982" s="109"/>
      <c r="E982" s="109"/>
    </row>
    <row r="983">
      <c r="A983" s="109"/>
      <c r="B983" s="109"/>
      <c r="C983" s="109"/>
      <c r="D983" s="109"/>
      <c r="E983" s="109"/>
    </row>
    <row r="984">
      <c r="A984" s="109"/>
      <c r="B984" s="109"/>
      <c r="C984" s="109"/>
      <c r="D984" s="109"/>
      <c r="E984" s="109"/>
    </row>
    <row r="985">
      <c r="A985" s="109"/>
      <c r="B985" s="109"/>
      <c r="C985" s="109"/>
      <c r="D985" s="109"/>
      <c r="E985" s="109"/>
    </row>
    <row r="986">
      <c r="A986" s="109"/>
      <c r="B986" s="109"/>
      <c r="C986" s="109"/>
      <c r="D986" s="109"/>
      <c r="E986" s="109"/>
    </row>
    <row r="987">
      <c r="A987" s="109"/>
      <c r="B987" s="109"/>
      <c r="C987" s="109"/>
      <c r="D987" s="109"/>
      <c r="E987" s="109"/>
    </row>
    <row r="988">
      <c r="A988" s="109"/>
      <c r="B988" s="109"/>
      <c r="C988" s="109"/>
      <c r="D988" s="109"/>
      <c r="E988" s="109"/>
    </row>
    <row r="989">
      <c r="A989" s="109"/>
      <c r="B989" s="109"/>
      <c r="C989" s="109"/>
      <c r="D989" s="109"/>
      <c r="E989" s="109"/>
    </row>
    <row r="990">
      <c r="A990" s="109"/>
      <c r="B990" s="109"/>
      <c r="C990" s="109"/>
      <c r="D990" s="109"/>
      <c r="E990" s="109"/>
    </row>
    <row r="991">
      <c r="A991" s="109"/>
      <c r="B991" s="109"/>
      <c r="C991" s="109"/>
      <c r="D991" s="109"/>
      <c r="E991" s="109"/>
    </row>
    <row r="992">
      <c r="A992" s="109"/>
      <c r="B992" s="109"/>
      <c r="C992" s="109"/>
      <c r="D992" s="109"/>
      <c r="E992" s="109"/>
    </row>
    <row r="993">
      <c r="A993" s="109"/>
      <c r="B993" s="109"/>
      <c r="C993" s="109"/>
      <c r="D993" s="109"/>
      <c r="E993" s="109"/>
    </row>
    <row r="994">
      <c r="A994" s="109"/>
      <c r="B994" s="109"/>
      <c r="C994" s="109"/>
      <c r="D994" s="109"/>
      <c r="E994" s="109"/>
    </row>
    <row r="995">
      <c r="A995" s="109"/>
      <c r="B995" s="109"/>
      <c r="C995" s="109"/>
      <c r="D995" s="109"/>
      <c r="E995" s="109"/>
    </row>
    <row r="996">
      <c r="A996" s="109"/>
      <c r="B996" s="109"/>
      <c r="C996" s="109"/>
      <c r="D996" s="109"/>
      <c r="E996" s="109"/>
    </row>
    <row r="997">
      <c r="A997" s="109"/>
      <c r="B997" s="109"/>
      <c r="C997" s="109"/>
      <c r="D997" s="109"/>
      <c r="E997" s="109"/>
    </row>
    <row r="998">
      <c r="A998" s="109"/>
      <c r="B998" s="109"/>
      <c r="C998" s="109"/>
      <c r="D998" s="109"/>
      <c r="E998" s="109"/>
    </row>
    <row r="999">
      <c r="A999" s="109"/>
      <c r="B999" s="109"/>
      <c r="C999" s="109"/>
      <c r="D999" s="109"/>
      <c r="E999" s="109"/>
    </row>
    <row r="1000">
      <c r="A1000" s="109"/>
      <c r="B1000" s="109"/>
      <c r="C1000" s="109"/>
      <c r="D1000" s="109"/>
      <c r="E1000" s="10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22.5"/>
    <col customWidth="1" min="3" max="3" width="19.0"/>
    <col customWidth="1" min="4" max="4" width="9.0"/>
    <col customWidth="1" min="5" max="5" width="7.0"/>
    <col customWidth="1" min="6" max="6" width="17.75"/>
    <col customWidth="1" min="7" max="7" width="7.25"/>
    <col customWidth="1" min="8" max="8" width="8.5"/>
    <col customWidth="1" min="9" max="9" width="10.0"/>
    <col customWidth="1" min="10" max="11" width="14.75"/>
    <col customWidth="1" min="12" max="12" width="16.0"/>
    <col customWidth="1" min="13" max="13" width="21.13"/>
    <col customWidth="1" min="14" max="17" width="21.88"/>
  </cols>
  <sheetData>
    <row r="1">
      <c r="A1" s="105" t="str">
        <f>IFERROR(__xludf.DUMMYFUNCTION("QuERy('INSCRIPTIONS FORM'!A:AY,""SELECT C,J,K,L,M,B,D,E,F,AY,Z,AD WHERE AH is null AND C != 'SES-1000' "",1)"),"ID Inscription à la formation suivante : ")</f>
        <v>ID Inscription à la formation suivante : </v>
      </c>
      <c r="B1" s="105" t="str">
        <f>IFERROR(__xludf.DUMMYFUNCTION("""COMPUTED_VALUE"""),"TITRE de la formation")</f>
        <v>TITRE de la formation</v>
      </c>
      <c r="C1" s="105" t="str">
        <f>IFERROR(__xludf.DUMMYFUNCTION("""COMPUTED_VALUE"""),"Date Session")</f>
        <v>Date Session</v>
      </c>
      <c r="D1" s="105" t="str">
        <f>IFERROR(__xludf.DUMMYFUNCTION("""COMPUTED_VALUE"""),"Heure Début")</f>
        <v>Heure Début</v>
      </c>
      <c r="E1" s="105" t="str">
        <f>IFERROR(__xludf.DUMMYFUNCTION("""COMPUTED_VALUE"""),"Heure Fin")</f>
        <v>Heure Fin</v>
      </c>
      <c r="F1" s="106" t="str">
        <f>IFERROR(__xludf.DUMMYFUNCTION("""COMPUTED_VALUE"""),"Adresse e-mail")</f>
        <v>Adresse e-mail</v>
      </c>
      <c r="G1" s="105" t="str">
        <f>IFERROR(__xludf.DUMMYFUNCTION("""COMPUTED_VALUE"""),"Civilité")</f>
        <v>Civilité</v>
      </c>
      <c r="H1" s="105" t="str">
        <f>IFERROR(__xludf.DUMMYFUNCTION("""COMPUTED_VALUE"""),"Prénom")</f>
        <v>Prénom</v>
      </c>
      <c r="I1" s="105" t="str">
        <f>IFERROR(__xludf.DUMMYFUNCTION("""COMPUTED_VALUE"""),"Nom")</f>
        <v>Nom</v>
      </c>
      <c r="J1" s="105" t="str">
        <f>IFERROR(__xludf.DUMMYFUNCTION("""COMPUTED_VALUE"""),"Votre Entité")</f>
        <v>Votre Entité</v>
      </c>
      <c r="K1" s="107" t="str">
        <f>IFERROR(__xludf.DUMMYFUNCTION("""COMPUTED_VALUE"""),"PDF  CONVOCATION URL")</f>
        <v>PDF  CONVOCATION URL</v>
      </c>
      <c r="L1" s="107" t="str">
        <f>IFERROR(__xludf.DUMMYFUNCTION("""COMPUTED_VALUE"""),"LIEN DESINSCRIPTION")</f>
        <v>LIEN DESINSCRIPTION</v>
      </c>
      <c r="M1" s="108" t="str">
        <f t="array" ref="M1:M999">IF(K:K&lt;&gt;"",IF(K:K=K1,"PDF CONVOCATION",HYPERLINK(K:K,"PDF CONVOCATION "&amp;CHAR(10)&amp;A:A&amp;" " &amp;G:G&amp;" "&amp;H:H&amp;" "&amp;I:I)),)</f>
        <v>PDF CONVOCATION</v>
      </c>
      <c r="N1" s="108" t="str">
        <f t="array" ref="N1:N999">IF(K:K&lt;&gt;"",IF(K:K=K1,"DESINSCRIPTION",HYPERLINK(L:L,"DESINSCRIPTION "&amp;CHAR(10)&amp;A:A&amp;" " &amp;G:G&amp;" "&amp;H:H&amp;" "&amp;I:I)),)</f>
        <v>DESINSCRIPTION</v>
      </c>
      <c r="O1" s="108" t="str">
        <f t="array" ref="O1:O999">IF(A:A&lt;&gt;"",IF(A:A=A1,"DUREE",IFNA(VLOOKUP(A:A,SESSIONS!B:G,6,FALSE),"")),)</f>
        <v>DUREE</v>
      </c>
      <c r="P1" s="110" t="str">
        <f t="array" ref="P1:P999">IF(A:A&lt;&gt;"",IF(A:A=A1,"PARTICIPATION",IFNA(VLOOKUP(A:A&amp;"-"&amp;F:F,'IMPORT TLA'!A:E,5,FALSE),"")),)</f>
        <v>PARTICIPATION</v>
      </c>
      <c r="Q1" s="110" t="str">
        <f t="array" ref="Q1:Q999">IF(A:A&lt;&gt;"",IF(A:A=A1,"DATE BRUTE",ifNA(VLooKup(A:A,SESSIONS!B:D,3,FALSE),"")),)</f>
        <v>DATE BRUTE</v>
      </c>
    </row>
    <row r="2">
      <c r="A2" s="111"/>
      <c r="B2" s="111"/>
      <c r="C2" s="111"/>
      <c r="D2" s="111"/>
      <c r="E2" s="111"/>
      <c r="F2" s="112"/>
      <c r="G2" s="111"/>
      <c r="H2" s="111"/>
      <c r="I2" s="113"/>
      <c r="J2" s="114"/>
      <c r="K2" s="115"/>
      <c r="L2" s="115"/>
      <c r="M2" s="116"/>
      <c r="N2" s="116"/>
      <c r="O2" s="116"/>
      <c r="P2" s="116"/>
      <c r="Q2" s="116"/>
    </row>
    <row r="3">
      <c r="A3" s="111"/>
      <c r="B3" s="111"/>
      <c r="C3" s="111"/>
      <c r="D3" s="111"/>
      <c r="E3" s="111"/>
      <c r="F3" s="112"/>
      <c r="G3" s="111"/>
      <c r="H3" s="111"/>
      <c r="I3" s="113"/>
      <c r="J3" s="114"/>
      <c r="K3" s="115"/>
      <c r="L3" s="115"/>
      <c r="M3" s="116"/>
      <c r="N3" s="116"/>
      <c r="O3" s="116"/>
      <c r="P3" s="116"/>
      <c r="Q3" s="116"/>
    </row>
    <row r="4">
      <c r="A4" s="111"/>
      <c r="B4" s="111"/>
      <c r="C4" s="111"/>
      <c r="D4" s="111"/>
      <c r="E4" s="111"/>
      <c r="F4" s="112"/>
      <c r="G4" s="111"/>
      <c r="H4" s="111"/>
      <c r="I4" s="113"/>
      <c r="J4" s="114"/>
      <c r="K4" s="115"/>
      <c r="L4" s="115"/>
      <c r="M4" s="116"/>
      <c r="N4" s="116"/>
      <c r="O4" s="116"/>
      <c r="P4" s="116"/>
      <c r="Q4" s="116"/>
    </row>
    <row r="5">
      <c r="A5" s="111"/>
      <c r="B5" s="111"/>
      <c r="C5" s="111"/>
      <c r="D5" s="111"/>
      <c r="E5" s="111"/>
      <c r="F5" s="112"/>
      <c r="G5" s="111"/>
      <c r="H5" s="111"/>
      <c r="I5" s="113"/>
      <c r="J5" s="114"/>
      <c r="K5" s="115"/>
      <c r="L5" s="115"/>
      <c r="M5" s="116"/>
      <c r="N5" s="116"/>
      <c r="O5" s="116"/>
      <c r="P5" s="116"/>
      <c r="Q5" s="116"/>
    </row>
    <row r="6">
      <c r="A6" s="111"/>
      <c r="B6" s="111"/>
      <c r="C6" s="111"/>
      <c r="D6" s="111"/>
      <c r="E6" s="111"/>
      <c r="F6" s="112"/>
      <c r="G6" s="111"/>
      <c r="H6" s="111"/>
      <c r="I6" s="113"/>
      <c r="J6" s="114"/>
      <c r="K6" s="115"/>
      <c r="L6" s="115"/>
      <c r="M6" s="116"/>
      <c r="N6" s="116"/>
      <c r="O6" s="116"/>
      <c r="P6" s="116"/>
      <c r="Q6" s="116"/>
    </row>
    <row r="7">
      <c r="A7" s="111"/>
      <c r="B7" s="111"/>
      <c r="C7" s="111"/>
      <c r="D7" s="111"/>
      <c r="E7" s="111"/>
      <c r="F7" s="112"/>
      <c r="G7" s="111"/>
      <c r="H7" s="111"/>
      <c r="I7" s="113"/>
      <c r="J7" s="114"/>
      <c r="K7" s="115"/>
      <c r="L7" s="115"/>
      <c r="M7" s="116"/>
      <c r="N7" s="116"/>
      <c r="O7" s="116"/>
      <c r="P7" s="116"/>
      <c r="Q7" s="116"/>
    </row>
    <row r="8">
      <c r="A8" s="111"/>
      <c r="B8" s="111"/>
      <c r="C8" s="111"/>
      <c r="D8" s="111"/>
      <c r="E8" s="111"/>
      <c r="F8" s="112"/>
      <c r="G8" s="111"/>
      <c r="H8" s="111"/>
      <c r="I8" s="113"/>
      <c r="J8" s="114"/>
      <c r="K8" s="115"/>
      <c r="L8" s="115"/>
      <c r="M8" s="116"/>
      <c r="N8" s="116"/>
      <c r="O8" s="116"/>
      <c r="P8" s="116"/>
      <c r="Q8" s="116"/>
    </row>
    <row r="9">
      <c r="A9" s="111"/>
      <c r="B9" s="111"/>
      <c r="C9" s="111"/>
      <c r="D9" s="111"/>
      <c r="E9" s="111"/>
      <c r="F9" s="112"/>
      <c r="G9" s="111"/>
      <c r="H9" s="111"/>
      <c r="I9" s="113"/>
      <c r="J9" s="114"/>
      <c r="K9" s="115"/>
      <c r="L9" s="115"/>
      <c r="M9" s="116"/>
      <c r="N9" s="116"/>
      <c r="O9" s="116"/>
      <c r="P9" s="116"/>
      <c r="Q9" s="116"/>
    </row>
    <row r="10">
      <c r="A10" s="111"/>
      <c r="B10" s="111"/>
      <c r="C10" s="111"/>
      <c r="D10" s="111"/>
      <c r="E10" s="111"/>
      <c r="F10" s="112"/>
      <c r="G10" s="111"/>
      <c r="H10" s="111"/>
      <c r="I10" s="113"/>
      <c r="J10" s="114"/>
      <c r="K10" s="115"/>
      <c r="L10" s="115"/>
      <c r="M10" s="116"/>
      <c r="N10" s="116"/>
      <c r="O10" s="116"/>
      <c r="P10" s="116"/>
      <c r="Q10" s="116"/>
    </row>
    <row r="11">
      <c r="A11" s="111"/>
      <c r="B11" s="111"/>
      <c r="C11" s="111"/>
      <c r="D11" s="111"/>
      <c r="E11" s="111"/>
      <c r="F11" s="112"/>
      <c r="G11" s="111"/>
      <c r="H11" s="111"/>
      <c r="I11" s="113"/>
      <c r="J11" s="114"/>
      <c r="K11" s="115"/>
      <c r="L11" s="115"/>
      <c r="M11" s="116"/>
      <c r="N11" s="116"/>
      <c r="O11" s="116"/>
      <c r="P11" s="116"/>
      <c r="Q11" s="116"/>
    </row>
    <row r="12">
      <c r="A12" s="111"/>
      <c r="B12" s="111"/>
      <c r="C12" s="111"/>
      <c r="D12" s="111"/>
      <c r="E12" s="111"/>
      <c r="F12" s="112"/>
      <c r="G12" s="111"/>
      <c r="H12" s="111"/>
      <c r="I12" s="113"/>
      <c r="J12" s="114"/>
      <c r="K12" s="115"/>
      <c r="L12" s="115"/>
      <c r="M12" s="116"/>
      <c r="N12" s="116"/>
      <c r="O12" s="116"/>
      <c r="P12" s="116"/>
      <c r="Q12" s="116"/>
    </row>
    <row r="13">
      <c r="A13" s="111"/>
      <c r="B13" s="111"/>
      <c r="C13" s="111"/>
      <c r="D13" s="111"/>
      <c r="E13" s="111"/>
      <c r="F13" s="112"/>
      <c r="G13" s="111"/>
      <c r="H13" s="111"/>
      <c r="I13" s="113"/>
      <c r="J13" s="114"/>
      <c r="K13" s="115"/>
      <c r="L13" s="115"/>
      <c r="M13" s="116"/>
      <c r="N13" s="116"/>
      <c r="O13" s="116"/>
      <c r="P13" s="116"/>
      <c r="Q13" s="116"/>
    </row>
    <row r="14">
      <c r="A14" s="111"/>
      <c r="B14" s="111"/>
      <c r="C14" s="111"/>
      <c r="D14" s="111"/>
      <c r="E14" s="111"/>
      <c r="F14" s="112"/>
      <c r="G14" s="111"/>
      <c r="H14" s="111"/>
      <c r="I14" s="113"/>
      <c r="J14" s="114"/>
      <c r="K14" s="115"/>
      <c r="L14" s="115"/>
      <c r="M14" s="116"/>
      <c r="N14" s="116"/>
      <c r="O14" s="116"/>
      <c r="P14" s="116"/>
      <c r="Q14" s="116"/>
    </row>
    <row r="15">
      <c r="A15" s="111"/>
      <c r="B15" s="111"/>
      <c r="C15" s="111"/>
      <c r="D15" s="111"/>
      <c r="E15" s="111"/>
      <c r="F15" s="112"/>
      <c r="G15" s="111"/>
      <c r="H15" s="111"/>
      <c r="I15" s="113"/>
      <c r="J15" s="114"/>
      <c r="K15" s="115"/>
      <c r="L15" s="115"/>
      <c r="M15" s="116"/>
      <c r="N15" s="116"/>
      <c r="O15" s="116"/>
      <c r="P15" s="116"/>
      <c r="Q15" s="116"/>
    </row>
    <row r="16">
      <c r="A16" s="111"/>
      <c r="B16" s="111"/>
      <c r="C16" s="111"/>
      <c r="D16" s="111"/>
      <c r="E16" s="111"/>
      <c r="F16" s="112"/>
      <c r="G16" s="111"/>
      <c r="H16" s="111"/>
      <c r="I16" s="113"/>
      <c r="J16" s="114"/>
      <c r="K16" s="115"/>
      <c r="L16" s="115"/>
      <c r="M16" s="116"/>
      <c r="N16" s="116"/>
      <c r="O16" s="116"/>
      <c r="P16" s="116"/>
      <c r="Q16" s="116"/>
    </row>
    <row r="17">
      <c r="A17" s="111"/>
      <c r="B17" s="111"/>
      <c r="C17" s="111"/>
      <c r="D17" s="111"/>
      <c r="E17" s="111"/>
      <c r="F17" s="112"/>
      <c r="G17" s="111"/>
      <c r="H17" s="111"/>
      <c r="I17" s="113"/>
      <c r="J17" s="114"/>
      <c r="K17" s="115"/>
      <c r="L17" s="115"/>
      <c r="M17" s="116"/>
      <c r="N17" s="116"/>
      <c r="O17" s="116"/>
      <c r="P17" s="116"/>
      <c r="Q17" s="116"/>
    </row>
    <row r="18">
      <c r="A18" s="111"/>
      <c r="B18" s="111"/>
      <c r="C18" s="111"/>
      <c r="D18" s="111"/>
      <c r="E18" s="111"/>
      <c r="F18" s="112"/>
      <c r="G18" s="111"/>
      <c r="H18" s="111"/>
      <c r="I18" s="113"/>
      <c r="J18" s="114"/>
      <c r="K18" s="115"/>
      <c r="L18" s="115"/>
      <c r="M18" s="116"/>
      <c r="N18" s="116"/>
      <c r="O18" s="116"/>
      <c r="P18" s="116"/>
      <c r="Q18" s="116"/>
    </row>
    <row r="19">
      <c r="A19" s="111"/>
      <c r="B19" s="111"/>
      <c r="C19" s="111"/>
      <c r="D19" s="111"/>
      <c r="E19" s="111"/>
      <c r="F19" s="112"/>
      <c r="G19" s="111"/>
      <c r="H19" s="111"/>
      <c r="I19" s="113"/>
      <c r="J19" s="114"/>
      <c r="K19" s="115"/>
      <c r="L19" s="115"/>
      <c r="M19" s="116"/>
      <c r="N19" s="116"/>
      <c r="O19" s="116"/>
      <c r="P19" s="116"/>
      <c r="Q19" s="116"/>
    </row>
    <row r="20">
      <c r="A20" s="111"/>
      <c r="B20" s="111"/>
      <c r="C20" s="111"/>
      <c r="D20" s="111"/>
      <c r="E20" s="111"/>
      <c r="F20" s="112"/>
      <c r="G20" s="111"/>
      <c r="H20" s="111"/>
      <c r="I20" s="113"/>
      <c r="J20" s="114"/>
      <c r="K20" s="115"/>
      <c r="L20" s="115"/>
      <c r="M20" s="116"/>
      <c r="N20" s="116"/>
      <c r="O20" s="116"/>
      <c r="P20" s="116"/>
      <c r="Q20" s="116"/>
    </row>
    <row r="21">
      <c r="A21" s="111"/>
      <c r="B21" s="111"/>
      <c r="C21" s="111"/>
      <c r="D21" s="111"/>
      <c r="E21" s="111"/>
      <c r="F21" s="112"/>
      <c r="G21" s="111"/>
      <c r="H21" s="111"/>
      <c r="I21" s="113"/>
      <c r="J21" s="114"/>
      <c r="K21" s="115"/>
      <c r="L21" s="115"/>
      <c r="M21" s="116"/>
      <c r="N21" s="116"/>
      <c r="O21" s="116"/>
      <c r="P21" s="116"/>
      <c r="Q21" s="116"/>
    </row>
    <row r="22">
      <c r="A22" s="111"/>
      <c r="B22" s="111"/>
      <c r="C22" s="111"/>
      <c r="D22" s="111"/>
      <c r="E22" s="111"/>
      <c r="F22" s="112"/>
      <c r="G22" s="111"/>
      <c r="H22" s="111"/>
      <c r="I22" s="113"/>
      <c r="J22" s="114"/>
      <c r="K22" s="115"/>
      <c r="L22" s="115"/>
      <c r="M22" s="116"/>
      <c r="N22" s="116"/>
      <c r="O22" s="116"/>
      <c r="P22" s="116"/>
      <c r="Q22" s="116"/>
    </row>
    <row r="23">
      <c r="A23" s="111"/>
      <c r="B23" s="111"/>
      <c r="C23" s="111"/>
      <c r="D23" s="111"/>
      <c r="E23" s="111"/>
      <c r="F23" s="112"/>
      <c r="G23" s="111"/>
      <c r="H23" s="111"/>
      <c r="I23" s="113"/>
      <c r="J23" s="114"/>
      <c r="K23" s="115"/>
      <c r="L23" s="115"/>
      <c r="M23" s="116"/>
      <c r="N23" s="116"/>
      <c r="O23" s="116"/>
      <c r="P23" s="116"/>
      <c r="Q23" s="116"/>
    </row>
    <row r="24">
      <c r="A24" s="111"/>
      <c r="B24" s="111"/>
      <c r="C24" s="111"/>
      <c r="D24" s="111"/>
      <c r="E24" s="111"/>
      <c r="F24" s="112"/>
      <c r="G24" s="111"/>
      <c r="H24" s="111"/>
      <c r="I24" s="113"/>
      <c r="J24" s="114"/>
      <c r="K24" s="115"/>
      <c r="L24" s="115"/>
      <c r="M24" s="116"/>
      <c r="N24" s="116"/>
      <c r="O24" s="116"/>
      <c r="P24" s="116"/>
      <c r="Q24" s="116"/>
    </row>
    <row r="25">
      <c r="A25" s="111"/>
      <c r="B25" s="111"/>
      <c r="C25" s="111"/>
      <c r="D25" s="111"/>
      <c r="E25" s="111"/>
      <c r="F25" s="112"/>
      <c r="G25" s="111"/>
      <c r="H25" s="111"/>
      <c r="I25" s="113"/>
      <c r="J25" s="114"/>
      <c r="K25" s="115"/>
      <c r="L25" s="115"/>
      <c r="M25" s="116"/>
      <c r="N25" s="116"/>
      <c r="O25" s="116"/>
      <c r="P25" s="116"/>
      <c r="Q25" s="116"/>
    </row>
    <row r="26">
      <c r="A26" s="111"/>
      <c r="B26" s="111"/>
      <c r="C26" s="111"/>
      <c r="D26" s="111"/>
      <c r="E26" s="111"/>
      <c r="F26" s="112"/>
      <c r="G26" s="111"/>
      <c r="H26" s="111"/>
      <c r="I26" s="113"/>
      <c r="J26" s="114"/>
      <c r="K26" s="115"/>
      <c r="L26" s="115"/>
      <c r="M26" s="116"/>
      <c r="N26" s="116"/>
      <c r="O26" s="116"/>
      <c r="P26" s="116"/>
      <c r="Q26" s="116"/>
    </row>
    <row r="27">
      <c r="A27" s="111"/>
      <c r="B27" s="111"/>
      <c r="C27" s="111"/>
      <c r="D27" s="111"/>
      <c r="E27" s="111"/>
      <c r="F27" s="112"/>
      <c r="G27" s="111"/>
      <c r="H27" s="111"/>
      <c r="I27" s="113"/>
      <c r="J27" s="114"/>
      <c r="K27" s="115"/>
      <c r="L27" s="115"/>
      <c r="M27" s="116"/>
      <c r="N27" s="116"/>
      <c r="O27" s="116"/>
      <c r="P27" s="116"/>
      <c r="Q27" s="116"/>
    </row>
    <row r="28">
      <c r="A28" s="111"/>
      <c r="B28" s="111"/>
      <c r="C28" s="111"/>
      <c r="D28" s="111"/>
      <c r="E28" s="111"/>
      <c r="F28" s="112"/>
      <c r="G28" s="111"/>
      <c r="H28" s="111"/>
      <c r="I28" s="113"/>
      <c r="J28" s="114"/>
      <c r="K28" s="115"/>
      <c r="L28" s="115"/>
      <c r="M28" s="116"/>
      <c r="N28" s="116"/>
      <c r="O28" s="116"/>
      <c r="P28" s="116"/>
      <c r="Q28" s="116"/>
    </row>
    <row r="29">
      <c r="A29" s="111"/>
      <c r="B29" s="111"/>
      <c r="C29" s="111"/>
      <c r="D29" s="111"/>
      <c r="E29" s="111"/>
      <c r="F29" s="112"/>
      <c r="G29" s="111"/>
      <c r="H29" s="111"/>
      <c r="I29" s="113"/>
      <c r="J29" s="114"/>
      <c r="K29" s="115"/>
      <c r="L29" s="115"/>
      <c r="M29" s="116"/>
      <c r="N29" s="116"/>
      <c r="O29" s="116"/>
      <c r="P29" s="116"/>
      <c r="Q29" s="116"/>
    </row>
    <row r="30">
      <c r="A30" s="111"/>
      <c r="B30" s="111"/>
      <c r="C30" s="111"/>
      <c r="D30" s="111"/>
      <c r="E30" s="111"/>
      <c r="F30" s="112"/>
      <c r="G30" s="111"/>
      <c r="H30" s="111"/>
      <c r="I30" s="113"/>
      <c r="J30" s="114"/>
      <c r="K30" s="115"/>
      <c r="L30" s="115"/>
      <c r="M30" s="116"/>
      <c r="N30" s="116"/>
      <c r="O30" s="116"/>
      <c r="P30" s="116"/>
      <c r="Q30" s="116"/>
    </row>
    <row r="31">
      <c r="A31" s="111"/>
      <c r="B31" s="111"/>
      <c r="C31" s="111"/>
      <c r="D31" s="111"/>
      <c r="E31" s="111"/>
      <c r="F31" s="112"/>
      <c r="G31" s="111"/>
      <c r="H31" s="111"/>
      <c r="I31" s="113"/>
      <c r="J31" s="114"/>
      <c r="K31" s="115"/>
      <c r="L31" s="115"/>
      <c r="M31" s="116"/>
      <c r="N31" s="116"/>
      <c r="O31" s="116"/>
      <c r="P31" s="116"/>
      <c r="Q31" s="116"/>
    </row>
    <row r="32">
      <c r="A32" s="111"/>
      <c r="B32" s="111"/>
      <c r="C32" s="111"/>
      <c r="D32" s="111"/>
      <c r="E32" s="111"/>
      <c r="F32" s="112"/>
      <c r="G32" s="111"/>
      <c r="H32" s="111"/>
      <c r="I32" s="113"/>
      <c r="J32" s="114"/>
      <c r="K32" s="115"/>
      <c r="L32" s="115"/>
      <c r="M32" s="116"/>
      <c r="N32" s="116"/>
      <c r="O32" s="116"/>
      <c r="P32" s="116"/>
      <c r="Q32" s="116"/>
    </row>
    <row r="33">
      <c r="A33" s="111"/>
      <c r="B33" s="111"/>
      <c r="C33" s="111"/>
      <c r="D33" s="111"/>
      <c r="E33" s="111"/>
      <c r="F33" s="112"/>
      <c r="G33" s="111"/>
      <c r="H33" s="111"/>
      <c r="I33" s="113"/>
      <c r="J33" s="114"/>
      <c r="K33" s="115"/>
      <c r="L33" s="115"/>
      <c r="M33" s="116"/>
      <c r="N33" s="116"/>
      <c r="O33" s="116"/>
      <c r="P33" s="116"/>
      <c r="Q33" s="116"/>
    </row>
    <row r="34">
      <c r="A34" s="111"/>
      <c r="B34" s="111"/>
      <c r="C34" s="111"/>
      <c r="D34" s="111"/>
      <c r="E34" s="111"/>
      <c r="F34" s="112"/>
      <c r="G34" s="111"/>
      <c r="H34" s="111"/>
      <c r="I34" s="113"/>
      <c r="J34" s="114"/>
      <c r="K34" s="115"/>
      <c r="L34" s="115"/>
      <c r="M34" s="116"/>
      <c r="N34" s="116"/>
      <c r="O34" s="116"/>
      <c r="P34" s="116"/>
      <c r="Q34" s="116"/>
    </row>
    <row r="35">
      <c r="A35" s="111"/>
      <c r="B35" s="111"/>
      <c r="C35" s="111"/>
      <c r="D35" s="111"/>
      <c r="E35" s="111"/>
      <c r="F35" s="112"/>
      <c r="G35" s="111"/>
      <c r="H35" s="111"/>
      <c r="I35" s="113"/>
      <c r="J35" s="114"/>
      <c r="K35" s="115"/>
      <c r="L35" s="115"/>
      <c r="M35" s="116"/>
      <c r="N35" s="116"/>
      <c r="O35" s="116"/>
      <c r="P35" s="116"/>
      <c r="Q35" s="116"/>
    </row>
    <row r="36">
      <c r="A36" s="111"/>
      <c r="B36" s="111"/>
      <c r="C36" s="111"/>
      <c r="D36" s="111"/>
      <c r="E36" s="111"/>
      <c r="F36" s="112"/>
      <c r="G36" s="111"/>
      <c r="H36" s="111"/>
      <c r="I36" s="113"/>
      <c r="J36" s="114"/>
      <c r="K36" s="115"/>
      <c r="L36" s="115"/>
      <c r="M36" s="116"/>
      <c r="N36" s="116"/>
      <c r="O36" s="116"/>
      <c r="P36" s="116"/>
      <c r="Q36" s="116"/>
    </row>
    <row r="37">
      <c r="A37" s="111"/>
      <c r="B37" s="111"/>
      <c r="C37" s="111"/>
      <c r="D37" s="111"/>
      <c r="E37" s="111"/>
      <c r="F37" s="112"/>
      <c r="G37" s="111"/>
      <c r="H37" s="111"/>
      <c r="I37" s="113"/>
      <c r="J37" s="114"/>
      <c r="K37" s="115"/>
      <c r="L37" s="115"/>
      <c r="M37" s="116"/>
      <c r="N37" s="116"/>
      <c r="O37" s="116"/>
      <c r="P37" s="116"/>
      <c r="Q37" s="116"/>
    </row>
    <row r="38">
      <c r="A38" s="111"/>
      <c r="B38" s="111"/>
      <c r="C38" s="111"/>
      <c r="D38" s="111"/>
      <c r="E38" s="111"/>
      <c r="F38" s="112"/>
      <c r="G38" s="111"/>
      <c r="H38" s="111"/>
      <c r="I38" s="113"/>
      <c r="J38" s="114"/>
      <c r="K38" s="115"/>
      <c r="L38" s="115"/>
      <c r="M38" s="116"/>
      <c r="N38" s="116"/>
      <c r="O38" s="116"/>
      <c r="P38" s="116"/>
      <c r="Q38" s="116"/>
    </row>
    <row r="39">
      <c r="A39" s="111"/>
      <c r="B39" s="111"/>
      <c r="C39" s="111"/>
      <c r="D39" s="111"/>
      <c r="E39" s="111"/>
      <c r="F39" s="112"/>
      <c r="G39" s="111"/>
      <c r="H39" s="111"/>
      <c r="I39" s="113"/>
      <c r="J39" s="114"/>
      <c r="K39" s="115"/>
      <c r="L39" s="115"/>
      <c r="M39" s="116"/>
      <c r="N39" s="116"/>
      <c r="O39" s="116"/>
      <c r="P39" s="116"/>
      <c r="Q39" s="116"/>
    </row>
    <row r="40">
      <c r="A40" s="111"/>
      <c r="B40" s="111"/>
      <c r="C40" s="111"/>
      <c r="D40" s="111"/>
      <c r="E40" s="111"/>
      <c r="F40" s="112"/>
      <c r="G40" s="111"/>
      <c r="H40" s="111"/>
      <c r="I40" s="113"/>
      <c r="J40" s="114"/>
      <c r="K40" s="115"/>
      <c r="L40" s="115"/>
      <c r="M40" s="116"/>
      <c r="N40" s="116"/>
      <c r="O40" s="116"/>
      <c r="P40" s="116"/>
      <c r="Q40" s="116"/>
    </row>
    <row r="41">
      <c r="A41" s="111"/>
      <c r="B41" s="111"/>
      <c r="C41" s="111"/>
      <c r="D41" s="111"/>
      <c r="E41" s="111"/>
      <c r="F41" s="112"/>
      <c r="G41" s="111"/>
      <c r="H41" s="111"/>
      <c r="I41" s="113"/>
      <c r="J41" s="114"/>
      <c r="K41" s="115"/>
      <c r="L41" s="115"/>
      <c r="M41" s="116"/>
      <c r="N41" s="116"/>
      <c r="O41" s="116"/>
      <c r="P41" s="116"/>
      <c r="Q41" s="116"/>
    </row>
    <row r="42">
      <c r="A42" s="111"/>
      <c r="B42" s="111"/>
      <c r="C42" s="111"/>
      <c r="D42" s="111"/>
      <c r="E42" s="111"/>
      <c r="F42" s="112"/>
      <c r="G42" s="111"/>
      <c r="H42" s="111"/>
      <c r="I42" s="113"/>
      <c r="J42" s="114"/>
      <c r="K42" s="115"/>
      <c r="L42" s="115"/>
      <c r="M42" s="116"/>
      <c r="N42" s="116"/>
      <c r="O42" s="116"/>
      <c r="P42" s="116"/>
      <c r="Q42" s="116"/>
    </row>
    <row r="43">
      <c r="A43" s="111"/>
      <c r="B43" s="111"/>
      <c r="C43" s="111"/>
      <c r="D43" s="111"/>
      <c r="E43" s="111"/>
      <c r="F43" s="112"/>
      <c r="G43" s="111"/>
      <c r="H43" s="111"/>
      <c r="I43" s="113"/>
      <c r="J43" s="114"/>
      <c r="K43" s="115"/>
      <c r="L43" s="115"/>
      <c r="M43" s="116"/>
      <c r="N43" s="116"/>
      <c r="O43" s="116"/>
      <c r="P43" s="116"/>
      <c r="Q43" s="116"/>
    </row>
    <row r="44">
      <c r="A44" s="111"/>
      <c r="B44" s="111"/>
      <c r="C44" s="111"/>
      <c r="D44" s="111"/>
      <c r="E44" s="111"/>
      <c r="F44" s="112"/>
      <c r="G44" s="111"/>
      <c r="H44" s="111"/>
      <c r="I44" s="113"/>
      <c r="J44" s="114"/>
      <c r="K44" s="115"/>
      <c r="L44" s="115"/>
      <c r="M44" s="116"/>
      <c r="N44" s="116"/>
      <c r="O44" s="116"/>
      <c r="P44" s="116"/>
      <c r="Q44" s="116"/>
    </row>
    <row r="45">
      <c r="A45" s="111"/>
      <c r="B45" s="111"/>
      <c r="C45" s="111"/>
      <c r="D45" s="111"/>
      <c r="E45" s="111"/>
      <c r="F45" s="112"/>
      <c r="G45" s="111"/>
      <c r="H45" s="111"/>
      <c r="I45" s="113"/>
      <c r="J45" s="114"/>
      <c r="K45" s="115"/>
      <c r="L45" s="115"/>
      <c r="M45" s="116"/>
      <c r="N45" s="116"/>
      <c r="O45" s="116"/>
      <c r="P45" s="116"/>
      <c r="Q45" s="116"/>
    </row>
    <row r="46">
      <c r="A46" s="111"/>
      <c r="B46" s="111"/>
      <c r="C46" s="111"/>
      <c r="D46" s="111"/>
      <c r="E46" s="111"/>
      <c r="F46" s="112"/>
      <c r="G46" s="111"/>
      <c r="H46" s="111"/>
      <c r="I46" s="113"/>
      <c r="J46" s="114"/>
      <c r="K46" s="115"/>
      <c r="L46" s="115"/>
      <c r="M46" s="116"/>
      <c r="N46" s="116"/>
      <c r="O46" s="116"/>
      <c r="P46" s="116"/>
      <c r="Q46" s="116"/>
    </row>
    <row r="47">
      <c r="A47" s="111"/>
      <c r="B47" s="111"/>
      <c r="C47" s="111"/>
      <c r="D47" s="111"/>
      <c r="E47" s="111"/>
      <c r="F47" s="112"/>
      <c r="G47" s="111"/>
      <c r="H47" s="111"/>
      <c r="I47" s="113"/>
      <c r="J47" s="114"/>
      <c r="K47" s="115"/>
      <c r="L47" s="115"/>
      <c r="M47" s="116"/>
      <c r="N47" s="116"/>
      <c r="O47" s="116"/>
      <c r="P47" s="116"/>
      <c r="Q47" s="116"/>
    </row>
    <row r="48">
      <c r="A48" s="111"/>
      <c r="B48" s="111"/>
      <c r="C48" s="111"/>
      <c r="D48" s="111"/>
      <c r="E48" s="111"/>
      <c r="F48" s="112"/>
      <c r="G48" s="111"/>
      <c r="H48" s="111"/>
      <c r="I48" s="113"/>
      <c r="J48" s="114"/>
      <c r="K48" s="115"/>
      <c r="L48" s="115"/>
      <c r="M48" s="116"/>
      <c r="N48" s="116"/>
      <c r="O48" s="116"/>
      <c r="P48" s="116"/>
      <c r="Q48" s="116"/>
    </row>
    <row r="49">
      <c r="A49" s="111"/>
      <c r="B49" s="111"/>
      <c r="C49" s="111"/>
      <c r="D49" s="111"/>
      <c r="E49" s="111"/>
      <c r="F49" s="112"/>
      <c r="G49" s="111"/>
      <c r="H49" s="111"/>
      <c r="I49" s="113"/>
      <c r="J49" s="114"/>
      <c r="K49" s="115"/>
      <c r="L49" s="115"/>
      <c r="M49" s="116"/>
      <c r="N49" s="116"/>
      <c r="O49" s="116"/>
      <c r="P49" s="116"/>
      <c r="Q49" s="116"/>
    </row>
    <row r="50">
      <c r="A50" s="111"/>
      <c r="B50" s="111"/>
      <c r="C50" s="111"/>
      <c r="D50" s="111"/>
      <c r="E50" s="111"/>
      <c r="F50" s="112"/>
      <c r="G50" s="111"/>
      <c r="H50" s="111"/>
      <c r="I50" s="113"/>
      <c r="J50" s="114"/>
      <c r="K50" s="115"/>
      <c r="L50" s="115"/>
      <c r="M50" s="116"/>
      <c r="N50" s="116"/>
      <c r="O50" s="116"/>
      <c r="P50" s="116"/>
      <c r="Q50" s="116"/>
    </row>
    <row r="51">
      <c r="A51" s="111"/>
      <c r="B51" s="111"/>
      <c r="C51" s="111"/>
      <c r="D51" s="111"/>
      <c r="E51" s="111"/>
      <c r="F51" s="112"/>
      <c r="G51" s="111"/>
      <c r="H51" s="111"/>
      <c r="I51" s="113"/>
      <c r="J51" s="114"/>
      <c r="K51" s="115"/>
      <c r="L51" s="115"/>
      <c r="M51" s="116"/>
      <c r="N51" s="116"/>
      <c r="O51" s="116"/>
      <c r="P51" s="116"/>
      <c r="Q51" s="116"/>
    </row>
    <row r="52">
      <c r="A52" s="111"/>
      <c r="B52" s="111"/>
      <c r="C52" s="111"/>
      <c r="D52" s="111"/>
      <c r="E52" s="111"/>
      <c r="F52" s="112"/>
      <c r="G52" s="111"/>
      <c r="H52" s="111"/>
      <c r="I52" s="113"/>
      <c r="J52" s="114"/>
      <c r="K52" s="115"/>
      <c r="L52" s="115"/>
      <c r="M52" s="116"/>
      <c r="N52" s="116"/>
      <c r="O52" s="116"/>
      <c r="P52" s="116"/>
      <c r="Q52" s="116"/>
    </row>
    <row r="53">
      <c r="A53" s="111"/>
      <c r="B53" s="111"/>
      <c r="C53" s="111"/>
      <c r="D53" s="111"/>
      <c r="E53" s="111"/>
      <c r="F53" s="112"/>
      <c r="G53" s="111"/>
      <c r="H53" s="111"/>
      <c r="I53" s="113"/>
      <c r="J53" s="114"/>
      <c r="K53" s="115"/>
      <c r="L53" s="115"/>
      <c r="M53" s="116"/>
      <c r="N53" s="116"/>
      <c r="O53" s="116"/>
      <c r="P53" s="116"/>
      <c r="Q53" s="116"/>
    </row>
    <row r="54">
      <c r="A54" s="111"/>
      <c r="B54" s="111"/>
      <c r="C54" s="111"/>
      <c r="D54" s="111"/>
      <c r="E54" s="111"/>
      <c r="F54" s="112"/>
      <c r="G54" s="111"/>
      <c r="H54" s="111"/>
      <c r="I54" s="113"/>
      <c r="J54" s="114"/>
      <c r="K54" s="115"/>
      <c r="L54" s="115"/>
      <c r="M54" s="116"/>
      <c r="N54" s="116"/>
      <c r="O54" s="116"/>
      <c r="P54" s="116"/>
      <c r="Q54" s="116"/>
    </row>
    <row r="55">
      <c r="A55" s="111"/>
      <c r="B55" s="111"/>
      <c r="C55" s="111"/>
      <c r="D55" s="111"/>
      <c r="E55" s="111"/>
      <c r="F55" s="112"/>
      <c r="G55" s="111"/>
      <c r="H55" s="111"/>
      <c r="I55" s="113"/>
      <c r="J55" s="114"/>
      <c r="K55" s="115"/>
      <c r="L55" s="115"/>
      <c r="M55" s="116"/>
      <c r="N55" s="116"/>
      <c r="O55" s="116"/>
      <c r="P55" s="116"/>
      <c r="Q55" s="116"/>
    </row>
    <row r="56">
      <c r="A56" s="111"/>
      <c r="B56" s="111"/>
      <c r="C56" s="111"/>
      <c r="D56" s="111"/>
      <c r="E56" s="111"/>
      <c r="F56" s="112"/>
      <c r="G56" s="111"/>
      <c r="H56" s="111"/>
      <c r="I56" s="113"/>
      <c r="J56" s="114"/>
      <c r="K56" s="115"/>
      <c r="L56" s="115"/>
      <c r="M56" s="116"/>
      <c r="N56" s="116"/>
      <c r="O56" s="116"/>
      <c r="P56" s="116"/>
      <c r="Q56" s="116"/>
    </row>
    <row r="57">
      <c r="A57" s="111"/>
      <c r="B57" s="111"/>
      <c r="C57" s="111"/>
      <c r="D57" s="111"/>
      <c r="E57" s="111"/>
      <c r="F57" s="112"/>
      <c r="G57" s="111"/>
      <c r="H57" s="111"/>
      <c r="I57" s="113"/>
      <c r="J57" s="114"/>
      <c r="K57" s="115"/>
      <c r="L57" s="115"/>
      <c r="M57" s="116"/>
      <c r="N57" s="116"/>
      <c r="O57" s="116"/>
      <c r="P57" s="116"/>
      <c r="Q57" s="116"/>
    </row>
    <row r="58">
      <c r="A58" s="111"/>
      <c r="B58" s="111"/>
      <c r="C58" s="111"/>
      <c r="D58" s="111"/>
      <c r="E58" s="111"/>
      <c r="F58" s="112"/>
      <c r="G58" s="111"/>
      <c r="H58" s="111"/>
      <c r="I58" s="113"/>
      <c r="J58" s="114"/>
      <c r="K58" s="115"/>
      <c r="L58" s="115"/>
      <c r="M58" s="116"/>
      <c r="N58" s="116"/>
      <c r="O58" s="116"/>
      <c r="P58" s="116"/>
      <c r="Q58" s="116"/>
    </row>
    <row r="59">
      <c r="A59" s="111"/>
      <c r="B59" s="111"/>
      <c r="C59" s="111"/>
      <c r="D59" s="111"/>
      <c r="E59" s="111"/>
      <c r="F59" s="112"/>
      <c r="G59" s="111"/>
      <c r="H59" s="111"/>
      <c r="I59" s="113"/>
      <c r="J59" s="114"/>
      <c r="K59" s="115"/>
      <c r="L59" s="115"/>
      <c r="M59" s="116"/>
      <c r="N59" s="116"/>
      <c r="O59" s="116"/>
      <c r="P59" s="116"/>
      <c r="Q59" s="116"/>
    </row>
    <row r="60">
      <c r="A60" s="111"/>
      <c r="B60" s="111"/>
      <c r="C60" s="111"/>
      <c r="D60" s="111"/>
      <c r="E60" s="111"/>
      <c r="F60" s="112"/>
      <c r="G60" s="111"/>
      <c r="H60" s="111"/>
      <c r="I60" s="113"/>
      <c r="J60" s="114"/>
      <c r="K60" s="115"/>
      <c r="L60" s="115"/>
      <c r="M60" s="116"/>
      <c r="N60" s="116"/>
      <c r="O60" s="116"/>
      <c r="P60" s="116"/>
      <c r="Q60" s="116"/>
    </row>
    <row r="61">
      <c r="A61" s="111"/>
      <c r="B61" s="111"/>
      <c r="C61" s="111"/>
      <c r="D61" s="111"/>
      <c r="E61" s="111"/>
      <c r="F61" s="112"/>
      <c r="G61" s="111"/>
      <c r="H61" s="111"/>
      <c r="I61" s="113"/>
      <c r="J61" s="114"/>
      <c r="K61" s="115"/>
      <c r="L61" s="115"/>
      <c r="M61" s="116"/>
      <c r="N61" s="116"/>
      <c r="O61" s="116"/>
      <c r="P61" s="116"/>
      <c r="Q61" s="116"/>
    </row>
    <row r="62">
      <c r="A62" s="111"/>
      <c r="B62" s="111"/>
      <c r="C62" s="111"/>
      <c r="D62" s="111"/>
      <c r="E62" s="111"/>
      <c r="F62" s="112"/>
      <c r="G62" s="111"/>
      <c r="H62" s="111"/>
      <c r="I62" s="113"/>
      <c r="J62" s="114"/>
      <c r="K62" s="115"/>
      <c r="L62" s="115"/>
      <c r="M62" s="116"/>
      <c r="N62" s="116"/>
      <c r="O62" s="116"/>
      <c r="P62" s="116"/>
      <c r="Q62" s="116"/>
    </row>
    <row r="63">
      <c r="A63" s="111"/>
      <c r="B63" s="111"/>
      <c r="C63" s="111"/>
      <c r="D63" s="111"/>
      <c r="E63" s="111"/>
      <c r="F63" s="112"/>
      <c r="G63" s="111"/>
      <c r="H63" s="111"/>
      <c r="I63" s="113"/>
      <c r="J63" s="114"/>
      <c r="K63" s="115"/>
      <c r="L63" s="115"/>
      <c r="M63" s="116"/>
      <c r="N63" s="116"/>
      <c r="O63" s="116"/>
      <c r="P63" s="116"/>
      <c r="Q63" s="116"/>
    </row>
    <row r="64">
      <c r="A64" s="111"/>
      <c r="B64" s="111"/>
      <c r="C64" s="111"/>
      <c r="D64" s="111"/>
      <c r="E64" s="111"/>
      <c r="F64" s="112"/>
      <c r="G64" s="111"/>
      <c r="H64" s="111"/>
      <c r="I64" s="113"/>
      <c r="J64" s="114"/>
      <c r="K64" s="115"/>
      <c r="L64" s="115"/>
      <c r="M64" s="116"/>
      <c r="N64" s="116"/>
      <c r="O64" s="116"/>
      <c r="P64" s="116"/>
      <c r="Q64" s="116"/>
    </row>
    <row r="65">
      <c r="A65" s="111"/>
      <c r="B65" s="111"/>
      <c r="C65" s="111"/>
      <c r="D65" s="111"/>
      <c r="E65" s="111"/>
      <c r="F65" s="112"/>
      <c r="G65" s="111"/>
      <c r="H65" s="111"/>
      <c r="I65" s="113"/>
      <c r="J65" s="114"/>
      <c r="K65" s="115"/>
      <c r="L65" s="115"/>
      <c r="M65" s="116"/>
      <c r="N65" s="116"/>
      <c r="O65" s="116"/>
      <c r="P65" s="116"/>
      <c r="Q65" s="116"/>
    </row>
    <row r="66">
      <c r="A66" s="111"/>
      <c r="B66" s="111"/>
      <c r="C66" s="111"/>
      <c r="D66" s="111"/>
      <c r="E66" s="111"/>
      <c r="F66" s="112"/>
      <c r="G66" s="111"/>
      <c r="H66" s="111"/>
      <c r="I66" s="113"/>
      <c r="J66" s="114"/>
      <c r="K66" s="115"/>
      <c r="L66" s="115"/>
      <c r="M66" s="116"/>
      <c r="N66" s="116"/>
      <c r="O66" s="116"/>
      <c r="P66" s="116"/>
      <c r="Q66" s="116"/>
    </row>
    <row r="67">
      <c r="A67" s="111"/>
      <c r="B67" s="111"/>
      <c r="C67" s="111"/>
      <c r="D67" s="111"/>
      <c r="E67" s="111"/>
      <c r="F67" s="112"/>
      <c r="G67" s="111"/>
      <c r="H67" s="111"/>
      <c r="I67" s="113"/>
      <c r="J67" s="114"/>
      <c r="K67" s="115"/>
      <c r="L67" s="115"/>
      <c r="M67" s="116"/>
      <c r="N67" s="116"/>
      <c r="O67" s="116"/>
      <c r="P67" s="116"/>
      <c r="Q67" s="116"/>
    </row>
    <row r="68">
      <c r="A68" s="111"/>
      <c r="B68" s="111"/>
      <c r="C68" s="111"/>
      <c r="D68" s="111"/>
      <c r="E68" s="111"/>
      <c r="F68" s="112"/>
      <c r="G68" s="111"/>
      <c r="H68" s="111"/>
      <c r="I68" s="113"/>
      <c r="J68" s="114"/>
      <c r="K68" s="115"/>
      <c r="L68" s="115"/>
      <c r="M68" s="116"/>
      <c r="N68" s="116"/>
      <c r="O68" s="116"/>
      <c r="P68" s="116"/>
      <c r="Q68" s="116"/>
    </row>
    <row r="69">
      <c r="A69" s="111"/>
      <c r="B69" s="111"/>
      <c r="C69" s="111"/>
      <c r="D69" s="111"/>
      <c r="E69" s="111"/>
      <c r="F69" s="112"/>
      <c r="G69" s="111"/>
      <c r="H69" s="111"/>
      <c r="I69" s="113"/>
      <c r="J69" s="114"/>
      <c r="K69" s="115"/>
      <c r="L69" s="115"/>
      <c r="M69" s="116"/>
      <c r="N69" s="116"/>
      <c r="O69" s="116"/>
      <c r="P69" s="116"/>
      <c r="Q69" s="116"/>
    </row>
    <row r="70">
      <c r="A70" s="111"/>
      <c r="B70" s="111"/>
      <c r="C70" s="111"/>
      <c r="D70" s="111"/>
      <c r="E70" s="111"/>
      <c r="F70" s="112"/>
      <c r="G70" s="111"/>
      <c r="H70" s="111"/>
      <c r="I70" s="113"/>
      <c r="J70" s="114"/>
      <c r="K70" s="115"/>
      <c r="L70" s="115"/>
      <c r="M70" s="116"/>
      <c r="N70" s="116"/>
      <c r="O70" s="116"/>
      <c r="P70" s="116"/>
      <c r="Q70" s="116"/>
    </row>
    <row r="71">
      <c r="A71" s="111"/>
      <c r="B71" s="111"/>
      <c r="C71" s="111"/>
      <c r="D71" s="111"/>
      <c r="E71" s="111"/>
      <c r="F71" s="112"/>
      <c r="G71" s="111"/>
      <c r="H71" s="111"/>
      <c r="I71" s="113"/>
      <c r="J71" s="114"/>
      <c r="K71" s="115"/>
      <c r="L71" s="115"/>
      <c r="M71" s="116"/>
      <c r="N71" s="116"/>
      <c r="O71" s="116"/>
      <c r="P71" s="116"/>
      <c r="Q71" s="116"/>
    </row>
    <row r="72">
      <c r="A72" s="111"/>
      <c r="B72" s="111"/>
      <c r="C72" s="111"/>
      <c r="D72" s="111"/>
      <c r="E72" s="111"/>
      <c r="F72" s="112"/>
      <c r="G72" s="111"/>
      <c r="H72" s="111"/>
      <c r="I72" s="113"/>
      <c r="J72" s="114"/>
      <c r="K72" s="115"/>
      <c r="L72" s="115"/>
      <c r="M72" s="116"/>
      <c r="N72" s="116"/>
      <c r="O72" s="116"/>
      <c r="P72" s="116"/>
      <c r="Q72" s="116"/>
    </row>
    <row r="73">
      <c r="A73" s="111"/>
      <c r="B73" s="111"/>
      <c r="C73" s="111"/>
      <c r="D73" s="111"/>
      <c r="E73" s="111"/>
      <c r="F73" s="112"/>
      <c r="G73" s="111"/>
      <c r="H73" s="111"/>
      <c r="I73" s="113"/>
      <c r="J73" s="114"/>
      <c r="K73" s="115"/>
      <c r="L73" s="115"/>
      <c r="M73" s="116"/>
      <c r="N73" s="116"/>
      <c r="O73" s="116"/>
      <c r="P73" s="116"/>
      <c r="Q73" s="116"/>
    </row>
    <row r="74">
      <c r="A74" s="111"/>
      <c r="B74" s="111"/>
      <c r="C74" s="111"/>
      <c r="D74" s="111"/>
      <c r="E74" s="111"/>
      <c r="F74" s="112"/>
      <c r="G74" s="111"/>
      <c r="H74" s="111"/>
      <c r="I74" s="113"/>
      <c r="J74" s="114"/>
      <c r="K74" s="115"/>
      <c r="L74" s="115"/>
      <c r="M74" s="116"/>
      <c r="N74" s="116"/>
      <c r="O74" s="116"/>
      <c r="P74" s="116"/>
      <c r="Q74" s="116"/>
    </row>
    <row r="75">
      <c r="A75" s="111"/>
      <c r="B75" s="111"/>
      <c r="C75" s="111"/>
      <c r="D75" s="111"/>
      <c r="E75" s="111"/>
      <c r="F75" s="112"/>
      <c r="G75" s="111"/>
      <c r="H75" s="111"/>
      <c r="I75" s="113"/>
      <c r="J75" s="114"/>
      <c r="K75" s="115"/>
      <c r="L75" s="115"/>
      <c r="M75" s="116"/>
      <c r="N75" s="116"/>
      <c r="O75" s="116"/>
      <c r="P75" s="116"/>
      <c r="Q75" s="116"/>
    </row>
    <row r="76">
      <c r="A76" s="111"/>
      <c r="B76" s="111"/>
      <c r="C76" s="111"/>
      <c r="D76" s="111"/>
      <c r="E76" s="111"/>
      <c r="F76" s="112"/>
      <c r="G76" s="111"/>
      <c r="H76" s="111"/>
      <c r="I76" s="113"/>
      <c r="J76" s="114"/>
      <c r="K76" s="115"/>
      <c r="L76" s="115"/>
      <c r="M76" s="116"/>
      <c r="N76" s="116"/>
      <c r="O76" s="116"/>
      <c r="P76" s="116"/>
      <c r="Q76" s="116"/>
    </row>
    <row r="77">
      <c r="A77" s="111"/>
      <c r="B77" s="111"/>
      <c r="C77" s="111"/>
      <c r="D77" s="111"/>
      <c r="E77" s="111"/>
      <c r="F77" s="112"/>
      <c r="G77" s="111"/>
      <c r="H77" s="111"/>
      <c r="I77" s="113"/>
      <c r="J77" s="114"/>
      <c r="K77" s="115"/>
      <c r="L77" s="115"/>
      <c r="M77" s="116"/>
      <c r="N77" s="116"/>
      <c r="O77" s="116"/>
      <c r="P77" s="116"/>
      <c r="Q77" s="116"/>
    </row>
    <row r="78">
      <c r="A78" s="111"/>
      <c r="B78" s="111"/>
      <c r="C78" s="111"/>
      <c r="D78" s="111"/>
      <c r="E78" s="111"/>
      <c r="F78" s="112"/>
      <c r="G78" s="111"/>
      <c r="H78" s="111"/>
      <c r="I78" s="113"/>
      <c r="J78" s="114"/>
      <c r="K78" s="115"/>
      <c r="L78" s="115"/>
      <c r="M78" s="116"/>
      <c r="N78" s="116"/>
      <c r="O78" s="116"/>
      <c r="P78" s="116"/>
      <c r="Q78" s="116"/>
    </row>
    <row r="79">
      <c r="A79" s="111"/>
      <c r="B79" s="111"/>
      <c r="C79" s="111"/>
      <c r="D79" s="111"/>
      <c r="E79" s="111"/>
      <c r="F79" s="112"/>
      <c r="G79" s="111"/>
      <c r="H79" s="111"/>
      <c r="I79" s="113"/>
      <c r="J79" s="114"/>
      <c r="K79" s="115"/>
      <c r="L79" s="115"/>
      <c r="M79" s="116"/>
      <c r="N79" s="116"/>
      <c r="O79" s="116"/>
      <c r="P79" s="116"/>
      <c r="Q79" s="116"/>
    </row>
    <row r="80">
      <c r="A80" s="111"/>
      <c r="B80" s="111"/>
      <c r="C80" s="111"/>
      <c r="D80" s="111"/>
      <c r="E80" s="111"/>
      <c r="F80" s="112"/>
      <c r="G80" s="111"/>
      <c r="H80" s="111"/>
      <c r="I80" s="113"/>
      <c r="J80" s="114"/>
      <c r="K80" s="115"/>
      <c r="L80" s="115"/>
      <c r="M80" s="116"/>
      <c r="N80" s="116"/>
      <c r="O80" s="116"/>
      <c r="P80" s="116"/>
      <c r="Q80" s="116"/>
    </row>
    <row r="81">
      <c r="A81" s="111"/>
      <c r="B81" s="111"/>
      <c r="C81" s="111"/>
      <c r="D81" s="111"/>
      <c r="E81" s="111"/>
      <c r="F81" s="112"/>
      <c r="G81" s="111"/>
      <c r="H81" s="111"/>
      <c r="I81" s="113"/>
      <c r="J81" s="114"/>
      <c r="K81" s="115"/>
      <c r="L81" s="115"/>
      <c r="M81" s="116"/>
      <c r="N81" s="116"/>
      <c r="O81" s="116"/>
      <c r="P81" s="116"/>
      <c r="Q81" s="116"/>
    </row>
    <row r="82">
      <c r="A82" s="111"/>
      <c r="B82" s="111"/>
      <c r="C82" s="111"/>
      <c r="D82" s="111"/>
      <c r="E82" s="111"/>
      <c r="F82" s="112"/>
      <c r="G82" s="111"/>
      <c r="H82" s="111"/>
      <c r="I82" s="113"/>
      <c r="J82" s="114"/>
      <c r="K82" s="115"/>
      <c r="L82" s="115"/>
      <c r="M82" s="116"/>
      <c r="N82" s="116"/>
      <c r="O82" s="116"/>
      <c r="P82" s="116"/>
      <c r="Q82" s="116"/>
    </row>
    <row r="83">
      <c r="A83" s="111"/>
      <c r="B83" s="111"/>
      <c r="C83" s="111"/>
      <c r="D83" s="111"/>
      <c r="E83" s="111"/>
      <c r="F83" s="112"/>
      <c r="G83" s="111"/>
      <c r="H83" s="111"/>
      <c r="I83" s="113"/>
      <c r="J83" s="114"/>
      <c r="K83" s="115"/>
      <c r="L83" s="115"/>
      <c r="M83" s="116"/>
      <c r="N83" s="116"/>
      <c r="O83" s="116"/>
      <c r="P83" s="116"/>
      <c r="Q83" s="116"/>
    </row>
    <row r="84">
      <c r="A84" s="111"/>
      <c r="B84" s="111"/>
      <c r="C84" s="111"/>
      <c r="D84" s="111"/>
      <c r="E84" s="111"/>
      <c r="F84" s="112"/>
      <c r="G84" s="111"/>
      <c r="H84" s="111"/>
      <c r="I84" s="113"/>
      <c r="J84" s="114"/>
      <c r="K84" s="115"/>
      <c r="L84" s="115"/>
      <c r="M84" s="116"/>
      <c r="N84" s="116"/>
      <c r="O84" s="116"/>
      <c r="P84" s="116"/>
      <c r="Q84" s="116"/>
    </row>
    <row r="85">
      <c r="A85" s="111"/>
      <c r="B85" s="111"/>
      <c r="C85" s="111"/>
      <c r="D85" s="111"/>
      <c r="E85" s="111"/>
      <c r="F85" s="112"/>
      <c r="G85" s="111"/>
      <c r="H85" s="111"/>
      <c r="I85" s="113"/>
      <c r="J85" s="114"/>
      <c r="K85" s="115"/>
      <c r="L85" s="115"/>
      <c r="M85" s="116"/>
      <c r="N85" s="116"/>
      <c r="O85" s="116"/>
      <c r="P85" s="116"/>
      <c r="Q85" s="116"/>
    </row>
    <row r="86">
      <c r="A86" s="111"/>
      <c r="B86" s="111"/>
      <c r="C86" s="111"/>
      <c r="D86" s="111"/>
      <c r="E86" s="111"/>
      <c r="F86" s="112"/>
      <c r="G86" s="111"/>
      <c r="H86" s="111"/>
      <c r="I86" s="113"/>
      <c r="J86" s="114"/>
      <c r="K86" s="115"/>
      <c r="L86" s="115"/>
      <c r="M86" s="116"/>
      <c r="N86" s="116"/>
      <c r="O86" s="116"/>
      <c r="P86" s="116"/>
      <c r="Q86" s="116"/>
    </row>
    <row r="87">
      <c r="A87" s="111"/>
      <c r="B87" s="111"/>
      <c r="C87" s="111"/>
      <c r="D87" s="111"/>
      <c r="E87" s="111"/>
      <c r="F87" s="112"/>
      <c r="G87" s="111"/>
      <c r="H87" s="111"/>
      <c r="I87" s="113"/>
      <c r="J87" s="114"/>
      <c r="K87" s="115"/>
      <c r="L87" s="115"/>
      <c r="M87" s="116"/>
      <c r="N87" s="116"/>
      <c r="O87" s="116"/>
      <c r="P87" s="116"/>
      <c r="Q87" s="116"/>
    </row>
    <row r="88">
      <c r="A88" s="111"/>
      <c r="B88" s="111"/>
      <c r="C88" s="111"/>
      <c r="D88" s="111"/>
      <c r="E88" s="111"/>
      <c r="F88" s="112"/>
      <c r="G88" s="111"/>
      <c r="H88" s="111"/>
      <c r="I88" s="113"/>
      <c r="J88" s="114"/>
      <c r="K88" s="115"/>
      <c r="L88" s="115"/>
      <c r="M88" s="116"/>
      <c r="N88" s="116"/>
      <c r="O88" s="116"/>
      <c r="P88" s="116"/>
      <c r="Q88" s="116"/>
    </row>
    <row r="89">
      <c r="A89" s="111"/>
      <c r="B89" s="111"/>
      <c r="C89" s="111"/>
      <c r="D89" s="111"/>
      <c r="E89" s="111"/>
      <c r="F89" s="112"/>
      <c r="G89" s="111"/>
      <c r="H89" s="111"/>
      <c r="I89" s="113"/>
      <c r="J89" s="114"/>
      <c r="K89" s="115"/>
      <c r="L89" s="115"/>
      <c r="M89" s="116"/>
      <c r="N89" s="116"/>
      <c r="O89" s="116"/>
      <c r="P89" s="116"/>
      <c r="Q89" s="116"/>
    </row>
    <row r="90">
      <c r="A90" s="111"/>
      <c r="B90" s="111"/>
      <c r="C90" s="111"/>
      <c r="D90" s="111"/>
      <c r="E90" s="111"/>
      <c r="F90" s="112"/>
      <c r="G90" s="111"/>
      <c r="H90" s="111"/>
      <c r="I90" s="113"/>
      <c r="J90" s="114"/>
      <c r="K90" s="115"/>
      <c r="L90" s="115"/>
      <c r="M90" s="116"/>
      <c r="N90" s="116"/>
      <c r="O90" s="116"/>
      <c r="P90" s="116"/>
      <c r="Q90" s="116"/>
    </row>
    <row r="91">
      <c r="A91" s="111"/>
      <c r="B91" s="111"/>
      <c r="C91" s="111"/>
      <c r="D91" s="111"/>
      <c r="E91" s="111"/>
      <c r="F91" s="112"/>
      <c r="G91" s="111"/>
      <c r="H91" s="111"/>
      <c r="I91" s="113"/>
      <c r="J91" s="114"/>
      <c r="K91" s="115"/>
      <c r="L91" s="115"/>
      <c r="M91" s="116"/>
      <c r="N91" s="116"/>
      <c r="O91" s="116"/>
      <c r="P91" s="116"/>
      <c r="Q91" s="116"/>
    </row>
    <row r="92">
      <c r="A92" s="111"/>
      <c r="B92" s="111"/>
      <c r="C92" s="111"/>
      <c r="D92" s="111"/>
      <c r="E92" s="111"/>
      <c r="F92" s="112"/>
      <c r="G92" s="111"/>
      <c r="H92" s="111"/>
      <c r="I92" s="113"/>
      <c r="J92" s="114"/>
      <c r="K92" s="115"/>
      <c r="L92" s="115"/>
      <c r="M92" s="116"/>
      <c r="N92" s="116"/>
      <c r="O92" s="116"/>
      <c r="P92" s="116"/>
      <c r="Q92" s="116"/>
    </row>
    <row r="93">
      <c r="A93" s="111"/>
      <c r="B93" s="111"/>
      <c r="C93" s="111"/>
      <c r="D93" s="111"/>
      <c r="E93" s="111"/>
      <c r="F93" s="112"/>
      <c r="G93" s="111"/>
      <c r="H93" s="111"/>
      <c r="I93" s="113"/>
      <c r="J93" s="114"/>
      <c r="K93" s="115"/>
      <c r="L93" s="115"/>
      <c r="M93" s="116"/>
      <c r="N93" s="116"/>
      <c r="O93" s="116"/>
      <c r="P93" s="116"/>
      <c r="Q93" s="116"/>
    </row>
    <row r="94">
      <c r="A94" s="111"/>
      <c r="B94" s="111"/>
      <c r="C94" s="111"/>
      <c r="D94" s="111"/>
      <c r="E94" s="111"/>
      <c r="F94" s="112"/>
      <c r="G94" s="111"/>
      <c r="H94" s="111"/>
      <c r="I94" s="113"/>
      <c r="J94" s="114"/>
      <c r="K94" s="115"/>
      <c r="L94" s="115"/>
      <c r="M94" s="116"/>
      <c r="N94" s="116"/>
      <c r="O94" s="116"/>
      <c r="P94" s="116"/>
      <c r="Q94" s="116"/>
    </row>
    <row r="95">
      <c r="A95" s="111"/>
      <c r="B95" s="111"/>
      <c r="C95" s="111"/>
      <c r="D95" s="111"/>
      <c r="E95" s="111"/>
      <c r="F95" s="112"/>
      <c r="G95" s="111"/>
      <c r="H95" s="111"/>
      <c r="I95" s="113"/>
      <c r="J95" s="114"/>
      <c r="K95" s="115"/>
      <c r="L95" s="115"/>
      <c r="M95" s="116"/>
      <c r="N95" s="116"/>
      <c r="O95" s="116"/>
      <c r="P95" s="116"/>
      <c r="Q95" s="116"/>
    </row>
    <row r="96">
      <c r="A96" s="111"/>
      <c r="B96" s="111"/>
      <c r="C96" s="111"/>
      <c r="D96" s="111"/>
      <c r="E96" s="111"/>
      <c r="F96" s="112"/>
      <c r="G96" s="111"/>
      <c r="H96" s="111"/>
      <c r="I96" s="113"/>
      <c r="J96" s="114"/>
      <c r="K96" s="115"/>
      <c r="L96" s="115"/>
      <c r="M96" s="116"/>
      <c r="N96" s="116"/>
      <c r="O96" s="116"/>
      <c r="P96" s="116"/>
      <c r="Q96" s="116"/>
    </row>
    <row r="97">
      <c r="A97" s="111"/>
      <c r="B97" s="111"/>
      <c r="C97" s="111"/>
      <c r="D97" s="111"/>
      <c r="E97" s="111"/>
      <c r="F97" s="112"/>
      <c r="G97" s="111"/>
      <c r="H97" s="111"/>
      <c r="I97" s="113"/>
      <c r="J97" s="114"/>
      <c r="K97" s="115"/>
      <c r="L97" s="115"/>
      <c r="M97" s="116"/>
      <c r="N97" s="116"/>
      <c r="O97" s="116"/>
      <c r="P97" s="116"/>
      <c r="Q97" s="116"/>
    </row>
    <row r="98">
      <c r="A98" s="111"/>
      <c r="B98" s="111"/>
      <c r="C98" s="111"/>
      <c r="D98" s="111"/>
      <c r="E98" s="111"/>
      <c r="F98" s="112"/>
      <c r="G98" s="111"/>
      <c r="H98" s="111"/>
      <c r="I98" s="113"/>
      <c r="J98" s="114"/>
      <c r="K98" s="115"/>
      <c r="L98" s="115"/>
      <c r="M98" s="116"/>
      <c r="N98" s="116"/>
      <c r="O98" s="116"/>
      <c r="P98" s="116"/>
      <c r="Q98" s="116"/>
    </row>
    <row r="99">
      <c r="A99" s="111"/>
      <c r="B99" s="111"/>
      <c r="C99" s="111"/>
      <c r="D99" s="111"/>
      <c r="E99" s="111"/>
      <c r="F99" s="112"/>
      <c r="G99" s="111"/>
      <c r="H99" s="111"/>
      <c r="I99" s="113"/>
      <c r="J99" s="114"/>
      <c r="K99" s="115"/>
      <c r="L99" s="115"/>
      <c r="M99" s="116"/>
      <c r="N99" s="116"/>
      <c r="O99" s="116"/>
      <c r="P99" s="116"/>
      <c r="Q99" s="116"/>
    </row>
    <row r="100">
      <c r="A100" s="111"/>
      <c r="B100" s="111"/>
      <c r="C100" s="111"/>
      <c r="D100" s="111"/>
      <c r="E100" s="111"/>
      <c r="F100" s="112"/>
      <c r="G100" s="111"/>
      <c r="H100" s="111"/>
      <c r="I100" s="113"/>
      <c r="J100" s="114"/>
      <c r="K100" s="115"/>
      <c r="L100" s="115"/>
      <c r="M100" s="116"/>
      <c r="N100" s="116"/>
      <c r="O100" s="116"/>
      <c r="P100" s="116"/>
      <c r="Q100" s="116"/>
    </row>
    <row r="101">
      <c r="A101" s="111"/>
      <c r="B101" s="111"/>
      <c r="C101" s="111"/>
      <c r="D101" s="111"/>
      <c r="E101" s="111"/>
      <c r="F101" s="112"/>
      <c r="G101" s="111"/>
      <c r="H101" s="111"/>
      <c r="I101" s="113"/>
      <c r="J101" s="114"/>
      <c r="K101" s="115"/>
      <c r="L101" s="115"/>
      <c r="M101" s="116"/>
      <c r="N101" s="116"/>
      <c r="O101" s="116"/>
      <c r="P101" s="116"/>
      <c r="Q101" s="116"/>
    </row>
    <row r="102">
      <c r="A102" s="111"/>
      <c r="B102" s="111"/>
      <c r="C102" s="111"/>
      <c r="D102" s="111"/>
      <c r="E102" s="111"/>
      <c r="F102" s="112"/>
      <c r="G102" s="111"/>
      <c r="H102" s="111"/>
      <c r="I102" s="113"/>
      <c r="J102" s="114"/>
      <c r="K102" s="115"/>
      <c r="L102" s="115"/>
      <c r="M102" s="116"/>
      <c r="N102" s="116"/>
      <c r="O102" s="116"/>
      <c r="P102" s="116"/>
      <c r="Q102" s="116"/>
    </row>
    <row r="103">
      <c r="A103" s="111"/>
      <c r="B103" s="111"/>
      <c r="C103" s="111"/>
      <c r="D103" s="111"/>
      <c r="E103" s="111"/>
      <c r="F103" s="112"/>
      <c r="G103" s="111"/>
      <c r="H103" s="111"/>
      <c r="I103" s="113"/>
      <c r="J103" s="114"/>
      <c r="K103" s="115"/>
      <c r="L103" s="115"/>
      <c r="M103" s="116"/>
      <c r="N103" s="116"/>
      <c r="O103" s="116"/>
      <c r="P103" s="116"/>
      <c r="Q103" s="116"/>
    </row>
    <row r="104">
      <c r="A104" s="111"/>
      <c r="B104" s="111"/>
      <c r="C104" s="111"/>
      <c r="D104" s="111"/>
      <c r="E104" s="111"/>
      <c r="F104" s="112"/>
      <c r="G104" s="111"/>
      <c r="H104" s="111"/>
      <c r="I104" s="113"/>
      <c r="J104" s="114"/>
      <c r="K104" s="115"/>
      <c r="L104" s="115"/>
      <c r="M104" s="116"/>
      <c r="N104" s="116"/>
      <c r="O104" s="116"/>
      <c r="P104" s="116"/>
      <c r="Q104" s="116"/>
    </row>
    <row r="105">
      <c r="A105" s="111"/>
      <c r="B105" s="111"/>
      <c r="C105" s="111"/>
      <c r="D105" s="111"/>
      <c r="E105" s="111"/>
      <c r="F105" s="112"/>
      <c r="G105" s="111"/>
      <c r="H105" s="111"/>
      <c r="I105" s="113"/>
      <c r="J105" s="114"/>
      <c r="K105" s="115"/>
      <c r="L105" s="115"/>
      <c r="M105" s="116"/>
      <c r="N105" s="116"/>
      <c r="O105" s="116"/>
      <c r="P105" s="116"/>
      <c r="Q105" s="116"/>
    </row>
    <row r="106">
      <c r="A106" s="111"/>
      <c r="B106" s="111"/>
      <c r="C106" s="111"/>
      <c r="D106" s="111"/>
      <c r="E106" s="111"/>
      <c r="F106" s="112"/>
      <c r="G106" s="111"/>
      <c r="H106" s="111"/>
      <c r="I106" s="113"/>
      <c r="J106" s="114"/>
      <c r="K106" s="115"/>
      <c r="L106" s="115"/>
      <c r="M106" s="116"/>
      <c r="N106" s="116"/>
      <c r="O106" s="116"/>
      <c r="P106" s="116"/>
      <c r="Q106" s="116"/>
    </row>
    <row r="107">
      <c r="A107" s="111"/>
      <c r="B107" s="111"/>
      <c r="C107" s="111"/>
      <c r="D107" s="111"/>
      <c r="E107" s="111"/>
      <c r="F107" s="112"/>
      <c r="G107" s="111"/>
      <c r="H107" s="111"/>
      <c r="I107" s="113"/>
      <c r="J107" s="114"/>
      <c r="K107" s="115"/>
      <c r="L107" s="115"/>
      <c r="M107" s="116"/>
      <c r="N107" s="116"/>
      <c r="O107" s="116"/>
      <c r="P107" s="116"/>
      <c r="Q107" s="116"/>
    </row>
    <row r="108">
      <c r="A108" s="111"/>
      <c r="B108" s="111"/>
      <c r="C108" s="111"/>
      <c r="D108" s="111"/>
      <c r="E108" s="111"/>
      <c r="F108" s="112"/>
      <c r="G108" s="111"/>
      <c r="H108" s="111"/>
      <c r="I108" s="113"/>
      <c r="J108" s="114"/>
      <c r="K108" s="115"/>
      <c r="L108" s="115"/>
      <c r="M108" s="116"/>
      <c r="N108" s="116"/>
      <c r="O108" s="116"/>
      <c r="P108" s="116"/>
      <c r="Q108" s="116"/>
    </row>
    <row r="109">
      <c r="A109" s="111"/>
      <c r="B109" s="111"/>
      <c r="C109" s="111"/>
      <c r="D109" s="111"/>
      <c r="E109" s="111"/>
      <c r="F109" s="112"/>
      <c r="G109" s="111"/>
      <c r="H109" s="111"/>
      <c r="I109" s="113"/>
      <c r="J109" s="114"/>
      <c r="K109" s="115"/>
      <c r="L109" s="115"/>
      <c r="M109" s="116"/>
      <c r="N109" s="116"/>
      <c r="O109" s="116"/>
      <c r="P109" s="116"/>
      <c r="Q109" s="116"/>
    </row>
    <row r="110">
      <c r="A110" s="111"/>
      <c r="B110" s="111"/>
      <c r="C110" s="111"/>
      <c r="D110" s="111"/>
      <c r="E110" s="111"/>
      <c r="F110" s="112"/>
      <c r="G110" s="111"/>
      <c r="H110" s="111"/>
      <c r="I110" s="113"/>
      <c r="J110" s="114"/>
      <c r="K110" s="115"/>
      <c r="L110" s="115"/>
      <c r="M110" s="116"/>
      <c r="N110" s="116"/>
      <c r="O110" s="116"/>
      <c r="P110" s="116"/>
      <c r="Q110" s="116"/>
    </row>
    <row r="111">
      <c r="A111" s="111"/>
      <c r="B111" s="111"/>
      <c r="C111" s="111"/>
      <c r="D111" s="111"/>
      <c r="E111" s="111"/>
      <c r="F111" s="112"/>
      <c r="G111" s="111"/>
      <c r="H111" s="111"/>
      <c r="I111" s="113"/>
      <c r="J111" s="114"/>
      <c r="K111" s="115"/>
      <c r="L111" s="115"/>
      <c r="M111" s="116"/>
      <c r="N111" s="116"/>
      <c r="O111" s="116"/>
      <c r="P111" s="116"/>
      <c r="Q111" s="116"/>
    </row>
    <row r="112">
      <c r="A112" s="111"/>
      <c r="B112" s="111"/>
      <c r="C112" s="111"/>
      <c r="D112" s="111"/>
      <c r="E112" s="111"/>
      <c r="F112" s="112"/>
      <c r="G112" s="111"/>
      <c r="H112" s="111"/>
      <c r="I112" s="113"/>
      <c r="J112" s="114"/>
      <c r="K112" s="115"/>
      <c r="L112" s="115"/>
      <c r="M112" s="116"/>
      <c r="N112" s="116"/>
      <c r="O112" s="116"/>
      <c r="P112" s="116"/>
      <c r="Q112" s="116"/>
    </row>
    <row r="113">
      <c r="A113" s="111"/>
      <c r="B113" s="111"/>
      <c r="C113" s="111"/>
      <c r="D113" s="111"/>
      <c r="E113" s="111"/>
      <c r="F113" s="112"/>
      <c r="G113" s="111"/>
      <c r="H113" s="111"/>
      <c r="I113" s="113"/>
      <c r="J113" s="114"/>
      <c r="K113" s="115"/>
      <c r="L113" s="115"/>
      <c r="M113" s="116"/>
      <c r="N113" s="116"/>
      <c r="O113" s="116"/>
      <c r="P113" s="116"/>
      <c r="Q113" s="116"/>
    </row>
    <row r="114">
      <c r="A114" s="111"/>
      <c r="B114" s="111"/>
      <c r="C114" s="111"/>
      <c r="D114" s="111"/>
      <c r="E114" s="111"/>
      <c r="F114" s="112"/>
      <c r="G114" s="111"/>
      <c r="H114" s="111"/>
      <c r="I114" s="113"/>
      <c r="J114" s="114"/>
      <c r="K114" s="115"/>
      <c r="L114" s="115"/>
      <c r="M114" s="116"/>
      <c r="N114" s="116"/>
      <c r="O114" s="116"/>
      <c r="P114" s="116"/>
      <c r="Q114" s="116"/>
    </row>
    <row r="115">
      <c r="A115" s="111"/>
      <c r="B115" s="111"/>
      <c r="C115" s="111"/>
      <c r="D115" s="111"/>
      <c r="E115" s="111"/>
      <c r="F115" s="112"/>
      <c r="G115" s="111"/>
      <c r="H115" s="111"/>
      <c r="I115" s="113"/>
      <c r="J115" s="114"/>
      <c r="K115" s="115"/>
      <c r="L115" s="115"/>
      <c r="M115" s="116"/>
      <c r="N115" s="116"/>
      <c r="O115" s="116"/>
      <c r="P115" s="116"/>
      <c r="Q115" s="116"/>
    </row>
    <row r="116">
      <c r="A116" s="111"/>
      <c r="B116" s="111"/>
      <c r="C116" s="111"/>
      <c r="D116" s="111"/>
      <c r="E116" s="111"/>
      <c r="F116" s="112"/>
      <c r="G116" s="111"/>
      <c r="H116" s="111"/>
      <c r="I116" s="113"/>
      <c r="J116" s="114"/>
      <c r="K116" s="115"/>
      <c r="L116" s="115"/>
      <c r="M116" s="116"/>
      <c r="N116" s="116"/>
      <c r="O116" s="116"/>
      <c r="P116" s="116"/>
      <c r="Q116" s="116"/>
    </row>
    <row r="117">
      <c r="A117" s="111"/>
      <c r="B117" s="111"/>
      <c r="C117" s="111"/>
      <c r="D117" s="111"/>
      <c r="E117" s="111"/>
      <c r="F117" s="112"/>
      <c r="G117" s="111"/>
      <c r="H117" s="111"/>
      <c r="I117" s="113"/>
      <c r="J117" s="114"/>
      <c r="K117" s="115"/>
      <c r="L117" s="115"/>
      <c r="M117" s="116"/>
      <c r="N117" s="116"/>
      <c r="O117" s="116"/>
      <c r="P117" s="116"/>
      <c r="Q117" s="116"/>
    </row>
    <row r="118">
      <c r="A118" s="111"/>
      <c r="B118" s="111"/>
      <c r="C118" s="111"/>
      <c r="D118" s="111"/>
      <c r="E118" s="111"/>
      <c r="F118" s="112"/>
      <c r="G118" s="111"/>
      <c r="H118" s="111"/>
      <c r="I118" s="113"/>
      <c r="J118" s="114"/>
      <c r="K118" s="115"/>
      <c r="L118" s="115"/>
      <c r="M118" s="116"/>
      <c r="N118" s="116"/>
      <c r="O118" s="116"/>
      <c r="P118" s="116"/>
      <c r="Q118" s="116"/>
    </row>
    <row r="119">
      <c r="A119" s="111"/>
      <c r="B119" s="111"/>
      <c r="C119" s="111"/>
      <c r="D119" s="111"/>
      <c r="E119" s="111"/>
      <c r="F119" s="112"/>
      <c r="G119" s="111"/>
      <c r="H119" s="111"/>
      <c r="I119" s="113"/>
      <c r="J119" s="114"/>
      <c r="K119" s="115"/>
      <c r="L119" s="115"/>
      <c r="M119" s="116"/>
      <c r="N119" s="116"/>
      <c r="O119" s="116"/>
      <c r="P119" s="116"/>
      <c r="Q119" s="116"/>
    </row>
    <row r="120">
      <c r="A120" s="111"/>
      <c r="B120" s="111"/>
      <c r="C120" s="111"/>
      <c r="D120" s="111"/>
      <c r="E120" s="111"/>
      <c r="F120" s="112"/>
      <c r="G120" s="111"/>
      <c r="H120" s="111"/>
      <c r="I120" s="113"/>
      <c r="J120" s="114"/>
      <c r="K120" s="115"/>
      <c r="L120" s="115"/>
      <c r="M120" s="116"/>
      <c r="N120" s="116"/>
      <c r="O120" s="116"/>
      <c r="P120" s="116"/>
      <c r="Q120" s="116"/>
    </row>
    <row r="121">
      <c r="A121" s="111"/>
      <c r="B121" s="111"/>
      <c r="C121" s="111"/>
      <c r="D121" s="111"/>
      <c r="E121" s="111"/>
      <c r="F121" s="112"/>
      <c r="G121" s="111"/>
      <c r="H121" s="111"/>
      <c r="I121" s="113"/>
      <c r="J121" s="114"/>
      <c r="K121" s="115"/>
      <c r="L121" s="115"/>
      <c r="M121" s="116"/>
      <c r="N121" s="116"/>
      <c r="O121" s="116"/>
      <c r="P121" s="116"/>
      <c r="Q121" s="116"/>
    </row>
    <row r="122">
      <c r="A122" s="111"/>
      <c r="B122" s="111"/>
      <c r="C122" s="111"/>
      <c r="D122" s="111"/>
      <c r="E122" s="111"/>
      <c r="F122" s="112"/>
      <c r="G122" s="111"/>
      <c r="H122" s="111"/>
      <c r="I122" s="113"/>
      <c r="J122" s="114"/>
      <c r="K122" s="115"/>
      <c r="L122" s="115"/>
      <c r="M122" s="116"/>
      <c r="N122" s="116"/>
      <c r="O122" s="116"/>
      <c r="P122" s="116"/>
      <c r="Q122" s="116"/>
    </row>
    <row r="123">
      <c r="A123" s="111"/>
      <c r="B123" s="111"/>
      <c r="C123" s="111"/>
      <c r="D123" s="111"/>
      <c r="E123" s="111"/>
      <c r="F123" s="112"/>
      <c r="G123" s="111"/>
      <c r="H123" s="111"/>
      <c r="I123" s="113"/>
      <c r="J123" s="114"/>
      <c r="K123" s="115"/>
      <c r="L123" s="115"/>
      <c r="M123" s="116"/>
      <c r="N123" s="116"/>
      <c r="O123" s="116"/>
      <c r="P123" s="116"/>
      <c r="Q123" s="116"/>
    </row>
    <row r="124">
      <c r="A124" s="111"/>
      <c r="B124" s="111"/>
      <c r="C124" s="111"/>
      <c r="D124" s="111"/>
      <c r="E124" s="111"/>
      <c r="F124" s="112"/>
      <c r="G124" s="111"/>
      <c r="H124" s="111"/>
      <c r="I124" s="113"/>
      <c r="J124" s="114"/>
      <c r="K124" s="115"/>
      <c r="L124" s="115"/>
      <c r="M124" s="116"/>
      <c r="N124" s="116"/>
      <c r="O124" s="116"/>
      <c r="P124" s="116"/>
      <c r="Q124" s="116"/>
    </row>
    <row r="125">
      <c r="A125" s="111"/>
      <c r="B125" s="111"/>
      <c r="C125" s="111"/>
      <c r="D125" s="111"/>
      <c r="E125" s="111"/>
      <c r="F125" s="112"/>
      <c r="G125" s="111"/>
      <c r="H125" s="111"/>
      <c r="I125" s="113"/>
      <c r="J125" s="114"/>
      <c r="K125" s="115"/>
      <c r="L125" s="115"/>
      <c r="M125" s="116"/>
      <c r="N125" s="116"/>
      <c r="O125" s="116"/>
      <c r="P125" s="116"/>
      <c r="Q125" s="116"/>
    </row>
    <row r="126">
      <c r="A126" s="111"/>
      <c r="B126" s="111"/>
      <c r="C126" s="111"/>
      <c r="D126" s="111"/>
      <c r="E126" s="111"/>
      <c r="F126" s="112"/>
      <c r="G126" s="111"/>
      <c r="H126" s="111"/>
      <c r="I126" s="113"/>
      <c r="J126" s="114"/>
      <c r="K126" s="115"/>
      <c r="L126" s="115"/>
      <c r="M126" s="116"/>
      <c r="N126" s="116"/>
      <c r="O126" s="116"/>
      <c r="P126" s="116"/>
      <c r="Q126" s="116"/>
    </row>
    <row r="127">
      <c r="A127" s="111"/>
      <c r="B127" s="111"/>
      <c r="C127" s="111"/>
      <c r="D127" s="111"/>
      <c r="E127" s="111"/>
      <c r="F127" s="112"/>
      <c r="G127" s="111"/>
      <c r="H127" s="111"/>
      <c r="I127" s="113"/>
      <c r="J127" s="114"/>
      <c r="K127" s="115"/>
      <c r="L127" s="115"/>
      <c r="M127" s="116"/>
      <c r="N127" s="116"/>
      <c r="O127" s="116"/>
      <c r="P127" s="116"/>
      <c r="Q127" s="116"/>
    </row>
    <row r="128">
      <c r="A128" s="111"/>
      <c r="B128" s="111"/>
      <c r="C128" s="111"/>
      <c r="D128" s="111"/>
      <c r="E128" s="111"/>
      <c r="F128" s="112"/>
      <c r="G128" s="111"/>
      <c r="H128" s="111"/>
      <c r="I128" s="113"/>
      <c r="J128" s="114"/>
      <c r="K128" s="115"/>
      <c r="L128" s="115"/>
      <c r="M128" s="116"/>
      <c r="N128" s="116"/>
      <c r="O128" s="116"/>
      <c r="P128" s="116"/>
      <c r="Q128" s="116"/>
    </row>
    <row r="129">
      <c r="A129" s="111"/>
      <c r="B129" s="111"/>
      <c r="C129" s="111"/>
      <c r="D129" s="111"/>
      <c r="E129" s="111"/>
      <c r="F129" s="112"/>
      <c r="G129" s="111"/>
      <c r="H129" s="111"/>
      <c r="I129" s="113"/>
      <c r="J129" s="114"/>
      <c r="K129" s="115"/>
      <c r="L129" s="115"/>
      <c r="M129" s="116"/>
      <c r="N129" s="116"/>
      <c r="O129" s="116"/>
      <c r="P129" s="116"/>
      <c r="Q129" s="116"/>
    </row>
    <row r="130">
      <c r="A130" s="111"/>
      <c r="B130" s="111"/>
      <c r="C130" s="111"/>
      <c r="D130" s="111"/>
      <c r="E130" s="111"/>
      <c r="F130" s="112"/>
      <c r="G130" s="111"/>
      <c r="H130" s="111"/>
      <c r="I130" s="113"/>
      <c r="J130" s="114"/>
      <c r="K130" s="115"/>
      <c r="L130" s="115"/>
      <c r="M130" s="116"/>
      <c r="N130" s="116"/>
      <c r="O130" s="116"/>
      <c r="P130" s="116"/>
      <c r="Q130" s="116"/>
    </row>
    <row r="131">
      <c r="A131" s="111"/>
      <c r="B131" s="111"/>
      <c r="C131" s="111"/>
      <c r="D131" s="111"/>
      <c r="E131" s="111"/>
      <c r="F131" s="112"/>
      <c r="G131" s="111"/>
      <c r="H131" s="111"/>
      <c r="I131" s="113"/>
      <c r="J131" s="114"/>
      <c r="K131" s="115"/>
      <c r="L131" s="115"/>
      <c r="M131" s="116"/>
      <c r="N131" s="116"/>
      <c r="O131" s="116"/>
      <c r="P131" s="116"/>
      <c r="Q131" s="116"/>
    </row>
    <row r="132">
      <c r="A132" s="111"/>
      <c r="B132" s="111"/>
      <c r="C132" s="111"/>
      <c r="D132" s="111"/>
      <c r="E132" s="111"/>
      <c r="F132" s="112"/>
      <c r="G132" s="111"/>
      <c r="H132" s="111"/>
      <c r="I132" s="113"/>
      <c r="J132" s="114"/>
      <c r="K132" s="115"/>
      <c r="L132" s="115"/>
      <c r="M132" s="116"/>
      <c r="N132" s="116"/>
      <c r="O132" s="116"/>
      <c r="P132" s="116"/>
      <c r="Q132" s="116"/>
    </row>
    <row r="133">
      <c r="A133" s="111"/>
      <c r="B133" s="111"/>
      <c r="C133" s="111"/>
      <c r="D133" s="111"/>
      <c r="E133" s="111"/>
      <c r="F133" s="112"/>
      <c r="G133" s="111"/>
      <c r="H133" s="111"/>
      <c r="I133" s="113"/>
      <c r="J133" s="114"/>
      <c r="K133" s="115"/>
      <c r="L133" s="115"/>
      <c r="M133" s="116"/>
      <c r="N133" s="116"/>
      <c r="O133" s="116"/>
      <c r="P133" s="116"/>
      <c r="Q133" s="116"/>
    </row>
    <row r="134">
      <c r="A134" s="111"/>
      <c r="B134" s="111"/>
      <c r="C134" s="111"/>
      <c r="D134" s="111"/>
      <c r="E134" s="111"/>
      <c r="F134" s="112"/>
      <c r="G134" s="111"/>
      <c r="H134" s="111"/>
      <c r="I134" s="113"/>
      <c r="J134" s="114"/>
      <c r="K134" s="115"/>
      <c r="L134" s="115"/>
      <c r="M134" s="116"/>
      <c r="N134" s="116"/>
      <c r="O134" s="116"/>
      <c r="P134" s="116"/>
      <c r="Q134" s="116"/>
    </row>
    <row r="135">
      <c r="A135" s="111"/>
      <c r="B135" s="111"/>
      <c r="C135" s="111"/>
      <c r="D135" s="111"/>
      <c r="E135" s="111"/>
      <c r="F135" s="112"/>
      <c r="G135" s="111"/>
      <c r="H135" s="111"/>
      <c r="I135" s="113"/>
      <c r="J135" s="114"/>
      <c r="K135" s="115"/>
      <c r="L135" s="115"/>
      <c r="M135" s="116"/>
      <c r="N135" s="116"/>
      <c r="O135" s="116"/>
      <c r="P135" s="116"/>
      <c r="Q135" s="116"/>
    </row>
    <row r="136">
      <c r="A136" s="111"/>
      <c r="B136" s="111"/>
      <c r="C136" s="111"/>
      <c r="D136" s="111"/>
      <c r="E136" s="111"/>
      <c r="F136" s="112"/>
      <c r="G136" s="111"/>
      <c r="H136" s="111"/>
      <c r="I136" s="113"/>
      <c r="J136" s="114"/>
      <c r="K136" s="115"/>
      <c r="L136" s="115"/>
      <c r="M136" s="116"/>
      <c r="N136" s="116"/>
      <c r="O136" s="116"/>
      <c r="P136" s="116"/>
      <c r="Q136" s="116"/>
    </row>
    <row r="137">
      <c r="A137" s="111"/>
      <c r="B137" s="111"/>
      <c r="C137" s="111"/>
      <c r="D137" s="111"/>
      <c r="E137" s="111"/>
      <c r="F137" s="112"/>
      <c r="G137" s="111"/>
      <c r="H137" s="111"/>
      <c r="I137" s="113"/>
      <c r="J137" s="114"/>
      <c r="K137" s="115"/>
      <c r="L137" s="115"/>
      <c r="M137" s="116"/>
      <c r="N137" s="116"/>
      <c r="O137" s="116"/>
      <c r="P137" s="116"/>
      <c r="Q137" s="116"/>
    </row>
    <row r="138">
      <c r="A138" s="111"/>
      <c r="B138" s="111"/>
      <c r="C138" s="111"/>
      <c r="D138" s="111"/>
      <c r="E138" s="111"/>
      <c r="F138" s="112"/>
      <c r="G138" s="111"/>
      <c r="H138" s="111"/>
      <c r="I138" s="113"/>
      <c r="J138" s="114"/>
      <c r="K138" s="115"/>
      <c r="L138" s="115"/>
      <c r="M138" s="116"/>
      <c r="N138" s="116"/>
      <c r="O138" s="116"/>
      <c r="P138" s="116"/>
      <c r="Q138" s="116"/>
    </row>
    <row r="139">
      <c r="A139" s="111"/>
      <c r="B139" s="111"/>
      <c r="C139" s="111"/>
      <c r="D139" s="111"/>
      <c r="E139" s="111"/>
      <c r="F139" s="112"/>
      <c r="G139" s="111"/>
      <c r="H139" s="111"/>
      <c r="I139" s="113"/>
      <c r="J139" s="114"/>
      <c r="K139" s="115"/>
      <c r="L139" s="115"/>
      <c r="M139" s="116"/>
      <c r="N139" s="116"/>
      <c r="O139" s="116"/>
      <c r="P139" s="116"/>
      <c r="Q139" s="116"/>
    </row>
    <row r="140">
      <c r="A140" s="111"/>
      <c r="B140" s="111"/>
      <c r="C140" s="111"/>
      <c r="D140" s="111"/>
      <c r="E140" s="111"/>
      <c r="F140" s="112"/>
      <c r="G140" s="111"/>
      <c r="H140" s="111"/>
      <c r="I140" s="113"/>
      <c r="J140" s="114"/>
      <c r="K140" s="115"/>
      <c r="L140" s="115"/>
      <c r="M140" s="116"/>
      <c r="N140" s="116"/>
      <c r="O140" s="116"/>
      <c r="P140" s="116"/>
      <c r="Q140" s="116"/>
    </row>
    <row r="141">
      <c r="A141" s="111"/>
      <c r="B141" s="111"/>
      <c r="C141" s="111"/>
      <c r="D141" s="111"/>
      <c r="E141" s="111"/>
      <c r="F141" s="112"/>
      <c r="G141" s="111"/>
      <c r="H141" s="111"/>
      <c r="I141" s="113"/>
      <c r="J141" s="114"/>
      <c r="K141" s="115"/>
      <c r="L141" s="115"/>
      <c r="M141" s="116"/>
      <c r="N141" s="116"/>
      <c r="O141" s="116"/>
      <c r="P141" s="116"/>
      <c r="Q141" s="116"/>
    </row>
    <row r="142">
      <c r="A142" s="111"/>
      <c r="B142" s="111"/>
      <c r="C142" s="111"/>
      <c r="D142" s="111"/>
      <c r="E142" s="111"/>
      <c r="F142" s="112"/>
      <c r="G142" s="111"/>
      <c r="H142" s="111"/>
      <c r="I142" s="113"/>
      <c r="J142" s="114"/>
      <c r="K142" s="115"/>
      <c r="L142" s="115"/>
      <c r="M142" s="116"/>
      <c r="N142" s="116"/>
      <c r="O142" s="116"/>
      <c r="P142" s="116"/>
      <c r="Q142" s="116"/>
    </row>
    <row r="143">
      <c r="A143" s="111"/>
      <c r="B143" s="111"/>
      <c r="C143" s="111"/>
      <c r="D143" s="111"/>
      <c r="E143" s="111"/>
      <c r="F143" s="112"/>
      <c r="G143" s="111"/>
      <c r="H143" s="111"/>
      <c r="I143" s="113"/>
      <c r="J143" s="114"/>
      <c r="K143" s="115"/>
      <c r="L143" s="115"/>
      <c r="M143" s="116"/>
      <c r="N143" s="116"/>
      <c r="O143" s="116"/>
      <c r="P143" s="116"/>
      <c r="Q143" s="116"/>
    </row>
    <row r="144">
      <c r="A144" s="111"/>
      <c r="B144" s="111"/>
      <c r="C144" s="111"/>
      <c r="D144" s="111"/>
      <c r="E144" s="111"/>
      <c r="F144" s="112"/>
      <c r="G144" s="111"/>
      <c r="H144" s="111"/>
      <c r="I144" s="113"/>
      <c r="J144" s="114"/>
      <c r="K144" s="115"/>
      <c r="L144" s="115"/>
      <c r="M144" s="116"/>
      <c r="N144" s="116"/>
      <c r="O144" s="116"/>
      <c r="P144" s="116"/>
      <c r="Q144" s="116"/>
    </row>
    <row r="145">
      <c r="A145" s="111"/>
      <c r="B145" s="111"/>
      <c r="C145" s="111"/>
      <c r="D145" s="111"/>
      <c r="E145" s="111"/>
      <c r="F145" s="112"/>
      <c r="G145" s="111"/>
      <c r="H145" s="111"/>
      <c r="I145" s="113"/>
      <c r="J145" s="114"/>
      <c r="K145" s="115"/>
      <c r="L145" s="115"/>
      <c r="M145" s="116"/>
      <c r="N145" s="116"/>
      <c r="O145" s="116"/>
      <c r="P145" s="116"/>
      <c r="Q145" s="116"/>
    </row>
    <row r="146">
      <c r="A146" s="111"/>
      <c r="B146" s="111"/>
      <c r="C146" s="111"/>
      <c r="D146" s="111"/>
      <c r="E146" s="111"/>
      <c r="F146" s="112"/>
      <c r="G146" s="111"/>
      <c r="H146" s="111"/>
      <c r="I146" s="113"/>
      <c r="J146" s="114"/>
      <c r="K146" s="115"/>
      <c r="L146" s="115"/>
      <c r="M146" s="116"/>
      <c r="N146" s="116"/>
      <c r="O146" s="116"/>
      <c r="P146" s="116"/>
      <c r="Q146" s="116"/>
    </row>
    <row r="147">
      <c r="A147" s="111"/>
      <c r="B147" s="111"/>
      <c r="C147" s="111"/>
      <c r="D147" s="111"/>
      <c r="E147" s="111"/>
      <c r="F147" s="112"/>
      <c r="G147" s="111"/>
      <c r="H147" s="111"/>
      <c r="I147" s="113"/>
      <c r="J147" s="114"/>
      <c r="K147" s="115"/>
      <c r="L147" s="115"/>
      <c r="M147" s="116"/>
      <c r="N147" s="116"/>
      <c r="O147" s="116"/>
      <c r="P147" s="116"/>
      <c r="Q147" s="116"/>
    </row>
    <row r="148">
      <c r="A148" s="111"/>
      <c r="B148" s="111"/>
      <c r="C148" s="111"/>
      <c r="D148" s="111"/>
      <c r="E148" s="111"/>
      <c r="F148" s="112"/>
      <c r="G148" s="111"/>
      <c r="H148" s="111"/>
      <c r="I148" s="113"/>
      <c r="J148" s="114"/>
      <c r="K148" s="115"/>
      <c r="L148" s="115"/>
      <c r="M148" s="116"/>
      <c r="N148" s="116"/>
      <c r="O148" s="116"/>
      <c r="P148" s="116"/>
      <c r="Q148" s="116"/>
    </row>
    <row r="149">
      <c r="A149" s="111"/>
      <c r="B149" s="111"/>
      <c r="C149" s="111"/>
      <c r="D149" s="111"/>
      <c r="E149" s="111"/>
      <c r="F149" s="112"/>
      <c r="G149" s="111"/>
      <c r="H149" s="111"/>
      <c r="I149" s="113"/>
      <c r="J149" s="114"/>
      <c r="K149" s="115"/>
      <c r="L149" s="115"/>
      <c r="M149" s="116"/>
      <c r="N149" s="116"/>
      <c r="O149" s="116"/>
      <c r="P149" s="116"/>
      <c r="Q149" s="116"/>
    </row>
    <row r="150">
      <c r="A150" s="111"/>
      <c r="B150" s="111"/>
      <c r="C150" s="111"/>
      <c r="D150" s="111"/>
      <c r="E150" s="111"/>
      <c r="F150" s="112"/>
      <c r="G150" s="111"/>
      <c r="H150" s="111"/>
      <c r="I150" s="113"/>
      <c r="J150" s="114"/>
      <c r="K150" s="115"/>
      <c r="L150" s="115"/>
      <c r="M150" s="116"/>
      <c r="N150" s="116"/>
      <c r="O150" s="116"/>
      <c r="P150" s="116"/>
      <c r="Q150" s="116"/>
    </row>
    <row r="151">
      <c r="A151" s="111"/>
      <c r="B151" s="111"/>
      <c r="C151" s="111"/>
      <c r="D151" s="111"/>
      <c r="E151" s="111"/>
      <c r="F151" s="112"/>
      <c r="G151" s="111"/>
      <c r="H151" s="111"/>
      <c r="I151" s="113"/>
      <c r="J151" s="114"/>
      <c r="K151" s="115"/>
      <c r="L151" s="115"/>
      <c r="M151" s="116"/>
      <c r="N151" s="116"/>
      <c r="O151" s="116"/>
      <c r="P151" s="116"/>
      <c r="Q151" s="116"/>
    </row>
    <row r="152">
      <c r="A152" s="111"/>
      <c r="B152" s="111"/>
      <c r="C152" s="111"/>
      <c r="D152" s="111"/>
      <c r="E152" s="111"/>
      <c r="F152" s="112"/>
      <c r="G152" s="111"/>
      <c r="H152" s="111"/>
      <c r="I152" s="113"/>
      <c r="J152" s="114"/>
      <c r="K152" s="115"/>
      <c r="L152" s="115"/>
      <c r="M152" s="116"/>
      <c r="N152" s="116"/>
      <c r="O152" s="116"/>
      <c r="P152" s="116"/>
      <c r="Q152" s="116"/>
    </row>
    <row r="153">
      <c r="A153" s="111"/>
      <c r="B153" s="111"/>
      <c r="C153" s="111"/>
      <c r="D153" s="111"/>
      <c r="E153" s="111"/>
      <c r="F153" s="112"/>
      <c r="G153" s="111"/>
      <c r="H153" s="111"/>
      <c r="I153" s="113"/>
      <c r="J153" s="114"/>
      <c r="K153" s="115"/>
      <c r="L153" s="115"/>
      <c r="M153" s="116"/>
      <c r="N153" s="116"/>
      <c r="O153" s="116"/>
      <c r="P153" s="116"/>
      <c r="Q153" s="116"/>
    </row>
    <row r="154">
      <c r="A154" s="111"/>
      <c r="B154" s="111"/>
      <c r="C154" s="111"/>
      <c r="D154" s="111"/>
      <c r="E154" s="111"/>
      <c r="F154" s="112"/>
      <c r="G154" s="111"/>
      <c r="H154" s="111"/>
      <c r="I154" s="113"/>
      <c r="J154" s="114"/>
      <c r="K154" s="115"/>
      <c r="L154" s="115"/>
      <c r="M154" s="116"/>
      <c r="N154" s="116"/>
      <c r="O154" s="116"/>
      <c r="P154" s="116"/>
      <c r="Q154" s="116"/>
    </row>
    <row r="155">
      <c r="A155" s="111"/>
      <c r="B155" s="111"/>
      <c r="C155" s="111"/>
      <c r="D155" s="111"/>
      <c r="E155" s="111"/>
      <c r="F155" s="112"/>
      <c r="G155" s="111"/>
      <c r="H155" s="111"/>
      <c r="I155" s="113"/>
      <c r="J155" s="114"/>
      <c r="K155" s="115"/>
      <c r="L155" s="115"/>
      <c r="M155" s="116"/>
      <c r="N155" s="116"/>
      <c r="O155" s="116"/>
      <c r="P155" s="116"/>
      <c r="Q155" s="116"/>
    </row>
    <row r="156">
      <c r="A156" s="111"/>
      <c r="B156" s="111"/>
      <c r="C156" s="111"/>
      <c r="D156" s="111"/>
      <c r="E156" s="111"/>
      <c r="F156" s="112"/>
      <c r="G156" s="111"/>
      <c r="H156" s="111"/>
      <c r="I156" s="113"/>
      <c r="J156" s="114"/>
      <c r="K156" s="115"/>
      <c r="L156" s="115"/>
      <c r="M156" s="116"/>
      <c r="N156" s="116"/>
      <c r="O156" s="116"/>
      <c r="P156" s="116"/>
      <c r="Q156" s="116"/>
    </row>
    <row r="157">
      <c r="A157" s="111"/>
      <c r="B157" s="111"/>
      <c r="C157" s="111"/>
      <c r="D157" s="111"/>
      <c r="E157" s="111"/>
      <c r="F157" s="112"/>
      <c r="G157" s="111"/>
      <c r="H157" s="111"/>
      <c r="I157" s="113"/>
      <c r="J157" s="114"/>
      <c r="K157" s="115"/>
      <c r="L157" s="115"/>
      <c r="M157" s="116"/>
      <c r="N157" s="116"/>
      <c r="O157" s="116"/>
      <c r="P157" s="116"/>
      <c r="Q157" s="116"/>
    </row>
    <row r="158">
      <c r="A158" s="111"/>
      <c r="B158" s="111"/>
      <c r="C158" s="111"/>
      <c r="D158" s="111"/>
      <c r="E158" s="111"/>
      <c r="F158" s="112"/>
      <c r="G158" s="111"/>
      <c r="H158" s="111"/>
      <c r="I158" s="113"/>
      <c r="J158" s="114"/>
      <c r="K158" s="115"/>
      <c r="L158" s="115"/>
      <c r="M158" s="116"/>
      <c r="N158" s="116"/>
      <c r="O158" s="116"/>
      <c r="P158" s="116"/>
      <c r="Q158" s="116"/>
    </row>
    <row r="159">
      <c r="A159" s="111"/>
      <c r="B159" s="111"/>
      <c r="C159" s="111"/>
      <c r="D159" s="111"/>
      <c r="E159" s="111"/>
      <c r="F159" s="112"/>
      <c r="G159" s="111"/>
      <c r="H159" s="111"/>
      <c r="I159" s="113"/>
      <c r="J159" s="114"/>
      <c r="K159" s="115"/>
      <c r="L159" s="115"/>
      <c r="M159" s="116"/>
      <c r="N159" s="116"/>
      <c r="O159" s="116"/>
      <c r="P159" s="116"/>
      <c r="Q159" s="116"/>
    </row>
    <row r="160">
      <c r="A160" s="111"/>
      <c r="B160" s="111"/>
      <c r="C160" s="111"/>
      <c r="D160" s="111"/>
      <c r="E160" s="111"/>
      <c r="F160" s="112"/>
      <c r="G160" s="111"/>
      <c r="H160" s="111"/>
      <c r="I160" s="113"/>
      <c r="J160" s="114"/>
      <c r="K160" s="115"/>
      <c r="L160" s="115"/>
      <c r="M160" s="116"/>
      <c r="N160" s="116"/>
      <c r="O160" s="116"/>
      <c r="P160" s="116"/>
      <c r="Q160" s="116"/>
    </row>
    <row r="161">
      <c r="A161" s="111"/>
      <c r="B161" s="111"/>
      <c r="C161" s="111"/>
      <c r="D161" s="111"/>
      <c r="E161" s="111"/>
      <c r="F161" s="112"/>
      <c r="G161" s="111"/>
      <c r="H161" s="111"/>
      <c r="I161" s="113"/>
      <c r="J161" s="114"/>
      <c r="K161" s="115"/>
      <c r="L161" s="115"/>
      <c r="M161" s="116"/>
      <c r="N161" s="116"/>
      <c r="O161" s="116"/>
      <c r="P161" s="116"/>
      <c r="Q161" s="116"/>
    </row>
    <row r="162">
      <c r="A162" s="111"/>
      <c r="B162" s="111"/>
      <c r="C162" s="111"/>
      <c r="D162" s="111"/>
      <c r="E162" s="111"/>
      <c r="F162" s="112"/>
      <c r="G162" s="111"/>
      <c r="H162" s="111"/>
      <c r="I162" s="113"/>
      <c r="J162" s="114"/>
      <c r="K162" s="115"/>
      <c r="L162" s="115"/>
      <c r="M162" s="116"/>
      <c r="N162" s="116"/>
      <c r="O162" s="116"/>
      <c r="P162" s="116"/>
      <c r="Q162" s="116"/>
    </row>
    <row r="163">
      <c r="A163" s="111"/>
      <c r="B163" s="111"/>
      <c r="C163" s="111"/>
      <c r="D163" s="111"/>
      <c r="E163" s="111"/>
      <c r="F163" s="112"/>
      <c r="G163" s="111"/>
      <c r="H163" s="111"/>
      <c r="I163" s="113"/>
      <c r="J163" s="114"/>
      <c r="K163" s="115"/>
      <c r="L163" s="115"/>
      <c r="M163" s="116"/>
      <c r="N163" s="116"/>
      <c r="O163" s="116"/>
      <c r="P163" s="116"/>
      <c r="Q163" s="116"/>
    </row>
    <row r="164">
      <c r="A164" s="111"/>
      <c r="B164" s="111"/>
      <c r="C164" s="111"/>
      <c r="D164" s="111"/>
      <c r="E164" s="111"/>
      <c r="F164" s="112"/>
      <c r="G164" s="111"/>
      <c r="H164" s="111"/>
      <c r="I164" s="113"/>
      <c r="J164" s="114"/>
      <c r="K164" s="115"/>
      <c r="L164" s="115"/>
      <c r="M164" s="116"/>
      <c r="N164" s="116"/>
      <c r="O164" s="116"/>
      <c r="P164" s="116"/>
      <c r="Q164" s="116"/>
    </row>
    <row r="165">
      <c r="A165" s="111"/>
      <c r="B165" s="111"/>
      <c r="C165" s="111"/>
      <c r="D165" s="111"/>
      <c r="E165" s="111"/>
      <c r="F165" s="112"/>
      <c r="G165" s="111"/>
      <c r="H165" s="111"/>
      <c r="I165" s="113"/>
      <c r="J165" s="114"/>
      <c r="K165" s="115"/>
      <c r="L165" s="115"/>
      <c r="M165" s="116"/>
      <c r="N165" s="116"/>
      <c r="O165" s="116"/>
      <c r="P165" s="116"/>
      <c r="Q165" s="116"/>
    </row>
    <row r="166">
      <c r="A166" s="111"/>
      <c r="B166" s="111"/>
      <c r="C166" s="111"/>
      <c r="D166" s="111"/>
      <c r="E166" s="111"/>
      <c r="F166" s="112"/>
      <c r="G166" s="111"/>
      <c r="H166" s="111"/>
      <c r="I166" s="113"/>
      <c r="J166" s="114"/>
      <c r="K166" s="115"/>
      <c r="L166" s="115"/>
      <c r="M166" s="116"/>
      <c r="N166" s="116"/>
      <c r="O166" s="116"/>
      <c r="P166" s="116"/>
      <c r="Q166" s="116"/>
    </row>
    <row r="167">
      <c r="A167" s="111"/>
      <c r="B167" s="111"/>
      <c r="C167" s="111"/>
      <c r="D167" s="111"/>
      <c r="E167" s="111"/>
      <c r="F167" s="112"/>
      <c r="G167" s="111"/>
      <c r="H167" s="111"/>
      <c r="I167" s="113"/>
      <c r="J167" s="114"/>
      <c r="K167" s="115"/>
      <c r="L167" s="115"/>
      <c r="M167" s="116"/>
      <c r="N167" s="116"/>
      <c r="O167" s="116"/>
      <c r="P167" s="116"/>
      <c r="Q167" s="116"/>
    </row>
    <row r="168">
      <c r="A168" s="111"/>
      <c r="B168" s="111"/>
      <c r="C168" s="111"/>
      <c r="D168" s="111"/>
      <c r="E168" s="111"/>
      <c r="F168" s="112"/>
      <c r="G168" s="111"/>
      <c r="H168" s="111"/>
      <c r="I168" s="113"/>
      <c r="J168" s="114"/>
      <c r="K168" s="115"/>
      <c r="L168" s="115"/>
      <c r="M168" s="116"/>
      <c r="N168" s="116"/>
      <c r="O168" s="116"/>
      <c r="P168" s="116"/>
      <c r="Q168" s="116"/>
    </row>
    <row r="169">
      <c r="A169" s="111"/>
      <c r="B169" s="111"/>
      <c r="C169" s="111"/>
      <c r="D169" s="111"/>
      <c r="E169" s="111"/>
      <c r="F169" s="112"/>
      <c r="G169" s="111"/>
      <c r="H169" s="111"/>
      <c r="I169" s="113"/>
      <c r="J169" s="114"/>
      <c r="K169" s="115"/>
      <c r="L169" s="115"/>
      <c r="M169" s="116"/>
      <c r="N169" s="116"/>
      <c r="O169" s="116"/>
      <c r="P169" s="116"/>
      <c r="Q169" s="116"/>
    </row>
    <row r="170">
      <c r="A170" s="111"/>
      <c r="B170" s="111"/>
      <c r="C170" s="111"/>
      <c r="D170" s="111"/>
      <c r="E170" s="111"/>
      <c r="F170" s="112"/>
      <c r="G170" s="111"/>
      <c r="H170" s="111"/>
      <c r="I170" s="113"/>
      <c r="J170" s="114"/>
      <c r="K170" s="115"/>
      <c r="L170" s="115"/>
      <c r="M170" s="116"/>
      <c r="N170" s="116"/>
      <c r="O170" s="116"/>
      <c r="P170" s="116"/>
      <c r="Q170" s="116"/>
    </row>
    <row r="171">
      <c r="A171" s="111"/>
      <c r="B171" s="111"/>
      <c r="C171" s="111"/>
      <c r="D171" s="111"/>
      <c r="E171" s="111"/>
      <c r="F171" s="112"/>
      <c r="G171" s="111"/>
      <c r="H171" s="111"/>
      <c r="I171" s="113"/>
      <c r="J171" s="114"/>
      <c r="K171" s="115"/>
      <c r="L171" s="115"/>
      <c r="M171" s="116"/>
      <c r="N171" s="116"/>
      <c r="O171" s="116"/>
      <c r="P171" s="116"/>
      <c r="Q171" s="116"/>
    </row>
    <row r="172">
      <c r="A172" s="111"/>
      <c r="B172" s="111"/>
      <c r="C172" s="111"/>
      <c r="D172" s="111"/>
      <c r="E172" s="111"/>
      <c r="F172" s="112"/>
      <c r="G172" s="111"/>
      <c r="H172" s="111"/>
      <c r="I172" s="113"/>
      <c r="J172" s="114"/>
      <c r="K172" s="115"/>
      <c r="L172" s="115"/>
      <c r="M172" s="116"/>
      <c r="N172" s="116"/>
      <c r="O172" s="116"/>
      <c r="P172" s="116"/>
      <c r="Q172" s="116"/>
    </row>
    <row r="173">
      <c r="A173" s="111"/>
      <c r="B173" s="111"/>
      <c r="C173" s="111"/>
      <c r="D173" s="111"/>
      <c r="E173" s="111"/>
      <c r="F173" s="112"/>
      <c r="G173" s="111"/>
      <c r="H173" s="111"/>
      <c r="I173" s="113"/>
      <c r="J173" s="114"/>
      <c r="K173" s="115"/>
      <c r="L173" s="115"/>
      <c r="M173" s="116"/>
      <c r="N173" s="116"/>
      <c r="O173" s="116"/>
      <c r="P173" s="116"/>
      <c r="Q173" s="116"/>
    </row>
    <row r="174">
      <c r="A174" s="111"/>
      <c r="B174" s="111"/>
      <c r="C174" s="111"/>
      <c r="D174" s="111"/>
      <c r="E174" s="111"/>
      <c r="F174" s="112"/>
      <c r="G174" s="111"/>
      <c r="H174" s="111"/>
      <c r="I174" s="113"/>
      <c r="J174" s="114"/>
      <c r="K174" s="115"/>
      <c r="L174" s="115"/>
      <c r="M174" s="116"/>
      <c r="N174" s="116"/>
      <c r="O174" s="116"/>
      <c r="P174" s="116"/>
      <c r="Q174" s="116"/>
    </row>
    <row r="175">
      <c r="A175" s="111"/>
      <c r="B175" s="111"/>
      <c r="C175" s="111"/>
      <c r="D175" s="111"/>
      <c r="E175" s="111"/>
      <c r="F175" s="112"/>
      <c r="G175" s="111"/>
      <c r="H175" s="111"/>
      <c r="I175" s="113"/>
      <c r="J175" s="114"/>
      <c r="K175" s="115"/>
      <c r="L175" s="115"/>
      <c r="M175" s="116"/>
      <c r="N175" s="116"/>
      <c r="O175" s="116"/>
      <c r="P175" s="116"/>
      <c r="Q175" s="116"/>
    </row>
    <row r="176">
      <c r="A176" s="111"/>
      <c r="B176" s="111"/>
      <c r="C176" s="111"/>
      <c r="D176" s="111"/>
      <c r="E176" s="111"/>
      <c r="F176" s="112"/>
      <c r="G176" s="111"/>
      <c r="H176" s="111"/>
      <c r="I176" s="113"/>
      <c r="J176" s="114"/>
      <c r="K176" s="115"/>
      <c r="L176" s="115"/>
      <c r="M176" s="116"/>
      <c r="N176" s="116"/>
      <c r="O176" s="116"/>
      <c r="P176" s="116"/>
      <c r="Q176" s="116"/>
    </row>
    <row r="177">
      <c r="A177" s="111"/>
      <c r="B177" s="111"/>
      <c r="C177" s="111"/>
      <c r="D177" s="111"/>
      <c r="E177" s="111"/>
      <c r="F177" s="112"/>
      <c r="G177" s="111"/>
      <c r="H177" s="111"/>
      <c r="I177" s="113"/>
      <c r="J177" s="114"/>
      <c r="K177" s="115"/>
      <c r="L177" s="115"/>
      <c r="M177" s="116"/>
      <c r="N177" s="116"/>
      <c r="O177" s="116"/>
      <c r="P177" s="116"/>
      <c r="Q177" s="116"/>
    </row>
    <row r="178">
      <c r="A178" s="111"/>
      <c r="B178" s="111"/>
      <c r="C178" s="111"/>
      <c r="D178" s="111"/>
      <c r="E178" s="111"/>
      <c r="F178" s="112"/>
      <c r="G178" s="111"/>
      <c r="H178" s="111"/>
      <c r="I178" s="113"/>
      <c r="J178" s="114"/>
      <c r="K178" s="115"/>
      <c r="L178" s="115"/>
      <c r="M178" s="116"/>
      <c r="N178" s="116"/>
      <c r="O178" s="116"/>
      <c r="P178" s="116"/>
      <c r="Q178" s="116"/>
    </row>
    <row r="179">
      <c r="A179" s="111"/>
      <c r="B179" s="111"/>
      <c r="C179" s="111"/>
      <c r="D179" s="111"/>
      <c r="E179" s="111"/>
      <c r="F179" s="112"/>
      <c r="G179" s="111"/>
      <c r="H179" s="111"/>
      <c r="I179" s="113"/>
      <c r="J179" s="114"/>
      <c r="K179" s="115"/>
      <c r="L179" s="115"/>
      <c r="M179" s="116"/>
      <c r="N179" s="116"/>
      <c r="O179" s="116"/>
      <c r="P179" s="116"/>
      <c r="Q179" s="116"/>
    </row>
    <row r="180">
      <c r="A180" s="111"/>
      <c r="B180" s="111"/>
      <c r="C180" s="111"/>
      <c r="D180" s="111"/>
      <c r="E180" s="111"/>
      <c r="F180" s="112"/>
      <c r="G180" s="111"/>
      <c r="H180" s="111"/>
      <c r="I180" s="113"/>
      <c r="J180" s="114"/>
      <c r="K180" s="115"/>
      <c r="L180" s="115"/>
      <c r="M180" s="116"/>
      <c r="N180" s="116"/>
      <c r="O180" s="116"/>
      <c r="P180" s="116"/>
      <c r="Q180" s="116"/>
    </row>
    <row r="181">
      <c r="A181" s="111"/>
      <c r="B181" s="111"/>
      <c r="C181" s="111"/>
      <c r="D181" s="111"/>
      <c r="E181" s="111"/>
      <c r="F181" s="112"/>
      <c r="G181" s="111"/>
      <c r="H181" s="111"/>
      <c r="I181" s="113"/>
      <c r="J181" s="114"/>
      <c r="K181" s="115"/>
      <c r="L181" s="115"/>
      <c r="M181" s="116"/>
      <c r="N181" s="116"/>
      <c r="O181" s="116"/>
      <c r="P181" s="116"/>
      <c r="Q181" s="116"/>
    </row>
    <row r="182">
      <c r="A182" s="111"/>
      <c r="B182" s="111"/>
      <c r="C182" s="111"/>
      <c r="D182" s="111"/>
      <c r="E182" s="111"/>
      <c r="F182" s="112"/>
      <c r="G182" s="111"/>
      <c r="H182" s="111"/>
      <c r="I182" s="113"/>
      <c r="J182" s="114"/>
      <c r="K182" s="115"/>
      <c r="L182" s="115"/>
      <c r="M182" s="116"/>
      <c r="N182" s="116"/>
      <c r="O182" s="116"/>
      <c r="P182" s="116"/>
      <c r="Q182" s="116"/>
    </row>
    <row r="183">
      <c r="A183" s="111"/>
      <c r="B183" s="111"/>
      <c r="C183" s="111"/>
      <c r="D183" s="111"/>
      <c r="E183" s="111"/>
      <c r="F183" s="112"/>
      <c r="G183" s="111"/>
      <c r="H183" s="111"/>
      <c r="I183" s="113"/>
      <c r="J183" s="114"/>
      <c r="K183" s="115"/>
      <c r="L183" s="115"/>
      <c r="M183" s="116"/>
      <c r="N183" s="116"/>
      <c r="O183" s="116"/>
      <c r="P183" s="116"/>
      <c r="Q183" s="116"/>
    </row>
    <row r="184">
      <c r="A184" s="111"/>
      <c r="B184" s="111"/>
      <c r="C184" s="111"/>
      <c r="D184" s="111"/>
      <c r="E184" s="111"/>
      <c r="F184" s="112"/>
      <c r="G184" s="111"/>
      <c r="H184" s="111"/>
      <c r="I184" s="113"/>
      <c r="J184" s="114"/>
      <c r="K184" s="115"/>
      <c r="L184" s="115"/>
      <c r="M184" s="116"/>
      <c r="N184" s="116"/>
      <c r="O184" s="116"/>
      <c r="P184" s="116"/>
      <c r="Q184" s="116"/>
    </row>
    <row r="185">
      <c r="A185" s="111"/>
      <c r="B185" s="111"/>
      <c r="C185" s="111"/>
      <c r="D185" s="111"/>
      <c r="E185" s="111"/>
      <c r="F185" s="112"/>
      <c r="G185" s="111"/>
      <c r="H185" s="111"/>
      <c r="I185" s="113"/>
      <c r="J185" s="114"/>
      <c r="K185" s="115"/>
      <c r="L185" s="115"/>
      <c r="M185" s="116"/>
      <c r="N185" s="116"/>
      <c r="O185" s="116"/>
      <c r="P185" s="116"/>
      <c r="Q185" s="116"/>
    </row>
    <row r="186">
      <c r="A186" s="111"/>
      <c r="B186" s="111"/>
      <c r="C186" s="111"/>
      <c r="D186" s="111"/>
      <c r="E186" s="111"/>
      <c r="F186" s="112"/>
      <c r="G186" s="111"/>
      <c r="H186" s="111"/>
      <c r="I186" s="113"/>
      <c r="J186" s="114"/>
      <c r="K186" s="115"/>
      <c r="L186" s="115"/>
      <c r="M186" s="116"/>
      <c r="N186" s="116"/>
      <c r="O186" s="116"/>
      <c r="P186" s="116"/>
      <c r="Q186" s="116"/>
    </row>
    <row r="187">
      <c r="A187" s="111"/>
      <c r="B187" s="111"/>
      <c r="C187" s="111"/>
      <c r="D187" s="111"/>
      <c r="E187" s="111"/>
      <c r="F187" s="112"/>
      <c r="G187" s="111"/>
      <c r="H187" s="111"/>
      <c r="I187" s="113"/>
      <c r="J187" s="114"/>
      <c r="K187" s="115"/>
      <c r="L187" s="115"/>
      <c r="M187" s="116"/>
      <c r="N187" s="116"/>
      <c r="O187" s="116"/>
      <c r="P187" s="116"/>
      <c r="Q187" s="116"/>
    </row>
    <row r="188">
      <c r="A188" s="111"/>
      <c r="B188" s="111"/>
      <c r="C188" s="111"/>
      <c r="D188" s="111"/>
      <c r="E188" s="111"/>
      <c r="F188" s="112"/>
      <c r="G188" s="111"/>
      <c r="H188" s="111"/>
      <c r="I188" s="113"/>
      <c r="J188" s="114"/>
      <c r="K188" s="115"/>
      <c r="L188" s="115"/>
      <c r="M188" s="116"/>
      <c r="N188" s="116"/>
      <c r="O188" s="116"/>
      <c r="P188" s="116"/>
      <c r="Q188" s="116"/>
    </row>
    <row r="189">
      <c r="A189" s="111"/>
      <c r="B189" s="111"/>
      <c r="C189" s="111"/>
      <c r="D189" s="111"/>
      <c r="E189" s="111"/>
      <c r="F189" s="112"/>
      <c r="G189" s="111"/>
      <c r="H189" s="111"/>
      <c r="I189" s="113"/>
      <c r="J189" s="114"/>
      <c r="K189" s="115"/>
      <c r="L189" s="115"/>
      <c r="M189" s="116"/>
      <c r="N189" s="116"/>
      <c r="O189" s="116"/>
      <c r="P189" s="116"/>
      <c r="Q189" s="116"/>
    </row>
    <row r="190">
      <c r="A190" s="111"/>
      <c r="B190" s="111"/>
      <c r="C190" s="111"/>
      <c r="D190" s="111"/>
      <c r="E190" s="111"/>
      <c r="F190" s="112"/>
      <c r="G190" s="111"/>
      <c r="H190" s="111"/>
      <c r="I190" s="113"/>
      <c r="J190" s="114"/>
      <c r="K190" s="115"/>
      <c r="L190" s="115"/>
      <c r="M190" s="116"/>
      <c r="N190" s="116"/>
      <c r="O190" s="116"/>
      <c r="P190" s="116"/>
      <c r="Q190" s="116"/>
    </row>
    <row r="191">
      <c r="A191" s="111"/>
      <c r="B191" s="111"/>
      <c r="C191" s="111"/>
      <c r="D191" s="111"/>
      <c r="E191" s="111"/>
      <c r="F191" s="112"/>
      <c r="G191" s="111"/>
      <c r="H191" s="111"/>
      <c r="I191" s="113"/>
      <c r="J191" s="114"/>
      <c r="K191" s="115"/>
      <c r="L191" s="115"/>
      <c r="M191" s="116"/>
      <c r="N191" s="116"/>
      <c r="O191" s="116"/>
      <c r="P191" s="116"/>
      <c r="Q191" s="116"/>
    </row>
    <row r="192">
      <c r="A192" s="111"/>
      <c r="B192" s="111"/>
      <c r="C192" s="111"/>
      <c r="D192" s="111"/>
      <c r="E192" s="111"/>
      <c r="F192" s="112"/>
      <c r="G192" s="111"/>
      <c r="H192" s="111"/>
      <c r="I192" s="113"/>
      <c r="J192" s="114"/>
      <c r="K192" s="115"/>
      <c r="L192" s="115"/>
      <c r="M192" s="116"/>
      <c r="N192" s="116"/>
      <c r="O192" s="116"/>
      <c r="P192" s="116"/>
      <c r="Q192" s="116"/>
    </row>
    <row r="193">
      <c r="A193" s="111"/>
      <c r="B193" s="111"/>
      <c r="C193" s="111"/>
      <c r="D193" s="111"/>
      <c r="E193" s="111"/>
      <c r="F193" s="112"/>
      <c r="G193" s="111"/>
      <c r="H193" s="111"/>
      <c r="I193" s="113"/>
      <c r="J193" s="114"/>
      <c r="K193" s="115"/>
      <c r="L193" s="115"/>
      <c r="M193" s="116"/>
      <c r="N193" s="116"/>
      <c r="O193" s="116"/>
      <c r="P193" s="116"/>
      <c r="Q193" s="116"/>
    </row>
    <row r="194">
      <c r="A194" s="111"/>
      <c r="B194" s="111"/>
      <c r="C194" s="111"/>
      <c r="D194" s="111"/>
      <c r="E194" s="111"/>
      <c r="F194" s="112"/>
      <c r="G194" s="111"/>
      <c r="H194" s="111"/>
      <c r="I194" s="113"/>
      <c r="J194" s="114"/>
      <c r="K194" s="115"/>
      <c r="L194" s="115"/>
      <c r="M194" s="116"/>
      <c r="N194" s="116"/>
      <c r="O194" s="116"/>
      <c r="P194" s="116"/>
      <c r="Q194" s="116"/>
    </row>
    <row r="195">
      <c r="A195" s="111"/>
      <c r="B195" s="111"/>
      <c r="C195" s="111"/>
      <c r="D195" s="111"/>
      <c r="E195" s="111"/>
      <c r="F195" s="112"/>
      <c r="G195" s="111"/>
      <c r="H195" s="111"/>
      <c r="I195" s="113"/>
      <c r="J195" s="114"/>
      <c r="K195" s="115"/>
      <c r="L195" s="115"/>
      <c r="M195" s="116"/>
      <c r="N195" s="116"/>
      <c r="O195" s="116"/>
      <c r="P195" s="116"/>
      <c r="Q195" s="116"/>
    </row>
    <row r="196">
      <c r="A196" s="111"/>
      <c r="B196" s="111"/>
      <c r="C196" s="111"/>
      <c r="D196" s="111"/>
      <c r="E196" s="111"/>
      <c r="F196" s="112"/>
      <c r="G196" s="111"/>
      <c r="H196" s="111"/>
      <c r="I196" s="113"/>
      <c r="J196" s="114"/>
      <c r="K196" s="115"/>
      <c r="L196" s="115"/>
      <c r="M196" s="116"/>
      <c r="N196" s="116"/>
      <c r="O196" s="116"/>
      <c r="P196" s="116"/>
      <c r="Q196" s="116"/>
    </row>
    <row r="197">
      <c r="A197" s="111"/>
      <c r="B197" s="111"/>
      <c r="C197" s="111"/>
      <c r="D197" s="111"/>
      <c r="E197" s="111"/>
      <c r="F197" s="112"/>
      <c r="G197" s="111"/>
      <c r="H197" s="111"/>
      <c r="I197" s="113"/>
      <c r="J197" s="114"/>
      <c r="K197" s="115"/>
      <c r="L197" s="115"/>
      <c r="M197" s="116"/>
      <c r="N197" s="116"/>
      <c r="O197" s="116"/>
      <c r="P197" s="116"/>
      <c r="Q197" s="116"/>
    </row>
    <row r="198">
      <c r="A198" s="111"/>
      <c r="B198" s="111"/>
      <c r="C198" s="111"/>
      <c r="D198" s="111"/>
      <c r="E198" s="111"/>
      <c r="F198" s="112"/>
      <c r="G198" s="111"/>
      <c r="H198" s="111"/>
      <c r="I198" s="113"/>
      <c r="J198" s="114"/>
      <c r="K198" s="115"/>
      <c r="L198" s="115"/>
      <c r="M198" s="116"/>
      <c r="N198" s="116"/>
      <c r="O198" s="116"/>
      <c r="P198" s="116"/>
      <c r="Q198" s="116"/>
    </row>
    <row r="199">
      <c r="A199" s="111"/>
      <c r="B199" s="111"/>
      <c r="C199" s="111"/>
      <c r="D199" s="111"/>
      <c r="E199" s="111"/>
      <c r="F199" s="112"/>
      <c r="G199" s="111"/>
      <c r="H199" s="111"/>
      <c r="I199" s="113"/>
      <c r="J199" s="114"/>
      <c r="K199" s="115"/>
      <c r="L199" s="115"/>
      <c r="M199" s="116"/>
      <c r="N199" s="116"/>
      <c r="O199" s="116"/>
      <c r="P199" s="116"/>
      <c r="Q199" s="116"/>
    </row>
    <row r="200">
      <c r="A200" s="111"/>
      <c r="B200" s="111"/>
      <c r="C200" s="111"/>
      <c r="D200" s="111"/>
      <c r="E200" s="111"/>
      <c r="F200" s="112"/>
      <c r="G200" s="111"/>
      <c r="H200" s="111"/>
      <c r="I200" s="113"/>
      <c r="J200" s="114"/>
      <c r="K200" s="115"/>
      <c r="L200" s="115"/>
      <c r="M200" s="116"/>
      <c r="N200" s="116"/>
      <c r="O200" s="116"/>
      <c r="P200" s="116"/>
      <c r="Q200" s="116"/>
    </row>
    <row r="201">
      <c r="A201" s="111"/>
      <c r="B201" s="111"/>
      <c r="C201" s="111"/>
      <c r="D201" s="111"/>
      <c r="E201" s="111"/>
      <c r="F201" s="112"/>
      <c r="G201" s="111"/>
      <c r="H201" s="111"/>
      <c r="I201" s="113"/>
      <c r="J201" s="114"/>
      <c r="K201" s="115"/>
      <c r="L201" s="115"/>
      <c r="M201" s="116"/>
      <c r="N201" s="116"/>
      <c r="O201" s="116"/>
      <c r="P201" s="116"/>
      <c r="Q201" s="116"/>
    </row>
    <row r="202">
      <c r="A202" s="111"/>
      <c r="B202" s="111"/>
      <c r="C202" s="111"/>
      <c r="D202" s="111"/>
      <c r="E202" s="111"/>
      <c r="F202" s="112"/>
      <c r="G202" s="111"/>
      <c r="H202" s="111"/>
      <c r="I202" s="113"/>
      <c r="J202" s="114"/>
      <c r="K202" s="115"/>
      <c r="L202" s="115"/>
      <c r="M202" s="116"/>
      <c r="N202" s="116"/>
      <c r="O202" s="116"/>
      <c r="P202" s="116"/>
      <c r="Q202" s="116"/>
    </row>
    <row r="203">
      <c r="A203" s="111"/>
      <c r="B203" s="111"/>
      <c r="C203" s="111"/>
      <c r="D203" s="111"/>
      <c r="E203" s="111"/>
      <c r="F203" s="112"/>
      <c r="G203" s="111"/>
      <c r="H203" s="111"/>
      <c r="I203" s="113"/>
      <c r="J203" s="114"/>
      <c r="K203" s="115"/>
      <c r="L203" s="115"/>
      <c r="M203" s="116"/>
      <c r="N203" s="116"/>
      <c r="O203" s="116"/>
      <c r="P203" s="116"/>
      <c r="Q203" s="116"/>
    </row>
    <row r="204">
      <c r="A204" s="111"/>
      <c r="B204" s="111"/>
      <c r="C204" s="111"/>
      <c r="D204" s="111"/>
      <c r="E204" s="111"/>
      <c r="F204" s="112"/>
      <c r="G204" s="111"/>
      <c r="H204" s="111"/>
      <c r="I204" s="113"/>
      <c r="J204" s="114"/>
      <c r="K204" s="115"/>
      <c r="L204" s="115"/>
      <c r="M204" s="116"/>
      <c r="N204" s="116"/>
      <c r="O204" s="116"/>
      <c r="P204" s="116"/>
      <c r="Q204" s="116"/>
    </row>
    <row r="205">
      <c r="A205" s="111"/>
      <c r="B205" s="111"/>
      <c r="C205" s="111"/>
      <c r="D205" s="111"/>
      <c r="E205" s="111"/>
      <c r="F205" s="112"/>
      <c r="G205" s="111"/>
      <c r="H205" s="111"/>
      <c r="I205" s="113"/>
      <c r="J205" s="114"/>
      <c r="K205" s="115"/>
      <c r="L205" s="115"/>
      <c r="M205" s="116"/>
      <c r="N205" s="116"/>
      <c r="O205" s="116"/>
      <c r="P205" s="116"/>
      <c r="Q205" s="116"/>
    </row>
    <row r="206">
      <c r="A206" s="111"/>
      <c r="B206" s="111"/>
      <c r="C206" s="111"/>
      <c r="D206" s="111"/>
      <c r="E206" s="111"/>
      <c r="F206" s="112"/>
      <c r="G206" s="111"/>
      <c r="H206" s="111"/>
      <c r="I206" s="113"/>
      <c r="J206" s="114"/>
      <c r="K206" s="115"/>
      <c r="L206" s="115"/>
      <c r="M206" s="116"/>
      <c r="N206" s="116"/>
      <c r="O206" s="116"/>
      <c r="P206" s="116"/>
      <c r="Q206" s="116"/>
    </row>
    <row r="207">
      <c r="A207" s="111"/>
      <c r="B207" s="111"/>
      <c r="C207" s="111"/>
      <c r="D207" s="111"/>
      <c r="E207" s="111"/>
      <c r="F207" s="112"/>
      <c r="G207" s="111"/>
      <c r="H207" s="111"/>
      <c r="I207" s="113"/>
      <c r="J207" s="114"/>
      <c r="K207" s="115"/>
      <c r="L207" s="115"/>
      <c r="M207" s="116"/>
      <c r="N207" s="116"/>
      <c r="O207" s="116"/>
      <c r="P207" s="116"/>
      <c r="Q207" s="116"/>
    </row>
    <row r="208">
      <c r="A208" s="111"/>
      <c r="B208" s="111"/>
      <c r="C208" s="111"/>
      <c r="D208" s="111"/>
      <c r="E208" s="111"/>
      <c r="F208" s="112"/>
      <c r="G208" s="111"/>
      <c r="H208" s="111"/>
      <c r="I208" s="113"/>
      <c r="J208" s="114"/>
      <c r="K208" s="115"/>
      <c r="L208" s="115"/>
      <c r="M208" s="116"/>
      <c r="N208" s="116"/>
      <c r="O208" s="116"/>
      <c r="P208" s="116"/>
      <c r="Q208" s="116"/>
    </row>
    <row r="209">
      <c r="A209" s="111"/>
      <c r="B209" s="111"/>
      <c r="C209" s="111"/>
      <c r="D209" s="111"/>
      <c r="E209" s="111"/>
      <c r="F209" s="112"/>
      <c r="G209" s="111"/>
      <c r="H209" s="111"/>
      <c r="I209" s="113"/>
      <c r="J209" s="114"/>
      <c r="K209" s="115"/>
      <c r="L209" s="115"/>
      <c r="M209" s="116"/>
      <c r="N209" s="116"/>
      <c r="O209" s="116"/>
      <c r="P209" s="116"/>
      <c r="Q209" s="116"/>
    </row>
    <row r="210">
      <c r="A210" s="111"/>
      <c r="B210" s="111"/>
      <c r="C210" s="111"/>
      <c r="D210" s="111"/>
      <c r="E210" s="111"/>
      <c r="F210" s="112"/>
      <c r="G210" s="111"/>
      <c r="H210" s="111"/>
      <c r="I210" s="113"/>
      <c r="J210" s="114"/>
      <c r="K210" s="115"/>
      <c r="L210" s="115"/>
      <c r="M210" s="116"/>
      <c r="N210" s="116"/>
      <c r="O210" s="116"/>
      <c r="P210" s="116"/>
      <c r="Q210" s="116"/>
    </row>
    <row r="211">
      <c r="A211" s="111"/>
      <c r="B211" s="111"/>
      <c r="C211" s="111"/>
      <c r="D211" s="111"/>
      <c r="E211" s="111"/>
      <c r="F211" s="112"/>
      <c r="G211" s="111"/>
      <c r="H211" s="111"/>
      <c r="I211" s="113"/>
      <c r="J211" s="114"/>
      <c r="K211" s="115"/>
      <c r="L211" s="115"/>
      <c r="M211" s="116"/>
      <c r="N211" s="116"/>
      <c r="O211" s="116"/>
      <c r="P211" s="116"/>
      <c r="Q211" s="116"/>
    </row>
    <row r="212">
      <c r="A212" s="111"/>
      <c r="B212" s="111"/>
      <c r="C212" s="111"/>
      <c r="D212" s="111"/>
      <c r="E212" s="111"/>
      <c r="F212" s="112"/>
      <c r="G212" s="111"/>
      <c r="H212" s="111"/>
      <c r="I212" s="113"/>
      <c r="J212" s="114"/>
      <c r="K212" s="115"/>
      <c r="L212" s="115"/>
      <c r="M212" s="116"/>
      <c r="N212" s="116"/>
      <c r="O212" s="116"/>
      <c r="P212" s="116"/>
      <c r="Q212" s="116"/>
    </row>
    <row r="213">
      <c r="A213" s="111"/>
      <c r="B213" s="111"/>
      <c r="C213" s="111"/>
      <c r="D213" s="111"/>
      <c r="E213" s="111"/>
      <c r="F213" s="112"/>
      <c r="G213" s="111"/>
      <c r="H213" s="111"/>
      <c r="I213" s="113"/>
      <c r="J213" s="114"/>
      <c r="K213" s="115"/>
      <c r="L213" s="115"/>
      <c r="M213" s="116"/>
      <c r="N213" s="116"/>
      <c r="O213" s="116"/>
      <c r="P213" s="116"/>
      <c r="Q213" s="116"/>
    </row>
    <row r="214">
      <c r="A214" s="111"/>
      <c r="B214" s="111"/>
      <c r="C214" s="111"/>
      <c r="D214" s="111"/>
      <c r="E214" s="111"/>
      <c r="F214" s="112"/>
      <c r="G214" s="111"/>
      <c r="H214" s="111"/>
      <c r="I214" s="113"/>
      <c r="J214" s="114"/>
      <c r="K214" s="115"/>
      <c r="L214" s="115"/>
      <c r="M214" s="116"/>
      <c r="N214" s="116"/>
      <c r="O214" s="116"/>
      <c r="P214" s="116"/>
      <c r="Q214" s="116"/>
    </row>
    <row r="215">
      <c r="A215" s="111"/>
      <c r="B215" s="111"/>
      <c r="C215" s="111"/>
      <c r="D215" s="111"/>
      <c r="E215" s="111"/>
      <c r="F215" s="112"/>
      <c r="G215" s="111"/>
      <c r="H215" s="111"/>
      <c r="I215" s="113"/>
      <c r="J215" s="114"/>
      <c r="K215" s="115"/>
      <c r="L215" s="115"/>
      <c r="M215" s="116"/>
      <c r="N215" s="116"/>
      <c r="O215" s="116"/>
      <c r="P215" s="116"/>
      <c r="Q215" s="116"/>
    </row>
    <row r="216">
      <c r="A216" s="111"/>
      <c r="B216" s="111"/>
      <c r="C216" s="111"/>
      <c r="D216" s="111"/>
      <c r="E216" s="111"/>
      <c r="F216" s="112"/>
      <c r="G216" s="111"/>
      <c r="H216" s="111"/>
      <c r="I216" s="113"/>
      <c r="J216" s="114"/>
      <c r="K216" s="115"/>
      <c r="L216" s="115"/>
      <c r="M216" s="116"/>
      <c r="N216" s="116"/>
      <c r="O216" s="116"/>
      <c r="P216" s="116"/>
      <c r="Q216" s="116"/>
    </row>
    <row r="217">
      <c r="A217" s="111"/>
      <c r="B217" s="111"/>
      <c r="C217" s="111"/>
      <c r="D217" s="111"/>
      <c r="E217" s="111"/>
      <c r="F217" s="112"/>
      <c r="G217" s="111"/>
      <c r="H217" s="111"/>
      <c r="I217" s="113"/>
      <c r="J217" s="114"/>
      <c r="K217" s="115"/>
      <c r="L217" s="115"/>
      <c r="M217" s="116"/>
      <c r="N217" s="116"/>
      <c r="O217" s="116"/>
      <c r="P217" s="116"/>
      <c r="Q217" s="116"/>
    </row>
    <row r="218">
      <c r="A218" s="111"/>
      <c r="B218" s="111"/>
      <c r="C218" s="111"/>
      <c r="D218" s="111"/>
      <c r="E218" s="111"/>
      <c r="F218" s="112"/>
      <c r="G218" s="111"/>
      <c r="H218" s="111"/>
      <c r="I218" s="113"/>
      <c r="J218" s="114"/>
      <c r="K218" s="115"/>
      <c r="L218" s="115"/>
      <c r="M218" s="116"/>
      <c r="N218" s="116"/>
      <c r="O218" s="116"/>
      <c r="P218" s="116"/>
      <c r="Q218" s="116"/>
    </row>
    <row r="219">
      <c r="A219" s="111"/>
      <c r="B219" s="111"/>
      <c r="C219" s="111"/>
      <c r="D219" s="111"/>
      <c r="E219" s="111"/>
      <c r="F219" s="112"/>
      <c r="G219" s="111"/>
      <c r="H219" s="111"/>
      <c r="I219" s="113"/>
      <c r="J219" s="114"/>
      <c r="K219" s="115"/>
      <c r="L219" s="115"/>
      <c r="M219" s="116"/>
      <c r="N219" s="116"/>
      <c r="O219" s="116"/>
      <c r="P219" s="116"/>
      <c r="Q219" s="116"/>
    </row>
    <row r="220">
      <c r="A220" s="111"/>
      <c r="B220" s="111"/>
      <c r="C220" s="111"/>
      <c r="D220" s="111"/>
      <c r="E220" s="111"/>
      <c r="F220" s="112"/>
      <c r="G220" s="111"/>
      <c r="H220" s="111"/>
      <c r="I220" s="113"/>
      <c r="J220" s="114"/>
      <c r="K220" s="115"/>
      <c r="L220" s="115"/>
      <c r="M220" s="116"/>
      <c r="N220" s="116"/>
      <c r="O220" s="116"/>
      <c r="P220" s="116"/>
      <c r="Q220" s="116"/>
    </row>
    <row r="221">
      <c r="A221" s="111"/>
      <c r="B221" s="111"/>
      <c r="C221" s="111"/>
      <c r="D221" s="111"/>
      <c r="E221" s="111"/>
      <c r="F221" s="112"/>
      <c r="G221" s="111"/>
      <c r="H221" s="111"/>
      <c r="I221" s="113"/>
      <c r="J221" s="114"/>
      <c r="K221" s="115"/>
      <c r="L221" s="115"/>
      <c r="M221" s="116"/>
      <c r="N221" s="116"/>
      <c r="O221" s="116"/>
      <c r="P221" s="116"/>
      <c r="Q221" s="116"/>
    </row>
    <row r="222">
      <c r="A222" s="111"/>
      <c r="B222" s="111"/>
      <c r="C222" s="111"/>
      <c r="D222" s="111"/>
      <c r="E222" s="111"/>
      <c r="F222" s="112"/>
      <c r="G222" s="111"/>
      <c r="H222" s="111"/>
      <c r="I222" s="113"/>
      <c r="J222" s="114"/>
      <c r="K222" s="115"/>
      <c r="L222" s="115"/>
      <c r="M222" s="116"/>
      <c r="N222" s="116"/>
      <c r="O222" s="116"/>
      <c r="P222" s="116"/>
      <c r="Q222" s="116"/>
    </row>
    <row r="223">
      <c r="A223" s="111"/>
      <c r="B223" s="111"/>
      <c r="C223" s="111"/>
      <c r="D223" s="111"/>
      <c r="E223" s="111"/>
      <c r="F223" s="112"/>
      <c r="G223" s="111"/>
      <c r="H223" s="111"/>
      <c r="I223" s="113"/>
      <c r="J223" s="114"/>
      <c r="K223" s="115"/>
      <c r="L223" s="115"/>
      <c r="M223" s="116"/>
      <c r="N223" s="116"/>
      <c r="O223" s="116"/>
      <c r="P223" s="116"/>
      <c r="Q223" s="116"/>
    </row>
    <row r="224">
      <c r="A224" s="111"/>
      <c r="B224" s="111"/>
      <c r="C224" s="111"/>
      <c r="D224" s="111"/>
      <c r="E224" s="111"/>
      <c r="F224" s="112"/>
      <c r="G224" s="111"/>
      <c r="H224" s="111"/>
      <c r="I224" s="113"/>
      <c r="J224" s="114"/>
      <c r="K224" s="115"/>
      <c r="L224" s="115"/>
      <c r="M224" s="116"/>
      <c r="N224" s="116"/>
      <c r="O224" s="116"/>
      <c r="P224" s="116"/>
      <c r="Q224" s="116"/>
    </row>
    <row r="225">
      <c r="A225" s="111"/>
      <c r="B225" s="111"/>
      <c r="C225" s="111"/>
      <c r="D225" s="111"/>
      <c r="E225" s="111"/>
      <c r="F225" s="112"/>
      <c r="G225" s="111"/>
      <c r="H225" s="111"/>
      <c r="I225" s="113"/>
      <c r="J225" s="114"/>
      <c r="K225" s="115"/>
      <c r="L225" s="115"/>
      <c r="M225" s="116"/>
      <c r="N225" s="116"/>
      <c r="O225" s="116"/>
      <c r="P225" s="116"/>
      <c r="Q225" s="116"/>
    </row>
    <row r="226">
      <c r="A226" s="111"/>
      <c r="B226" s="111"/>
      <c r="C226" s="111"/>
      <c r="D226" s="111"/>
      <c r="E226" s="111"/>
      <c r="F226" s="112"/>
      <c r="G226" s="111"/>
      <c r="H226" s="111"/>
      <c r="I226" s="113"/>
      <c r="J226" s="114"/>
      <c r="K226" s="115"/>
      <c r="L226" s="115"/>
      <c r="M226" s="116"/>
      <c r="N226" s="116"/>
      <c r="O226" s="116"/>
      <c r="P226" s="116"/>
      <c r="Q226" s="116"/>
    </row>
    <row r="227">
      <c r="A227" s="111"/>
      <c r="B227" s="111"/>
      <c r="C227" s="111"/>
      <c r="D227" s="111"/>
      <c r="E227" s="111"/>
      <c r="F227" s="112"/>
      <c r="G227" s="111"/>
      <c r="H227" s="111"/>
      <c r="I227" s="113"/>
      <c r="J227" s="114"/>
      <c r="K227" s="115"/>
      <c r="L227" s="115"/>
      <c r="M227" s="116"/>
      <c r="N227" s="116"/>
      <c r="O227" s="116"/>
      <c r="P227" s="116"/>
      <c r="Q227" s="116"/>
    </row>
    <row r="228">
      <c r="A228" s="111"/>
      <c r="B228" s="111"/>
      <c r="C228" s="111"/>
      <c r="D228" s="111"/>
      <c r="E228" s="111"/>
      <c r="F228" s="112"/>
      <c r="G228" s="111"/>
      <c r="H228" s="111"/>
      <c r="I228" s="113"/>
      <c r="J228" s="114"/>
      <c r="K228" s="115"/>
      <c r="L228" s="115"/>
      <c r="M228" s="116"/>
      <c r="N228" s="116"/>
      <c r="O228" s="116"/>
      <c r="P228" s="116"/>
      <c r="Q228" s="116"/>
    </row>
    <row r="229">
      <c r="A229" s="111"/>
      <c r="B229" s="111"/>
      <c r="C229" s="111"/>
      <c r="D229" s="111"/>
      <c r="E229" s="111"/>
      <c r="F229" s="112"/>
      <c r="G229" s="111"/>
      <c r="H229" s="111"/>
      <c r="I229" s="113"/>
      <c r="J229" s="114"/>
      <c r="K229" s="115"/>
      <c r="L229" s="115"/>
      <c r="M229" s="116"/>
      <c r="N229" s="116"/>
      <c r="O229" s="116"/>
      <c r="P229" s="116"/>
      <c r="Q229" s="116"/>
    </row>
    <row r="230">
      <c r="A230" s="111"/>
      <c r="B230" s="111"/>
      <c r="C230" s="111"/>
      <c r="D230" s="111"/>
      <c r="E230" s="111"/>
      <c r="F230" s="112"/>
      <c r="G230" s="111"/>
      <c r="H230" s="111"/>
      <c r="I230" s="113"/>
      <c r="J230" s="114"/>
      <c r="K230" s="115"/>
      <c r="L230" s="115"/>
      <c r="M230" s="116"/>
      <c r="N230" s="116"/>
      <c r="O230" s="116"/>
      <c r="P230" s="116"/>
      <c r="Q230" s="116"/>
    </row>
    <row r="231">
      <c r="A231" s="111"/>
      <c r="B231" s="111"/>
      <c r="C231" s="111"/>
      <c r="D231" s="111"/>
      <c r="E231" s="111"/>
      <c r="F231" s="112"/>
      <c r="G231" s="111"/>
      <c r="H231" s="111"/>
      <c r="I231" s="113"/>
      <c r="J231" s="114"/>
      <c r="K231" s="115"/>
      <c r="L231" s="115"/>
      <c r="M231" s="116"/>
      <c r="N231" s="116"/>
      <c r="O231" s="116"/>
      <c r="P231" s="116"/>
      <c r="Q231" s="116"/>
    </row>
    <row r="232">
      <c r="A232" s="111"/>
      <c r="B232" s="111"/>
      <c r="C232" s="111"/>
      <c r="D232" s="111"/>
      <c r="E232" s="111"/>
      <c r="F232" s="112"/>
      <c r="G232" s="111"/>
      <c r="H232" s="111"/>
      <c r="I232" s="113"/>
      <c r="J232" s="114"/>
      <c r="K232" s="115"/>
      <c r="L232" s="115"/>
      <c r="M232" s="116"/>
      <c r="N232" s="116"/>
      <c r="O232" s="116"/>
      <c r="P232" s="116"/>
      <c r="Q232" s="116"/>
    </row>
    <row r="233">
      <c r="A233" s="111"/>
      <c r="B233" s="111"/>
      <c r="C233" s="111"/>
      <c r="D233" s="111"/>
      <c r="E233" s="111"/>
      <c r="F233" s="112"/>
      <c r="G233" s="111"/>
      <c r="H233" s="111"/>
      <c r="I233" s="113"/>
      <c r="J233" s="114"/>
      <c r="K233" s="115"/>
      <c r="L233" s="115"/>
      <c r="M233" s="116"/>
      <c r="N233" s="116"/>
      <c r="O233" s="116"/>
      <c r="P233" s="116"/>
      <c r="Q233" s="116"/>
    </row>
    <row r="234">
      <c r="A234" s="111"/>
      <c r="B234" s="111"/>
      <c r="C234" s="111"/>
      <c r="D234" s="111"/>
      <c r="E234" s="111"/>
      <c r="F234" s="112"/>
      <c r="G234" s="111"/>
      <c r="H234" s="111"/>
      <c r="I234" s="113"/>
      <c r="J234" s="114"/>
      <c r="K234" s="115"/>
      <c r="L234" s="115"/>
      <c r="M234" s="116"/>
      <c r="N234" s="116"/>
      <c r="O234" s="116"/>
      <c r="P234" s="116"/>
      <c r="Q234" s="116"/>
    </row>
    <row r="235">
      <c r="A235" s="111"/>
      <c r="B235" s="111"/>
      <c r="C235" s="111"/>
      <c r="D235" s="111"/>
      <c r="E235" s="111"/>
      <c r="F235" s="112"/>
      <c r="G235" s="111"/>
      <c r="H235" s="111"/>
      <c r="I235" s="113"/>
      <c r="J235" s="114"/>
      <c r="K235" s="115"/>
      <c r="L235" s="115"/>
      <c r="M235" s="116"/>
      <c r="N235" s="116"/>
      <c r="O235" s="116"/>
      <c r="P235" s="116"/>
      <c r="Q235" s="116"/>
    </row>
    <row r="236">
      <c r="A236" s="111"/>
      <c r="B236" s="111"/>
      <c r="C236" s="111"/>
      <c r="D236" s="111"/>
      <c r="E236" s="111"/>
      <c r="F236" s="112"/>
      <c r="G236" s="111"/>
      <c r="H236" s="111"/>
      <c r="I236" s="113"/>
      <c r="J236" s="114"/>
      <c r="K236" s="115"/>
      <c r="L236" s="115"/>
      <c r="M236" s="116"/>
      <c r="N236" s="116"/>
      <c r="O236" s="116"/>
      <c r="P236" s="116"/>
      <c r="Q236" s="116"/>
    </row>
    <row r="237">
      <c r="A237" s="111"/>
      <c r="B237" s="111"/>
      <c r="C237" s="111"/>
      <c r="D237" s="111"/>
      <c r="E237" s="111"/>
      <c r="F237" s="112"/>
      <c r="G237" s="111"/>
      <c r="H237" s="111"/>
      <c r="I237" s="113"/>
      <c r="J237" s="114"/>
      <c r="K237" s="115"/>
      <c r="L237" s="115"/>
      <c r="M237" s="116"/>
      <c r="N237" s="116"/>
      <c r="O237" s="116"/>
      <c r="P237" s="116"/>
      <c r="Q237" s="116"/>
    </row>
    <row r="238">
      <c r="A238" s="111"/>
      <c r="B238" s="111"/>
      <c r="C238" s="111"/>
      <c r="D238" s="111"/>
      <c r="E238" s="111"/>
      <c r="F238" s="112"/>
      <c r="G238" s="111"/>
      <c r="H238" s="111"/>
      <c r="I238" s="113"/>
      <c r="J238" s="114"/>
      <c r="K238" s="115"/>
      <c r="L238" s="115"/>
      <c r="M238" s="116"/>
      <c r="N238" s="116"/>
      <c r="O238" s="116"/>
      <c r="P238" s="116"/>
      <c r="Q238" s="116"/>
    </row>
    <row r="239">
      <c r="A239" s="111"/>
      <c r="B239" s="111"/>
      <c r="C239" s="111"/>
      <c r="D239" s="111"/>
      <c r="E239" s="111"/>
      <c r="F239" s="112"/>
      <c r="G239" s="111"/>
      <c r="H239" s="111"/>
      <c r="I239" s="113"/>
      <c r="J239" s="114"/>
      <c r="K239" s="115"/>
      <c r="L239" s="115"/>
      <c r="M239" s="116"/>
      <c r="N239" s="116"/>
      <c r="O239" s="116"/>
      <c r="P239" s="116"/>
      <c r="Q239" s="116"/>
    </row>
    <row r="240">
      <c r="A240" s="111"/>
      <c r="B240" s="111"/>
      <c r="C240" s="111"/>
      <c r="D240" s="111"/>
      <c r="E240" s="111"/>
      <c r="F240" s="112"/>
      <c r="G240" s="111"/>
      <c r="H240" s="111"/>
      <c r="I240" s="113"/>
      <c r="J240" s="114"/>
      <c r="K240" s="115"/>
      <c r="L240" s="115"/>
      <c r="M240" s="116"/>
      <c r="N240" s="116"/>
      <c r="O240" s="116"/>
      <c r="P240" s="116"/>
      <c r="Q240" s="116"/>
    </row>
    <row r="241">
      <c r="A241" s="111"/>
      <c r="B241" s="111"/>
      <c r="C241" s="111"/>
      <c r="D241" s="111"/>
      <c r="E241" s="111"/>
      <c r="F241" s="112"/>
      <c r="G241" s="111"/>
      <c r="H241" s="111"/>
      <c r="I241" s="113"/>
      <c r="J241" s="114"/>
      <c r="K241" s="115"/>
      <c r="L241" s="115"/>
      <c r="M241" s="116"/>
      <c r="N241" s="116"/>
      <c r="O241" s="116"/>
      <c r="P241" s="116"/>
      <c r="Q241" s="116"/>
    </row>
    <row r="242">
      <c r="A242" s="111"/>
      <c r="B242" s="111"/>
      <c r="C242" s="111"/>
      <c r="D242" s="111"/>
      <c r="E242" s="111"/>
      <c r="F242" s="112"/>
      <c r="G242" s="111"/>
      <c r="H242" s="111"/>
      <c r="I242" s="113"/>
      <c r="J242" s="114"/>
      <c r="K242" s="115"/>
      <c r="L242" s="115"/>
      <c r="M242" s="116"/>
      <c r="N242" s="116"/>
      <c r="O242" s="116"/>
      <c r="P242" s="116"/>
      <c r="Q242" s="116"/>
    </row>
    <row r="243">
      <c r="A243" s="111"/>
      <c r="B243" s="111"/>
      <c r="C243" s="111"/>
      <c r="D243" s="111"/>
      <c r="E243" s="111"/>
      <c r="F243" s="112"/>
      <c r="G243" s="111"/>
      <c r="H243" s="111"/>
      <c r="I243" s="113"/>
      <c r="J243" s="114"/>
      <c r="K243" s="115"/>
      <c r="L243" s="115"/>
      <c r="M243" s="116"/>
      <c r="N243" s="116"/>
      <c r="O243" s="116"/>
      <c r="P243" s="116"/>
      <c r="Q243" s="116"/>
    </row>
    <row r="244">
      <c r="A244" s="111"/>
      <c r="B244" s="111"/>
      <c r="C244" s="111"/>
      <c r="D244" s="111"/>
      <c r="E244" s="111"/>
      <c r="F244" s="112"/>
      <c r="G244" s="111"/>
      <c r="H244" s="111"/>
      <c r="I244" s="113"/>
      <c r="J244" s="114"/>
      <c r="K244" s="115"/>
      <c r="L244" s="115"/>
      <c r="M244" s="116"/>
      <c r="N244" s="116"/>
      <c r="O244" s="116"/>
      <c r="P244" s="116"/>
      <c r="Q244" s="116"/>
    </row>
    <row r="245">
      <c r="A245" s="111"/>
      <c r="B245" s="111"/>
      <c r="C245" s="111"/>
      <c r="D245" s="111"/>
      <c r="E245" s="111"/>
      <c r="F245" s="112"/>
      <c r="G245" s="111"/>
      <c r="H245" s="111"/>
      <c r="I245" s="113"/>
      <c r="J245" s="114"/>
      <c r="K245" s="115"/>
      <c r="L245" s="115"/>
      <c r="M245" s="116"/>
      <c r="N245" s="116"/>
      <c r="O245" s="116"/>
      <c r="P245" s="116"/>
      <c r="Q245" s="116"/>
    </row>
    <row r="246">
      <c r="A246" s="111"/>
      <c r="B246" s="111"/>
      <c r="C246" s="111"/>
      <c r="D246" s="111"/>
      <c r="E246" s="111"/>
      <c r="F246" s="112"/>
      <c r="G246" s="111"/>
      <c r="H246" s="111"/>
      <c r="I246" s="113"/>
      <c r="J246" s="114"/>
      <c r="K246" s="115"/>
      <c r="L246" s="115"/>
      <c r="M246" s="116"/>
      <c r="N246" s="116"/>
      <c r="O246" s="116"/>
      <c r="P246" s="116"/>
      <c r="Q246" s="116"/>
    </row>
    <row r="247">
      <c r="A247" s="111"/>
      <c r="B247" s="111"/>
      <c r="C247" s="111"/>
      <c r="D247" s="111"/>
      <c r="E247" s="111"/>
      <c r="F247" s="112"/>
      <c r="G247" s="111"/>
      <c r="H247" s="111"/>
      <c r="I247" s="113"/>
      <c r="J247" s="114"/>
      <c r="K247" s="115"/>
      <c r="L247" s="115"/>
      <c r="M247" s="116"/>
      <c r="N247" s="116"/>
      <c r="O247" s="116"/>
      <c r="P247" s="116"/>
      <c r="Q247" s="116"/>
    </row>
    <row r="248">
      <c r="A248" s="111"/>
      <c r="B248" s="111"/>
      <c r="C248" s="111"/>
      <c r="D248" s="111"/>
      <c r="E248" s="111"/>
      <c r="F248" s="112"/>
      <c r="G248" s="111"/>
      <c r="H248" s="111"/>
      <c r="I248" s="113"/>
      <c r="J248" s="114"/>
      <c r="K248" s="115"/>
      <c r="L248" s="115"/>
      <c r="M248" s="116"/>
      <c r="N248" s="116"/>
      <c r="O248" s="116"/>
      <c r="P248" s="116"/>
      <c r="Q248" s="116"/>
    </row>
    <row r="249">
      <c r="A249" s="111"/>
      <c r="B249" s="111"/>
      <c r="C249" s="111"/>
      <c r="D249" s="111"/>
      <c r="E249" s="111"/>
      <c r="F249" s="112"/>
      <c r="G249" s="111"/>
      <c r="H249" s="111"/>
      <c r="I249" s="113"/>
      <c r="J249" s="114"/>
      <c r="K249" s="115"/>
      <c r="L249" s="115"/>
      <c r="M249" s="116"/>
      <c r="N249" s="116"/>
      <c r="O249" s="116"/>
      <c r="P249" s="116"/>
      <c r="Q249" s="116"/>
    </row>
    <row r="250">
      <c r="A250" s="111"/>
      <c r="B250" s="111"/>
      <c r="C250" s="111"/>
      <c r="D250" s="111"/>
      <c r="E250" s="111"/>
      <c r="F250" s="112"/>
      <c r="G250" s="111"/>
      <c r="H250" s="111"/>
      <c r="I250" s="113"/>
      <c r="J250" s="114"/>
      <c r="K250" s="115"/>
      <c r="L250" s="115"/>
      <c r="M250" s="116"/>
      <c r="N250" s="116"/>
      <c r="O250" s="116"/>
      <c r="P250" s="116"/>
      <c r="Q250" s="116"/>
    </row>
    <row r="251">
      <c r="A251" s="111"/>
      <c r="B251" s="111"/>
      <c r="C251" s="111"/>
      <c r="D251" s="111"/>
      <c r="E251" s="111"/>
      <c r="F251" s="112"/>
      <c r="G251" s="111"/>
      <c r="H251" s="111"/>
      <c r="I251" s="113"/>
      <c r="J251" s="114"/>
      <c r="K251" s="115"/>
      <c r="L251" s="115"/>
      <c r="M251" s="116"/>
      <c r="N251" s="116"/>
      <c r="O251" s="116"/>
      <c r="P251" s="116"/>
      <c r="Q251" s="116"/>
    </row>
    <row r="252">
      <c r="A252" s="111"/>
      <c r="B252" s="111"/>
      <c r="C252" s="111"/>
      <c r="D252" s="111"/>
      <c r="E252" s="111"/>
      <c r="F252" s="112"/>
      <c r="G252" s="111"/>
      <c r="H252" s="111"/>
      <c r="I252" s="113"/>
      <c r="J252" s="114"/>
      <c r="K252" s="115"/>
      <c r="L252" s="115"/>
      <c r="M252" s="116"/>
      <c r="N252" s="116"/>
      <c r="O252" s="116"/>
      <c r="P252" s="116"/>
      <c r="Q252" s="116"/>
    </row>
    <row r="253">
      <c r="A253" s="111"/>
      <c r="B253" s="111"/>
      <c r="C253" s="111"/>
      <c r="D253" s="111"/>
      <c r="E253" s="111"/>
      <c r="F253" s="112"/>
      <c r="G253" s="111"/>
      <c r="H253" s="111"/>
      <c r="I253" s="113"/>
      <c r="J253" s="114"/>
      <c r="K253" s="115"/>
      <c r="L253" s="115"/>
      <c r="M253" s="116"/>
      <c r="N253" s="116"/>
      <c r="O253" s="116"/>
      <c r="P253" s="116"/>
      <c r="Q253" s="116"/>
    </row>
    <row r="254">
      <c r="A254" s="111"/>
      <c r="B254" s="111"/>
      <c r="C254" s="111"/>
      <c r="D254" s="111"/>
      <c r="E254" s="111"/>
      <c r="F254" s="112"/>
      <c r="G254" s="111"/>
      <c r="H254" s="111"/>
      <c r="I254" s="113"/>
      <c r="J254" s="114"/>
      <c r="K254" s="115"/>
      <c r="L254" s="115"/>
      <c r="M254" s="116"/>
      <c r="N254" s="116"/>
      <c r="O254" s="116"/>
      <c r="P254" s="116"/>
      <c r="Q254" s="116"/>
    </row>
    <row r="255">
      <c r="A255" s="111"/>
      <c r="B255" s="111"/>
      <c r="C255" s="111"/>
      <c r="D255" s="111"/>
      <c r="E255" s="111"/>
      <c r="F255" s="112"/>
      <c r="G255" s="111"/>
      <c r="H255" s="111"/>
      <c r="I255" s="113"/>
      <c r="J255" s="114"/>
      <c r="K255" s="115"/>
      <c r="L255" s="115"/>
      <c r="M255" s="116"/>
      <c r="N255" s="116"/>
      <c r="O255" s="116"/>
      <c r="P255" s="116"/>
      <c r="Q255" s="116"/>
    </row>
    <row r="256">
      <c r="A256" s="111"/>
      <c r="B256" s="111"/>
      <c r="C256" s="111"/>
      <c r="D256" s="111"/>
      <c r="E256" s="111"/>
      <c r="F256" s="112"/>
      <c r="G256" s="111"/>
      <c r="H256" s="111"/>
      <c r="I256" s="113"/>
      <c r="J256" s="114"/>
      <c r="K256" s="115"/>
      <c r="L256" s="115"/>
      <c r="M256" s="116"/>
      <c r="N256" s="116"/>
      <c r="O256" s="116"/>
      <c r="P256" s="116"/>
      <c r="Q256" s="116"/>
    </row>
    <row r="257">
      <c r="A257" s="111"/>
      <c r="B257" s="111"/>
      <c r="C257" s="111"/>
      <c r="D257" s="111"/>
      <c r="E257" s="111"/>
      <c r="F257" s="112"/>
      <c r="G257" s="111"/>
      <c r="H257" s="111"/>
      <c r="I257" s="113"/>
      <c r="J257" s="114"/>
      <c r="K257" s="115"/>
      <c r="L257" s="115"/>
      <c r="M257" s="116"/>
      <c r="N257" s="116"/>
      <c r="O257" s="116"/>
      <c r="P257" s="116"/>
      <c r="Q257" s="116"/>
    </row>
    <row r="258">
      <c r="A258" s="111"/>
      <c r="B258" s="111"/>
      <c r="C258" s="111"/>
      <c r="D258" s="111"/>
      <c r="E258" s="111"/>
      <c r="F258" s="112"/>
      <c r="G258" s="111"/>
      <c r="H258" s="111"/>
      <c r="I258" s="113"/>
      <c r="J258" s="114"/>
      <c r="K258" s="115"/>
      <c r="L258" s="115"/>
      <c r="M258" s="116"/>
      <c r="N258" s="116"/>
      <c r="O258" s="116"/>
      <c r="P258" s="116"/>
      <c r="Q258" s="116"/>
    </row>
    <row r="259">
      <c r="A259" s="111"/>
      <c r="B259" s="111"/>
      <c r="C259" s="111"/>
      <c r="D259" s="111"/>
      <c r="E259" s="111"/>
      <c r="F259" s="112"/>
      <c r="G259" s="111"/>
      <c r="H259" s="111"/>
      <c r="I259" s="113"/>
      <c r="J259" s="114"/>
      <c r="K259" s="115"/>
      <c r="L259" s="115"/>
      <c r="M259" s="116"/>
      <c r="N259" s="116"/>
      <c r="O259" s="116"/>
      <c r="P259" s="116"/>
      <c r="Q259" s="116"/>
    </row>
    <row r="260">
      <c r="A260" s="111"/>
      <c r="B260" s="111"/>
      <c r="C260" s="111"/>
      <c r="D260" s="111"/>
      <c r="E260" s="111"/>
      <c r="F260" s="112"/>
      <c r="G260" s="111"/>
      <c r="H260" s="111"/>
      <c r="I260" s="113"/>
      <c r="J260" s="114"/>
      <c r="K260" s="115"/>
      <c r="L260" s="115"/>
      <c r="M260" s="116"/>
      <c r="N260" s="116"/>
      <c r="O260" s="116"/>
      <c r="P260" s="116"/>
      <c r="Q260" s="116"/>
    </row>
    <row r="261">
      <c r="A261" s="111"/>
      <c r="B261" s="111"/>
      <c r="C261" s="111"/>
      <c r="D261" s="111"/>
      <c r="E261" s="111"/>
      <c r="F261" s="112"/>
      <c r="G261" s="111"/>
      <c r="H261" s="111"/>
      <c r="I261" s="113"/>
      <c r="J261" s="114"/>
      <c r="K261" s="115"/>
      <c r="L261" s="115"/>
      <c r="M261" s="116"/>
      <c r="N261" s="116"/>
      <c r="O261" s="116"/>
      <c r="P261" s="116"/>
      <c r="Q261" s="116"/>
    </row>
    <row r="262">
      <c r="A262" s="111"/>
      <c r="B262" s="111"/>
      <c r="C262" s="111"/>
      <c r="D262" s="111"/>
      <c r="E262" s="111"/>
      <c r="F262" s="112"/>
      <c r="G262" s="111"/>
      <c r="H262" s="111"/>
      <c r="I262" s="113"/>
      <c r="J262" s="114"/>
      <c r="K262" s="115"/>
      <c r="L262" s="115"/>
      <c r="M262" s="116"/>
      <c r="N262" s="116"/>
      <c r="O262" s="116"/>
      <c r="P262" s="116"/>
      <c r="Q262" s="116"/>
    </row>
    <row r="263">
      <c r="A263" s="111"/>
      <c r="B263" s="111"/>
      <c r="C263" s="111"/>
      <c r="D263" s="111"/>
      <c r="E263" s="111"/>
      <c r="F263" s="112"/>
      <c r="G263" s="111"/>
      <c r="H263" s="111"/>
      <c r="I263" s="113"/>
      <c r="J263" s="114"/>
      <c r="K263" s="115"/>
      <c r="L263" s="115"/>
      <c r="M263" s="116"/>
      <c r="N263" s="116"/>
      <c r="O263" s="116"/>
      <c r="P263" s="116"/>
      <c r="Q263" s="116"/>
    </row>
    <row r="264">
      <c r="A264" s="111"/>
      <c r="B264" s="111"/>
      <c r="C264" s="111"/>
      <c r="D264" s="111"/>
      <c r="E264" s="111"/>
      <c r="F264" s="112"/>
      <c r="G264" s="111"/>
      <c r="H264" s="111"/>
      <c r="I264" s="113"/>
      <c r="J264" s="114"/>
      <c r="K264" s="115"/>
      <c r="L264" s="115"/>
      <c r="M264" s="116"/>
      <c r="N264" s="116"/>
      <c r="O264" s="116"/>
      <c r="P264" s="116"/>
      <c r="Q264" s="116"/>
    </row>
    <row r="265">
      <c r="A265" s="111"/>
      <c r="B265" s="111"/>
      <c r="C265" s="111"/>
      <c r="D265" s="111"/>
      <c r="E265" s="111"/>
      <c r="F265" s="112"/>
      <c r="G265" s="111"/>
      <c r="H265" s="111"/>
      <c r="I265" s="113"/>
      <c r="J265" s="114"/>
      <c r="K265" s="115"/>
      <c r="L265" s="115"/>
      <c r="M265" s="116"/>
      <c r="N265" s="116"/>
      <c r="O265" s="116"/>
      <c r="P265" s="116"/>
      <c r="Q265" s="116"/>
    </row>
    <row r="266">
      <c r="A266" s="111"/>
      <c r="B266" s="111"/>
      <c r="C266" s="111"/>
      <c r="D266" s="111"/>
      <c r="E266" s="111"/>
      <c r="F266" s="112"/>
      <c r="G266" s="111"/>
      <c r="H266" s="111"/>
      <c r="I266" s="113"/>
      <c r="J266" s="114"/>
      <c r="K266" s="115"/>
      <c r="L266" s="115"/>
      <c r="M266" s="116"/>
      <c r="N266" s="116"/>
      <c r="O266" s="116"/>
      <c r="P266" s="116"/>
      <c r="Q266" s="116"/>
    </row>
    <row r="267">
      <c r="A267" s="111"/>
      <c r="B267" s="111"/>
      <c r="C267" s="111"/>
      <c r="D267" s="111"/>
      <c r="E267" s="111"/>
      <c r="F267" s="112"/>
      <c r="G267" s="111"/>
      <c r="H267" s="111"/>
      <c r="I267" s="113"/>
      <c r="J267" s="114"/>
      <c r="K267" s="115"/>
      <c r="L267" s="115"/>
      <c r="M267" s="116"/>
      <c r="N267" s="116"/>
      <c r="O267" s="116"/>
      <c r="P267" s="116"/>
      <c r="Q267" s="116"/>
    </row>
    <row r="268">
      <c r="A268" s="111"/>
      <c r="B268" s="111"/>
      <c r="C268" s="111"/>
      <c r="D268" s="111"/>
      <c r="E268" s="111"/>
      <c r="F268" s="112"/>
      <c r="G268" s="111"/>
      <c r="H268" s="111"/>
      <c r="I268" s="113"/>
      <c r="J268" s="114"/>
      <c r="K268" s="115"/>
      <c r="L268" s="115"/>
      <c r="M268" s="116"/>
      <c r="N268" s="116"/>
      <c r="O268" s="116"/>
      <c r="P268" s="116"/>
      <c r="Q268" s="116"/>
    </row>
    <row r="269">
      <c r="A269" s="111"/>
      <c r="B269" s="111"/>
      <c r="C269" s="111"/>
      <c r="D269" s="111"/>
      <c r="E269" s="111"/>
      <c r="F269" s="112"/>
      <c r="G269" s="111"/>
      <c r="H269" s="111"/>
      <c r="I269" s="113"/>
      <c r="J269" s="114"/>
      <c r="K269" s="115"/>
      <c r="L269" s="115"/>
      <c r="M269" s="116"/>
      <c r="N269" s="116"/>
      <c r="O269" s="116"/>
      <c r="P269" s="116"/>
      <c r="Q269" s="116"/>
    </row>
    <row r="270">
      <c r="A270" s="111"/>
      <c r="B270" s="111"/>
      <c r="C270" s="111"/>
      <c r="D270" s="111"/>
      <c r="E270" s="111"/>
      <c r="F270" s="112"/>
      <c r="G270" s="111"/>
      <c r="H270" s="111"/>
      <c r="I270" s="113"/>
      <c r="J270" s="114"/>
      <c r="K270" s="115"/>
      <c r="L270" s="115"/>
      <c r="M270" s="116"/>
      <c r="N270" s="116"/>
      <c r="O270" s="116"/>
      <c r="P270" s="116"/>
      <c r="Q270" s="116"/>
    </row>
    <row r="271">
      <c r="A271" s="111"/>
      <c r="B271" s="111"/>
      <c r="C271" s="111"/>
      <c r="D271" s="111"/>
      <c r="E271" s="111"/>
      <c r="F271" s="112"/>
      <c r="G271" s="111"/>
      <c r="H271" s="111"/>
      <c r="I271" s="113"/>
      <c r="J271" s="114"/>
      <c r="K271" s="115"/>
      <c r="L271" s="115"/>
      <c r="M271" s="116"/>
      <c r="N271" s="116"/>
      <c r="O271" s="116"/>
      <c r="P271" s="116"/>
      <c r="Q271" s="116"/>
    </row>
    <row r="272">
      <c r="A272" s="111"/>
      <c r="B272" s="111"/>
      <c r="C272" s="111"/>
      <c r="D272" s="111"/>
      <c r="E272" s="111"/>
      <c r="F272" s="112"/>
      <c r="G272" s="111"/>
      <c r="H272" s="111"/>
      <c r="I272" s="113"/>
      <c r="J272" s="114"/>
      <c r="K272" s="115"/>
      <c r="L272" s="115"/>
      <c r="M272" s="116"/>
      <c r="N272" s="116"/>
      <c r="O272" s="116"/>
      <c r="P272" s="116"/>
      <c r="Q272" s="116"/>
    </row>
    <row r="273">
      <c r="A273" s="111"/>
      <c r="B273" s="111"/>
      <c r="C273" s="111"/>
      <c r="D273" s="111"/>
      <c r="E273" s="111"/>
      <c r="F273" s="112"/>
      <c r="G273" s="111"/>
      <c r="H273" s="111"/>
      <c r="I273" s="113"/>
      <c r="J273" s="114"/>
      <c r="K273" s="115"/>
      <c r="L273" s="115"/>
      <c r="M273" s="116"/>
      <c r="N273" s="116"/>
      <c r="O273" s="116"/>
      <c r="P273" s="116"/>
      <c r="Q273" s="116"/>
    </row>
    <row r="274">
      <c r="A274" s="111"/>
      <c r="B274" s="111"/>
      <c r="C274" s="111"/>
      <c r="D274" s="111"/>
      <c r="E274" s="111"/>
      <c r="F274" s="112"/>
      <c r="G274" s="111"/>
      <c r="H274" s="111"/>
      <c r="I274" s="113"/>
      <c r="J274" s="114"/>
      <c r="K274" s="115"/>
      <c r="L274" s="115"/>
      <c r="M274" s="116"/>
      <c r="N274" s="116"/>
      <c r="O274" s="116"/>
      <c r="P274" s="116"/>
      <c r="Q274" s="116"/>
    </row>
    <row r="275">
      <c r="A275" s="111"/>
      <c r="B275" s="111"/>
      <c r="C275" s="111"/>
      <c r="D275" s="111"/>
      <c r="E275" s="111"/>
      <c r="F275" s="112"/>
      <c r="G275" s="111"/>
      <c r="H275" s="111"/>
      <c r="I275" s="113"/>
      <c r="J275" s="114"/>
      <c r="K275" s="115"/>
      <c r="L275" s="115"/>
      <c r="M275" s="116"/>
      <c r="N275" s="116"/>
      <c r="O275" s="116"/>
      <c r="P275" s="116"/>
      <c r="Q275" s="116"/>
    </row>
    <row r="276">
      <c r="A276" s="111"/>
      <c r="B276" s="111"/>
      <c r="C276" s="111"/>
      <c r="D276" s="111"/>
      <c r="E276" s="111"/>
      <c r="F276" s="112"/>
      <c r="G276" s="111"/>
      <c r="H276" s="111"/>
      <c r="I276" s="113"/>
      <c r="J276" s="114"/>
      <c r="K276" s="115"/>
      <c r="L276" s="115"/>
      <c r="M276" s="116"/>
      <c r="N276" s="116"/>
      <c r="O276" s="116"/>
      <c r="P276" s="116"/>
      <c r="Q276" s="116"/>
    </row>
    <row r="277">
      <c r="A277" s="111"/>
      <c r="B277" s="111"/>
      <c r="C277" s="111"/>
      <c r="D277" s="111"/>
      <c r="E277" s="111"/>
      <c r="F277" s="112"/>
      <c r="G277" s="111"/>
      <c r="H277" s="111"/>
      <c r="I277" s="113"/>
      <c r="J277" s="114"/>
      <c r="K277" s="115"/>
      <c r="L277" s="115"/>
      <c r="M277" s="116"/>
      <c r="N277" s="116"/>
      <c r="O277" s="116"/>
      <c r="P277" s="116"/>
      <c r="Q277" s="116"/>
    </row>
    <row r="278">
      <c r="A278" s="111"/>
      <c r="B278" s="111"/>
      <c r="C278" s="111"/>
      <c r="D278" s="111"/>
      <c r="E278" s="111"/>
      <c r="F278" s="112"/>
      <c r="G278" s="111"/>
      <c r="H278" s="111"/>
      <c r="I278" s="113"/>
      <c r="J278" s="114"/>
      <c r="K278" s="115"/>
      <c r="L278" s="115"/>
      <c r="M278" s="116"/>
      <c r="N278" s="116"/>
      <c r="O278" s="116"/>
      <c r="P278" s="116"/>
      <c r="Q278" s="116"/>
    </row>
    <row r="279">
      <c r="A279" s="111"/>
      <c r="B279" s="111"/>
      <c r="C279" s="111"/>
      <c r="D279" s="111"/>
      <c r="E279" s="111"/>
      <c r="F279" s="112"/>
      <c r="G279" s="111"/>
      <c r="H279" s="111"/>
      <c r="I279" s="113"/>
      <c r="J279" s="114"/>
      <c r="K279" s="115"/>
      <c r="L279" s="115"/>
      <c r="M279" s="116"/>
      <c r="N279" s="116"/>
      <c r="O279" s="116"/>
      <c r="P279" s="116"/>
      <c r="Q279" s="116"/>
    </row>
    <row r="280">
      <c r="A280" s="111"/>
      <c r="B280" s="111"/>
      <c r="C280" s="111"/>
      <c r="D280" s="111"/>
      <c r="E280" s="111"/>
      <c r="F280" s="112"/>
      <c r="G280" s="111"/>
      <c r="H280" s="111"/>
      <c r="I280" s="113"/>
      <c r="J280" s="114"/>
      <c r="K280" s="115"/>
      <c r="L280" s="115"/>
      <c r="M280" s="116"/>
      <c r="N280" s="116"/>
      <c r="O280" s="116"/>
      <c r="P280" s="116"/>
      <c r="Q280" s="116"/>
    </row>
    <row r="281">
      <c r="A281" s="111"/>
      <c r="B281" s="111"/>
      <c r="C281" s="111"/>
      <c r="D281" s="111"/>
      <c r="E281" s="111"/>
      <c r="F281" s="112"/>
      <c r="G281" s="111"/>
      <c r="H281" s="111"/>
      <c r="I281" s="113"/>
      <c r="J281" s="114"/>
      <c r="K281" s="115"/>
      <c r="L281" s="115"/>
      <c r="M281" s="116"/>
      <c r="N281" s="116"/>
      <c r="O281" s="116"/>
      <c r="P281" s="116"/>
      <c r="Q281" s="116"/>
    </row>
    <row r="282">
      <c r="A282" s="111"/>
      <c r="B282" s="111"/>
      <c r="C282" s="111"/>
      <c r="D282" s="111"/>
      <c r="E282" s="111"/>
      <c r="F282" s="112"/>
      <c r="G282" s="111"/>
      <c r="H282" s="111"/>
      <c r="I282" s="113"/>
      <c r="J282" s="114"/>
      <c r="K282" s="115"/>
      <c r="L282" s="115"/>
      <c r="M282" s="116"/>
      <c r="N282" s="116"/>
      <c r="O282" s="116"/>
      <c r="P282" s="116"/>
      <c r="Q282" s="116"/>
    </row>
    <row r="283">
      <c r="A283" s="111"/>
      <c r="B283" s="111"/>
      <c r="C283" s="111"/>
      <c r="D283" s="111"/>
      <c r="E283" s="111"/>
      <c r="F283" s="112"/>
      <c r="G283" s="111"/>
      <c r="H283" s="111"/>
      <c r="I283" s="113"/>
      <c r="J283" s="114"/>
      <c r="K283" s="115"/>
      <c r="L283" s="115"/>
      <c r="M283" s="116"/>
      <c r="N283" s="116"/>
      <c r="O283" s="116"/>
      <c r="P283" s="116"/>
      <c r="Q283" s="116"/>
    </row>
    <row r="284">
      <c r="A284" s="111"/>
      <c r="B284" s="111"/>
      <c r="C284" s="111"/>
      <c r="D284" s="111"/>
      <c r="E284" s="111"/>
      <c r="F284" s="112"/>
      <c r="G284" s="111"/>
      <c r="H284" s="111"/>
      <c r="I284" s="113"/>
      <c r="J284" s="114"/>
      <c r="K284" s="115"/>
      <c r="L284" s="115"/>
      <c r="M284" s="116"/>
      <c r="N284" s="116"/>
      <c r="O284" s="116"/>
      <c r="P284" s="116"/>
      <c r="Q284" s="116"/>
    </row>
    <row r="285">
      <c r="A285" s="111"/>
      <c r="B285" s="111"/>
      <c r="C285" s="111"/>
      <c r="D285" s="111"/>
      <c r="E285" s="111"/>
      <c r="F285" s="112"/>
      <c r="G285" s="111"/>
      <c r="H285" s="111"/>
      <c r="I285" s="113"/>
      <c r="J285" s="114"/>
      <c r="K285" s="115"/>
      <c r="L285" s="115"/>
      <c r="M285" s="116"/>
      <c r="N285" s="116"/>
      <c r="O285" s="116"/>
      <c r="P285" s="116"/>
      <c r="Q285" s="116"/>
    </row>
    <row r="286">
      <c r="A286" s="111"/>
      <c r="B286" s="111"/>
      <c r="C286" s="111"/>
      <c r="D286" s="111"/>
      <c r="E286" s="111"/>
      <c r="F286" s="112"/>
      <c r="G286" s="111"/>
      <c r="H286" s="111"/>
      <c r="I286" s="113"/>
      <c r="J286" s="114"/>
      <c r="K286" s="115"/>
      <c r="L286" s="115"/>
      <c r="M286" s="116"/>
      <c r="N286" s="116"/>
      <c r="O286" s="116"/>
      <c r="P286" s="116"/>
      <c r="Q286" s="116"/>
    </row>
    <row r="287">
      <c r="A287" s="111"/>
      <c r="B287" s="111"/>
      <c r="C287" s="111"/>
      <c r="D287" s="111"/>
      <c r="E287" s="111"/>
      <c r="F287" s="112"/>
      <c r="G287" s="111"/>
      <c r="H287" s="111"/>
      <c r="I287" s="113"/>
      <c r="J287" s="114"/>
      <c r="K287" s="115"/>
      <c r="L287" s="115"/>
      <c r="M287" s="116"/>
      <c r="N287" s="116"/>
      <c r="O287" s="116"/>
      <c r="P287" s="116"/>
      <c r="Q287" s="116"/>
    </row>
    <row r="288">
      <c r="A288" s="111"/>
      <c r="B288" s="111"/>
      <c r="C288" s="111"/>
      <c r="D288" s="111"/>
      <c r="E288" s="111"/>
      <c r="F288" s="112"/>
      <c r="G288" s="111"/>
      <c r="H288" s="111"/>
      <c r="I288" s="113"/>
      <c r="J288" s="114"/>
      <c r="K288" s="115"/>
      <c r="L288" s="115"/>
      <c r="M288" s="116"/>
      <c r="N288" s="116"/>
      <c r="O288" s="116"/>
      <c r="P288" s="116"/>
      <c r="Q288" s="116"/>
    </row>
    <row r="289">
      <c r="A289" s="111"/>
      <c r="B289" s="111"/>
      <c r="C289" s="111"/>
      <c r="D289" s="111"/>
      <c r="E289" s="111"/>
      <c r="F289" s="112"/>
      <c r="G289" s="111"/>
      <c r="H289" s="111"/>
      <c r="I289" s="113"/>
      <c r="J289" s="114"/>
      <c r="K289" s="115"/>
      <c r="L289" s="115"/>
      <c r="M289" s="116"/>
      <c r="N289" s="116"/>
      <c r="O289" s="116"/>
      <c r="P289" s="116"/>
      <c r="Q289" s="116"/>
    </row>
    <row r="290">
      <c r="A290" s="111"/>
      <c r="B290" s="111"/>
      <c r="C290" s="111"/>
      <c r="D290" s="111"/>
      <c r="E290" s="111"/>
      <c r="F290" s="112"/>
      <c r="G290" s="111"/>
      <c r="H290" s="111"/>
      <c r="I290" s="113"/>
      <c r="J290" s="114"/>
      <c r="K290" s="115"/>
      <c r="L290" s="115"/>
      <c r="M290" s="116"/>
      <c r="N290" s="116"/>
      <c r="O290" s="116"/>
      <c r="P290" s="116"/>
      <c r="Q290" s="116"/>
    </row>
    <row r="291">
      <c r="A291" s="111"/>
      <c r="B291" s="111"/>
      <c r="C291" s="111"/>
      <c r="D291" s="111"/>
      <c r="E291" s="111"/>
      <c r="F291" s="112"/>
      <c r="G291" s="111"/>
      <c r="H291" s="111"/>
      <c r="I291" s="113"/>
      <c r="J291" s="114"/>
      <c r="K291" s="115"/>
      <c r="L291" s="115"/>
      <c r="M291" s="116"/>
      <c r="N291" s="116"/>
      <c r="O291" s="116"/>
      <c r="P291" s="116"/>
      <c r="Q291" s="116"/>
    </row>
    <row r="292">
      <c r="A292" s="111"/>
      <c r="B292" s="111"/>
      <c r="C292" s="111"/>
      <c r="D292" s="111"/>
      <c r="E292" s="111"/>
      <c r="F292" s="112"/>
      <c r="G292" s="111"/>
      <c r="H292" s="111"/>
      <c r="I292" s="113"/>
      <c r="J292" s="114"/>
      <c r="K292" s="115"/>
      <c r="L292" s="115"/>
      <c r="M292" s="116"/>
      <c r="N292" s="116"/>
      <c r="O292" s="116"/>
      <c r="P292" s="116"/>
      <c r="Q292" s="116"/>
    </row>
    <row r="293">
      <c r="A293" s="111"/>
      <c r="B293" s="111"/>
      <c r="C293" s="111"/>
      <c r="D293" s="111"/>
      <c r="E293" s="111"/>
      <c r="F293" s="112"/>
      <c r="G293" s="111"/>
      <c r="H293" s="111"/>
      <c r="I293" s="113"/>
      <c r="J293" s="114"/>
      <c r="K293" s="115"/>
      <c r="L293" s="115"/>
      <c r="M293" s="116"/>
      <c r="N293" s="116"/>
      <c r="O293" s="116"/>
      <c r="P293" s="116"/>
      <c r="Q293" s="116"/>
    </row>
    <row r="294">
      <c r="A294" s="111"/>
      <c r="B294" s="111"/>
      <c r="C294" s="111"/>
      <c r="D294" s="111"/>
      <c r="E294" s="111"/>
      <c r="F294" s="112"/>
      <c r="G294" s="111"/>
      <c r="H294" s="111"/>
      <c r="I294" s="113"/>
      <c r="J294" s="114"/>
      <c r="K294" s="115"/>
      <c r="L294" s="115"/>
      <c r="M294" s="116"/>
      <c r="N294" s="116"/>
      <c r="O294" s="116"/>
      <c r="P294" s="116"/>
      <c r="Q294" s="116"/>
    </row>
    <row r="295">
      <c r="A295" s="111"/>
      <c r="B295" s="111"/>
      <c r="C295" s="111"/>
      <c r="D295" s="111"/>
      <c r="E295" s="111"/>
      <c r="F295" s="112"/>
      <c r="G295" s="111"/>
      <c r="H295" s="111"/>
      <c r="I295" s="113"/>
      <c r="J295" s="114"/>
      <c r="K295" s="115"/>
      <c r="L295" s="115"/>
      <c r="M295" s="116"/>
      <c r="N295" s="116"/>
      <c r="O295" s="116"/>
      <c r="P295" s="116"/>
      <c r="Q295" s="116"/>
    </row>
    <row r="296">
      <c r="A296" s="111"/>
      <c r="B296" s="111"/>
      <c r="C296" s="111"/>
      <c r="D296" s="111"/>
      <c r="E296" s="111"/>
      <c r="F296" s="112"/>
      <c r="G296" s="111"/>
      <c r="H296" s="111"/>
      <c r="I296" s="113"/>
      <c r="J296" s="114"/>
      <c r="K296" s="115"/>
      <c r="L296" s="115"/>
      <c r="M296" s="116"/>
      <c r="N296" s="116"/>
      <c r="O296" s="116"/>
      <c r="P296" s="116"/>
      <c r="Q296" s="116"/>
    </row>
    <row r="297">
      <c r="A297" s="111"/>
      <c r="B297" s="111"/>
      <c r="C297" s="111"/>
      <c r="D297" s="111"/>
      <c r="E297" s="111"/>
      <c r="F297" s="112"/>
      <c r="G297" s="111"/>
      <c r="H297" s="111"/>
      <c r="I297" s="113"/>
      <c r="J297" s="114"/>
      <c r="K297" s="115"/>
      <c r="L297" s="115"/>
      <c r="M297" s="116"/>
      <c r="N297" s="116"/>
      <c r="O297" s="116"/>
      <c r="P297" s="116"/>
      <c r="Q297" s="116"/>
    </row>
    <row r="298">
      <c r="A298" s="111"/>
      <c r="B298" s="111"/>
      <c r="C298" s="111"/>
      <c r="D298" s="111"/>
      <c r="E298" s="111"/>
      <c r="F298" s="112"/>
      <c r="G298" s="111"/>
      <c r="H298" s="111"/>
      <c r="I298" s="113"/>
      <c r="J298" s="114"/>
      <c r="K298" s="115"/>
      <c r="L298" s="115"/>
      <c r="M298" s="116"/>
      <c r="N298" s="116"/>
      <c r="O298" s="116"/>
      <c r="P298" s="116"/>
      <c r="Q298" s="116"/>
    </row>
    <row r="299">
      <c r="A299" s="111"/>
      <c r="B299" s="111"/>
      <c r="C299" s="111"/>
      <c r="D299" s="111"/>
      <c r="E299" s="111"/>
      <c r="F299" s="112"/>
      <c r="G299" s="111"/>
      <c r="H299" s="111"/>
      <c r="I299" s="113"/>
      <c r="J299" s="114"/>
      <c r="K299" s="115"/>
      <c r="L299" s="115"/>
      <c r="M299" s="116"/>
      <c r="N299" s="116"/>
      <c r="O299" s="116"/>
      <c r="P299" s="116"/>
      <c r="Q299" s="116"/>
    </row>
    <row r="300">
      <c r="A300" s="111"/>
      <c r="B300" s="111"/>
      <c r="C300" s="111"/>
      <c r="D300" s="111"/>
      <c r="E300" s="111"/>
      <c r="F300" s="112"/>
      <c r="G300" s="111"/>
      <c r="H300" s="111"/>
      <c r="I300" s="113"/>
      <c r="J300" s="114"/>
      <c r="K300" s="115"/>
      <c r="L300" s="115"/>
      <c r="M300" s="116"/>
      <c r="N300" s="116"/>
      <c r="O300" s="116"/>
      <c r="P300" s="116"/>
      <c r="Q300" s="116"/>
    </row>
    <row r="301">
      <c r="A301" s="111"/>
      <c r="B301" s="111"/>
      <c r="C301" s="111"/>
      <c r="D301" s="111"/>
      <c r="E301" s="111"/>
      <c r="F301" s="112"/>
      <c r="G301" s="111"/>
      <c r="H301" s="111"/>
      <c r="I301" s="113"/>
      <c r="J301" s="114"/>
      <c r="K301" s="115"/>
      <c r="L301" s="115"/>
      <c r="M301" s="116"/>
      <c r="N301" s="116"/>
      <c r="O301" s="116"/>
      <c r="P301" s="116"/>
      <c r="Q301" s="116"/>
    </row>
    <row r="302">
      <c r="A302" s="111"/>
      <c r="B302" s="111"/>
      <c r="C302" s="111"/>
      <c r="D302" s="111"/>
      <c r="E302" s="111"/>
      <c r="F302" s="112"/>
      <c r="G302" s="111"/>
      <c r="H302" s="111"/>
      <c r="I302" s="113"/>
      <c r="J302" s="114"/>
      <c r="K302" s="115"/>
      <c r="L302" s="115"/>
      <c r="M302" s="116"/>
      <c r="N302" s="116"/>
      <c r="O302" s="116"/>
      <c r="P302" s="116"/>
      <c r="Q302" s="116"/>
    </row>
    <row r="303">
      <c r="A303" s="111"/>
      <c r="B303" s="111"/>
      <c r="C303" s="111"/>
      <c r="D303" s="111"/>
      <c r="E303" s="111"/>
      <c r="F303" s="112"/>
      <c r="G303" s="111"/>
      <c r="H303" s="111"/>
      <c r="I303" s="113"/>
      <c r="J303" s="114"/>
      <c r="K303" s="115"/>
      <c r="L303" s="115"/>
      <c r="M303" s="116"/>
      <c r="N303" s="116"/>
      <c r="O303" s="116"/>
      <c r="P303" s="116"/>
      <c r="Q303" s="116"/>
    </row>
    <row r="304">
      <c r="A304" s="111"/>
      <c r="B304" s="111"/>
      <c r="C304" s="111"/>
      <c r="D304" s="111"/>
      <c r="E304" s="111"/>
      <c r="F304" s="112"/>
      <c r="G304" s="111"/>
      <c r="H304" s="111"/>
      <c r="I304" s="113"/>
      <c r="J304" s="114"/>
      <c r="K304" s="115"/>
      <c r="L304" s="115"/>
      <c r="M304" s="116"/>
      <c r="N304" s="116"/>
      <c r="O304" s="116"/>
      <c r="P304" s="116"/>
      <c r="Q304" s="116"/>
    </row>
    <row r="305">
      <c r="A305" s="111"/>
      <c r="B305" s="111"/>
      <c r="C305" s="111"/>
      <c r="D305" s="111"/>
      <c r="E305" s="111"/>
      <c r="F305" s="112"/>
      <c r="G305" s="111"/>
      <c r="H305" s="111"/>
      <c r="I305" s="113"/>
      <c r="J305" s="114"/>
      <c r="K305" s="115"/>
      <c r="L305" s="115"/>
      <c r="M305" s="116"/>
      <c r="N305" s="116"/>
      <c r="O305" s="116"/>
      <c r="P305" s="116"/>
      <c r="Q305" s="116"/>
    </row>
    <row r="306">
      <c r="A306" s="111"/>
      <c r="B306" s="111"/>
      <c r="C306" s="111"/>
      <c r="D306" s="111"/>
      <c r="E306" s="111"/>
      <c r="F306" s="112"/>
      <c r="G306" s="111"/>
      <c r="H306" s="111"/>
      <c r="I306" s="113"/>
      <c r="J306" s="114"/>
      <c r="K306" s="115"/>
      <c r="L306" s="115"/>
      <c r="M306" s="116"/>
      <c r="N306" s="116"/>
      <c r="O306" s="116"/>
      <c r="P306" s="116"/>
      <c r="Q306" s="116"/>
    </row>
    <row r="307">
      <c r="A307" s="111"/>
      <c r="B307" s="111"/>
      <c r="C307" s="111"/>
      <c r="D307" s="111"/>
      <c r="E307" s="111"/>
      <c r="F307" s="112"/>
      <c r="G307" s="111"/>
      <c r="H307" s="111"/>
      <c r="I307" s="113"/>
      <c r="J307" s="114"/>
      <c r="K307" s="115"/>
      <c r="L307" s="115"/>
      <c r="M307" s="116"/>
      <c r="N307" s="116"/>
      <c r="O307" s="116"/>
      <c r="P307" s="116"/>
      <c r="Q307" s="116"/>
    </row>
    <row r="308">
      <c r="A308" s="111"/>
      <c r="B308" s="111"/>
      <c r="C308" s="111"/>
      <c r="D308" s="111"/>
      <c r="E308" s="111"/>
      <c r="F308" s="112"/>
      <c r="G308" s="111"/>
      <c r="H308" s="111"/>
      <c r="I308" s="113"/>
      <c r="J308" s="114"/>
      <c r="K308" s="115"/>
      <c r="L308" s="115"/>
      <c r="M308" s="116"/>
      <c r="N308" s="116"/>
      <c r="O308" s="116"/>
      <c r="P308" s="116"/>
      <c r="Q308" s="116"/>
    </row>
    <row r="309">
      <c r="A309" s="111"/>
      <c r="B309" s="111"/>
      <c r="C309" s="111"/>
      <c r="D309" s="111"/>
      <c r="E309" s="111"/>
      <c r="F309" s="112"/>
      <c r="G309" s="111"/>
      <c r="H309" s="111"/>
      <c r="I309" s="113"/>
      <c r="J309" s="114"/>
      <c r="K309" s="115"/>
      <c r="L309" s="115"/>
      <c r="M309" s="116"/>
      <c r="N309" s="116"/>
      <c r="O309" s="116"/>
      <c r="P309" s="116"/>
      <c r="Q309" s="116"/>
    </row>
    <row r="310">
      <c r="A310" s="111"/>
      <c r="B310" s="111"/>
      <c r="C310" s="111"/>
      <c r="D310" s="111"/>
      <c r="E310" s="111"/>
      <c r="F310" s="112"/>
      <c r="G310" s="111"/>
      <c r="H310" s="111"/>
      <c r="I310" s="113"/>
      <c r="J310" s="114"/>
      <c r="K310" s="115"/>
      <c r="L310" s="115"/>
      <c r="M310" s="116"/>
      <c r="N310" s="116"/>
      <c r="O310" s="116"/>
      <c r="P310" s="116"/>
      <c r="Q310" s="116"/>
    </row>
    <row r="311">
      <c r="A311" s="111"/>
      <c r="B311" s="111"/>
      <c r="C311" s="111"/>
      <c r="D311" s="111"/>
      <c r="E311" s="111"/>
      <c r="F311" s="112"/>
      <c r="G311" s="111"/>
      <c r="H311" s="111"/>
      <c r="I311" s="113"/>
      <c r="J311" s="114"/>
      <c r="K311" s="115"/>
      <c r="L311" s="115"/>
      <c r="M311" s="116"/>
      <c r="N311" s="116"/>
      <c r="O311" s="116"/>
      <c r="P311" s="116"/>
      <c r="Q311" s="116"/>
    </row>
    <row r="312">
      <c r="A312" s="111"/>
      <c r="B312" s="111"/>
      <c r="C312" s="111"/>
      <c r="D312" s="111"/>
      <c r="E312" s="111"/>
      <c r="F312" s="112"/>
      <c r="G312" s="111"/>
      <c r="H312" s="111"/>
      <c r="I312" s="113"/>
      <c r="J312" s="114"/>
      <c r="K312" s="115"/>
      <c r="L312" s="115"/>
      <c r="M312" s="116"/>
      <c r="N312" s="116"/>
      <c r="O312" s="116"/>
      <c r="P312" s="116"/>
      <c r="Q312" s="116"/>
    </row>
    <row r="313">
      <c r="A313" s="111"/>
      <c r="B313" s="111"/>
      <c r="C313" s="111"/>
      <c r="D313" s="111"/>
      <c r="E313" s="111"/>
      <c r="F313" s="112"/>
      <c r="G313" s="111"/>
      <c r="H313" s="111"/>
      <c r="I313" s="113"/>
      <c r="J313" s="114"/>
      <c r="K313" s="115"/>
      <c r="L313" s="115"/>
      <c r="M313" s="116"/>
      <c r="N313" s="116"/>
      <c r="O313" s="116"/>
      <c r="P313" s="116"/>
      <c r="Q313" s="116"/>
    </row>
    <row r="314">
      <c r="A314" s="111"/>
      <c r="B314" s="111"/>
      <c r="C314" s="111"/>
      <c r="D314" s="111"/>
      <c r="E314" s="111"/>
      <c r="F314" s="112"/>
      <c r="G314" s="111"/>
      <c r="H314" s="111"/>
      <c r="I314" s="113"/>
      <c r="J314" s="114"/>
      <c r="K314" s="115"/>
      <c r="L314" s="115"/>
      <c r="M314" s="116"/>
      <c r="N314" s="116"/>
      <c r="O314" s="116"/>
      <c r="P314" s="116"/>
      <c r="Q314" s="116"/>
    </row>
    <row r="315">
      <c r="A315" s="111"/>
      <c r="B315" s="111"/>
      <c r="C315" s="111"/>
      <c r="D315" s="111"/>
      <c r="E315" s="111"/>
      <c r="F315" s="112"/>
      <c r="G315" s="111"/>
      <c r="H315" s="111"/>
      <c r="I315" s="113"/>
      <c r="J315" s="114"/>
      <c r="K315" s="115"/>
      <c r="L315" s="115"/>
      <c r="M315" s="116"/>
      <c r="N315" s="116"/>
      <c r="O315" s="116"/>
      <c r="P315" s="116"/>
      <c r="Q315" s="116"/>
    </row>
    <row r="316">
      <c r="A316" s="111"/>
      <c r="B316" s="111"/>
      <c r="C316" s="111"/>
      <c r="D316" s="111"/>
      <c r="E316" s="111"/>
      <c r="F316" s="112"/>
      <c r="G316" s="111"/>
      <c r="H316" s="111"/>
      <c r="I316" s="113"/>
      <c r="J316" s="114"/>
      <c r="K316" s="115"/>
      <c r="L316" s="115"/>
      <c r="M316" s="116"/>
      <c r="N316" s="116"/>
      <c r="O316" s="116"/>
      <c r="P316" s="116"/>
      <c r="Q316" s="116"/>
    </row>
    <row r="317">
      <c r="A317" s="111"/>
      <c r="B317" s="111"/>
      <c r="C317" s="111"/>
      <c r="D317" s="111"/>
      <c r="E317" s="111"/>
      <c r="F317" s="112"/>
      <c r="G317" s="111"/>
      <c r="H317" s="111"/>
      <c r="I317" s="113"/>
      <c r="J317" s="114"/>
      <c r="K317" s="115"/>
      <c r="L317" s="115"/>
      <c r="M317" s="116"/>
      <c r="N317" s="116"/>
      <c r="O317" s="116"/>
      <c r="P317" s="116"/>
      <c r="Q317" s="116"/>
    </row>
    <row r="318">
      <c r="A318" s="111"/>
      <c r="B318" s="111"/>
      <c r="C318" s="111"/>
      <c r="D318" s="111"/>
      <c r="E318" s="111"/>
      <c r="F318" s="112"/>
      <c r="G318" s="111"/>
      <c r="H318" s="111"/>
      <c r="I318" s="113"/>
      <c r="J318" s="114"/>
      <c r="K318" s="115"/>
      <c r="L318" s="115"/>
      <c r="M318" s="116"/>
      <c r="N318" s="116"/>
      <c r="O318" s="116"/>
      <c r="P318" s="116"/>
      <c r="Q318" s="116"/>
    </row>
    <row r="319">
      <c r="A319" s="111"/>
      <c r="B319" s="111"/>
      <c r="C319" s="111"/>
      <c r="D319" s="111"/>
      <c r="E319" s="111"/>
      <c r="F319" s="112"/>
      <c r="G319" s="111"/>
      <c r="H319" s="111"/>
      <c r="I319" s="113"/>
      <c r="J319" s="114"/>
      <c r="K319" s="115"/>
      <c r="L319" s="115"/>
      <c r="M319" s="116"/>
      <c r="N319" s="116"/>
      <c r="O319" s="116"/>
      <c r="P319" s="116"/>
      <c r="Q319" s="116"/>
    </row>
    <row r="320">
      <c r="A320" s="111"/>
      <c r="B320" s="111"/>
      <c r="C320" s="111"/>
      <c r="D320" s="111"/>
      <c r="E320" s="111"/>
      <c r="F320" s="112"/>
      <c r="G320" s="111"/>
      <c r="H320" s="111"/>
      <c r="I320" s="113"/>
      <c r="J320" s="114"/>
      <c r="K320" s="115"/>
      <c r="L320" s="115"/>
      <c r="M320" s="116"/>
      <c r="N320" s="116"/>
      <c r="O320" s="116"/>
      <c r="P320" s="116"/>
      <c r="Q320" s="116"/>
    </row>
    <row r="321">
      <c r="A321" s="111"/>
      <c r="B321" s="111"/>
      <c r="C321" s="111"/>
      <c r="D321" s="111"/>
      <c r="E321" s="111"/>
      <c r="F321" s="112"/>
      <c r="G321" s="111"/>
      <c r="H321" s="111"/>
      <c r="I321" s="113"/>
      <c r="J321" s="114"/>
      <c r="K321" s="115"/>
      <c r="L321" s="115"/>
      <c r="M321" s="116"/>
      <c r="N321" s="116"/>
      <c r="O321" s="116"/>
      <c r="P321" s="116"/>
      <c r="Q321" s="116"/>
    </row>
    <row r="322">
      <c r="A322" s="111"/>
      <c r="B322" s="111"/>
      <c r="C322" s="111"/>
      <c r="D322" s="111"/>
      <c r="E322" s="111"/>
      <c r="F322" s="112"/>
      <c r="G322" s="111"/>
      <c r="H322" s="111"/>
      <c r="I322" s="113"/>
      <c r="J322" s="114"/>
      <c r="K322" s="115"/>
      <c r="L322" s="115"/>
      <c r="M322" s="116"/>
      <c r="N322" s="116"/>
      <c r="O322" s="116"/>
      <c r="P322" s="116"/>
      <c r="Q322" s="116"/>
    </row>
    <row r="323">
      <c r="A323" s="111"/>
      <c r="B323" s="111"/>
      <c r="C323" s="111"/>
      <c r="D323" s="111"/>
      <c r="E323" s="111"/>
      <c r="F323" s="112"/>
      <c r="G323" s="111"/>
      <c r="H323" s="111"/>
      <c r="I323" s="113"/>
      <c r="J323" s="114"/>
      <c r="K323" s="115"/>
      <c r="L323" s="115"/>
      <c r="M323" s="116"/>
      <c r="N323" s="116"/>
      <c r="O323" s="116"/>
      <c r="P323" s="116"/>
      <c r="Q323" s="116"/>
    </row>
    <row r="324">
      <c r="A324" s="111"/>
      <c r="B324" s="111"/>
      <c r="C324" s="111"/>
      <c r="D324" s="111"/>
      <c r="E324" s="111"/>
      <c r="F324" s="112"/>
      <c r="G324" s="111"/>
      <c r="H324" s="111"/>
      <c r="I324" s="113"/>
      <c r="J324" s="114"/>
      <c r="K324" s="115"/>
      <c r="L324" s="115"/>
      <c r="M324" s="116"/>
      <c r="N324" s="116"/>
      <c r="O324" s="116"/>
      <c r="P324" s="116"/>
      <c r="Q324" s="116"/>
    </row>
    <row r="325">
      <c r="A325" s="111"/>
      <c r="B325" s="111"/>
      <c r="C325" s="111"/>
      <c r="D325" s="111"/>
      <c r="E325" s="111"/>
      <c r="F325" s="112"/>
      <c r="G325" s="111"/>
      <c r="H325" s="111"/>
      <c r="I325" s="113"/>
      <c r="J325" s="114"/>
      <c r="K325" s="115"/>
      <c r="L325" s="115"/>
      <c r="M325" s="116"/>
      <c r="N325" s="116"/>
      <c r="O325" s="116"/>
      <c r="P325" s="116"/>
      <c r="Q325" s="116"/>
    </row>
    <row r="326">
      <c r="A326" s="111"/>
      <c r="B326" s="111"/>
      <c r="C326" s="111"/>
      <c r="D326" s="111"/>
      <c r="E326" s="111"/>
      <c r="F326" s="112"/>
      <c r="G326" s="111"/>
      <c r="H326" s="111"/>
      <c r="I326" s="113"/>
      <c r="J326" s="114"/>
      <c r="K326" s="115"/>
      <c r="L326" s="115"/>
      <c r="M326" s="116"/>
      <c r="N326" s="116"/>
      <c r="O326" s="116"/>
      <c r="P326" s="116"/>
      <c r="Q326" s="116"/>
    </row>
    <row r="327">
      <c r="A327" s="111"/>
      <c r="B327" s="111"/>
      <c r="C327" s="111"/>
      <c r="D327" s="111"/>
      <c r="E327" s="111"/>
      <c r="F327" s="112"/>
      <c r="G327" s="111"/>
      <c r="H327" s="111"/>
      <c r="I327" s="113"/>
      <c r="J327" s="114"/>
      <c r="K327" s="115"/>
      <c r="L327" s="115"/>
      <c r="M327" s="116"/>
      <c r="N327" s="116"/>
      <c r="O327" s="116"/>
      <c r="P327" s="116"/>
      <c r="Q327" s="116"/>
    </row>
    <row r="328">
      <c r="A328" s="111"/>
      <c r="B328" s="111"/>
      <c r="C328" s="111"/>
      <c r="D328" s="111"/>
      <c r="E328" s="111"/>
      <c r="F328" s="112"/>
      <c r="G328" s="111"/>
      <c r="H328" s="111"/>
      <c r="I328" s="113"/>
      <c r="J328" s="114"/>
      <c r="K328" s="115"/>
      <c r="L328" s="115"/>
      <c r="M328" s="116"/>
      <c r="N328" s="116"/>
      <c r="O328" s="116"/>
      <c r="P328" s="116"/>
      <c r="Q328" s="116"/>
    </row>
    <row r="329">
      <c r="A329" s="111"/>
      <c r="B329" s="111"/>
      <c r="C329" s="111"/>
      <c r="D329" s="111"/>
      <c r="E329" s="111"/>
      <c r="F329" s="112"/>
      <c r="G329" s="111"/>
      <c r="H329" s="111"/>
      <c r="I329" s="113"/>
      <c r="J329" s="114"/>
      <c r="K329" s="115"/>
      <c r="L329" s="115"/>
      <c r="M329" s="116"/>
      <c r="N329" s="116"/>
      <c r="O329" s="116"/>
      <c r="P329" s="116"/>
      <c r="Q329" s="116"/>
    </row>
    <row r="330">
      <c r="A330" s="111"/>
      <c r="B330" s="111"/>
      <c r="C330" s="111"/>
      <c r="D330" s="111"/>
      <c r="E330" s="111"/>
      <c r="F330" s="112"/>
      <c r="G330" s="111"/>
      <c r="H330" s="111"/>
      <c r="I330" s="113"/>
      <c r="J330" s="114"/>
      <c r="K330" s="115"/>
      <c r="L330" s="115"/>
      <c r="M330" s="116"/>
      <c r="N330" s="116"/>
      <c r="O330" s="116"/>
      <c r="P330" s="116"/>
      <c r="Q330" s="116"/>
    </row>
    <row r="331">
      <c r="A331" s="111"/>
      <c r="B331" s="111"/>
      <c r="C331" s="111"/>
      <c r="D331" s="111"/>
      <c r="E331" s="111"/>
      <c r="F331" s="112"/>
      <c r="G331" s="111"/>
      <c r="H331" s="111"/>
      <c r="I331" s="113"/>
      <c r="J331" s="114"/>
      <c r="K331" s="115"/>
      <c r="L331" s="115"/>
      <c r="M331" s="116"/>
      <c r="N331" s="116"/>
      <c r="O331" s="116"/>
      <c r="P331" s="116"/>
      <c r="Q331" s="116"/>
    </row>
    <row r="332">
      <c r="A332" s="111"/>
      <c r="B332" s="111"/>
      <c r="C332" s="111"/>
      <c r="D332" s="111"/>
      <c r="E332" s="111"/>
      <c r="F332" s="112"/>
      <c r="G332" s="111"/>
      <c r="H332" s="111"/>
      <c r="I332" s="113"/>
      <c r="J332" s="114"/>
      <c r="K332" s="115"/>
      <c r="L332" s="115"/>
      <c r="M332" s="116"/>
      <c r="N332" s="116"/>
      <c r="O332" s="116"/>
      <c r="P332" s="116"/>
      <c r="Q332" s="116"/>
    </row>
    <row r="333">
      <c r="A333" s="111"/>
      <c r="B333" s="111"/>
      <c r="C333" s="111"/>
      <c r="D333" s="111"/>
      <c r="E333" s="111"/>
      <c r="F333" s="112"/>
      <c r="G333" s="111"/>
      <c r="H333" s="111"/>
      <c r="I333" s="113"/>
      <c r="J333" s="114"/>
      <c r="K333" s="115"/>
      <c r="L333" s="115"/>
      <c r="M333" s="116"/>
      <c r="N333" s="116"/>
      <c r="O333" s="116"/>
      <c r="P333" s="116"/>
      <c r="Q333" s="116"/>
    </row>
    <row r="334">
      <c r="A334" s="111"/>
      <c r="B334" s="111"/>
      <c r="C334" s="111"/>
      <c r="D334" s="111"/>
      <c r="E334" s="111"/>
      <c r="F334" s="112"/>
      <c r="G334" s="111"/>
      <c r="H334" s="111"/>
      <c r="I334" s="113"/>
      <c r="J334" s="114"/>
      <c r="K334" s="115"/>
      <c r="L334" s="115"/>
      <c r="M334" s="116"/>
      <c r="N334" s="116"/>
      <c r="O334" s="116"/>
      <c r="P334" s="116"/>
      <c r="Q334" s="116"/>
    </row>
    <row r="335">
      <c r="A335" s="111"/>
      <c r="B335" s="111"/>
      <c r="C335" s="111"/>
      <c r="D335" s="111"/>
      <c r="E335" s="111"/>
      <c r="F335" s="112"/>
      <c r="G335" s="111"/>
      <c r="H335" s="111"/>
      <c r="I335" s="113"/>
      <c r="J335" s="114"/>
      <c r="K335" s="115"/>
      <c r="L335" s="115"/>
      <c r="M335" s="116"/>
      <c r="N335" s="116"/>
      <c r="O335" s="116"/>
      <c r="P335" s="116"/>
      <c r="Q335" s="116"/>
    </row>
    <row r="336">
      <c r="A336" s="111"/>
      <c r="B336" s="111"/>
      <c r="C336" s="111"/>
      <c r="D336" s="111"/>
      <c r="E336" s="111"/>
      <c r="F336" s="112"/>
      <c r="G336" s="111"/>
      <c r="H336" s="111"/>
      <c r="I336" s="113"/>
      <c r="J336" s="114"/>
      <c r="K336" s="115"/>
      <c r="L336" s="115"/>
      <c r="M336" s="116"/>
      <c r="N336" s="116"/>
      <c r="O336" s="116"/>
      <c r="P336" s="116"/>
      <c r="Q336" s="116"/>
    </row>
    <row r="337">
      <c r="A337" s="111"/>
      <c r="B337" s="111"/>
      <c r="C337" s="111"/>
      <c r="D337" s="111"/>
      <c r="E337" s="111"/>
      <c r="F337" s="112"/>
      <c r="G337" s="111"/>
      <c r="H337" s="111"/>
      <c r="I337" s="113"/>
      <c r="J337" s="114"/>
      <c r="K337" s="115"/>
      <c r="L337" s="115"/>
      <c r="M337" s="116"/>
      <c r="N337" s="116"/>
      <c r="O337" s="116"/>
      <c r="P337" s="116"/>
      <c r="Q337" s="116"/>
    </row>
    <row r="338">
      <c r="A338" s="111"/>
      <c r="B338" s="111"/>
      <c r="C338" s="111"/>
      <c r="D338" s="111"/>
      <c r="E338" s="111"/>
      <c r="F338" s="112"/>
      <c r="G338" s="111"/>
      <c r="H338" s="111"/>
      <c r="I338" s="113"/>
      <c r="J338" s="114"/>
      <c r="K338" s="115"/>
      <c r="L338" s="115"/>
      <c r="M338" s="116"/>
      <c r="N338" s="116"/>
      <c r="O338" s="116"/>
      <c r="P338" s="116"/>
      <c r="Q338" s="116"/>
    </row>
    <row r="339">
      <c r="A339" s="111"/>
      <c r="B339" s="111"/>
      <c r="C339" s="111"/>
      <c r="D339" s="111"/>
      <c r="E339" s="111"/>
      <c r="F339" s="112"/>
      <c r="G339" s="111"/>
      <c r="H339" s="111"/>
      <c r="I339" s="113"/>
      <c r="J339" s="114"/>
      <c r="K339" s="115"/>
      <c r="L339" s="115"/>
      <c r="M339" s="116"/>
      <c r="N339" s="116"/>
      <c r="O339" s="116"/>
      <c r="P339" s="116"/>
      <c r="Q339" s="116"/>
    </row>
    <row r="340">
      <c r="A340" s="111"/>
      <c r="B340" s="111"/>
      <c r="C340" s="111"/>
      <c r="D340" s="111"/>
      <c r="E340" s="111"/>
      <c r="F340" s="112"/>
      <c r="G340" s="111"/>
      <c r="H340" s="111"/>
      <c r="I340" s="113"/>
      <c r="J340" s="114"/>
      <c r="K340" s="115"/>
      <c r="L340" s="115"/>
      <c r="M340" s="116"/>
      <c r="N340" s="116"/>
      <c r="O340" s="116"/>
      <c r="P340" s="116"/>
      <c r="Q340" s="116"/>
    </row>
    <row r="341">
      <c r="A341" s="111"/>
      <c r="B341" s="111"/>
      <c r="C341" s="111"/>
      <c r="D341" s="111"/>
      <c r="E341" s="111"/>
      <c r="F341" s="112"/>
      <c r="G341" s="111"/>
      <c r="H341" s="111"/>
      <c r="I341" s="113"/>
      <c r="J341" s="114"/>
      <c r="K341" s="115"/>
      <c r="L341" s="115"/>
      <c r="M341" s="116"/>
      <c r="N341" s="116"/>
      <c r="O341" s="116"/>
      <c r="P341" s="116"/>
      <c r="Q341" s="116"/>
    </row>
    <row r="342">
      <c r="A342" s="111"/>
      <c r="B342" s="111"/>
      <c r="C342" s="111"/>
      <c r="D342" s="111"/>
      <c r="E342" s="111"/>
      <c r="F342" s="112"/>
      <c r="G342" s="111"/>
      <c r="H342" s="111"/>
      <c r="I342" s="113"/>
      <c r="J342" s="114"/>
      <c r="K342" s="115"/>
      <c r="L342" s="115"/>
      <c r="M342" s="116"/>
      <c r="N342" s="116"/>
      <c r="O342" s="116"/>
      <c r="P342" s="116"/>
      <c r="Q342" s="116"/>
    </row>
    <row r="343">
      <c r="A343" s="111"/>
      <c r="B343" s="111"/>
      <c r="C343" s="111"/>
      <c r="D343" s="111"/>
      <c r="E343" s="111"/>
      <c r="F343" s="112"/>
      <c r="G343" s="111"/>
      <c r="H343" s="111"/>
      <c r="I343" s="113"/>
      <c r="J343" s="114"/>
      <c r="K343" s="115"/>
      <c r="L343" s="115"/>
      <c r="M343" s="116"/>
      <c r="N343" s="116"/>
      <c r="O343" s="116"/>
      <c r="P343" s="116"/>
      <c r="Q343" s="116"/>
    </row>
    <row r="344">
      <c r="A344" s="111"/>
      <c r="B344" s="111"/>
      <c r="C344" s="111"/>
      <c r="D344" s="111"/>
      <c r="E344" s="111"/>
      <c r="F344" s="112"/>
      <c r="G344" s="111"/>
      <c r="H344" s="111"/>
      <c r="I344" s="113"/>
      <c r="J344" s="114"/>
      <c r="K344" s="115"/>
      <c r="L344" s="115"/>
      <c r="M344" s="116"/>
      <c r="N344" s="116"/>
      <c r="O344" s="116"/>
      <c r="P344" s="116"/>
      <c r="Q344" s="116"/>
    </row>
    <row r="345">
      <c r="A345" s="111"/>
      <c r="B345" s="111"/>
      <c r="C345" s="111"/>
      <c r="D345" s="111"/>
      <c r="E345" s="111"/>
      <c r="F345" s="112"/>
      <c r="G345" s="111"/>
      <c r="H345" s="111"/>
      <c r="I345" s="113"/>
      <c r="J345" s="114"/>
      <c r="K345" s="115"/>
      <c r="L345" s="115"/>
      <c r="M345" s="116"/>
      <c r="N345" s="116"/>
      <c r="O345" s="116"/>
      <c r="P345" s="116"/>
      <c r="Q345" s="116"/>
    </row>
    <row r="346">
      <c r="A346" s="111"/>
      <c r="B346" s="111"/>
      <c r="C346" s="111"/>
      <c r="D346" s="111"/>
      <c r="E346" s="111"/>
      <c r="F346" s="112"/>
      <c r="G346" s="111"/>
      <c r="H346" s="111"/>
      <c r="I346" s="113"/>
      <c r="J346" s="114"/>
      <c r="K346" s="115"/>
      <c r="L346" s="115"/>
      <c r="M346" s="116"/>
      <c r="N346" s="116"/>
      <c r="O346" s="116"/>
      <c r="P346" s="116"/>
      <c r="Q346" s="116"/>
    </row>
    <row r="347">
      <c r="A347" s="111"/>
      <c r="B347" s="111"/>
      <c r="C347" s="111"/>
      <c r="D347" s="111"/>
      <c r="E347" s="111"/>
      <c r="F347" s="112"/>
      <c r="G347" s="111"/>
      <c r="H347" s="111"/>
      <c r="I347" s="113"/>
      <c r="J347" s="114"/>
      <c r="K347" s="115"/>
      <c r="L347" s="115"/>
      <c r="M347" s="116"/>
      <c r="N347" s="116"/>
      <c r="O347" s="116"/>
      <c r="P347" s="116"/>
      <c r="Q347" s="116"/>
    </row>
    <row r="348">
      <c r="A348" s="111"/>
      <c r="B348" s="111"/>
      <c r="C348" s="111"/>
      <c r="D348" s="111"/>
      <c r="E348" s="111"/>
      <c r="F348" s="112"/>
      <c r="G348" s="111"/>
      <c r="H348" s="111"/>
      <c r="I348" s="113"/>
      <c r="J348" s="114"/>
      <c r="K348" s="115"/>
      <c r="L348" s="115"/>
      <c r="M348" s="116"/>
      <c r="N348" s="116"/>
      <c r="O348" s="116"/>
      <c r="P348" s="116"/>
      <c r="Q348" s="116"/>
    </row>
    <row r="349">
      <c r="A349" s="111"/>
      <c r="B349" s="111"/>
      <c r="C349" s="111"/>
      <c r="D349" s="111"/>
      <c r="E349" s="111"/>
      <c r="F349" s="112"/>
      <c r="G349" s="111"/>
      <c r="H349" s="111"/>
      <c r="I349" s="113"/>
      <c r="J349" s="114"/>
      <c r="K349" s="115"/>
      <c r="L349" s="115"/>
      <c r="M349" s="116"/>
      <c r="N349" s="116"/>
      <c r="O349" s="116"/>
      <c r="P349" s="116"/>
      <c r="Q349" s="116"/>
    </row>
    <row r="350">
      <c r="A350" s="111"/>
      <c r="B350" s="111"/>
      <c r="C350" s="111"/>
      <c r="D350" s="111"/>
      <c r="E350" s="111"/>
      <c r="F350" s="112"/>
      <c r="G350" s="111"/>
      <c r="H350" s="111"/>
      <c r="I350" s="113"/>
      <c r="J350" s="114"/>
      <c r="K350" s="115"/>
      <c r="L350" s="115"/>
      <c r="M350" s="116"/>
      <c r="N350" s="116"/>
      <c r="O350" s="116"/>
      <c r="P350" s="116"/>
      <c r="Q350" s="116"/>
    </row>
    <row r="351">
      <c r="A351" s="111"/>
      <c r="B351" s="111"/>
      <c r="C351" s="111"/>
      <c r="D351" s="111"/>
      <c r="E351" s="111"/>
      <c r="F351" s="112"/>
      <c r="G351" s="111"/>
      <c r="H351" s="111"/>
      <c r="I351" s="113"/>
      <c r="J351" s="114"/>
      <c r="K351" s="115"/>
      <c r="L351" s="115"/>
      <c r="M351" s="116"/>
      <c r="N351" s="116"/>
      <c r="O351" s="116"/>
      <c r="P351" s="116"/>
      <c r="Q351" s="116"/>
    </row>
    <row r="352">
      <c r="A352" s="111"/>
      <c r="B352" s="111"/>
      <c r="C352" s="111"/>
      <c r="D352" s="111"/>
      <c r="E352" s="111"/>
      <c r="F352" s="112"/>
      <c r="G352" s="111"/>
      <c r="H352" s="111"/>
      <c r="I352" s="113"/>
      <c r="J352" s="114"/>
      <c r="K352" s="115"/>
      <c r="L352" s="115"/>
      <c r="M352" s="116"/>
      <c r="N352" s="116"/>
      <c r="O352" s="116"/>
      <c r="P352" s="116"/>
      <c r="Q352" s="116"/>
    </row>
    <row r="353">
      <c r="A353" s="111"/>
      <c r="B353" s="111"/>
      <c r="C353" s="111"/>
      <c r="D353" s="111"/>
      <c r="E353" s="111"/>
      <c r="F353" s="112"/>
      <c r="G353" s="111"/>
      <c r="H353" s="111"/>
      <c r="I353" s="113"/>
      <c r="J353" s="114"/>
      <c r="K353" s="115"/>
      <c r="L353" s="115"/>
      <c r="M353" s="116"/>
      <c r="N353" s="116"/>
      <c r="O353" s="116"/>
      <c r="P353" s="116"/>
      <c r="Q353" s="116"/>
    </row>
    <row r="354">
      <c r="A354" s="111"/>
      <c r="B354" s="111"/>
      <c r="C354" s="111"/>
      <c r="D354" s="111"/>
      <c r="E354" s="111"/>
      <c r="F354" s="112"/>
      <c r="G354" s="111"/>
      <c r="H354" s="111"/>
      <c r="I354" s="113"/>
      <c r="J354" s="114"/>
      <c r="K354" s="115"/>
      <c r="L354" s="115"/>
      <c r="M354" s="116"/>
      <c r="N354" s="116"/>
      <c r="O354" s="116"/>
      <c r="P354" s="116"/>
      <c r="Q354" s="116"/>
    </row>
    <row r="355">
      <c r="A355" s="111"/>
      <c r="B355" s="111"/>
      <c r="C355" s="111"/>
      <c r="D355" s="111"/>
      <c r="E355" s="111"/>
      <c r="F355" s="112"/>
      <c r="G355" s="111"/>
      <c r="H355" s="111"/>
      <c r="I355" s="113"/>
      <c r="J355" s="114"/>
      <c r="K355" s="115"/>
      <c r="L355" s="115"/>
      <c r="M355" s="116"/>
      <c r="N355" s="116"/>
      <c r="O355" s="116"/>
      <c r="P355" s="116"/>
      <c r="Q355" s="116"/>
    </row>
    <row r="356">
      <c r="A356" s="111"/>
      <c r="B356" s="111"/>
      <c r="C356" s="111"/>
      <c r="D356" s="111"/>
      <c r="E356" s="111"/>
      <c r="F356" s="112"/>
      <c r="G356" s="111"/>
      <c r="H356" s="111"/>
      <c r="I356" s="113"/>
      <c r="J356" s="114"/>
      <c r="K356" s="115"/>
      <c r="L356" s="115"/>
      <c r="M356" s="116"/>
      <c r="N356" s="116"/>
      <c r="O356" s="116"/>
      <c r="P356" s="116"/>
      <c r="Q356" s="116"/>
    </row>
    <row r="357">
      <c r="A357" s="111"/>
      <c r="B357" s="111"/>
      <c r="C357" s="111"/>
      <c r="D357" s="111"/>
      <c r="E357" s="111"/>
      <c r="F357" s="112"/>
      <c r="G357" s="111"/>
      <c r="H357" s="111"/>
      <c r="I357" s="113"/>
      <c r="J357" s="114"/>
      <c r="K357" s="115"/>
      <c r="L357" s="115"/>
      <c r="M357" s="116"/>
      <c r="N357" s="116"/>
      <c r="O357" s="116"/>
      <c r="P357" s="116"/>
      <c r="Q357" s="116"/>
    </row>
    <row r="358">
      <c r="A358" s="111"/>
      <c r="B358" s="111"/>
      <c r="C358" s="111"/>
      <c r="D358" s="111"/>
      <c r="E358" s="111"/>
      <c r="F358" s="112"/>
      <c r="G358" s="111"/>
      <c r="H358" s="111"/>
      <c r="I358" s="113"/>
      <c r="J358" s="114"/>
      <c r="K358" s="115"/>
      <c r="L358" s="115"/>
      <c r="M358" s="116"/>
      <c r="N358" s="116"/>
      <c r="O358" s="116"/>
      <c r="P358" s="116"/>
      <c r="Q358" s="116"/>
    </row>
    <row r="359">
      <c r="A359" s="111"/>
      <c r="B359" s="111"/>
      <c r="C359" s="111"/>
      <c r="D359" s="111"/>
      <c r="E359" s="111"/>
      <c r="F359" s="112"/>
      <c r="G359" s="111"/>
      <c r="H359" s="111"/>
      <c r="I359" s="113"/>
      <c r="J359" s="114"/>
      <c r="K359" s="115"/>
      <c r="L359" s="115"/>
      <c r="M359" s="116"/>
      <c r="N359" s="116"/>
      <c r="O359" s="116"/>
      <c r="P359" s="116"/>
      <c r="Q359" s="116"/>
    </row>
    <row r="360">
      <c r="A360" s="111"/>
      <c r="B360" s="111"/>
      <c r="C360" s="111"/>
      <c r="D360" s="111"/>
      <c r="E360" s="111"/>
      <c r="F360" s="112"/>
      <c r="G360" s="111"/>
      <c r="H360" s="111"/>
      <c r="I360" s="113"/>
      <c r="J360" s="114"/>
      <c r="K360" s="115"/>
      <c r="L360" s="115"/>
      <c r="M360" s="116"/>
      <c r="N360" s="116"/>
      <c r="O360" s="116"/>
      <c r="P360" s="116"/>
      <c r="Q360" s="116"/>
    </row>
    <row r="361">
      <c r="A361" s="111"/>
      <c r="B361" s="111"/>
      <c r="C361" s="111"/>
      <c r="D361" s="111"/>
      <c r="E361" s="111"/>
      <c r="F361" s="112"/>
      <c r="G361" s="111"/>
      <c r="H361" s="111"/>
      <c r="I361" s="113"/>
      <c r="J361" s="114"/>
      <c r="K361" s="115"/>
      <c r="L361" s="115"/>
      <c r="M361" s="116"/>
      <c r="N361" s="116"/>
      <c r="O361" s="116"/>
      <c r="P361" s="116"/>
      <c r="Q361" s="116"/>
    </row>
    <row r="362">
      <c r="A362" s="111"/>
      <c r="B362" s="111"/>
      <c r="C362" s="111"/>
      <c r="D362" s="111"/>
      <c r="E362" s="111"/>
      <c r="F362" s="112"/>
      <c r="G362" s="111"/>
      <c r="H362" s="111"/>
      <c r="I362" s="113"/>
      <c r="J362" s="114"/>
      <c r="K362" s="115"/>
      <c r="L362" s="115"/>
      <c r="M362" s="116"/>
      <c r="N362" s="116"/>
      <c r="O362" s="116"/>
      <c r="P362" s="116"/>
      <c r="Q362" s="116"/>
    </row>
    <row r="363">
      <c r="A363" s="111"/>
      <c r="B363" s="111"/>
      <c r="C363" s="111"/>
      <c r="D363" s="111"/>
      <c r="E363" s="111"/>
      <c r="F363" s="112"/>
      <c r="G363" s="111"/>
      <c r="H363" s="111"/>
      <c r="I363" s="113"/>
      <c r="J363" s="114"/>
      <c r="K363" s="115"/>
      <c r="L363" s="115"/>
      <c r="M363" s="116"/>
      <c r="N363" s="116"/>
      <c r="O363" s="116"/>
      <c r="P363" s="116"/>
      <c r="Q363" s="116"/>
    </row>
    <row r="364">
      <c r="A364" s="111"/>
      <c r="B364" s="111"/>
      <c r="C364" s="111"/>
      <c r="D364" s="111"/>
      <c r="E364" s="111"/>
      <c r="F364" s="112"/>
      <c r="G364" s="111"/>
      <c r="H364" s="111"/>
      <c r="I364" s="113"/>
      <c r="J364" s="114"/>
      <c r="K364" s="115"/>
      <c r="L364" s="115"/>
      <c r="M364" s="116"/>
      <c r="N364" s="116"/>
      <c r="O364" s="116"/>
      <c r="P364" s="116"/>
      <c r="Q364" s="116"/>
    </row>
    <row r="365">
      <c r="A365" s="111"/>
      <c r="B365" s="111"/>
      <c r="C365" s="111"/>
      <c r="D365" s="111"/>
      <c r="E365" s="111"/>
      <c r="F365" s="112"/>
      <c r="G365" s="111"/>
      <c r="H365" s="111"/>
      <c r="I365" s="113"/>
      <c r="J365" s="114"/>
      <c r="K365" s="115"/>
      <c r="L365" s="115"/>
      <c r="M365" s="116"/>
      <c r="N365" s="116"/>
      <c r="O365" s="116"/>
      <c r="P365" s="116"/>
      <c r="Q365" s="116"/>
    </row>
    <row r="366">
      <c r="A366" s="111"/>
      <c r="B366" s="111"/>
      <c r="C366" s="111"/>
      <c r="D366" s="111"/>
      <c r="E366" s="111"/>
      <c r="F366" s="112"/>
      <c r="G366" s="111"/>
      <c r="H366" s="111"/>
      <c r="I366" s="113"/>
      <c r="J366" s="114"/>
      <c r="K366" s="115"/>
      <c r="L366" s="115"/>
      <c r="M366" s="116"/>
      <c r="N366" s="116"/>
      <c r="O366" s="116"/>
      <c r="P366" s="116"/>
      <c r="Q366" s="116"/>
    </row>
    <row r="367">
      <c r="A367" s="111"/>
      <c r="B367" s="111"/>
      <c r="C367" s="111"/>
      <c r="D367" s="111"/>
      <c r="E367" s="111"/>
      <c r="F367" s="112"/>
      <c r="G367" s="111"/>
      <c r="H367" s="111"/>
      <c r="I367" s="113"/>
      <c r="J367" s="114"/>
      <c r="K367" s="115"/>
      <c r="L367" s="115"/>
      <c r="M367" s="116"/>
      <c r="N367" s="116"/>
      <c r="O367" s="116"/>
      <c r="P367" s="116"/>
      <c r="Q367" s="116"/>
    </row>
    <row r="368">
      <c r="A368" s="111"/>
      <c r="B368" s="111"/>
      <c r="C368" s="111"/>
      <c r="D368" s="111"/>
      <c r="E368" s="111"/>
      <c r="F368" s="112"/>
      <c r="G368" s="111"/>
      <c r="H368" s="111"/>
      <c r="I368" s="113"/>
      <c r="J368" s="114"/>
      <c r="K368" s="115"/>
      <c r="L368" s="115"/>
      <c r="M368" s="116"/>
      <c r="N368" s="116"/>
      <c r="O368" s="116"/>
      <c r="P368" s="116"/>
      <c r="Q368" s="116"/>
    </row>
    <row r="369">
      <c r="A369" s="111"/>
      <c r="B369" s="111"/>
      <c r="C369" s="111"/>
      <c r="D369" s="111"/>
      <c r="E369" s="111"/>
      <c r="F369" s="112"/>
      <c r="G369" s="111"/>
      <c r="H369" s="111"/>
      <c r="I369" s="113"/>
      <c r="J369" s="114"/>
      <c r="K369" s="115"/>
      <c r="L369" s="115"/>
      <c r="M369" s="116"/>
      <c r="N369" s="116"/>
      <c r="O369" s="116"/>
      <c r="P369" s="116"/>
      <c r="Q369" s="116"/>
    </row>
    <row r="370">
      <c r="A370" s="111"/>
      <c r="B370" s="111"/>
      <c r="C370" s="111"/>
      <c r="D370" s="111"/>
      <c r="E370" s="111"/>
      <c r="F370" s="112"/>
      <c r="G370" s="111"/>
      <c r="H370" s="111"/>
      <c r="I370" s="113"/>
      <c r="J370" s="114"/>
      <c r="K370" s="115"/>
      <c r="L370" s="115"/>
      <c r="M370" s="116"/>
      <c r="N370" s="116"/>
      <c r="O370" s="116"/>
      <c r="P370" s="116"/>
      <c r="Q370" s="116"/>
    </row>
    <row r="371">
      <c r="A371" s="111"/>
      <c r="B371" s="111"/>
      <c r="C371" s="111"/>
      <c r="D371" s="111"/>
      <c r="E371" s="111"/>
      <c r="F371" s="112"/>
      <c r="G371" s="111"/>
      <c r="H371" s="111"/>
      <c r="I371" s="113"/>
      <c r="J371" s="114"/>
      <c r="K371" s="115"/>
      <c r="L371" s="115"/>
      <c r="M371" s="116"/>
      <c r="N371" s="116"/>
      <c r="O371" s="116"/>
      <c r="P371" s="116"/>
      <c r="Q371" s="116"/>
    </row>
    <row r="372">
      <c r="A372" s="111"/>
      <c r="B372" s="111"/>
      <c r="C372" s="111"/>
      <c r="D372" s="111"/>
      <c r="E372" s="111"/>
      <c r="F372" s="112"/>
      <c r="G372" s="111"/>
      <c r="H372" s="111"/>
      <c r="I372" s="113"/>
      <c r="J372" s="114"/>
      <c r="K372" s="115"/>
      <c r="L372" s="115"/>
      <c r="M372" s="116"/>
      <c r="N372" s="116"/>
      <c r="O372" s="116"/>
      <c r="P372" s="116"/>
      <c r="Q372" s="116"/>
    </row>
    <row r="373">
      <c r="A373" s="111"/>
      <c r="B373" s="111"/>
      <c r="C373" s="111"/>
      <c r="D373" s="111"/>
      <c r="E373" s="111"/>
      <c r="F373" s="112"/>
      <c r="G373" s="111"/>
      <c r="H373" s="111"/>
      <c r="I373" s="113"/>
      <c r="J373" s="114"/>
      <c r="K373" s="115"/>
      <c r="L373" s="115"/>
      <c r="M373" s="116"/>
      <c r="N373" s="116"/>
      <c r="O373" s="116"/>
      <c r="P373" s="116"/>
      <c r="Q373" s="116"/>
    </row>
    <row r="374">
      <c r="A374" s="111"/>
      <c r="B374" s="111"/>
      <c r="C374" s="111"/>
      <c r="D374" s="111"/>
      <c r="E374" s="111"/>
      <c r="F374" s="112"/>
      <c r="G374" s="111"/>
      <c r="H374" s="111"/>
      <c r="I374" s="113"/>
      <c r="J374" s="114"/>
      <c r="K374" s="115"/>
      <c r="L374" s="115"/>
      <c r="M374" s="116"/>
      <c r="N374" s="116"/>
      <c r="O374" s="116"/>
      <c r="P374" s="116"/>
      <c r="Q374" s="116"/>
    </row>
    <row r="375">
      <c r="A375" s="111"/>
      <c r="B375" s="111"/>
      <c r="C375" s="111"/>
      <c r="D375" s="111"/>
      <c r="E375" s="111"/>
      <c r="F375" s="112"/>
      <c r="G375" s="111"/>
      <c r="H375" s="111"/>
      <c r="I375" s="113"/>
      <c r="J375" s="114"/>
      <c r="K375" s="115"/>
      <c r="L375" s="115"/>
      <c r="M375" s="116"/>
      <c r="N375" s="116"/>
      <c r="O375" s="116"/>
      <c r="P375" s="116"/>
      <c r="Q375" s="116"/>
    </row>
    <row r="376">
      <c r="A376" s="111"/>
      <c r="B376" s="111"/>
      <c r="C376" s="111"/>
      <c r="D376" s="111"/>
      <c r="E376" s="111"/>
      <c r="F376" s="112"/>
      <c r="G376" s="111"/>
      <c r="H376" s="111"/>
      <c r="I376" s="113"/>
      <c r="J376" s="114"/>
      <c r="K376" s="115"/>
      <c r="L376" s="115"/>
      <c r="M376" s="116"/>
      <c r="N376" s="116"/>
      <c r="O376" s="116"/>
      <c r="P376" s="116"/>
      <c r="Q376" s="116"/>
    </row>
    <row r="377">
      <c r="A377" s="111"/>
      <c r="B377" s="111"/>
      <c r="C377" s="111"/>
      <c r="D377" s="111"/>
      <c r="E377" s="111"/>
      <c r="F377" s="112"/>
      <c r="G377" s="111"/>
      <c r="H377" s="111"/>
      <c r="I377" s="113"/>
      <c r="J377" s="114"/>
      <c r="K377" s="115"/>
      <c r="L377" s="115"/>
      <c r="M377" s="116"/>
      <c r="N377" s="116"/>
      <c r="O377" s="116"/>
      <c r="P377" s="116"/>
      <c r="Q377" s="116"/>
    </row>
    <row r="378">
      <c r="A378" s="111"/>
      <c r="B378" s="111"/>
      <c r="C378" s="111"/>
      <c r="D378" s="111"/>
      <c r="E378" s="111"/>
      <c r="F378" s="112"/>
      <c r="G378" s="111"/>
      <c r="H378" s="111"/>
      <c r="I378" s="113"/>
      <c r="J378" s="114"/>
      <c r="K378" s="115"/>
      <c r="L378" s="115"/>
      <c r="M378" s="116"/>
      <c r="N378" s="116"/>
      <c r="O378" s="116"/>
      <c r="P378" s="116"/>
      <c r="Q378" s="116"/>
    </row>
    <row r="379">
      <c r="A379" s="111"/>
      <c r="B379" s="111"/>
      <c r="C379" s="111"/>
      <c r="D379" s="111"/>
      <c r="E379" s="111"/>
      <c r="F379" s="112"/>
      <c r="G379" s="111"/>
      <c r="H379" s="111"/>
      <c r="I379" s="113"/>
      <c r="J379" s="114"/>
      <c r="K379" s="115"/>
      <c r="L379" s="115"/>
      <c r="M379" s="116"/>
      <c r="N379" s="116"/>
      <c r="O379" s="116"/>
      <c r="P379" s="116"/>
      <c r="Q379" s="116"/>
    </row>
    <row r="380">
      <c r="A380" s="111"/>
      <c r="B380" s="111"/>
      <c r="C380" s="111"/>
      <c r="D380" s="111"/>
      <c r="E380" s="111"/>
      <c r="F380" s="112"/>
      <c r="G380" s="111"/>
      <c r="H380" s="111"/>
      <c r="I380" s="113"/>
      <c r="J380" s="114"/>
      <c r="K380" s="115"/>
      <c r="L380" s="115"/>
      <c r="M380" s="116"/>
      <c r="N380" s="116"/>
      <c r="O380" s="116"/>
      <c r="P380" s="116"/>
      <c r="Q380" s="116"/>
    </row>
    <row r="381">
      <c r="A381" s="111"/>
      <c r="B381" s="111"/>
      <c r="C381" s="111"/>
      <c r="D381" s="111"/>
      <c r="E381" s="111"/>
      <c r="F381" s="112"/>
      <c r="G381" s="111"/>
      <c r="H381" s="111"/>
      <c r="I381" s="113"/>
      <c r="J381" s="114"/>
      <c r="K381" s="115"/>
      <c r="L381" s="115"/>
      <c r="M381" s="116"/>
      <c r="N381" s="116"/>
      <c r="O381" s="116"/>
      <c r="P381" s="116"/>
      <c r="Q381" s="116"/>
    </row>
    <row r="382">
      <c r="A382" s="111"/>
      <c r="B382" s="111"/>
      <c r="C382" s="111"/>
      <c r="D382" s="111"/>
      <c r="E382" s="111"/>
      <c r="F382" s="112"/>
      <c r="G382" s="111"/>
      <c r="H382" s="111"/>
      <c r="I382" s="113"/>
      <c r="J382" s="114"/>
      <c r="K382" s="115"/>
      <c r="L382" s="115"/>
      <c r="M382" s="116"/>
      <c r="N382" s="116"/>
      <c r="O382" s="116"/>
      <c r="P382" s="116"/>
      <c r="Q382" s="116"/>
    </row>
    <row r="383">
      <c r="A383" s="111"/>
      <c r="B383" s="111"/>
      <c r="C383" s="111"/>
      <c r="D383" s="111"/>
      <c r="E383" s="111"/>
      <c r="F383" s="112"/>
      <c r="G383" s="111"/>
      <c r="H383" s="111"/>
      <c r="I383" s="113"/>
      <c r="J383" s="114"/>
      <c r="K383" s="115"/>
      <c r="L383" s="115"/>
      <c r="M383" s="116"/>
      <c r="N383" s="116"/>
      <c r="O383" s="116"/>
      <c r="P383" s="116"/>
      <c r="Q383" s="116"/>
    </row>
    <row r="384">
      <c r="A384" s="111"/>
      <c r="B384" s="111"/>
      <c r="C384" s="111"/>
      <c r="D384" s="111"/>
      <c r="E384" s="111"/>
      <c r="F384" s="112"/>
      <c r="G384" s="111"/>
      <c r="H384" s="111"/>
      <c r="I384" s="113"/>
      <c r="J384" s="114"/>
      <c r="K384" s="115"/>
      <c r="L384" s="115"/>
      <c r="M384" s="116"/>
      <c r="N384" s="116"/>
      <c r="O384" s="116"/>
      <c r="P384" s="116"/>
      <c r="Q384" s="116"/>
    </row>
    <row r="385">
      <c r="A385" s="111"/>
      <c r="B385" s="111"/>
      <c r="C385" s="111"/>
      <c r="D385" s="111"/>
      <c r="E385" s="111"/>
      <c r="F385" s="112"/>
      <c r="G385" s="111"/>
      <c r="H385" s="111"/>
      <c r="I385" s="113"/>
      <c r="J385" s="114"/>
      <c r="K385" s="115"/>
      <c r="L385" s="115"/>
      <c r="M385" s="116"/>
      <c r="N385" s="116"/>
      <c r="O385" s="116"/>
      <c r="P385" s="116"/>
      <c r="Q385" s="116"/>
    </row>
    <row r="386">
      <c r="A386" s="111"/>
      <c r="B386" s="111"/>
      <c r="C386" s="111"/>
      <c r="D386" s="111"/>
      <c r="E386" s="111"/>
      <c r="F386" s="112"/>
      <c r="G386" s="111"/>
      <c r="H386" s="111"/>
      <c r="I386" s="113"/>
      <c r="J386" s="114"/>
      <c r="K386" s="115"/>
      <c r="L386" s="115"/>
      <c r="M386" s="116"/>
      <c r="N386" s="116"/>
      <c r="O386" s="116"/>
      <c r="P386" s="116"/>
      <c r="Q386" s="116"/>
    </row>
    <row r="387">
      <c r="A387" s="111"/>
      <c r="B387" s="111"/>
      <c r="C387" s="111"/>
      <c r="D387" s="111"/>
      <c r="E387" s="111"/>
      <c r="F387" s="112"/>
      <c r="G387" s="111"/>
      <c r="H387" s="111"/>
      <c r="I387" s="113"/>
      <c r="J387" s="114"/>
      <c r="K387" s="115"/>
      <c r="L387" s="115"/>
      <c r="M387" s="116"/>
      <c r="N387" s="116"/>
      <c r="O387" s="116"/>
      <c r="P387" s="116"/>
      <c r="Q387" s="116"/>
    </row>
    <row r="388">
      <c r="A388" s="111"/>
      <c r="B388" s="111"/>
      <c r="C388" s="111"/>
      <c r="D388" s="111"/>
      <c r="E388" s="111"/>
      <c r="F388" s="112"/>
      <c r="G388" s="111"/>
      <c r="H388" s="111"/>
      <c r="I388" s="113"/>
      <c r="J388" s="114"/>
      <c r="K388" s="115"/>
      <c r="L388" s="115"/>
      <c r="M388" s="116"/>
      <c r="N388" s="116"/>
      <c r="O388" s="116"/>
      <c r="P388" s="116"/>
      <c r="Q388" s="116"/>
    </row>
    <row r="389">
      <c r="A389" s="111"/>
      <c r="B389" s="111"/>
      <c r="C389" s="111"/>
      <c r="D389" s="111"/>
      <c r="E389" s="111"/>
      <c r="F389" s="112"/>
      <c r="G389" s="111"/>
      <c r="H389" s="111"/>
      <c r="I389" s="113"/>
      <c r="J389" s="114"/>
      <c r="K389" s="115"/>
      <c r="L389" s="115"/>
      <c r="M389" s="116"/>
      <c r="N389" s="116"/>
      <c r="O389" s="116"/>
      <c r="P389" s="116"/>
      <c r="Q389" s="116"/>
    </row>
    <row r="390">
      <c r="A390" s="111"/>
      <c r="B390" s="111"/>
      <c r="C390" s="111"/>
      <c r="D390" s="111"/>
      <c r="E390" s="111"/>
      <c r="F390" s="112"/>
      <c r="G390" s="111"/>
      <c r="H390" s="111"/>
      <c r="I390" s="113"/>
      <c r="J390" s="114"/>
      <c r="K390" s="115"/>
      <c r="L390" s="115"/>
      <c r="M390" s="116"/>
      <c r="N390" s="116"/>
      <c r="O390" s="116"/>
      <c r="P390" s="116"/>
      <c r="Q390" s="116"/>
    </row>
    <row r="391">
      <c r="A391" s="111"/>
      <c r="B391" s="111"/>
      <c r="C391" s="111"/>
      <c r="D391" s="111"/>
      <c r="E391" s="111"/>
      <c r="F391" s="112"/>
      <c r="G391" s="111"/>
      <c r="H391" s="111"/>
      <c r="I391" s="113"/>
      <c r="J391" s="114"/>
      <c r="K391" s="115"/>
      <c r="L391" s="115"/>
      <c r="M391" s="116"/>
      <c r="N391" s="116"/>
      <c r="O391" s="116"/>
      <c r="P391" s="116"/>
      <c r="Q391" s="116"/>
    </row>
    <row r="392">
      <c r="A392" s="111"/>
      <c r="B392" s="111"/>
      <c r="C392" s="111"/>
      <c r="D392" s="111"/>
      <c r="E392" s="111"/>
      <c r="F392" s="112"/>
      <c r="G392" s="111"/>
      <c r="H392" s="111"/>
      <c r="I392" s="113"/>
      <c r="J392" s="114"/>
      <c r="K392" s="115"/>
      <c r="L392" s="115"/>
      <c r="M392" s="116"/>
      <c r="N392" s="116"/>
      <c r="O392" s="116"/>
      <c r="P392" s="116"/>
      <c r="Q392" s="116"/>
    </row>
    <row r="393">
      <c r="A393" s="111"/>
      <c r="B393" s="111"/>
      <c r="C393" s="111"/>
      <c r="D393" s="111"/>
      <c r="E393" s="111"/>
      <c r="F393" s="112"/>
      <c r="G393" s="111"/>
      <c r="H393" s="111"/>
      <c r="I393" s="113"/>
      <c r="J393" s="114"/>
      <c r="K393" s="115"/>
      <c r="L393" s="115"/>
      <c r="M393" s="116"/>
      <c r="N393" s="116"/>
      <c r="O393" s="116"/>
      <c r="P393" s="116"/>
      <c r="Q393" s="116"/>
    </row>
    <row r="394">
      <c r="A394" s="111"/>
      <c r="B394" s="111"/>
      <c r="C394" s="111"/>
      <c r="D394" s="111"/>
      <c r="E394" s="111"/>
      <c r="F394" s="112"/>
      <c r="G394" s="111"/>
      <c r="H394" s="111"/>
      <c r="I394" s="113"/>
      <c r="J394" s="114"/>
      <c r="K394" s="115"/>
      <c r="L394" s="115"/>
      <c r="M394" s="116"/>
      <c r="N394" s="116"/>
      <c r="O394" s="116"/>
      <c r="P394" s="116"/>
      <c r="Q394" s="116"/>
    </row>
    <row r="395">
      <c r="A395" s="111"/>
      <c r="B395" s="111"/>
      <c r="C395" s="111"/>
      <c r="D395" s="111"/>
      <c r="E395" s="111"/>
      <c r="F395" s="112"/>
      <c r="G395" s="111"/>
      <c r="H395" s="111"/>
      <c r="I395" s="113"/>
      <c r="J395" s="114"/>
      <c r="K395" s="115"/>
      <c r="L395" s="115"/>
      <c r="M395" s="116"/>
      <c r="N395" s="116"/>
      <c r="O395" s="116"/>
      <c r="P395" s="116"/>
      <c r="Q395" s="116"/>
    </row>
    <row r="396">
      <c r="A396" s="111"/>
      <c r="B396" s="111"/>
      <c r="C396" s="111"/>
      <c r="D396" s="111"/>
      <c r="E396" s="111"/>
      <c r="F396" s="112"/>
      <c r="G396" s="111"/>
      <c r="H396" s="111"/>
      <c r="I396" s="113"/>
      <c r="J396" s="114"/>
      <c r="K396" s="115"/>
      <c r="L396" s="115"/>
      <c r="M396" s="116"/>
      <c r="N396" s="116"/>
      <c r="O396" s="116"/>
      <c r="P396" s="116"/>
      <c r="Q396" s="116"/>
    </row>
    <row r="397">
      <c r="A397" s="111"/>
      <c r="B397" s="111"/>
      <c r="C397" s="111"/>
      <c r="D397" s="111"/>
      <c r="E397" s="111"/>
      <c r="F397" s="112"/>
      <c r="G397" s="111"/>
      <c r="H397" s="111"/>
      <c r="I397" s="113"/>
      <c r="J397" s="114"/>
      <c r="K397" s="115"/>
      <c r="L397" s="115"/>
      <c r="M397" s="116"/>
      <c r="N397" s="116"/>
      <c r="O397" s="116"/>
      <c r="P397" s="116"/>
      <c r="Q397" s="116"/>
    </row>
    <row r="398">
      <c r="A398" s="111"/>
      <c r="B398" s="111"/>
      <c r="C398" s="111"/>
      <c r="D398" s="111"/>
      <c r="E398" s="111"/>
      <c r="F398" s="112"/>
      <c r="G398" s="111"/>
      <c r="H398" s="111"/>
      <c r="I398" s="113"/>
      <c r="J398" s="114"/>
      <c r="K398" s="115"/>
      <c r="L398" s="115"/>
      <c r="M398" s="116"/>
      <c r="N398" s="116"/>
      <c r="O398" s="116"/>
      <c r="P398" s="116"/>
      <c r="Q398" s="116"/>
    </row>
    <row r="399">
      <c r="A399" s="111"/>
      <c r="B399" s="111"/>
      <c r="C399" s="111"/>
      <c r="D399" s="111"/>
      <c r="E399" s="111"/>
      <c r="F399" s="112"/>
      <c r="G399" s="111"/>
      <c r="H399" s="111"/>
      <c r="I399" s="113"/>
      <c r="J399" s="114"/>
      <c r="K399" s="115"/>
      <c r="L399" s="115"/>
      <c r="M399" s="116"/>
      <c r="N399" s="116"/>
      <c r="O399" s="116"/>
      <c r="P399" s="116"/>
      <c r="Q399" s="116"/>
    </row>
    <row r="400">
      <c r="A400" s="111"/>
      <c r="B400" s="111"/>
      <c r="C400" s="111"/>
      <c r="D400" s="111"/>
      <c r="E400" s="111"/>
      <c r="F400" s="112"/>
      <c r="G400" s="111"/>
      <c r="H400" s="111"/>
      <c r="I400" s="113"/>
      <c r="J400" s="114"/>
      <c r="K400" s="115"/>
      <c r="L400" s="115"/>
      <c r="M400" s="116"/>
      <c r="N400" s="116"/>
      <c r="O400" s="116"/>
      <c r="P400" s="116"/>
      <c r="Q400" s="116"/>
    </row>
    <row r="401">
      <c r="A401" s="111"/>
      <c r="B401" s="111"/>
      <c r="C401" s="111"/>
      <c r="D401" s="111"/>
      <c r="E401" s="111"/>
      <c r="F401" s="112"/>
      <c r="G401" s="111"/>
      <c r="H401" s="111"/>
      <c r="I401" s="113"/>
      <c r="J401" s="114"/>
      <c r="K401" s="115"/>
      <c r="L401" s="115"/>
      <c r="M401" s="116"/>
      <c r="N401" s="116"/>
      <c r="O401" s="116"/>
      <c r="P401" s="116"/>
      <c r="Q401" s="116"/>
    </row>
    <row r="402">
      <c r="A402" s="111"/>
      <c r="B402" s="111"/>
      <c r="C402" s="111"/>
      <c r="D402" s="111"/>
      <c r="E402" s="111"/>
      <c r="F402" s="112"/>
      <c r="G402" s="111"/>
      <c r="H402" s="111"/>
      <c r="I402" s="113"/>
      <c r="J402" s="114"/>
      <c r="K402" s="115"/>
      <c r="L402" s="115"/>
      <c r="M402" s="116"/>
      <c r="N402" s="116"/>
      <c r="O402" s="116"/>
      <c r="P402" s="116"/>
      <c r="Q402" s="116"/>
    </row>
    <row r="403">
      <c r="A403" s="111"/>
      <c r="B403" s="111"/>
      <c r="C403" s="111"/>
      <c r="D403" s="111"/>
      <c r="E403" s="111"/>
      <c r="F403" s="112"/>
      <c r="G403" s="111"/>
      <c r="H403" s="111"/>
      <c r="I403" s="113"/>
      <c r="J403" s="114"/>
      <c r="K403" s="115"/>
      <c r="L403" s="115"/>
      <c r="M403" s="116"/>
      <c r="N403" s="116"/>
      <c r="O403" s="116"/>
      <c r="P403" s="116"/>
      <c r="Q403" s="116"/>
    </row>
    <row r="404">
      <c r="A404" s="111"/>
      <c r="B404" s="111"/>
      <c r="C404" s="111"/>
      <c r="D404" s="111"/>
      <c r="E404" s="111"/>
      <c r="F404" s="112"/>
      <c r="G404" s="111"/>
      <c r="H404" s="111"/>
      <c r="I404" s="113"/>
      <c r="J404" s="114"/>
      <c r="K404" s="115"/>
      <c r="L404" s="115"/>
      <c r="M404" s="116"/>
      <c r="N404" s="116"/>
      <c r="O404" s="116"/>
      <c r="P404" s="116"/>
      <c r="Q404" s="116"/>
    </row>
    <row r="405">
      <c r="A405" s="111"/>
      <c r="B405" s="111"/>
      <c r="C405" s="111"/>
      <c r="D405" s="111"/>
      <c r="E405" s="111"/>
      <c r="F405" s="112"/>
      <c r="G405" s="111"/>
      <c r="H405" s="111"/>
      <c r="I405" s="113"/>
      <c r="J405" s="114"/>
      <c r="K405" s="115"/>
      <c r="L405" s="115"/>
      <c r="M405" s="116"/>
      <c r="N405" s="116"/>
      <c r="O405" s="116"/>
      <c r="P405" s="116"/>
      <c r="Q405" s="116"/>
    </row>
    <row r="406">
      <c r="A406" s="111"/>
      <c r="B406" s="111"/>
      <c r="C406" s="111"/>
      <c r="D406" s="111"/>
      <c r="E406" s="111"/>
      <c r="F406" s="112"/>
      <c r="G406" s="111"/>
      <c r="H406" s="111"/>
      <c r="I406" s="113"/>
      <c r="J406" s="114"/>
      <c r="K406" s="115"/>
      <c r="L406" s="115"/>
      <c r="M406" s="116"/>
      <c r="N406" s="116"/>
      <c r="O406" s="116"/>
      <c r="P406" s="116"/>
      <c r="Q406" s="116"/>
    </row>
    <row r="407">
      <c r="A407" s="111"/>
      <c r="B407" s="111"/>
      <c r="C407" s="111"/>
      <c r="D407" s="111"/>
      <c r="E407" s="111"/>
      <c r="F407" s="112"/>
      <c r="G407" s="111"/>
      <c r="H407" s="111"/>
      <c r="I407" s="113"/>
      <c r="J407" s="114"/>
      <c r="K407" s="115"/>
      <c r="L407" s="115"/>
      <c r="M407" s="116"/>
      <c r="N407" s="116"/>
      <c r="O407" s="116"/>
      <c r="P407" s="116"/>
      <c r="Q407" s="116"/>
    </row>
    <row r="408">
      <c r="A408" s="111"/>
      <c r="B408" s="111"/>
      <c r="C408" s="111"/>
      <c r="D408" s="111"/>
      <c r="E408" s="111"/>
      <c r="F408" s="112"/>
      <c r="G408" s="111"/>
      <c r="H408" s="111"/>
      <c r="I408" s="113"/>
      <c r="J408" s="114"/>
      <c r="K408" s="115"/>
      <c r="L408" s="115"/>
      <c r="M408" s="116"/>
      <c r="N408" s="116"/>
      <c r="O408" s="116"/>
      <c r="P408" s="116"/>
      <c r="Q408" s="116"/>
    </row>
    <row r="409">
      <c r="A409" s="111"/>
      <c r="B409" s="111"/>
      <c r="C409" s="111"/>
      <c r="D409" s="111"/>
      <c r="E409" s="111"/>
      <c r="F409" s="112"/>
      <c r="G409" s="111"/>
      <c r="H409" s="111"/>
      <c r="I409" s="113"/>
      <c r="J409" s="114"/>
      <c r="K409" s="115"/>
      <c r="L409" s="115"/>
      <c r="M409" s="116"/>
      <c r="N409" s="116"/>
      <c r="O409" s="116"/>
      <c r="P409" s="116"/>
      <c r="Q409" s="116"/>
    </row>
    <row r="410">
      <c r="A410" s="111"/>
      <c r="B410" s="111"/>
      <c r="C410" s="111"/>
      <c r="D410" s="111"/>
      <c r="E410" s="111"/>
      <c r="F410" s="112"/>
      <c r="G410" s="111"/>
      <c r="H410" s="111"/>
      <c r="I410" s="113"/>
      <c r="J410" s="114"/>
      <c r="K410" s="115"/>
      <c r="L410" s="115"/>
      <c r="M410" s="116"/>
      <c r="N410" s="116"/>
      <c r="O410" s="116"/>
      <c r="P410" s="116"/>
      <c r="Q410" s="116"/>
    </row>
    <row r="411">
      <c r="A411" s="111"/>
      <c r="B411" s="111"/>
      <c r="C411" s="111"/>
      <c r="D411" s="111"/>
      <c r="E411" s="111"/>
      <c r="F411" s="112"/>
      <c r="G411" s="111"/>
      <c r="H411" s="111"/>
      <c r="I411" s="113"/>
      <c r="J411" s="114"/>
      <c r="K411" s="115"/>
      <c r="L411" s="115"/>
      <c r="M411" s="116"/>
      <c r="N411" s="116"/>
      <c r="O411" s="116"/>
      <c r="P411" s="116"/>
      <c r="Q411" s="116"/>
    </row>
    <row r="412">
      <c r="A412" s="111"/>
      <c r="B412" s="111"/>
      <c r="C412" s="111"/>
      <c r="D412" s="111"/>
      <c r="E412" s="111"/>
      <c r="F412" s="112"/>
      <c r="G412" s="111"/>
      <c r="H412" s="111"/>
      <c r="I412" s="113"/>
      <c r="J412" s="114"/>
      <c r="K412" s="115"/>
      <c r="L412" s="115"/>
      <c r="M412" s="116"/>
      <c r="N412" s="116"/>
      <c r="O412" s="116"/>
      <c r="P412" s="116"/>
      <c r="Q412" s="116"/>
    </row>
    <row r="413">
      <c r="A413" s="111"/>
      <c r="B413" s="111"/>
      <c r="C413" s="111"/>
      <c r="D413" s="111"/>
      <c r="E413" s="111"/>
      <c r="F413" s="112"/>
      <c r="G413" s="111"/>
      <c r="H413" s="111"/>
      <c r="I413" s="113"/>
      <c r="J413" s="114"/>
      <c r="K413" s="115"/>
      <c r="L413" s="115"/>
      <c r="M413" s="116"/>
      <c r="N413" s="116"/>
      <c r="O413" s="116"/>
      <c r="P413" s="116"/>
      <c r="Q413" s="116"/>
    </row>
    <row r="414">
      <c r="A414" s="111"/>
      <c r="B414" s="111"/>
      <c r="C414" s="111"/>
      <c r="D414" s="111"/>
      <c r="E414" s="111"/>
      <c r="F414" s="112"/>
      <c r="G414" s="111"/>
      <c r="H414" s="111"/>
      <c r="I414" s="113"/>
      <c r="J414" s="114"/>
      <c r="K414" s="115"/>
      <c r="L414" s="115"/>
      <c r="M414" s="116"/>
      <c r="N414" s="116"/>
      <c r="O414" s="116"/>
      <c r="P414" s="116"/>
      <c r="Q414" s="116"/>
    </row>
    <row r="415">
      <c r="A415" s="111"/>
      <c r="B415" s="111"/>
      <c r="C415" s="111"/>
      <c r="D415" s="111"/>
      <c r="E415" s="111"/>
      <c r="F415" s="112"/>
      <c r="G415" s="111"/>
      <c r="H415" s="111"/>
      <c r="I415" s="113"/>
      <c r="J415" s="114"/>
      <c r="K415" s="115"/>
      <c r="L415" s="115"/>
      <c r="M415" s="116"/>
      <c r="N415" s="116"/>
      <c r="O415" s="116"/>
      <c r="P415" s="116"/>
      <c r="Q415" s="116"/>
    </row>
    <row r="416">
      <c r="A416" s="111"/>
      <c r="B416" s="111"/>
      <c r="C416" s="111"/>
      <c r="D416" s="111"/>
      <c r="E416" s="111"/>
      <c r="F416" s="112"/>
      <c r="G416" s="111"/>
      <c r="H416" s="111"/>
      <c r="I416" s="113"/>
      <c r="J416" s="114"/>
      <c r="K416" s="115"/>
      <c r="L416" s="115"/>
      <c r="M416" s="116"/>
      <c r="N416" s="116"/>
      <c r="O416" s="116"/>
      <c r="P416" s="116"/>
      <c r="Q416" s="116"/>
    </row>
    <row r="417">
      <c r="A417" s="111"/>
      <c r="B417" s="111"/>
      <c r="C417" s="111"/>
      <c r="D417" s="111"/>
      <c r="E417" s="111"/>
      <c r="F417" s="112"/>
      <c r="G417" s="111"/>
      <c r="H417" s="111"/>
      <c r="I417" s="113"/>
      <c r="J417" s="114"/>
      <c r="K417" s="115"/>
      <c r="L417" s="115"/>
      <c r="M417" s="116"/>
      <c r="N417" s="116"/>
      <c r="O417" s="116"/>
      <c r="P417" s="116"/>
      <c r="Q417" s="116"/>
    </row>
    <row r="418">
      <c r="A418" s="111"/>
      <c r="B418" s="111"/>
      <c r="C418" s="111"/>
      <c r="D418" s="111"/>
      <c r="E418" s="111"/>
      <c r="F418" s="112"/>
      <c r="G418" s="111"/>
      <c r="H418" s="111"/>
      <c r="I418" s="113"/>
      <c r="J418" s="114"/>
      <c r="K418" s="115"/>
      <c r="L418" s="115"/>
      <c r="M418" s="116"/>
      <c r="N418" s="116"/>
      <c r="O418" s="116"/>
      <c r="P418" s="116"/>
      <c r="Q418" s="116"/>
    </row>
    <row r="419">
      <c r="A419" s="111"/>
      <c r="B419" s="111"/>
      <c r="C419" s="111"/>
      <c r="D419" s="111"/>
      <c r="E419" s="111"/>
      <c r="F419" s="112"/>
      <c r="G419" s="111"/>
      <c r="H419" s="111"/>
      <c r="I419" s="113"/>
      <c r="J419" s="114"/>
      <c r="K419" s="115"/>
      <c r="L419" s="115"/>
      <c r="M419" s="116"/>
      <c r="N419" s="116"/>
      <c r="O419" s="116"/>
      <c r="P419" s="116"/>
      <c r="Q419" s="116"/>
    </row>
    <row r="420">
      <c r="A420" s="111"/>
      <c r="B420" s="111"/>
      <c r="C420" s="111"/>
      <c r="D420" s="111"/>
      <c r="E420" s="111"/>
      <c r="F420" s="112"/>
      <c r="G420" s="111"/>
      <c r="H420" s="111"/>
      <c r="I420" s="113"/>
      <c r="J420" s="114"/>
      <c r="K420" s="115"/>
      <c r="L420" s="115"/>
      <c r="M420" s="116"/>
      <c r="N420" s="116"/>
      <c r="O420" s="116"/>
      <c r="P420" s="116"/>
      <c r="Q420" s="116"/>
    </row>
    <row r="421">
      <c r="A421" s="111"/>
      <c r="B421" s="111"/>
      <c r="C421" s="111"/>
      <c r="D421" s="111"/>
      <c r="E421" s="111"/>
      <c r="F421" s="112"/>
      <c r="G421" s="111"/>
      <c r="H421" s="111"/>
      <c r="I421" s="113"/>
      <c r="J421" s="114"/>
      <c r="K421" s="115"/>
      <c r="L421" s="115"/>
      <c r="M421" s="116"/>
      <c r="N421" s="116"/>
      <c r="O421" s="116"/>
      <c r="P421" s="116"/>
      <c r="Q421" s="116"/>
    </row>
    <row r="422">
      <c r="A422" s="111"/>
      <c r="B422" s="111"/>
      <c r="C422" s="111"/>
      <c r="D422" s="111"/>
      <c r="E422" s="111"/>
      <c r="F422" s="112"/>
      <c r="G422" s="111"/>
      <c r="H422" s="111"/>
      <c r="I422" s="113"/>
      <c r="J422" s="114"/>
      <c r="K422" s="115"/>
      <c r="L422" s="115"/>
      <c r="M422" s="116"/>
      <c r="N422" s="116"/>
      <c r="O422" s="116"/>
      <c r="P422" s="116"/>
      <c r="Q422" s="116"/>
    </row>
    <row r="423">
      <c r="A423" s="111"/>
      <c r="B423" s="111"/>
      <c r="C423" s="111"/>
      <c r="D423" s="111"/>
      <c r="E423" s="111"/>
      <c r="F423" s="112"/>
      <c r="G423" s="111"/>
      <c r="H423" s="111"/>
      <c r="I423" s="113"/>
      <c r="J423" s="114"/>
      <c r="K423" s="115"/>
      <c r="L423" s="115"/>
      <c r="M423" s="116"/>
      <c r="N423" s="116"/>
      <c r="O423" s="116"/>
      <c r="P423" s="116"/>
      <c r="Q423" s="116"/>
    </row>
    <row r="424">
      <c r="A424" s="111"/>
      <c r="B424" s="111"/>
      <c r="C424" s="111"/>
      <c r="D424" s="111"/>
      <c r="E424" s="111"/>
      <c r="F424" s="112"/>
      <c r="G424" s="111"/>
      <c r="H424" s="111"/>
      <c r="I424" s="113"/>
      <c r="J424" s="114"/>
      <c r="K424" s="115"/>
      <c r="L424" s="115"/>
      <c r="M424" s="116"/>
      <c r="N424" s="116"/>
      <c r="O424" s="116"/>
      <c r="P424" s="116"/>
      <c r="Q424" s="116"/>
    </row>
    <row r="425">
      <c r="A425" s="111"/>
      <c r="B425" s="111"/>
      <c r="C425" s="111"/>
      <c r="D425" s="111"/>
      <c r="E425" s="111"/>
      <c r="F425" s="112"/>
      <c r="G425" s="111"/>
      <c r="H425" s="111"/>
      <c r="I425" s="113"/>
      <c r="J425" s="114"/>
      <c r="K425" s="115"/>
      <c r="L425" s="115"/>
      <c r="M425" s="116"/>
      <c r="N425" s="116"/>
      <c r="O425" s="116"/>
      <c r="P425" s="116"/>
      <c r="Q425" s="116"/>
    </row>
    <row r="426">
      <c r="A426" s="111"/>
      <c r="B426" s="111"/>
      <c r="C426" s="111"/>
      <c r="D426" s="111"/>
      <c r="E426" s="111"/>
      <c r="F426" s="112"/>
      <c r="G426" s="111"/>
      <c r="H426" s="111"/>
      <c r="I426" s="113"/>
      <c r="J426" s="114"/>
      <c r="K426" s="115"/>
      <c r="L426" s="115"/>
      <c r="M426" s="116"/>
      <c r="N426" s="116"/>
      <c r="O426" s="116"/>
      <c r="P426" s="116"/>
      <c r="Q426" s="116"/>
    </row>
    <row r="427">
      <c r="A427" s="111"/>
      <c r="B427" s="111"/>
      <c r="C427" s="111"/>
      <c r="D427" s="111"/>
      <c r="E427" s="111"/>
      <c r="F427" s="112"/>
      <c r="G427" s="111"/>
      <c r="H427" s="111"/>
      <c r="I427" s="113"/>
      <c r="J427" s="114"/>
      <c r="K427" s="115"/>
      <c r="L427" s="115"/>
      <c r="M427" s="116"/>
      <c r="N427" s="116"/>
      <c r="O427" s="116"/>
      <c r="P427" s="116"/>
      <c r="Q427" s="116"/>
    </row>
    <row r="428">
      <c r="A428" s="111"/>
      <c r="B428" s="111"/>
      <c r="C428" s="111"/>
      <c r="D428" s="111"/>
      <c r="E428" s="111"/>
      <c r="F428" s="112"/>
      <c r="G428" s="111"/>
      <c r="H428" s="111"/>
      <c r="I428" s="113"/>
      <c r="J428" s="114"/>
      <c r="K428" s="115"/>
      <c r="L428" s="115"/>
      <c r="M428" s="116"/>
      <c r="N428" s="116"/>
      <c r="O428" s="116"/>
      <c r="P428" s="116"/>
      <c r="Q428" s="116"/>
    </row>
    <row r="429">
      <c r="A429" s="111"/>
      <c r="B429" s="111"/>
      <c r="C429" s="111"/>
      <c r="D429" s="111"/>
      <c r="E429" s="111"/>
      <c r="F429" s="112"/>
      <c r="G429" s="111"/>
      <c r="H429" s="111"/>
      <c r="I429" s="113"/>
      <c r="J429" s="114"/>
      <c r="K429" s="115"/>
      <c r="L429" s="115"/>
      <c r="M429" s="116"/>
      <c r="N429" s="116"/>
      <c r="O429" s="116"/>
      <c r="P429" s="116"/>
      <c r="Q429" s="116"/>
    </row>
    <row r="430">
      <c r="A430" s="111"/>
      <c r="B430" s="111"/>
      <c r="C430" s="111"/>
      <c r="D430" s="111"/>
      <c r="E430" s="111"/>
      <c r="F430" s="112"/>
      <c r="G430" s="111"/>
      <c r="H430" s="111"/>
      <c r="I430" s="113"/>
      <c r="J430" s="114"/>
      <c r="K430" s="115"/>
      <c r="L430" s="115"/>
      <c r="M430" s="116"/>
      <c r="N430" s="116"/>
      <c r="O430" s="116"/>
      <c r="P430" s="116"/>
      <c r="Q430" s="116"/>
    </row>
    <row r="431">
      <c r="A431" s="111"/>
      <c r="B431" s="111"/>
      <c r="C431" s="111"/>
      <c r="D431" s="111"/>
      <c r="E431" s="111"/>
      <c r="F431" s="112"/>
      <c r="G431" s="111"/>
      <c r="H431" s="111"/>
      <c r="I431" s="113"/>
      <c r="J431" s="114"/>
      <c r="K431" s="115"/>
      <c r="L431" s="115"/>
      <c r="M431" s="116"/>
      <c r="N431" s="116"/>
      <c r="O431" s="116"/>
      <c r="P431" s="116"/>
      <c r="Q431" s="116"/>
    </row>
    <row r="432">
      <c r="A432" s="111"/>
      <c r="B432" s="111"/>
      <c r="C432" s="111"/>
      <c r="D432" s="111"/>
      <c r="E432" s="111"/>
      <c r="F432" s="112"/>
      <c r="G432" s="111"/>
      <c r="H432" s="111"/>
      <c r="I432" s="113"/>
      <c r="J432" s="114"/>
      <c r="K432" s="115"/>
      <c r="L432" s="115"/>
      <c r="M432" s="116"/>
      <c r="N432" s="116"/>
      <c r="O432" s="116"/>
      <c r="P432" s="116"/>
      <c r="Q432" s="116"/>
    </row>
    <row r="433">
      <c r="A433" s="111"/>
      <c r="B433" s="111"/>
      <c r="C433" s="111"/>
      <c r="D433" s="111"/>
      <c r="E433" s="111"/>
      <c r="F433" s="112"/>
      <c r="G433" s="111"/>
      <c r="H433" s="111"/>
      <c r="I433" s="113"/>
      <c r="J433" s="114"/>
      <c r="K433" s="115"/>
      <c r="L433" s="115"/>
      <c r="M433" s="116"/>
      <c r="N433" s="116"/>
      <c r="O433" s="116"/>
      <c r="P433" s="116"/>
      <c r="Q433" s="116"/>
    </row>
    <row r="434">
      <c r="A434" s="111"/>
      <c r="B434" s="111"/>
      <c r="C434" s="111"/>
      <c r="D434" s="111"/>
      <c r="E434" s="111"/>
      <c r="F434" s="112"/>
      <c r="G434" s="111"/>
      <c r="H434" s="111"/>
      <c r="I434" s="113"/>
      <c r="J434" s="114"/>
      <c r="K434" s="115"/>
      <c r="L434" s="115"/>
      <c r="M434" s="116"/>
      <c r="N434" s="116"/>
      <c r="O434" s="116"/>
      <c r="P434" s="116"/>
      <c r="Q434" s="116"/>
    </row>
    <row r="435">
      <c r="A435" s="111"/>
      <c r="B435" s="111"/>
      <c r="C435" s="111"/>
      <c r="D435" s="111"/>
      <c r="E435" s="111"/>
      <c r="F435" s="112"/>
      <c r="G435" s="111"/>
      <c r="H435" s="111"/>
      <c r="I435" s="113"/>
      <c r="J435" s="114"/>
      <c r="K435" s="115"/>
      <c r="L435" s="115"/>
      <c r="M435" s="116"/>
      <c r="N435" s="116"/>
      <c r="O435" s="116"/>
      <c r="P435" s="116"/>
      <c r="Q435" s="116"/>
    </row>
    <row r="436">
      <c r="A436" s="111"/>
      <c r="B436" s="111"/>
      <c r="C436" s="111"/>
      <c r="D436" s="111"/>
      <c r="E436" s="111"/>
      <c r="F436" s="112"/>
      <c r="G436" s="111"/>
      <c r="H436" s="111"/>
      <c r="I436" s="113"/>
      <c r="J436" s="114"/>
      <c r="K436" s="115"/>
      <c r="L436" s="115"/>
      <c r="M436" s="116"/>
      <c r="N436" s="116"/>
      <c r="O436" s="116"/>
      <c r="P436" s="116"/>
      <c r="Q436" s="116"/>
    </row>
    <row r="437">
      <c r="A437" s="111"/>
      <c r="B437" s="111"/>
      <c r="C437" s="111"/>
      <c r="D437" s="111"/>
      <c r="E437" s="111"/>
      <c r="F437" s="112"/>
      <c r="G437" s="111"/>
      <c r="H437" s="111"/>
      <c r="I437" s="113"/>
      <c r="J437" s="114"/>
      <c r="K437" s="115"/>
      <c r="L437" s="115"/>
      <c r="M437" s="116"/>
      <c r="N437" s="116"/>
      <c r="O437" s="116"/>
      <c r="P437" s="116"/>
      <c r="Q437" s="116"/>
    </row>
    <row r="438">
      <c r="A438" s="111"/>
      <c r="B438" s="111"/>
      <c r="C438" s="111"/>
      <c r="D438" s="111"/>
      <c r="E438" s="111"/>
      <c r="F438" s="112"/>
      <c r="G438" s="111"/>
      <c r="H438" s="111"/>
      <c r="I438" s="113"/>
      <c r="J438" s="114"/>
      <c r="K438" s="115"/>
      <c r="L438" s="115"/>
      <c r="M438" s="116"/>
      <c r="N438" s="116"/>
      <c r="O438" s="116"/>
      <c r="P438" s="116"/>
      <c r="Q438" s="116"/>
    </row>
    <row r="439">
      <c r="A439" s="111"/>
      <c r="B439" s="111"/>
      <c r="C439" s="111"/>
      <c r="D439" s="111"/>
      <c r="E439" s="111"/>
      <c r="F439" s="112"/>
      <c r="G439" s="111"/>
      <c r="H439" s="111"/>
      <c r="I439" s="113"/>
      <c r="J439" s="114"/>
      <c r="K439" s="115"/>
      <c r="L439" s="115"/>
      <c r="M439" s="116"/>
      <c r="N439" s="116"/>
      <c r="O439" s="116"/>
      <c r="P439" s="116"/>
      <c r="Q439" s="116"/>
    </row>
    <row r="440">
      <c r="A440" s="111"/>
      <c r="B440" s="111"/>
      <c r="C440" s="111"/>
      <c r="D440" s="111"/>
      <c r="E440" s="111"/>
      <c r="F440" s="112"/>
      <c r="G440" s="111"/>
      <c r="H440" s="111"/>
      <c r="I440" s="113"/>
      <c r="J440" s="114"/>
      <c r="K440" s="115"/>
      <c r="L440" s="115"/>
      <c r="M440" s="116"/>
      <c r="N440" s="116"/>
      <c r="O440" s="116"/>
      <c r="P440" s="116"/>
      <c r="Q440" s="116"/>
    </row>
    <row r="441">
      <c r="A441" s="111"/>
      <c r="B441" s="111"/>
      <c r="C441" s="111"/>
      <c r="D441" s="111"/>
      <c r="E441" s="111"/>
      <c r="F441" s="112"/>
      <c r="G441" s="111"/>
      <c r="H441" s="111"/>
      <c r="I441" s="113"/>
      <c r="J441" s="114"/>
      <c r="K441" s="115"/>
      <c r="L441" s="115"/>
      <c r="M441" s="116"/>
      <c r="N441" s="116"/>
      <c r="O441" s="116"/>
      <c r="P441" s="116"/>
      <c r="Q441" s="116"/>
    </row>
    <row r="442">
      <c r="A442" s="111"/>
      <c r="B442" s="111"/>
      <c r="C442" s="111"/>
      <c r="D442" s="111"/>
      <c r="E442" s="111"/>
      <c r="F442" s="112"/>
      <c r="G442" s="111"/>
      <c r="H442" s="111"/>
      <c r="I442" s="113"/>
      <c r="J442" s="114"/>
      <c r="K442" s="115"/>
      <c r="L442" s="115"/>
      <c r="M442" s="116"/>
      <c r="N442" s="116"/>
      <c r="O442" s="116"/>
      <c r="P442" s="116"/>
      <c r="Q442" s="116"/>
    </row>
    <row r="443">
      <c r="A443" s="111"/>
      <c r="B443" s="111"/>
      <c r="C443" s="111"/>
      <c r="D443" s="111"/>
      <c r="E443" s="111"/>
      <c r="F443" s="112"/>
      <c r="G443" s="111"/>
      <c r="H443" s="111"/>
      <c r="I443" s="113"/>
      <c r="J443" s="114"/>
      <c r="K443" s="115"/>
      <c r="L443" s="115"/>
      <c r="M443" s="116"/>
      <c r="N443" s="116"/>
      <c r="O443" s="116"/>
      <c r="P443" s="116"/>
      <c r="Q443" s="116"/>
    </row>
    <row r="444">
      <c r="A444" s="111"/>
      <c r="B444" s="111"/>
      <c r="C444" s="111"/>
      <c r="D444" s="111"/>
      <c r="E444" s="111"/>
      <c r="F444" s="112"/>
      <c r="G444" s="111"/>
      <c r="H444" s="111"/>
      <c r="I444" s="113"/>
      <c r="J444" s="114"/>
      <c r="K444" s="115"/>
      <c r="L444" s="115"/>
      <c r="M444" s="116"/>
      <c r="N444" s="116"/>
      <c r="O444" s="116"/>
      <c r="P444" s="116"/>
      <c r="Q444" s="116"/>
    </row>
    <row r="445">
      <c r="A445" s="111"/>
      <c r="B445" s="111"/>
      <c r="C445" s="111"/>
      <c r="D445" s="111"/>
      <c r="E445" s="111"/>
      <c r="F445" s="112"/>
      <c r="G445" s="111"/>
      <c r="H445" s="111"/>
      <c r="I445" s="113"/>
      <c r="J445" s="114"/>
      <c r="K445" s="115"/>
      <c r="L445" s="115"/>
      <c r="M445" s="116"/>
      <c r="N445" s="116"/>
      <c r="O445" s="116"/>
      <c r="P445" s="116"/>
      <c r="Q445" s="116"/>
    </row>
    <row r="446">
      <c r="A446" s="111"/>
      <c r="B446" s="111"/>
      <c r="C446" s="111"/>
      <c r="D446" s="111"/>
      <c r="E446" s="111"/>
      <c r="F446" s="112"/>
      <c r="G446" s="111"/>
      <c r="H446" s="111"/>
      <c r="I446" s="113"/>
      <c r="J446" s="114"/>
      <c r="K446" s="115"/>
      <c r="L446" s="115"/>
      <c r="M446" s="116"/>
      <c r="N446" s="116"/>
      <c r="O446" s="116"/>
      <c r="P446" s="116"/>
      <c r="Q446" s="116"/>
    </row>
    <row r="447">
      <c r="A447" s="111"/>
      <c r="B447" s="111"/>
      <c r="C447" s="111"/>
      <c r="D447" s="111"/>
      <c r="E447" s="111"/>
      <c r="F447" s="112"/>
      <c r="G447" s="111"/>
      <c r="H447" s="111"/>
      <c r="I447" s="113"/>
      <c r="J447" s="114"/>
      <c r="K447" s="115"/>
      <c r="L447" s="115"/>
      <c r="M447" s="116"/>
      <c r="N447" s="116"/>
      <c r="O447" s="116"/>
      <c r="P447" s="116"/>
      <c r="Q447" s="116"/>
    </row>
    <row r="448">
      <c r="A448" s="111"/>
      <c r="B448" s="111"/>
      <c r="C448" s="111"/>
      <c r="D448" s="111"/>
      <c r="E448" s="111"/>
      <c r="F448" s="112"/>
      <c r="G448" s="111"/>
      <c r="H448" s="111"/>
      <c r="I448" s="113"/>
      <c r="J448" s="114"/>
      <c r="K448" s="115"/>
      <c r="L448" s="115"/>
      <c r="M448" s="116"/>
      <c r="N448" s="116"/>
      <c r="O448" s="116"/>
      <c r="P448" s="116"/>
      <c r="Q448" s="116"/>
    </row>
    <row r="449">
      <c r="A449" s="111"/>
      <c r="B449" s="111"/>
      <c r="C449" s="111"/>
      <c r="D449" s="111"/>
      <c r="E449" s="111"/>
      <c r="F449" s="112"/>
      <c r="G449" s="111"/>
      <c r="H449" s="111"/>
      <c r="I449" s="113"/>
      <c r="J449" s="114"/>
      <c r="K449" s="115"/>
      <c r="L449" s="115"/>
      <c r="M449" s="116"/>
      <c r="N449" s="116"/>
      <c r="O449" s="116"/>
      <c r="P449" s="116"/>
      <c r="Q449" s="116"/>
    </row>
    <row r="450">
      <c r="A450" s="111"/>
      <c r="B450" s="111"/>
      <c r="C450" s="111"/>
      <c r="D450" s="111"/>
      <c r="E450" s="111"/>
      <c r="F450" s="112"/>
      <c r="G450" s="111"/>
      <c r="H450" s="111"/>
      <c r="I450" s="113"/>
      <c r="J450" s="114"/>
      <c r="K450" s="115"/>
      <c r="L450" s="115"/>
      <c r="M450" s="116"/>
      <c r="N450" s="116"/>
      <c r="O450" s="116"/>
      <c r="P450" s="116"/>
      <c r="Q450" s="116"/>
    </row>
    <row r="451">
      <c r="A451" s="111"/>
      <c r="B451" s="111"/>
      <c r="C451" s="111"/>
      <c r="D451" s="111"/>
      <c r="E451" s="111"/>
      <c r="F451" s="112"/>
      <c r="G451" s="111"/>
      <c r="H451" s="111"/>
      <c r="I451" s="113"/>
      <c r="J451" s="114"/>
      <c r="K451" s="115"/>
      <c r="L451" s="115"/>
      <c r="M451" s="116"/>
      <c r="N451" s="116"/>
      <c r="O451" s="116"/>
      <c r="P451" s="116"/>
      <c r="Q451" s="116"/>
    </row>
    <row r="452">
      <c r="A452" s="111"/>
      <c r="B452" s="111"/>
      <c r="C452" s="111"/>
      <c r="D452" s="111"/>
      <c r="E452" s="111"/>
      <c r="F452" s="112"/>
      <c r="G452" s="111"/>
      <c r="H452" s="111"/>
      <c r="I452" s="113"/>
      <c r="J452" s="114"/>
      <c r="K452" s="115"/>
      <c r="L452" s="115"/>
      <c r="M452" s="116"/>
      <c r="N452" s="116"/>
      <c r="O452" s="116"/>
      <c r="P452" s="116"/>
      <c r="Q452" s="116"/>
    </row>
    <row r="453">
      <c r="A453" s="111"/>
      <c r="B453" s="111"/>
      <c r="C453" s="111"/>
      <c r="D453" s="111"/>
      <c r="E453" s="111"/>
      <c r="F453" s="112"/>
      <c r="G453" s="111"/>
      <c r="H453" s="111"/>
      <c r="I453" s="113"/>
      <c r="J453" s="114"/>
      <c r="K453" s="115"/>
      <c r="L453" s="115"/>
      <c r="M453" s="116"/>
      <c r="N453" s="116"/>
      <c r="O453" s="116"/>
      <c r="P453" s="116"/>
      <c r="Q453" s="116"/>
    </row>
    <row r="454">
      <c r="A454" s="111"/>
      <c r="B454" s="111"/>
      <c r="C454" s="111"/>
      <c r="D454" s="111"/>
      <c r="E454" s="111"/>
      <c r="F454" s="112"/>
      <c r="G454" s="111"/>
      <c r="H454" s="111"/>
      <c r="I454" s="113"/>
      <c r="J454" s="114"/>
      <c r="K454" s="115"/>
      <c r="L454" s="115"/>
      <c r="M454" s="116"/>
      <c r="N454" s="116"/>
      <c r="O454" s="116"/>
      <c r="P454" s="116"/>
      <c r="Q454" s="116"/>
    </row>
    <row r="455">
      <c r="A455" s="111"/>
      <c r="B455" s="111"/>
      <c r="C455" s="111"/>
      <c r="D455" s="111"/>
      <c r="E455" s="111"/>
      <c r="F455" s="112"/>
      <c r="G455" s="111"/>
      <c r="H455" s="111"/>
      <c r="I455" s="113"/>
      <c r="J455" s="114"/>
      <c r="K455" s="115"/>
      <c r="L455" s="115"/>
      <c r="M455" s="116"/>
      <c r="N455" s="116"/>
      <c r="O455" s="116"/>
      <c r="P455" s="116"/>
      <c r="Q455" s="116"/>
    </row>
    <row r="456">
      <c r="A456" s="111"/>
      <c r="B456" s="111"/>
      <c r="C456" s="111"/>
      <c r="D456" s="111"/>
      <c r="E456" s="111"/>
      <c r="F456" s="112"/>
      <c r="G456" s="111"/>
      <c r="H456" s="111"/>
      <c r="I456" s="113"/>
      <c r="J456" s="114"/>
      <c r="K456" s="115"/>
      <c r="L456" s="115"/>
      <c r="M456" s="116"/>
      <c r="N456" s="116"/>
      <c r="O456" s="116"/>
      <c r="P456" s="116"/>
      <c r="Q456" s="116"/>
    </row>
    <row r="457">
      <c r="A457" s="111"/>
      <c r="B457" s="111"/>
      <c r="C457" s="111"/>
      <c r="D457" s="111"/>
      <c r="E457" s="111"/>
      <c r="F457" s="112"/>
      <c r="G457" s="111"/>
      <c r="H457" s="111"/>
      <c r="I457" s="113"/>
      <c r="J457" s="114"/>
      <c r="K457" s="115"/>
      <c r="L457" s="115"/>
      <c r="M457" s="116"/>
      <c r="N457" s="116"/>
      <c r="O457" s="116"/>
      <c r="P457" s="116"/>
      <c r="Q457" s="116"/>
    </row>
    <row r="458">
      <c r="A458" s="111"/>
      <c r="B458" s="111"/>
      <c r="C458" s="111"/>
      <c r="D458" s="111"/>
      <c r="E458" s="111"/>
      <c r="F458" s="112"/>
      <c r="G458" s="111"/>
      <c r="H458" s="111"/>
      <c r="I458" s="113"/>
      <c r="J458" s="114"/>
      <c r="K458" s="115"/>
      <c r="L458" s="115"/>
      <c r="M458" s="116"/>
      <c r="N458" s="116"/>
      <c r="O458" s="116"/>
      <c r="P458" s="116"/>
      <c r="Q458" s="116"/>
    </row>
    <row r="459">
      <c r="A459" s="111"/>
      <c r="B459" s="111"/>
      <c r="C459" s="111"/>
      <c r="D459" s="111"/>
      <c r="E459" s="111"/>
      <c r="F459" s="112"/>
      <c r="G459" s="111"/>
      <c r="H459" s="111"/>
      <c r="I459" s="113"/>
      <c r="J459" s="114"/>
      <c r="K459" s="115"/>
      <c r="L459" s="115"/>
      <c r="M459" s="116"/>
      <c r="N459" s="116"/>
      <c r="O459" s="116"/>
      <c r="P459" s="116"/>
      <c r="Q459" s="116"/>
    </row>
    <row r="460">
      <c r="A460" s="111"/>
      <c r="B460" s="111"/>
      <c r="C460" s="111"/>
      <c r="D460" s="111"/>
      <c r="E460" s="111"/>
      <c r="F460" s="112"/>
      <c r="G460" s="111"/>
      <c r="H460" s="111"/>
      <c r="I460" s="113"/>
      <c r="J460" s="114"/>
      <c r="K460" s="115"/>
      <c r="L460" s="115"/>
      <c r="M460" s="116"/>
      <c r="N460" s="116"/>
      <c r="O460" s="116"/>
      <c r="P460" s="116"/>
      <c r="Q460" s="116"/>
    </row>
    <row r="461">
      <c r="A461" s="111"/>
      <c r="B461" s="111"/>
      <c r="C461" s="111"/>
      <c r="D461" s="111"/>
      <c r="E461" s="111"/>
      <c r="F461" s="112"/>
      <c r="G461" s="111"/>
      <c r="H461" s="111"/>
      <c r="I461" s="113"/>
      <c r="J461" s="114"/>
      <c r="K461" s="115"/>
      <c r="L461" s="115"/>
      <c r="M461" s="116"/>
      <c r="N461" s="116"/>
      <c r="O461" s="116"/>
      <c r="P461" s="116"/>
      <c r="Q461" s="116"/>
    </row>
    <row r="462">
      <c r="A462" s="111"/>
      <c r="B462" s="111"/>
      <c r="C462" s="111"/>
      <c r="D462" s="111"/>
      <c r="E462" s="111"/>
      <c r="F462" s="112"/>
      <c r="G462" s="111"/>
      <c r="H462" s="111"/>
      <c r="I462" s="113"/>
      <c r="J462" s="114"/>
      <c r="K462" s="115"/>
      <c r="L462" s="115"/>
      <c r="M462" s="116"/>
      <c r="N462" s="116"/>
      <c r="O462" s="116"/>
      <c r="P462" s="116"/>
      <c r="Q462" s="116"/>
    </row>
    <row r="463">
      <c r="A463" s="111"/>
      <c r="B463" s="111"/>
      <c r="C463" s="111"/>
      <c r="D463" s="111"/>
      <c r="E463" s="111"/>
      <c r="F463" s="112"/>
      <c r="G463" s="111"/>
      <c r="H463" s="111"/>
      <c r="I463" s="113"/>
      <c r="J463" s="114"/>
      <c r="K463" s="115"/>
      <c r="L463" s="115"/>
      <c r="M463" s="116"/>
      <c r="N463" s="116"/>
      <c r="O463" s="116"/>
      <c r="P463" s="116"/>
      <c r="Q463" s="116"/>
    </row>
    <row r="464">
      <c r="A464" s="111"/>
      <c r="B464" s="111"/>
      <c r="C464" s="111"/>
      <c r="D464" s="111"/>
      <c r="E464" s="111"/>
      <c r="F464" s="112"/>
      <c r="G464" s="111"/>
      <c r="H464" s="111"/>
      <c r="I464" s="113"/>
      <c r="J464" s="114"/>
      <c r="K464" s="115"/>
      <c r="L464" s="115"/>
      <c r="M464" s="116"/>
      <c r="N464" s="116"/>
      <c r="O464" s="116"/>
      <c r="P464" s="116"/>
      <c r="Q464" s="116"/>
    </row>
    <row r="465">
      <c r="A465" s="111"/>
      <c r="B465" s="111"/>
      <c r="C465" s="111"/>
      <c r="D465" s="111"/>
      <c r="E465" s="111"/>
      <c r="F465" s="112"/>
      <c r="G465" s="111"/>
      <c r="H465" s="111"/>
      <c r="I465" s="113"/>
      <c r="J465" s="114"/>
      <c r="K465" s="115"/>
      <c r="L465" s="115"/>
      <c r="M465" s="116"/>
      <c r="N465" s="116"/>
      <c r="O465" s="116"/>
      <c r="P465" s="116"/>
      <c r="Q465" s="116"/>
    </row>
    <row r="466">
      <c r="A466" s="111"/>
      <c r="B466" s="111"/>
      <c r="C466" s="111"/>
      <c r="D466" s="111"/>
      <c r="E466" s="111"/>
      <c r="F466" s="112"/>
      <c r="G466" s="111"/>
      <c r="H466" s="111"/>
      <c r="I466" s="113"/>
      <c r="J466" s="114"/>
      <c r="K466" s="115"/>
      <c r="L466" s="115"/>
      <c r="M466" s="116"/>
      <c r="N466" s="116"/>
      <c r="O466" s="116"/>
      <c r="P466" s="116"/>
      <c r="Q466" s="116"/>
    </row>
    <row r="467">
      <c r="A467" s="111"/>
      <c r="B467" s="111"/>
      <c r="C467" s="111"/>
      <c r="D467" s="111"/>
      <c r="E467" s="111"/>
      <c r="F467" s="112"/>
      <c r="G467" s="111"/>
      <c r="H467" s="111"/>
      <c r="I467" s="113"/>
      <c r="J467" s="114"/>
      <c r="K467" s="115"/>
      <c r="L467" s="115"/>
      <c r="M467" s="116"/>
      <c r="N467" s="116"/>
      <c r="O467" s="116"/>
      <c r="P467" s="116"/>
      <c r="Q467" s="116"/>
    </row>
    <row r="468">
      <c r="A468" s="111"/>
      <c r="B468" s="111"/>
      <c r="C468" s="111"/>
      <c r="D468" s="111"/>
      <c r="E468" s="111"/>
      <c r="F468" s="112"/>
      <c r="G468" s="111"/>
      <c r="H468" s="111"/>
      <c r="I468" s="113"/>
      <c r="J468" s="114"/>
      <c r="K468" s="115"/>
      <c r="L468" s="115"/>
      <c r="M468" s="116"/>
      <c r="N468" s="116"/>
      <c r="O468" s="116"/>
      <c r="P468" s="116"/>
      <c r="Q468" s="116"/>
    </row>
    <row r="469">
      <c r="A469" s="111"/>
      <c r="B469" s="111"/>
      <c r="C469" s="111"/>
      <c r="D469" s="111"/>
      <c r="E469" s="111"/>
      <c r="F469" s="112"/>
      <c r="G469" s="111"/>
      <c r="H469" s="111"/>
      <c r="I469" s="113"/>
      <c r="J469" s="114"/>
      <c r="K469" s="115"/>
      <c r="L469" s="115"/>
      <c r="M469" s="116"/>
      <c r="N469" s="116"/>
      <c r="O469" s="116"/>
      <c r="P469" s="116"/>
      <c r="Q469" s="116"/>
    </row>
    <row r="470">
      <c r="A470" s="111"/>
      <c r="B470" s="111"/>
      <c r="C470" s="111"/>
      <c r="D470" s="111"/>
      <c r="E470" s="111"/>
      <c r="F470" s="112"/>
      <c r="G470" s="111"/>
      <c r="H470" s="111"/>
      <c r="I470" s="113"/>
      <c r="J470" s="114"/>
      <c r="K470" s="115"/>
      <c r="L470" s="115"/>
      <c r="M470" s="116"/>
      <c r="N470" s="116"/>
      <c r="O470" s="116"/>
      <c r="P470" s="116"/>
      <c r="Q470" s="116"/>
    </row>
    <row r="471">
      <c r="A471" s="111"/>
      <c r="B471" s="111"/>
      <c r="C471" s="111"/>
      <c r="D471" s="111"/>
      <c r="E471" s="111"/>
      <c r="F471" s="112"/>
      <c r="G471" s="111"/>
      <c r="H471" s="111"/>
      <c r="I471" s="113"/>
      <c r="J471" s="114"/>
      <c r="K471" s="115"/>
      <c r="L471" s="115"/>
      <c r="M471" s="116"/>
      <c r="N471" s="116"/>
      <c r="O471" s="116"/>
      <c r="P471" s="116"/>
      <c r="Q471" s="116"/>
    </row>
    <row r="472">
      <c r="A472" s="111"/>
      <c r="B472" s="111"/>
      <c r="C472" s="111"/>
      <c r="D472" s="111"/>
      <c r="E472" s="111"/>
      <c r="F472" s="112"/>
      <c r="G472" s="111"/>
      <c r="H472" s="111"/>
      <c r="I472" s="113"/>
      <c r="J472" s="114"/>
      <c r="K472" s="115"/>
      <c r="L472" s="115"/>
      <c r="M472" s="116"/>
      <c r="N472" s="116"/>
      <c r="O472" s="116"/>
      <c r="P472" s="116"/>
      <c r="Q472" s="116"/>
    </row>
    <row r="473">
      <c r="A473" s="111"/>
      <c r="B473" s="111"/>
      <c r="C473" s="111"/>
      <c r="D473" s="111"/>
      <c r="E473" s="111"/>
      <c r="F473" s="112"/>
      <c r="G473" s="111"/>
      <c r="H473" s="111"/>
      <c r="I473" s="113"/>
      <c r="J473" s="114"/>
      <c r="K473" s="115"/>
      <c r="L473" s="115"/>
      <c r="M473" s="116"/>
      <c r="N473" s="116"/>
      <c r="O473" s="116"/>
      <c r="P473" s="116"/>
      <c r="Q473" s="116"/>
    </row>
    <row r="474">
      <c r="A474" s="111"/>
      <c r="B474" s="111"/>
      <c r="C474" s="111"/>
      <c r="D474" s="111"/>
      <c r="E474" s="111"/>
      <c r="F474" s="112"/>
      <c r="G474" s="111"/>
      <c r="H474" s="111"/>
      <c r="I474" s="113"/>
      <c r="J474" s="114"/>
      <c r="K474" s="115"/>
      <c r="L474" s="115"/>
      <c r="M474" s="116"/>
      <c r="N474" s="116"/>
      <c r="O474" s="116"/>
      <c r="P474" s="116"/>
      <c r="Q474" s="116"/>
    </row>
    <row r="475">
      <c r="A475" s="111"/>
      <c r="B475" s="111"/>
      <c r="C475" s="111"/>
      <c r="D475" s="111"/>
      <c r="E475" s="111"/>
      <c r="F475" s="112"/>
      <c r="G475" s="111"/>
      <c r="H475" s="111"/>
      <c r="I475" s="113"/>
      <c r="J475" s="114"/>
      <c r="K475" s="115"/>
      <c r="L475" s="115"/>
      <c r="M475" s="116"/>
      <c r="N475" s="116"/>
      <c r="O475" s="116"/>
      <c r="P475" s="116"/>
      <c r="Q475" s="116"/>
    </row>
    <row r="476">
      <c r="A476" s="111"/>
      <c r="B476" s="111"/>
      <c r="C476" s="111"/>
      <c r="D476" s="111"/>
      <c r="E476" s="111"/>
      <c r="F476" s="112"/>
      <c r="G476" s="111"/>
      <c r="H476" s="111"/>
      <c r="I476" s="113"/>
      <c r="J476" s="114"/>
      <c r="K476" s="115"/>
      <c r="L476" s="115"/>
      <c r="M476" s="116"/>
      <c r="N476" s="116"/>
      <c r="O476" s="116"/>
      <c r="P476" s="116"/>
      <c r="Q476" s="116"/>
    </row>
    <row r="477">
      <c r="A477" s="111"/>
      <c r="B477" s="111"/>
      <c r="C477" s="111"/>
      <c r="D477" s="111"/>
      <c r="E477" s="111"/>
      <c r="F477" s="112"/>
      <c r="G477" s="111"/>
      <c r="H477" s="111"/>
      <c r="I477" s="113"/>
      <c r="J477" s="114"/>
      <c r="K477" s="115"/>
      <c r="L477" s="115"/>
      <c r="M477" s="116"/>
      <c r="N477" s="116"/>
      <c r="O477" s="116"/>
      <c r="P477" s="116"/>
      <c r="Q477" s="116"/>
    </row>
    <row r="478">
      <c r="A478" s="111"/>
      <c r="B478" s="111"/>
      <c r="C478" s="111"/>
      <c r="D478" s="111"/>
      <c r="E478" s="111"/>
      <c r="F478" s="112"/>
      <c r="G478" s="111"/>
      <c r="H478" s="111"/>
      <c r="I478" s="113"/>
      <c r="J478" s="114"/>
      <c r="K478" s="115"/>
      <c r="L478" s="115"/>
      <c r="M478" s="116"/>
      <c r="N478" s="116"/>
      <c r="O478" s="116"/>
      <c r="P478" s="116"/>
      <c r="Q478" s="116"/>
    </row>
    <row r="479">
      <c r="A479" s="111"/>
      <c r="B479" s="111"/>
      <c r="C479" s="111"/>
      <c r="D479" s="111"/>
      <c r="E479" s="111"/>
      <c r="F479" s="112"/>
      <c r="G479" s="111"/>
      <c r="H479" s="111"/>
      <c r="I479" s="113"/>
      <c r="J479" s="114"/>
      <c r="K479" s="115"/>
      <c r="L479" s="115"/>
      <c r="M479" s="116"/>
      <c r="N479" s="116"/>
      <c r="O479" s="116"/>
      <c r="P479" s="116"/>
      <c r="Q479" s="116"/>
    </row>
    <row r="480">
      <c r="A480" s="111"/>
      <c r="B480" s="111"/>
      <c r="C480" s="111"/>
      <c r="D480" s="111"/>
      <c r="E480" s="111"/>
      <c r="F480" s="112"/>
      <c r="G480" s="111"/>
      <c r="H480" s="111"/>
      <c r="I480" s="113"/>
      <c r="J480" s="114"/>
      <c r="K480" s="115"/>
      <c r="L480" s="115"/>
      <c r="M480" s="116"/>
      <c r="N480" s="116"/>
      <c r="O480" s="116"/>
      <c r="P480" s="116"/>
      <c r="Q480" s="116"/>
    </row>
    <row r="481">
      <c r="A481" s="111"/>
      <c r="B481" s="111"/>
      <c r="C481" s="111"/>
      <c r="D481" s="111"/>
      <c r="E481" s="111"/>
      <c r="F481" s="112"/>
      <c r="G481" s="111"/>
      <c r="H481" s="111"/>
      <c r="I481" s="113"/>
      <c r="J481" s="114"/>
      <c r="K481" s="115"/>
      <c r="L481" s="115"/>
      <c r="M481" s="116"/>
      <c r="N481" s="116"/>
      <c r="O481" s="116"/>
      <c r="P481" s="116"/>
      <c r="Q481" s="116"/>
    </row>
    <row r="482">
      <c r="A482" s="111"/>
      <c r="B482" s="111"/>
      <c r="C482" s="111"/>
      <c r="D482" s="111"/>
      <c r="E482" s="111"/>
      <c r="F482" s="112"/>
      <c r="G482" s="111"/>
      <c r="H482" s="111"/>
      <c r="I482" s="113"/>
      <c r="J482" s="114"/>
      <c r="K482" s="115"/>
      <c r="L482" s="115"/>
      <c r="M482" s="116"/>
      <c r="N482" s="116"/>
      <c r="O482" s="116"/>
      <c r="P482" s="116"/>
      <c r="Q482" s="116"/>
    </row>
    <row r="483">
      <c r="A483" s="111"/>
      <c r="B483" s="111"/>
      <c r="C483" s="111"/>
      <c r="D483" s="111"/>
      <c r="E483" s="111"/>
      <c r="F483" s="112"/>
      <c r="G483" s="111"/>
      <c r="H483" s="111"/>
      <c r="I483" s="113"/>
      <c r="J483" s="114"/>
      <c r="K483" s="115"/>
      <c r="L483" s="115"/>
      <c r="M483" s="116"/>
      <c r="N483" s="116"/>
      <c r="O483" s="116"/>
      <c r="P483" s="116"/>
      <c r="Q483" s="116"/>
    </row>
    <row r="484">
      <c r="A484" s="111"/>
      <c r="B484" s="111"/>
      <c r="C484" s="111"/>
      <c r="D484" s="111"/>
      <c r="E484" s="111"/>
      <c r="F484" s="112"/>
      <c r="G484" s="111"/>
      <c r="H484" s="111"/>
      <c r="I484" s="113"/>
      <c r="J484" s="114"/>
      <c r="K484" s="115"/>
      <c r="L484" s="115"/>
      <c r="M484" s="116"/>
      <c r="N484" s="116"/>
      <c r="O484" s="116"/>
      <c r="P484" s="116"/>
      <c r="Q484" s="116"/>
    </row>
    <row r="485">
      <c r="A485" s="111"/>
      <c r="B485" s="111"/>
      <c r="C485" s="111"/>
      <c r="D485" s="111"/>
      <c r="E485" s="111"/>
      <c r="F485" s="112"/>
      <c r="G485" s="111"/>
      <c r="H485" s="111"/>
      <c r="I485" s="113"/>
      <c r="J485" s="114"/>
      <c r="K485" s="115"/>
      <c r="L485" s="115"/>
      <c r="M485" s="116"/>
      <c r="N485" s="116"/>
      <c r="O485" s="116"/>
      <c r="P485" s="116"/>
      <c r="Q485" s="116"/>
    </row>
    <row r="486">
      <c r="A486" s="111"/>
      <c r="B486" s="111"/>
      <c r="C486" s="111"/>
      <c r="D486" s="111"/>
      <c r="E486" s="111"/>
      <c r="F486" s="112"/>
      <c r="G486" s="111"/>
      <c r="H486" s="111"/>
      <c r="I486" s="113"/>
      <c r="J486" s="114"/>
      <c r="K486" s="115"/>
      <c r="L486" s="115"/>
      <c r="M486" s="116"/>
      <c r="N486" s="116"/>
      <c r="O486" s="116"/>
      <c r="P486" s="116"/>
      <c r="Q486" s="116"/>
    </row>
    <row r="487">
      <c r="A487" s="111"/>
      <c r="B487" s="111"/>
      <c r="C487" s="111"/>
      <c r="D487" s="111"/>
      <c r="E487" s="111"/>
      <c r="F487" s="112"/>
      <c r="G487" s="111"/>
      <c r="H487" s="111"/>
      <c r="I487" s="113"/>
      <c r="J487" s="114"/>
      <c r="K487" s="115"/>
      <c r="L487" s="115"/>
      <c r="M487" s="116"/>
      <c r="N487" s="116"/>
      <c r="O487" s="116"/>
      <c r="P487" s="116"/>
      <c r="Q487" s="116"/>
    </row>
    <row r="488">
      <c r="A488" s="111"/>
      <c r="B488" s="111"/>
      <c r="C488" s="111"/>
      <c r="D488" s="111"/>
      <c r="E488" s="111"/>
      <c r="F488" s="112"/>
      <c r="G488" s="111"/>
      <c r="H488" s="111"/>
      <c r="I488" s="113"/>
      <c r="J488" s="114"/>
      <c r="K488" s="115"/>
      <c r="L488" s="115"/>
      <c r="M488" s="116"/>
      <c r="N488" s="116"/>
      <c r="O488" s="116"/>
      <c r="P488" s="116"/>
      <c r="Q488" s="116"/>
    </row>
    <row r="489">
      <c r="A489" s="111"/>
      <c r="B489" s="111"/>
      <c r="C489" s="111"/>
      <c r="D489" s="111"/>
      <c r="E489" s="111"/>
      <c r="F489" s="112"/>
      <c r="G489" s="111"/>
      <c r="H489" s="111"/>
      <c r="I489" s="113"/>
      <c r="J489" s="114"/>
      <c r="K489" s="115"/>
      <c r="L489" s="115"/>
      <c r="M489" s="116"/>
      <c r="N489" s="116"/>
      <c r="O489" s="116"/>
      <c r="P489" s="116"/>
      <c r="Q489" s="116"/>
    </row>
    <row r="490">
      <c r="A490" s="111"/>
      <c r="B490" s="111"/>
      <c r="C490" s="111"/>
      <c r="D490" s="111"/>
      <c r="E490" s="111"/>
      <c r="F490" s="112"/>
      <c r="G490" s="111"/>
      <c r="H490" s="111"/>
      <c r="I490" s="113"/>
      <c r="J490" s="114"/>
      <c r="K490" s="115"/>
      <c r="L490" s="115"/>
      <c r="M490" s="116"/>
      <c r="N490" s="116"/>
      <c r="O490" s="116"/>
      <c r="P490" s="116"/>
      <c r="Q490" s="116"/>
    </row>
    <row r="491">
      <c r="A491" s="111"/>
      <c r="B491" s="111"/>
      <c r="C491" s="111"/>
      <c r="D491" s="111"/>
      <c r="E491" s="111"/>
      <c r="F491" s="112"/>
      <c r="G491" s="111"/>
      <c r="H491" s="111"/>
      <c r="I491" s="113"/>
      <c r="J491" s="114"/>
      <c r="K491" s="115"/>
      <c r="L491" s="115"/>
      <c r="M491" s="116"/>
      <c r="N491" s="116"/>
      <c r="O491" s="116"/>
      <c r="P491" s="116"/>
      <c r="Q491" s="116"/>
    </row>
    <row r="492">
      <c r="A492" s="111"/>
      <c r="B492" s="111"/>
      <c r="C492" s="111"/>
      <c r="D492" s="111"/>
      <c r="E492" s="111"/>
      <c r="F492" s="112"/>
      <c r="G492" s="111"/>
      <c r="H492" s="111"/>
      <c r="I492" s="113"/>
      <c r="J492" s="114"/>
      <c r="K492" s="115"/>
      <c r="L492" s="115"/>
      <c r="M492" s="116"/>
      <c r="N492" s="116"/>
      <c r="O492" s="116"/>
      <c r="P492" s="116"/>
      <c r="Q492" s="116"/>
    </row>
    <row r="493">
      <c r="A493" s="111"/>
      <c r="B493" s="111"/>
      <c r="C493" s="111"/>
      <c r="D493" s="111"/>
      <c r="E493" s="111"/>
      <c r="F493" s="112"/>
      <c r="G493" s="111"/>
      <c r="H493" s="111"/>
      <c r="I493" s="113"/>
      <c r="J493" s="114"/>
      <c r="K493" s="115"/>
      <c r="L493" s="115"/>
      <c r="M493" s="116"/>
      <c r="N493" s="116"/>
      <c r="O493" s="116"/>
      <c r="P493" s="116"/>
      <c r="Q493" s="116"/>
    </row>
    <row r="494">
      <c r="A494" s="111"/>
      <c r="B494" s="111"/>
      <c r="C494" s="111"/>
      <c r="D494" s="111"/>
      <c r="E494" s="111"/>
      <c r="F494" s="112"/>
      <c r="G494" s="111"/>
      <c r="H494" s="111"/>
      <c r="I494" s="113"/>
      <c r="J494" s="114"/>
      <c r="K494" s="115"/>
      <c r="L494" s="115"/>
      <c r="M494" s="116"/>
      <c r="N494" s="116"/>
      <c r="O494" s="116"/>
      <c r="P494" s="116"/>
      <c r="Q494" s="116"/>
    </row>
    <row r="495">
      <c r="A495" s="111"/>
      <c r="B495" s="111"/>
      <c r="C495" s="111"/>
      <c r="D495" s="111"/>
      <c r="E495" s="111"/>
      <c r="F495" s="112"/>
      <c r="G495" s="111"/>
      <c r="H495" s="111"/>
      <c r="I495" s="113"/>
      <c r="J495" s="114"/>
      <c r="K495" s="115"/>
      <c r="L495" s="115"/>
      <c r="M495" s="116"/>
      <c r="N495" s="116"/>
      <c r="O495" s="116"/>
      <c r="P495" s="116"/>
      <c r="Q495" s="116"/>
    </row>
    <row r="496">
      <c r="A496" s="111"/>
      <c r="B496" s="111"/>
      <c r="C496" s="111"/>
      <c r="D496" s="111"/>
      <c r="E496" s="111"/>
      <c r="F496" s="112"/>
      <c r="G496" s="111"/>
      <c r="H496" s="111"/>
      <c r="I496" s="113"/>
      <c r="J496" s="114"/>
      <c r="K496" s="115"/>
      <c r="L496" s="115"/>
      <c r="M496" s="116"/>
      <c r="N496" s="116"/>
      <c r="O496" s="116"/>
      <c r="P496" s="116"/>
      <c r="Q496" s="116"/>
    </row>
    <row r="497">
      <c r="A497" s="111"/>
      <c r="B497" s="111"/>
      <c r="C497" s="111"/>
      <c r="D497" s="111"/>
      <c r="E497" s="111"/>
      <c r="F497" s="112"/>
      <c r="G497" s="111"/>
      <c r="H497" s="111"/>
      <c r="I497" s="113"/>
      <c r="J497" s="114"/>
      <c r="K497" s="115"/>
      <c r="L497" s="115"/>
      <c r="M497" s="116"/>
      <c r="N497" s="116"/>
      <c r="O497" s="116"/>
      <c r="P497" s="116"/>
      <c r="Q497" s="116"/>
    </row>
    <row r="498">
      <c r="A498" s="111"/>
      <c r="B498" s="111"/>
      <c r="C498" s="111"/>
      <c r="D498" s="111"/>
      <c r="E498" s="111"/>
      <c r="F498" s="112"/>
      <c r="G498" s="111"/>
      <c r="H498" s="111"/>
      <c r="I498" s="113"/>
      <c r="J498" s="114"/>
      <c r="K498" s="115"/>
      <c r="L498" s="115"/>
      <c r="M498" s="116"/>
      <c r="N498" s="116"/>
      <c r="O498" s="116"/>
      <c r="P498" s="116"/>
      <c r="Q498" s="116"/>
    </row>
    <row r="499">
      <c r="A499" s="111"/>
      <c r="B499" s="111"/>
      <c r="C499" s="111"/>
      <c r="D499" s="111"/>
      <c r="E499" s="111"/>
      <c r="F499" s="112"/>
      <c r="G499" s="111"/>
      <c r="H499" s="111"/>
      <c r="I499" s="113"/>
      <c r="J499" s="114"/>
      <c r="K499" s="115"/>
      <c r="L499" s="115"/>
      <c r="M499" s="116"/>
      <c r="N499" s="116"/>
      <c r="O499" s="116"/>
      <c r="P499" s="116"/>
      <c r="Q499" s="116"/>
    </row>
    <row r="500">
      <c r="A500" s="111"/>
      <c r="B500" s="111"/>
      <c r="C500" s="111"/>
      <c r="D500" s="111"/>
      <c r="E500" s="111"/>
      <c r="F500" s="112"/>
      <c r="G500" s="111"/>
      <c r="H500" s="111"/>
      <c r="I500" s="113"/>
      <c r="J500" s="114"/>
      <c r="K500" s="115"/>
      <c r="L500" s="115"/>
      <c r="M500" s="116"/>
      <c r="N500" s="116"/>
      <c r="O500" s="116"/>
      <c r="P500" s="116"/>
      <c r="Q500" s="116"/>
    </row>
    <row r="501">
      <c r="A501" s="111"/>
      <c r="B501" s="111"/>
      <c r="C501" s="111"/>
      <c r="D501" s="111"/>
      <c r="E501" s="111"/>
      <c r="F501" s="112"/>
      <c r="G501" s="111"/>
      <c r="H501" s="111"/>
      <c r="I501" s="113"/>
      <c r="J501" s="114"/>
      <c r="K501" s="115"/>
      <c r="L501" s="115"/>
      <c r="M501" s="116"/>
      <c r="N501" s="116"/>
      <c r="O501" s="116"/>
      <c r="P501" s="116"/>
      <c r="Q501" s="116"/>
    </row>
    <row r="502">
      <c r="A502" s="111"/>
      <c r="B502" s="111"/>
      <c r="C502" s="111"/>
      <c r="D502" s="111"/>
      <c r="E502" s="111"/>
      <c r="F502" s="112"/>
      <c r="G502" s="111"/>
      <c r="H502" s="111"/>
      <c r="I502" s="113"/>
      <c r="J502" s="114"/>
      <c r="K502" s="115"/>
      <c r="L502" s="115"/>
      <c r="M502" s="116"/>
      <c r="N502" s="116"/>
      <c r="O502" s="116"/>
      <c r="P502" s="116"/>
      <c r="Q502" s="116"/>
    </row>
    <row r="503">
      <c r="A503" s="111"/>
      <c r="B503" s="111"/>
      <c r="C503" s="111"/>
      <c r="D503" s="111"/>
      <c r="E503" s="111"/>
      <c r="F503" s="112"/>
      <c r="G503" s="111"/>
      <c r="H503" s="111"/>
      <c r="I503" s="113"/>
      <c r="J503" s="114"/>
      <c r="K503" s="115"/>
      <c r="L503" s="115"/>
      <c r="M503" s="116"/>
      <c r="N503" s="116"/>
      <c r="O503" s="116"/>
      <c r="P503" s="116"/>
      <c r="Q503" s="116"/>
    </row>
    <row r="504">
      <c r="A504" s="111"/>
      <c r="B504" s="111"/>
      <c r="C504" s="111"/>
      <c r="D504" s="111"/>
      <c r="E504" s="111"/>
      <c r="F504" s="112"/>
      <c r="G504" s="111"/>
      <c r="H504" s="111"/>
      <c r="I504" s="113"/>
      <c r="J504" s="114"/>
      <c r="K504" s="115"/>
      <c r="L504" s="115"/>
      <c r="M504" s="116"/>
      <c r="N504" s="116"/>
      <c r="O504" s="116"/>
      <c r="P504" s="116"/>
      <c r="Q504" s="116"/>
    </row>
    <row r="505">
      <c r="A505" s="111"/>
      <c r="B505" s="111"/>
      <c r="C505" s="111"/>
      <c r="D505" s="111"/>
      <c r="E505" s="111"/>
      <c r="F505" s="112"/>
      <c r="G505" s="111"/>
      <c r="H505" s="111"/>
      <c r="I505" s="113"/>
      <c r="J505" s="114"/>
      <c r="K505" s="115"/>
      <c r="L505" s="115"/>
      <c r="M505" s="116"/>
      <c r="N505" s="116"/>
      <c r="O505" s="116"/>
      <c r="P505" s="116"/>
      <c r="Q505" s="116"/>
    </row>
    <row r="506">
      <c r="A506" s="111"/>
      <c r="B506" s="111"/>
      <c r="C506" s="111"/>
      <c r="D506" s="111"/>
      <c r="E506" s="111"/>
      <c r="F506" s="112"/>
      <c r="G506" s="111"/>
      <c r="H506" s="111"/>
      <c r="I506" s="113"/>
      <c r="J506" s="114"/>
      <c r="K506" s="115"/>
      <c r="L506" s="115"/>
      <c r="M506" s="116"/>
      <c r="N506" s="116"/>
      <c r="O506" s="116"/>
      <c r="P506" s="116"/>
      <c r="Q506" s="116"/>
    </row>
    <row r="507">
      <c r="A507" s="111"/>
      <c r="B507" s="111"/>
      <c r="C507" s="111"/>
      <c r="D507" s="111"/>
      <c r="E507" s="111"/>
      <c r="F507" s="112"/>
      <c r="G507" s="111"/>
      <c r="H507" s="111"/>
      <c r="I507" s="113"/>
      <c r="J507" s="114"/>
      <c r="K507" s="115"/>
      <c r="L507" s="115"/>
      <c r="M507" s="116"/>
      <c r="N507" s="116"/>
      <c r="O507" s="116"/>
      <c r="P507" s="116"/>
      <c r="Q507" s="116"/>
    </row>
    <row r="508">
      <c r="A508" s="111"/>
      <c r="B508" s="111"/>
      <c r="C508" s="111"/>
      <c r="D508" s="111"/>
      <c r="E508" s="111"/>
      <c r="F508" s="112"/>
      <c r="G508" s="111"/>
      <c r="H508" s="111"/>
      <c r="I508" s="113"/>
      <c r="J508" s="114"/>
      <c r="K508" s="115"/>
      <c r="L508" s="115"/>
      <c r="M508" s="116"/>
      <c r="N508" s="116"/>
      <c r="O508" s="116"/>
      <c r="P508" s="116"/>
      <c r="Q508" s="116"/>
    </row>
    <row r="509">
      <c r="A509" s="111"/>
      <c r="B509" s="111"/>
      <c r="C509" s="111"/>
      <c r="D509" s="111"/>
      <c r="E509" s="111"/>
      <c r="F509" s="112"/>
      <c r="G509" s="111"/>
      <c r="H509" s="111"/>
      <c r="I509" s="113"/>
      <c r="J509" s="114"/>
      <c r="K509" s="115"/>
      <c r="L509" s="115"/>
      <c r="M509" s="116"/>
      <c r="N509" s="116"/>
      <c r="O509" s="116"/>
      <c r="P509" s="116"/>
      <c r="Q509" s="116"/>
    </row>
    <row r="510">
      <c r="A510" s="111"/>
      <c r="B510" s="111"/>
      <c r="C510" s="111"/>
      <c r="D510" s="111"/>
      <c r="E510" s="111"/>
      <c r="F510" s="112"/>
      <c r="G510" s="111"/>
      <c r="H510" s="111"/>
      <c r="I510" s="113"/>
      <c r="J510" s="114"/>
      <c r="K510" s="115"/>
      <c r="L510" s="115"/>
      <c r="M510" s="116"/>
      <c r="N510" s="116"/>
      <c r="O510" s="116"/>
      <c r="P510" s="116"/>
      <c r="Q510" s="116"/>
    </row>
    <row r="511">
      <c r="A511" s="111"/>
      <c r="B511" s="111"/>
      <c r="C511" s="111"/>
      <c r="D511" s="111"/>
      <c r="E511" s="111"/>
      <c r="F511" s="112"/>
      <c r="G511" s="111"/>
      <c r="H511" s="111"/>
      <c r="I511" s="113"/>
      <c r="J511" s="114"/>
      <c r="K511" s="115"/>
      <c r="L511" s="115"/>
      <c r="M511" s="116"/>
      <c r="N511" s="116"/>
      <c r="O511" s="116"/>
      <c r="P511" s="116"/>
      <c r="Q511" s="116"/>
    </row>
    <row r="512">
      <c r="A512" s="111"/>
      <c r="B512" s="111"/>
      <c r="C512" s="111"/>
      <c r="D512" s="111"/>
      <c r="E512" s="111"/>
      <c r="F512" s="112"/>
      <c r="G512" s="111"/>
      <c r="H512" s="111"/>
      <c r="I512" s="113"/>
      <c r="J512" s="114"/>
      <c r="K512" s="115"/>
      <c r="L512" s="115"/>
      <c r="M512" s="116"/>
      <c r="N512" s="116"/>
      <c r="O512" s="116"/>
      <c r="P512" s="116"/>
      <c r="Q512" s="116"/>
    </row>
    <row r="513">
      <c r="A513" s="111"/>
      <c r="B513" s="111"/>
      <c r="C513" s="111"/>
      <c r="D513" s="111"/>
      <c r="E513" s="111"/>
      <c r="F513" s="112"/>
      <c r="G513" s="111"/>
      <c r="H513" s="111"/>
      <c r="I513" s="113"/>
      <c r="J513" s="114"/>
      <c r="K513" s="115"/>
      <c r="L513" s="115"/>
      <c r="M513" s="116"/>
      <c r="N513" s="116"/>
      <c r="O513" s="116"/>
      <c r="P513" s="116"/>
      <c r="Q513" s="116"/>
    </row>
    <row r="514">
      <c r="A514" s="111"/>
      <c r="B514" s="111"/>
      <c r="C514" s="111"/>
      <c r="D514" s="111"/>
      <c r="E514" s="111"/>
      <c r="F514" s="112"/>
      <c r="G514" s="111"/>
      <c r="H514" s="111"/>
      <c r="I514" s="113"/>
      <c r="J514" s="114"/>
      <c r="K514" s="115"/>
      <c r="L514" s="115"/>
      <c r="M514" s="116"/>
      <c r="N514" s="116"/>
      <c r="O514" s="116"/>
      <c r="P514" s="116"/>
      <c r="Q514" s="116"/>
    </row>
    <row r="515">
      <c r="A515" s="111"/>
      <c r="B515" s="111"/>
      <c r="C515" s="111"/>
      <c r="D515" s="111"/>
      <c r="E515" s="111"/>
      <c r="F515" s="112"/>
      <c r="G515" s="111"/>
      <c r="H515" s="111"/>
      <c r="I515" s="113"/>
      <c r="J515" s="114"/>
      <c r="K515" s="115"/>
      <c r="L515" s="115"/>
      <c r="M515" s="116"/>
      <c r="N515" s="116"/>
      <c r="O515" s="116"/>
      <c r="P515" s="116"/>
      <c r="Q515" s="116"/>
    </row>
    <row r="516">
      <c r="A516" s="111"/>
      <c r="B516" s="111"/>
      <c r="C516" s="111"/>
      <c r="D516" s="111"/>
      <c r="E516" s="111"/>
      <c r="F516" s="112"/>
      <c r="G516" s="111"/>
      <c r="H516" s="111"/>
      <c r="I516" s="113"/>
      <c r="J516" s="114"/>
      <c r="K516" s="115"/>
      <c r="L516" s="115"/>
      <c r="M516" s="116"/>
      <c r="N516" s="116"/>
      <c r="O516" s="116"/>
      <c r="P516" s="116"/>
      <c r="Q516" s="116"/>
    </row>
    <row r="517">
      <c r="A517" s="111"/>
      <c r="B517" s="111"/>
      <c r="C517" s="111"/>
      <c r="D517" s="111"/>
      <c r="E517" s="111"/>
      <c r="F517" s="112"/>
      <c r="G517" s="111"/>
      <c r="H517" s="111"/>
      <c r="I517" s="113"/>
      <c r="J517" s="114"/>
      <c r="K517" s="115"/>
      <c r="L517" s="115"/>
      <c r="M517" s="116"/>
      <c r="N517" s="116"/>
      <c r="O517" s="116"/>
      <c r="P517" s="116"/>
      <c r="Q517" s="116"/>
    </row>
    <row r="518">
      <c r="A518" s="111"/>
      <c r="B518" s="111"/>
      <c r="C518" s="111"/>
      <c r="D518" s="111"/>
      <c r="E518" s="111"/>
      <c r="F518" s="112"/>
      <c r="G518" s="111"/>
      <c r="H518" s="111"/>
      <c r="I518" s="113"/>
      <c r="J518" s="114"/>
      <c r="K518" s="115"/>
      <c r="L518" s="115"/>
      <c r="M518" s="116"/>
      <c r="N518" s="116"/>
      <c r="O518" s="116"/>
      <c r="P518" s="116"/>
      <c r="Q518" s="116"/>
    </row>
    <row r="519">
      <c r="A519" s="111"/>
      <c r="B519" s="111"/>
      <c r="C519" s="111"/>
      <c r="D519" s="111"/>
      <c r="E519" s="111"/>
      <c r="F519" s="112"/>
      <c r="G519" s="111"/>
      <c r="H519" s="111"/>
      <c r="I519" s="113"/>
      <c r="J519" s="114"/>
      <c r="K519" s="115"/>
      <c r="L519" s="115"/>
      <c r="M519" s="116"/>
      <c r="N519" s="116"/>
      <c r="O519" s="116"/>
      <c r="P519" s="116"/>
      <c r="Q519" s="116"/>
    </row>
    <row r="520">
      <c r="A520" s="111"/>
      <c r="B520" s="111"/>
      <c r="C520" s="111"/>
      <c r="D520" s="111"/>
      <c r="E520" s="111"/>
      <c r="F520" s="112"/>
      <c r="G520" s="111"/>
      <c r="H520" s="111"/>
      <c r="I520" s="113"/>
      <c r="J520" s="114"/>
      <c r="K520" s="115"/>
      <c r="L520" s="115"/>
      <c r="M520" s="116"/>
      <c r="N520" s="116"/>
      <c r="O520" s="116"/>
      <c r="P520" s="116"/>
      <c r="Q520" s="116"/>
    </row>
    <row r="521">
      <c r="A521" s="111"/>
      <c r="B521" s="111"/>
      <c r="C521" s="111"/>
      <c r="D521" s="111"/>
      <c r="E521" s="111"/>
      <c r="F521" s="112"/>
      <c r="G521" s="111"/>
      <c r="H521" s="111"/>
      <c r="I521" s="113"/>
      <c r="J521" s="114"/>
      <c r="K521" s="115"/>
      <c r="L521" s="115"/>
      <c r="M521" s="116"/>
      <c r="N521" s="116"/>
      <c r="O521" s="116"/>
      <c r="P521" s="116"/>
      <c r="Q521" s="116"/>
    </row>
    <row r="522">
      <c r="A522" s="111"/>
      <c r="B522" s="111"/>
      <c r="C522" s="111"/>
      <c r="D522" s="111"/>
      <c r="E522" s="111"/>
      <c r="F522" s="112"/>
      <c r="G522" s="111"/>
      <c r="H522" s="111"/>
      <c r="I522" s="113"/>
      <c r="J522" s="114"/>
      <c r="K522" s="115"/>
      <c r="L522" s="115"/>
      <c r="M522" s="116"/>
      <c r="N522" s="116"/>
      <c r="O522" s="116"/>
      <c r="P522" s="116"/>
      <c r="Q522" s="116"/>
    </row>
    <row r="523">
      <c r="A523" s="111"/>
      <c r="B523" s="111"/>
      <c r="C523" s="111"/>
      <c r="D523" s="111"/>
      <c r="E523" s="111"/>
      <c r="F523" s="112"/>
      <c r="G523" s="111"/>
      <c r="H523" s="111"/>
      <c r="I523" s="113"/>
      <c r="J523" s="114"/>
      <c r="K523" s="115"/>
      <c r="L523" s="115"/>
      <c r="M523" s="116"/>
      <c r="N523" s="116"/>
      <c r="O523" s="116"/>
      <c r="P523" s="116"/>
      <c r="Q523" s="116"/>
    </row>
    <row r="524">
      <c r="A524" s="111"/>
      <c r="B524" s="111"/>
      <c r="C524" s="111"/>
      <c r="D524" s="111"/>
      <c r="E524" s="111"/>
      <c r="F524" s="112"/>
      <c r="G524" s="111"/>
      <c r="H524" s="111"/>
      <c r="I524" s="113"/>
      <c r="J524" s="114"/>
      <c r="K524" s="115"/>
      <c r="L524" s="115"/>
      <c r="M524" s="116"/>
      <c r="N524" s="116"/>
      <c r="O524" s="116"/>
      <c r="P524" s="116"/>
      <c r="Q524" s="116"/>
    </row>
    <row r="525">
      <c r="A525" s="111"/>
      <c r="B525" s="111"/>
      <c r="C525" s="111"/>
      <c r="D525" s="111"/>
      <c r="E525" s="111"/>
      <c r="F525" s="112"/>
      <c r="G525" s="111"/>
      <c r="H525" s="111"/>
      <c r="I525" s="113"/>
      <c r="J525" s="114"/>
      <c r="K525" s="115"/>
      <c r="L525" s="115"/>
      <c r="M525" s="116"/>
      <c r="N525" s="116"/>
      <c r="O525" s="116"/>
      <c r="P525" s="116"/>
      <c r="Q525" s="116"/>
    </row>
    <row r="526">
      <c r="A526" s="111"/>
      <c r="B526" s="111"/>
      <c r="C526" s="111"/>
      <c r="D526" s="111"/>
      <c r="E526" s="111"/>
      <c r="F526" s="112"/>
      <c r="G526" s="111"/>
      <c r="H526" s="111"/>
      <c r="I526" s="113"/>
      <c r="J526" s="114"/>
      <c r="K526" s="115"/>
      <c r="L526" s="115"/>
      <c r="M526" s="116"/>
      <c r="N526" s="116"/>
      <c r="O526" s="116"/>
      <c r="P526" s="116"/>
      <c r="Q526" s="116"/>
    </row>
    <row r="527">
      <c r="A527" s="111"/>
      <c r="B527" s="111"/>
      <c r="C527" s="111"/>
      <c r="D527" s="111"/>
      <c r="E527" s="111"/>
      <c r="F527" s="112"/>
      <c r="G527" s="111"/>
      <c r="H527" s="111"/>
      <c r="I527" s="113"/>
      <c r="J527" s="114"/>
      <c r="K527" s="115"/>
      <c r="L527" s="115"/>
      <c r="M527" s="116"/>
      <c r="N527" s="116"/>
      <c r="O527" s="116"/>
      <c r="P527" s="116"/>
      <c r="Q527" s="116"/>
    </row>
    <row r="528">
      <c r="A528" s="111"/>
      <c r="B528" s="111"/>
      <c r="C528" s="111"/>
      <c r="D528" s="111"/>
      <c r="E528" s="111"/>
      <c r="F528" s="112"/>
      <c r="G528" s="111"/>
      <c r="H528" s="111"/>
      <c r="I528" s="113"/>
      <c r="J528" s="114"/>
      <c r="K528" s="115"/>
      <c r="L528" s="115"/>
      <c r="M528" s="116"/>
      <c r="N528" s="116"/>
      <c r="O528" s="116"/>
      <c r="P528" s="116"/>
      <c r="Q528" s="116"/>
    </row>
    <row r="529">
      <c r="A529" s="111"/>
      <c r="B529" s="111"/>
      <c r="C529" s="111"/>
      <c r="D529" s="111"/>
      <c r="E529" s="111"/>
      <c r="F529" s="112"/>
      <c r="G529" s="111"/>
      <c r="H529" s="111"/>
      <c r="I529" s="113"/>
      <c r="J529" s="114"/>
      <c r="K529" s="115"/>
      <c r="L529" s="115"/>
      <c r="M529" s="116"/>
      <c r="N529" s="116"/>
      <c r="O529" s="116"/>
      <c r="P529" s="116"/>
      <c r="Q529" s="116"/>
    </row>
    <row r="530">
      <c r="A530" s="111"/>
      <c r="B530" s="111"/>
      <c r="C530" s="111"/>
      <c r="D530" s="111"/>
      <c r="E530" s="111"/>
      <c r="F530" s="112"/>
      <c r="G530" s="111"/>
      <c r="H530" s="111"/>
      <c r="I530" s="113"/>
      <c r="J530" s="114"/>
      <c r="K530" s="115"/>
      <c r="L530" s="115"/>
      <c r="M530" s="116"/>
      <c r="N530" s="116"/>
      <c r="O530" s="116"/>
      <c r="P530" s="116"/>
      <c r="Q530" s="116"/>
    </row>
    <row r="531">
      <c r="A531" s="111"/>
      <c r="B531" s="111"/>
      <c r="C531" s="111"/>
      <c r="D531" s="111"/>
      <c r="E531" s="111"/>
      <c r="F531" s="112"/>
      <c r="G531" s="111"/>
      <c r="H531" s="111"/>
      <c r="I531" s="113"/>
      <c r="J531" s="114"/>
      <c r="K531" s="115"/>
      <c r="L531" s="115"/>
      <c r="M531" s="116"/>
      <c r="N531" s="116"/>
      <c r="O531" s="116"/>
      <c r="P531" s="116"/>
      <c r="Q531" s="116"/>
    </row>
    <row r="532">
      <c r="A532" s="111"/>
      <c r="B532" s="111"/>
      <c r="C532" s="111"/>
      <c r="D532" s="111"/>
      <c r="E532" s="111"/>
      <c r="F532" s="112"/>
      <c r="G532" s="111"/>
      <c r="H532" s="111"/>
      <c r="I532" s="113"/>
      <c r="J532" s="114"/>
      <c r="K532" s="115"/>
      <c r="L532" s="115"/>
      <c r="M532" s="116"/>
      <c r="N532" s="116"/>
      <c r="O532" s="116"/>
      <c r="P532" s="116"/>
      <c r="Q532" s="116"/>
    </row>
    <row r="533">
      <c r="A533" s="111"/>
      <c r="B533" s="111"/>
      <c r="C533" s="111"/>
      <c r="D533" s="111"/>
      <c r="E533" s="111"/>
      <c r="F533" s="112"/>
      <c r="G533" s="111"/>
      <c r="H533" s="111"/>
      <c r="I533" s="113"/>
      <c r="J533" s="114"/>
      <c r="K533" s="115"/>
      <c r="L533" s="115"/>
      <c r="M533" s="116"/>
      <c r="N533" s="116"/>
      <c r="O533" s="116"/>
      <c r="P533" s="116"/>
      <c r="Q533" s="116"/>
    </row>
    <row r="534">
      <c r="A534" s="111"/>
      <c r="B534" s="111"/>
      <c r="C534" s="111"/>
      <c r="D534" s="111"/>
      <c r="E534" s="111"/>
      <c r="F534" s="112"/>
      <c r="G534" s="111"/>
      <c r="H534" s="111"/>
      <c r="I534" s="113"/>
      <c r="J534" s="114"/>
      <c r="K534" s="115"/>
      <c r="L534" s="115"/>
      <c r="M534" s="116"/>
      <c r="N534" s="116"/>
      <c r="O534" s="116"/>
      <c r="P534" s="116"/>
      <c r="Q534" s="116"/>
    </row>
    <row r="535">
      <c r="A535" s="111"/>
      <c r="B535" s="111"/>
      <c r="C535" s="111"/>
      <c r="D535" s="111"/>
      <c r="E535" s="111"/>
      <c r="F535" s="112"/>
      <c r="G535" s="111"/>
      <c r="H535" s="111"/>
      <c r="I535" s="113"/>
      <c r="J535" s="114"/>
      <c r="K535" s="115"/>
      <c r="L535" s="115"/>
      <c r="M535" s="116"/>
      <c r="N535" s="116"/>
      <c r="O535" s="116"/>
      <c r="P535" s="116"/>
      <c r="Q535" s="116"/>
    </row>
    <row r="536">
      <c r="A536" s="111"/>
      <c r="B536" s="111"/>
      <c r="C536" s="111"/>
      <c r="D536" s="111"/>
      <c r="E536" s="111"/>
      <c r="F536" s="112"/>
      <c r="G536" s="111"/>
      <c r="H536" s="111"/>
      <c r="I536" s="113"/>
      <c r="J536" s="114"/>
      <c r="K536" s="115"/>
      <c r="L536" s="115"/>
      <c r="M536" s="116"/>
      <c r="N536" s="116"/>
      <c r="O536" s="116"/>
      <c r="P536" s="116"/>
      <c r="Q536" s="116"/>
    </row>
    <row r="537">
      <c r="A537" s="111"/>
      <c r="B537" s="111"/>
      <c r="C537" s="111"/>
      <c r="D537" s="111"/>
      <c r="E537" s="111"/>
      <c r="F537" s="112"/>
      <c r="G537" s="111"/>
      <c r="H537" s="111"/>
      <c r="I537" s="113"/>
      <c r="J537" s="114"/>
      <c r="K537" s="115"/>
      <c r="L537" s="115"/>
      <c r="M537" s="116"/>
      <c r="N537" s="116"/>
      <c r="O537" s="116"/>
      <c r="P537" s="116"/>
      <c r="Q537" s="116"/>
    </row>
    <row r="538">
      <c r="A538" s="111"/>
      <c r="B538" s="111"/>
      <c r="C538" s="111"/>
      <c r="D538" s="111"/>
      <c r="E538" s="111"/>
      <c r="F538" s="112"/>
      <c r="G538" s="111"/>
      <c r="H538" s="111"/>
      <c r="I538" s="113"/>
      <c r="J538" s="114"/>
      <c r="K538" s="115"/>
      <c r="L538" s="115"/>
      <c r="M538" s="116"/>
      <c r="N538" s="116"/>
      <c r="O538" s="116"/>
      <c r="P538" s="116"/>
      <c r="Q538" s="116"/>
    </row>
    <row r="539">
      <c r="A539" s="111"/>
      <c r="B539" s="111"/>
      <c r="C539" s="111"/>
      <c r="D539" s="111"/>
      <c r="E539" s="111"/>
      <c r="F539" s="112"/>
      <c r="G539" s="111"/>
      <c r="H539" s="111"/>
      <c r="I539" s="113"/>
      <c r="J539" s="114"/>
      <c r="K539" s="115"/>
      <c r="L539" s="115"/>
      <c r="M539" s="116"/>
      <c r="N539" s="116"/>
      <c r="O539" s="116"/>
      <c r="P539" s="116"/>
      <c r="Q539" s="116"/>
    </row>
    <row r="540">
      <c r="A540" s="111"/>
      <c r="B540" s="111"/>
      <c r="C540" s="111"/>
      <c r="D540" s="111"/>
      <c r="E540" s="111"/>
      <c r="F540" s="112"/>
      <c r="G540" s="111"/>
      <c r="H540" s="111"/>
      <c r="I540" s="113"/>
      <c r="J540" s="114"/>
      <c r="K540" s="115"/>
      <c r="L540" s="115"/>
      <c r="M540" s="116"/>
      <c r="N540" s="116"/>
      <c r="O540" s="116"/>
      <c r="P540" s="116"/>
      <c r="Q540" s="116"/>
    </row>
    <row r="541">
      <c r="A541" s="111"/>
      <c r="B541" s="111"/>
      <c r="C541" s="111"/>
      <c r="D541" s="111"/>
      <c r="E541" s="111"/>
      <c r="F541" s="112"/>
      <c r="G541" s="111"/>
      <c r="H541" s="111"/>
      <c r="I541" s="113"/>
      <c r="J541" s="114"/>
      <c r="K541" s="115"/>
      <c r="L541" s="115"/>
      <c r="M541" s="116"/>
      <c r="N541" s="116"/>
      <c r="O541" s="116"/>
      <c r="P541" s="116"/>
      <c r="Q541" s="116"/>
    </row>
    <row r="542">
      <c r="A542" s="111"/>
      <c r="B542" s="111"/>
      <c r="C542" s="111"/>
      <c r="D542" s="111"/>
      <c r="E542" s="111"/>
      <c r="F542" s="112"/>
      <c r="G542" s="111"/>
      <c r="H542" s="111"/>
      <c r="I542" s="113"/>
      <c r="J542" s="114"/>
      <c r="K542" s="115"/>
      <c r="L542" s="115"/>
      <c r="M542" s="116"/>
      <c r="N542" s="116"/>
      <c r="O542" s="116"/>
      <c r="P542" s="116"/>
      <c r="Q542" s="116"/>
    </row>
    <row r="543">
      <c r="A543" s="111"/>
      <c r="B543" s="111"/>
      <c r="C543" s="111"/>
      <c r="D543" s="111"/>
      <c r="E543" s="111"/>
      <c r="F543" s="112"/>
      <c r="G543" s="111"/>
      <c r="H543" s="111"/>
      <c r="I543" s="113"/>
      <c r="J543" s="114"/>
      <c r="K543" s="115"/>
      <c r="L543" s="115"/>
      <c r="M543" s="116"/>
      <c r="N543" s="116"/>
      <c r="O543" s="116"/>
      <c r="P543" s="116"/>
      <c r="Q543" s="116"/>
    </row>
    <row r="544">
      <c r="A544" s="111"/>
      <c r="B544" s="111"/>
      <c r="C544" s="111"/>
      <c r="D544" s="111"/>
      <c r="E544" s="111"/>
      <c r="F544" s="112"/>
      <c r="G544" s="111"/>
      <c r="H544" s="111"/>
      <c r="I544" s="113"/>
      <c r="J544" s="114"/>
      <c r="K544" s="115"/>
      <c r="L544" s="115"/>
      <c r="M544" s="116"/>
      <c r="N544" s="116"/>
      <c r="O544" s="116"/>
      <c r="P544" s="116"/>
      <c r="Q544" s="116"/>
    </row>
    <row r="545">
      <c r="A545" s="111"/>
      <c r="B545" s="111"/>
      <c r="C545" s="111"/>
      <c r="D545" s="111"/>
      <c r="E545" s="111"/>
      <c r="F545" s="112"/>
      <c r="G545" s="111"/>
      <c r="H545" s="111"/>
      <c r="I545" s="113"/>
      <c r="J545" s="114"/>
      <c r="K545" s="115"/>
      <c r="L545" s="115"/>
      <c r="M545" s="116"/>
      <c r="N545" s="116"/>
      <c r="O545" s="116"/>
      <c r="P545" s="116"/>
      <c r="Q545" s="116"/>
    </row>
    <row r="546">
      <c r="A546" s="111"/>
      <c r="B546" s="111"/>
      <c r="C546" s="111"/>
      <c r="D546" s="111"/>
      <c r="E546" s="111"/>
      <c r="F546" s="112"/>
      <c r="G546" s="111"/>
      <c r="H546" s="111"/>
      <c r="I546" s="113"/>
      <c r="J546" s="114"/>
      <c r="K546" s="115"/>
      <c r="L546" s="115"/>
      <c r="M546" s="116"/>
      <c r="N546" s="116"/>
      <c r="O546" s="116"/>
      <c r="P546" s="116"/>
      <c r="Q546" s="116"/>
    </row>
    <row r="547">
      <c r="A547" s="111"/>
      <c r="B547" s="111"/>
      <c r="C547" s="111"/>
      <c r="D547" s="111"/>
      <c r="E547" s="111"/>
      <c r="F547" s="112"/>
      <c r="G547" s="111"/>
      <c r="H547" s="111"/>
      <c r="I547" s="113"/>
      <c r="J547" s="114"/>
      <c r="K547" s="115"/>
      <c r="L547" s="115"/>
      <c r="M547" s="116"/>
      <c r="N547" s="116"/>
      <c r="O547" s="116"/>
      <c r="P547" s="116"/>
      <c r="Q547" s="116"/>
    </row>
    <row r="548">
      <c r="A548" s="111"/>
      <c r="B548" s="111"/>
      <c r="C548" s="111"/>
      <c r="D548" s="111"/>
      <c r="E548" s="111"/>
      <c r="F548" s="112"/>
      <c r="G548" s="111"/>
      <c r="H548" s="111"/>
      <c r="I548" s="113"/>
      <c r="J548" s="114"/>
      <c r="K548" s="115"/>
      <c r="L548" s="115"/>
      <c r="M548" s="116"/>
      <c r="N548" s="116"/>
      <c r="O548" s="116"/>
      <c r="P548" s="116"/>
      <c r="Q548" s="116"/>
    </row>
    <row r="549">
      <c r="A549" s="111"/>
      <c r="B549" s="111"/>
      <c r="C549" s="111"/>
      <c r="D549" s="111"/>
      <c r="E549" s="111"/>
      <c r="F549" s="112"/>
      <c r="G549" s="111"/>
      <c r="H549" s="111"/>
      <c r="I549" s="113"/>
      <c r="J549" s="114"/>
      <c r="K549" s="115"/>
      <c r="L549" s="115"/>
      <c r="M549" s="116"/>
      <c r="N549" s="116"/>
      <c r="O549" s="116"/>
      <c r="P549" s="116"/>
      <c r="Q549" s="116"/>
    </row>
    <row r="550">
      <c r="A550" s="111"/>
      <c r="B550" s="111"/>
      <c r="C550" s="111"/>
      <c r="D550" s="111"/>
      <c r="E550" s="111"/>
      <c r="F550" s="112"/>
      <c r="G550" s="111"/>
      <c r="H550" s="111"/>
      <c r="I550" s="113"/>
      <c r="J550" s="114"/>
      <c r="K550" s="115"/>
      <c r="L550" s="115"/>
      <c r="M550" s="116"/>
      <c r="N550" s="116"/>
      <c r="O550" s="116"/>
      <c r="P550" s="116"/>
      <c r="Q550" s="116"/>
    </row>
    <row r="551">
      <c r="A551" s="111"/>
      <c r="B551" s="111"/>
      <c r="C551" s="111"/>
      <c r="D551" s="111"/>
      <c r="E551" s="111"/>
      <c r="F551" s="112"/>
      <c r="G551" s="111"/>
      <c r="H551" s="111"/>
      <c r="I551" s="113"/>
      <c r="J551" s="114"/>
      <c r="K551" s="115"/>
      <c r="L551" s="115"/>
      <c r="M551" s="116"/>
      <c r="N551" s="116"/>
      <c r="O551" s="116"/>
      <c r="P551" s="116"/>
      <c r="Q551" s="116"/>
    </row>
    <row r="552">
      <c r="A552" s="111"/>
      <c r="B552" s="111"/>
      <c r="C552" s="111"/>
      <c r="D552" s="111"/>
      <c r="E552" s="111"/>
      <c r="F552" s="112"/>
      <c r="G552" s="111"/>
      <c r="H552" s="111"/>
      <c r="I552" s="113"/>
      <c r="J552" s="114"/>
      <c r="K552" s="115"/>
      <c r="L552" s="115"/>
      <c r="M552" s="116"/>
      <c r="N552" s="116"/>
      <c r="O552" s="116"/>
      <c r="P552" s="116"/>
      <c r="Q552" s="116"/>
    </row>
    <row r="553">
      <c r="A553" s="111"/>
      <c r="B553" s="111"/>
      <c r="C553" s="111"/>
      <c r="D553" s="111"/>
      <c r="E553" s="111"/>
      <c r="F553" s="112"/>
      <c r="G553" s="111"/>
      <c r="H553" s="111"/>
      <c r="I553" s="113"/>
      <c r="J553" s="114"/>
      <c r="K553" s="115"/>
      <c r="L553" s="115"/>
      <c r="M553" s="116"/>
      <c r="N553" s="116"/>
      <c r="O553" s="116"/>
      <c r="P553" s="116"/>
      <c r="Q553" s="116"/>
    </row>
    <row r="554">
      <c r="A554" s="111"/>
      <c r="B554" s="111"/>
      <c r="C554" s="111"/>
      <c r="D554" s="111"/>
      <c r="E554" s="111"/>
      <c r="F554" s="112"/>
      <c r="G554" s="111"/>
      <c r="H554" s="111"/>
      <c r="I554" s="113"/>
      <c r="J554" s="114"/>
      <c r="K554" s="115"/>
      <c r="L554" s="115"/>
      <c r="M554" s="116"/>
      <c r="N554" s="116"/>
      <c r="O554" s="116"/>
      <c r="P554" s="116"/>
      <c r="Q554" s="116"/>
    </row>
    <row r="555">
      <c r="A555" s="111"/>
      <c r="B555" s="111"/>
      <c r="C555" s="111"/>
      <c r="D555" s="111"/>
      <c r="E555" s="111"/>
      <c r="F555" s="112"/>
      <c r="G555" s="111"/>
      <c r="H555" s="111"/>
      <c r="I555" s="113"/>
      <c r="J555" s="114"/>
      <c r="K555" s="115"/>
      <c r="L555" s="115"/>
      <c r="M555" s="116"/>
      <c r="N555" s="116"/>
      <c r="O555" s="116"/>
      <c r="P555" s="116"/>
      <c r="Q555" s="116"/>
    </row>
    <row r="556">
      <c r="A556" s="111"/>
      <c r="B556" s="111"/>
      <c r="C556" s="111"/>
      <c r="D556" s="111"/>
      <c r="E556" s="111"/>
      <c r="F556" s="112"/>
      <c r="G556" s="111"/>
      <c r="H556" s="111"/>
      <c r="I556" s="113"/>
      <c r="J556" s="114"/>
      <c r="K556" s="115"/>
      <c r="L556" s="115"/>
      <c r="M556" s="116"/>
      <c r="N556" s="116"/>
      <c r="O556" s="116"/>
      <c r="P556" s="116"/>
      <c r="Q556" s="116"/>
    </row>
    <row r="557">
      <c r="A557" s="111"/>
      <c r="B557" s="111"/>
      <c r="C557" s="111"/>
      <c r="D557" s="111"/>
      <c r="E557" s="111"/>
      <c r="F557" s="112"/>
      <c r="G557" s="111"/>
      <c r="H557" s="111"/>
      <c r="I557" s="113"/>
      <c r="J557" s="114"/>
      <c r="K557" s="115"/>
      <c r="L557" s="115"/>
      <c r="M557" s="116"/>
      <c r="N557" s="116"/>
      <c r="O557" s="116"/>
      <c r="P557" s="116"/>
      <c r="Q557" s="116"/>
    </row>
    <row r="558">
      <c r="A558" s="111"/>
      <c r="B558" s="111"/>
      <c r="C558" s="111"/>
      <c r="D558" s="111"/>
      <c r="E558" s="111"/>
      <c r="F558" s="112"/>
      <c r="G558" s="111"/>
      <c r="H558" s="111"/>
      <c r="I558" s="113"/>
      <c r="J558" s="114"/>
      <c r="K558" s="115"/>
      <c r="L558" s="115"/>
      <c r="M558" s="116"/>
      <c r="N558" s="116"/>
      <c r="O558" s="116"/>
      <c r="P558" s="116"/>
      <c r="Q558" s="116"/>
    </row>
    <row r="559">
      <c r="A559" s="111"/>
      <c r="B559" s="111"/>
      <c r="C559" s="111"/>
      <c r="D559" s="111"/>
      <c r="E559" s="111"/>
      <c r="F559" s="112"/>
      <c r="G559" s="111"/>
      <c r="H559" s="111"/>
      <c r="I559" s="113"/>
      <c r="J559" s="114"/>
      <c r="K559" s="115"/>
      <c r="L559" s="115"/>
      <c r="M559" s="116"/>
      <c r="N559" s="116"/>
      <c r="O559" s="116"/>
      <c r="P559" s="116"/>
      <c r="Q559" s="116"/>
    </row>
    <row r="560">
      <c r="A560" s="111"/>
      <c r="B560" s="111"/>
      <c r="C560" s="111"/>
      <c r="D560" s="111"/>
      <c r="E560" s="111"/>
      <c r="F560" s="112"/>
      <c r="G560" s="111"/>
      <c r="H560" s="111"/>
      <c r="I560" s="113"/>
      <c r="J560" s="114"/>
      <c r="K560" s="115"/>
      <c r="L560" s="115"/>
      <c r="M560" s="116"/>
      <c r="N560" s="116"/>
      <c r="O560" s="116"/>
      <c r="P560" s="116"/>
      <c r="Q560" s="116"/>
    </row>
    <row r="561">
      <c r="A561" s="111"/>
      <c r="B561" s="111"/>
      <c r="C561" s="111"/>
      <c r="D561" s="111"/>
      <c r="E561" s="111"/>
      <c r="F561" s="112"/>
      <c r="G561" s="111"/>
      <c r="H561" s="111"/>
      <c r="I561" s="113"/>
      <c r="J561" s="114"/>
      <c r="K561" s="115"/>
      <c r="L561" s="115"/>
      <c r="M561" s="116"/>
      <c r="N561" s="116"/>
      <c r="O561" s="116"/>
      <c r="P561" s="116"/>
      <c r="Q561" s="116"/>
    </row>
    <row r="562">
      <c r="A562" s="111"/>
      <c r="B562" s="111"/>
      <c r="C562" s="111"/>
      <c r="D562" s="111"/>
      <c r="E562" s="111"/>
      <c r="F562" s="112"/>
      <c r="G562" s="111"/>
      <c r="H562" s="111"/>
      <c r="I562" s="113"/>
      <c r="J562" s="114"/>
      <c r="K562" s="115"/>
      <c r="L562" s="115"/>
      <c r="M562" s="116"/>
      <c r="N562" s="116"/>
      <c r="O562" s="116"/>
      <c r="P562" s="116"/>
      <c r="Q562" s="116"/>
    </row>
    <row r="563">
      <c r="A563" s="111"/>
      <c r="B563" s="111"/>
      <c r="C563" s="111"/>
      <c r="D563" s="111"/>
      <c r="E563" s="111"/>
      <c r="F563" s="112"/>
      <c r="G563" s="111"/>
      <c r="H563" s="111"/>
      <c r="I563" s="113"/>
      <c r="J563" s="114"/>
      <c r="K563" s="115"/>
      <c r="L563" s="115"/>
      <c r="M563" s="116"/>
      <c r="N563" s="116"/>
      <c r="O563" s="116"/>
      <c r="P563" s="116"/>
      <c r="Q563" s="116"/>
    </row>
    <row r="564">
      <c r="A564" s="111"/>
      <c r="B564" s="111"/>
      <c r="C564" s="111"/>
      <c r="D564" s="111"/>
      <c r="E564" s="111"/>
      <c r="F564" s="112"/>
      <c r="G564" s="111"/>
      <c r="H564" s="111"/>
      <c r="I564" s="113"/>
      <c r="J564" s="114"/>
      <c r="K564" s="115"/>
      <c r="L564" s="115"/>
      <c r="M564" s="116"/>
      <c r="N564" s="116"/>
      <c r="O564" s="116"/>
      <c r="P564" s="116"/>
      <c r="Q564" s="116"/>
    </row>
    <row r="565">
      <c r="A565" s="111"/>
      <c r="B565" s="111"/>
      <c r="C565" s="111"/>
      <c r="D565" s="111"/>
      <c r="E565" s="111"/>
      <c r="F565" s="112"/>
      <c r="G565" s="111"/>
      <c r="H565" s="111"/>
      <c r="I565" s="113"/>
      <c r="J565" s="114"/>
      <c r="K565" s="115"/>
      <c r="L565" s="115"/>
      <c r="M565" s="116"/>
      <c r="N565" s="116"/>
      <c r="O565" s="116"/>
      <c r="P565" s="116"/>
      <c r="Q565" s="116"/>
    </row>
    <row r="566">
      <c r="A566" s="111"/>
      <c r="B566" s="111"/>
      <c r="C566" s="111"/>
      <c r="D566" s="111"/>
      <c r="E566" s="111"/>
      <c r="F566" s="112"/>
      <c r="G566" s="111"/>
      <c r="H566" s="111"/>
      <c r="I566" s="113"/>
      <c r="J566" s="114"/>
      <c r="K566" s="115"/>
      <c r="L566" s="115"/>
      <c r="M566" s="116"/>
      <c r="N566" s="116"/>
      <c r="O566" s="116"/>
      <c r="P566" s="116"/>
      <c r="Q566" s="116"/>
    </row>
    <row r="567">
      <c r="A567" s="111"/>
      <c r="B567" s="111"/>
      <c r="C567" s="111"/>
      <c r="D567" s="111"/>
      <c r="E567" s="111"/>
      <c r="F567" s="112"/>
      <c r="G567" s="111"/>
      <c r="H567" s="111"/>
      <c r="I567" s="113"/>
      <c r="J567" s="114"/>
      <c r="K567" s="115"/>
      <c r="L567" s="115"/>
      <c r="M567" s="116"/>
      <c r="N567" s="116"/>
      <c r="O567" s="116"/>
      <c r="P567" s="116"/>
      <c r="Q567" s="116"/>
    </row>
    <row r="568">
      <c r="A568" s="111"/>
      <c r="B568" s="111"/>
      <c r="C568" s="111"/>
      <c r="D568" s="111"/>
      <c r="E568" s="111"/>
      <c r="F568" s="112"/>
      <c r="G568" s="111"/>
      <c r="H568" s="111"/>
      <c r="I568" s="113"/>
      <c r="J568" s="114"/>
      <c r="K568" s="115"/>
      <c r="L568" s="115"/>
      <c r="M568" s="116"/>
      <c r="N568" s="116"/>
      <c r="O568" s="116"/>
      <c r="P568" s="116"/>
      <c r="Q568" s="116"/>
    </row>
    <row r="569">
      <c r="A569" s="111"/>
      <c r="B569" s="111"/>
      <c r="C569" s="111"/>
      <c r="D569" s="111"/>
      <c r="E569" s="111"/>
      <c r="F569" s="112"/>
      <c r="G569" s="111"/>
      <c r="H569" s="111"/>
      <c r="I569" s="113"/>
      <c r="J569" s="114"/>
      <c r="K569" s="115"/>
      <c r="L569" s="115"/>
      <c r="M569" s="116"/>
      <c r="N569" s="116"/>
      <c r="O569" s="116"/>
      <c r="P569" s="116"/>
      <c r="Q569" s="116"/>
    </row>
    <row r="570">
      <c r="A570" s="111"/>
      <c r="B570" s="111"/>
      <c r="C570" s="111"/>
      <c r="D570" s="111"/>
      <c r="E570" s="111"/>
      <c r="F570" s="112"/>
      <c r="G570" s="111"/>
      <c r="H570" s="111"/>
      <c r="I570" s="113"/>
      <c r="J570" s="114"/>
      <c r="K570" s="115"/>
      <c r="L570" s="115"/>
      <c r="M570" s="116"/>
      <c r="N570" s="116"/>
      <c r="O570" s="116"/>
      <c r="P570" s="116"/>
      <c r="Q570" s="116"/>
    </row>
    <row r="571">
      <c r="A571" s="111"/>
      <c r="B571" s="111"/>
      <c r="C571" s="111"/>
      <c r="D571" s="111"/>
      <c r="E571" s="111"/>
      <c r="F571" s="112"/>
      <c r="G571" s="111"/>
      <c r="H571" s="111"/>
      <c r="I571" s="113"/>
      <c r="J571" s="114"/>
      <c r="K571" s="115"/>
      <c r="L571" s="115"/>
      <c r="M571" s="116"/>
      <c r="N571" s="116"/>
      <c r="O571" s="116"/>
      <c r="P571" s="116"/>
      <c r="Q571" s="116"/>
    </row>
    <row r="572">
      <c r="A572" s="111"/>
      <c r="B572" s="111"/>
      <c r="C572" s="111"/>
      <c r="D572" s="111"/>
      <c r="E572" s="111"/>
      <c r="F572" s="112"/>
      <c r="G572" s="111"/>
      <c r="H572" s="111"/>
      <c r="I572" s="113"/>
      <c r="J572" s="114"/>
      <c r="K572" s="115"/>
      <c r="L572" s="115"/>
      <c r="M572" s="116"/>
      <c r="N572" s="116"/>
      <c r="O572" s="116"/>
      <c r="P572" s="116"/>
      <c r="Q572" s="116"/>
    </row>
    <row r="573">
      <c r="A573" s="111"/>
      <c r="B573" s="111"/>
      <c r="C573" s="111"/>
      <c r="D573" s="111"/>
      <c r="E573" s="111"/>
      <c r="F573" s="112"/>
      <c r="G573" s="111"/>
      <c r="H573" s="111"/>
      <c r="I573" s="113"/>
      <c r="J573" s="114"/>
      <c r="K573" s="115"/>
      <c r="L573" s="115"/>
      <c r="M573" s="116"/>
      <c r="N573" s="116"/>
      <c r="O573" s="116"/>
      <c r="P573" s="116"/>
      <c r="Q573" s="116"/>
    </row>
    <row r="574">
      <c r="A574" s="111"/>
      <c r="B574" s="111"/>
      <c r="C574" s="111"/>
      <c r="D574" s="111"/>
      <c r="E574" s="111"/>
      <c r="F574" s="112"/>
      <c r="G574" s="111"/>
      <c r="H574" s="111"/>
      <c r="I574" s="113"/>
      <c r="J574" s="114"/>
      <c r="K574" s="115"/>
      <c r="L574" s="115"/>
      <c r="M574" s="116"/>
      <c r="N574" s="116"/>
      <c r="O574" s="116"/>
      <c r="P574" s="116"/>
      <c r="Q574" s="116"/>
    </row>
    <row r="575">
      <c r="A575" s="111"/>
      <c r="B575" s="111"/>
      <c r="C575" s="111"/>
      <c r="D575" s="111"/>
      <c r="E575" s="111"/>
      <c r="F575" s="112"/>
      <c r="G575" s="111"/>
      <c r="H575" s="111"/>
      <c r="I575" s="113"/>
      <c r="J575" s="114"/>
      <c r="K575" s="115"/>
      <c r="L575" s="115"/>
      <c r="M575" s="116"/>
      <c r="N575" s="116"/>
      <c r="O575" s="116"/>
      <c r="P575" s="116"/>
      <c r="Q575" s="116"/>
    </row>
    <row r="576">
      <c r="A576" s="111"/>
      <c r="B576" s="111"/>
      <c r="C576" s="111"/>
      <c r="D576" s="111"/>
      <c r="E576" s="111"/>
      <c r="F576" s="112"/>
      <c r="G576" s="111"/>
      <c r="H576" s="111"/>
      <c r="I576" s="113"/>
      <c r="J576" s="114"/>
      <c r="K576" s="115"/>
      <c r="L576" s="115"/>
      <c r="M576" s="116"/>
      <c r="N576" s="116"/>
      <c r="O576" s="116"/>
      <c r="P576" s="116"/>
      <c r="Q576" s="116"/>
    </row>
    <row r="577">
      <c r="A577" s="111"/>
      <c r="B577" s="111"/>
      <c r="C577" s="111"/>
      <c r="D577" s="111"/>
      <c r="E577" s="111"/>
      <c r="F577" s="112"/>
      <c r="G577" s="111"/>
      <c r="H577" s="111"/>
      <c r="I577" s="113"/>
      <c r="J577" s="114"/>
      <c r="K577" s="115"/>
      <c r="L577" s="115"/>
      <c r="M577" s="116"/>
      <c r="N577" s="116"/>
      <c r="O577" s="116"/>
      <c r="P577" s="116"/>
      <c r="Q577" s="116"/>
    </row>
    <row r="578">
      <c r="A578" s="111"/>
      <c r="B578" s="111"/>
      <c r="C578" s="111"/>
      <c r="D578" s="111"/>
      <c r="E578" s="111"/>
      <c r="F578" s="112"/>
      <c r="G578" s="111"/>
      <c r="H578" s="111"/>
      <c r="I578" s="113"/>
      <c r="J578" s="114"/>
      <c r="K578" s="115"/>
      <c r="L578" s="115"/>
      <c r="M578" s="116"/>
      <c r="N578" s="116"/>
      <c r="O578" s="116"/>
      <c r="P578" s="116"/>
      <c r="Q578" s="116"/>
    </row>
    <row r="579">
      <c r="A579" s="111"/>
      <c r="B579" s="111"/>
      <c r="C579" s="111"/>
      <c r="D579" s="111"/>
      <c r="E579" s="111"/>
      <c r="F579" s="112"/>
      <c r="G579" s="111"/>
      <c r="H579" s="111"/>
      <c r="I579" s="113"/>
      <c r="J579" s="114"/>
      <c r="K579" s="115"/>
      <c r="L579" s="115"/>
      <c r="M579" s="116"/>
      <c r="N579" s="116"/>
      <c r="O579" s="116"/>
      <c r="P579" s="116"/>
      <c r="Q579" s="116"/>
    </row>
    <row r="580">
      <c r="A580" s="111"/>
      <c r="B580" s="111"/>
      <c r="C580" s="111"/>
      <c r="D580" s="111"/>
      <c r="E580" s="111"/>
      <c r="F580" s="112"/>
      <c r="G580" s="111"/>
      <c r="H580" s="111"/>
      <c r="I580" s="113"/>
      <c r="J580" s="114"/>
      <c r="K580" s="115"/>
      <c r="L580" s="115"/>
      <c r="M580" s="116"/>
      <c r="N580" s="116"/>
      <c r="O580" s="116"/>
      <c r="P580" s="116"/>
      <c r="Q580" s="116"/>
    </row>
    <row r="581">
      <c r="A581" s="111"/>
      <c r="B581" s="111"/>
      <c r="C581" s="111"/>
      <c r="D581" s="111"/>
      <c r="E581" s="111"/>
      <c r="F581" s="112"/>
      <c r="G581" s="111"/>
      <c r="H581" s="111"/>
      <c r="I581" s="113"/>
      <c r="J581" s="114"/>
      <c r="K581" s="115"/>
      <c r="L581" s="115"/>
      <c r="M581" s="116"/>
      <c r="N581" s="116"/>
      <c r="O581" s="116"/>
      <c r="P581" s="116"/>
      <c r="Q581" s="116"/>
    </row>
    <row r="582">
      <c r="A582" s="111"/>
      <c r="B582" s="111"/>
      <c r="C582" s="111"/>
      <c r="D582" s="111"/>
      <c r="E582" s="111"/>
      <c r="F582" s="112"/>
      <c r="G582" s="111"/>
      <c r="H582" s="111"/>
      <c r="I582" s="113"/>
      <c r="J582" s="114"/>
      <c r="K582" s="115"/>
      <c r="L582" s="115"/>
      <c r="M582" s="116"/>
      <c r="N582" s="116"/>
      <c r="O582" s="116"/>
      <c r="P582" s="116"/>
      <c r="Q582" s="116"/>
    </row>
    <row r="583">
      <c r="A583" s="111"/>
      <c r="B583" s="111"/>
      <c r="C583" s="111"/>
      <c r="D583" s="111"/>
      <c r="E583" s="111"/>
      <c r="F583" s="112"/>
      <c r="G583" s="111"/>
      <c r="H583" s="111"/>
      <c r="I583" s="113"/>
      <c r="J583" s="114"/>
      <c r="K583" s="115"/>
      <c r="L583" s="115"/>
      <c r="M583" s="116"/>
      <c r="N583" s="116"/>
      <c r="O583" s="116"/>
      <c r="P583" s="116"/>
      <c r="Q583" s="116"/>
    </row>
    <row r="584">
      <c r="A584" s="111"/>
      <c r="B584" s="111"/>
      <c r="C584" s="111"/>
      <c r="D584" s="111"/>
      <c r="E584" s="111"/>
      <c r="F584" s="112"/>
      <c r="G584" s="111"/>
      <c r="H584" s="111"/>
      <c r="I584" s="113"/>
      <c r="J584" s="114"/>
      <c r="K584" s="115"/>
      <c r="L584" s="115"/>
      <c r="M584" s="116"/>
      <c r="N584" s="116"/>
      <c r="O584" s="116"/>
      <c r="P584" s="116"/>
      <c r="Q584" s="116"/>
    </row>
    <row r="585">
      <c r="A585" s="111"/>
      <c r="B585" s="111"/>
      <c r="C585" s="111"/>
      <c r="D585" s="111"/>
      <c r="E585" s="111"/>
      <c r="F585" s="112"/>
      <c r="G585" s="111"/>
      <c r="H585" s="111"/>
      <c r="I585" s="113"/>
      <c r="J585" s="114"/>
      <c r="K585" s="115"/>
      <c r="L585" s="115"/>
      <c r="M585" s="116"/>
      <c r="N585" s="116"/>
      <c r="O585" s="116"/>
      <c r="P585" s="116"/>
      <c r="Q585" s="116"/>
    </row>
    <row r="586">
      <c r="A586" s="111"/>
      <c r="B586" s="111"/>
      <c r="C586" s="111"/>
      <c r="D586" s="111"/>
      <c r="E586" s="111"/>
      <c r="F586" s="112"/>
      <c r="G586" s="111"/>
      <c r="H586" s="111"/>
      <c r="I586" s="113"/>
      <c r="J586" s="114"/>
      <c r="K586" s="115"/>
      <c r="L586" s="115"/>
      <c r="M586" s="116"/>
      <c r="N586" s="116"/>
      <c r="O586" s="116"/>
      <c r="P586" s="116"/>
      <c r="Q586" s="116"/>
    </row>
    <row r="587">
      <c r="A587" s="111"/>
      <c r="B587" s="111"/>
      <c r="C587" s="111"/>
      <c r="D587" s="111"/>
      <c r="E587" s="111"/>
      <c r="F587" s="112"/>
      <c r="G587" s="111"/>
      <c r="H587" s="111"/>
      <c r="I587" s="113"/>
      <c r="J587" s="114"/>
      <c r="K587" s="115"/>
      <c r="L587" s="115"/>
      <c r="M587" s="116"/>
      <c r="N587" s="116"/>
      <c r="O587" s="116"/>
      <c r="P587" s="116"/>
      <c r="Q587" s="116"/>
    </row>
    <row r="588">
      <c r="A588" s="111"/>
      <c r="B588" s="111"/>
      <c r="C588" s="111"/>
      <c r="D588" s="111"/>
      <c r="E588" s="111"/>
      <c r="F588" s="112"/>
      <c r="G588" s="111"/>
      <c r="H588" s="111"/>
      <c r="I588" s="113"/>
      <c r="J588" s="114"/>
      <c r="K588" s="115"/>
      <c r="L588" s="115"/>
      <c r="M588" s="116"/>
      <c r="N588" s="116"/>
      <c r="O588" s="116"/>
      <c r="P588" s="116"/>
      <c r="Q588" s="116"/>
    </row>
    <row r="589">
      <c r="A589" s="111"/>
      <c r="B589" s="111"/>
      <c r="C589" s="111"/>
      <c r="D589" s="111"/>
      <c r="E589" s="111"/>
      <c r="F589" s="112"/>
      <c r="G589" s="111"/>
      <c r="H589" s="111"/>
      <c r="I589" s="113"/>
      <c r="J589" s="114"/>
      <c r="K589" s="115"/>
      <c r="L589" s="115"/>
      <c r="M589" s="116"/>
      <c r="N589" s="116"/>
      <c r="O589" s="116"/>
      <c r="P589" s="116"/>
      <c r="Q589" s="116"/>
    </row>
    <row r="590">
      <c r="A590" s="111"/>
      <c r="B590" s="111"/>
      <c r="C590" s="111"/>
      <c r="D590" s="111"/>
      <c r="E590" s="111"/>
      <c r="F590" s="112"/>
      <c r="G590" s="111"/>
      <c r="H590" s="111"/>
      <c r="I590" s="113"/>
      <c r="J590" s="114"/>
      <c r="K590" s="115"/>
      <c r="L590" s="115"/>
      <c r="M590" s="116"/>
      <c r="N590" s="116"/>
      <c r="O590" s="116"/>
      <c r="P590" s="116"/>
      <c r="Q590" s="116"/>
    </row>
    <row r="591">
      <c r="A591" s="111"/>
      <c r="B591" s="111"/>
      <c r="C591" s="111"/>
      <c r="D591" s="111"/>
      <c r="E591" s="111"/>
      <c r="F591" s="112"/>
      <c r="G591" s="111"/>
      <c r="H591" s="111"/>
      <c r="I591" s="113"/>
      <c r="J591" s="114"/>
      <c r="K591" s="115"/>
      <c r="L591" s="115"/>
      <c r="M591" s="116"/>
      <c r="N591" s="116"/>
      <c r="O591" s="116"/>
      <c r="P591" s="116"/>
      <c r="Q591" s="116"/>
    </row>
    <row r="592">
      <c r="A592" s="111"/>
      <c r="B592" s="111"/>
      <c r="C592" s="111"/>
      <c r="D592" s="111"/>
      <c r="E592" s="111"/>
      <c r="F592" s="112"/>
      <c r="G592" s="111"/>
      <c r="H592" s="111"/>
      <c r="I592" s="113"/>
      <c r="J592" s="114"/>
      <c r="K592" s="115"/>
      <c r="L592" s="115"/>
      <c r="M592" s="116"/>
      <c r="N592" s="116"/>
      <c r="O592" s="116"/>
      <c r="P592" s="116"/>
      <c r="Q592" s="116"/>
    </row>
    <row r="593">
      <c r="A593" s="111"/>
      <c r="B593" s="111"/>
      <c r="C593" s="111"/>
      <c r="D593" s="111"/>
      <c r="E593" s="111"/>
      <c r="F593" s="112"/>
      <c r="G593" s="111"/>
      <c r="H593" s="111"/>
      <c r="I593" s="113"/>
      <c r="J593" s="114"/>
      <c r="K593" s="115"/>
      <c r="L593" s="115"/>
      <c r="M593" s="116"/>
      <c r="N593" s="116"/>
      <c r="O593" s="116"/>
      <c r="P593" s="116"/>
      <c r="Q593" s="116"/>
    </row>
    <row r="594">
      <c r="A594" s="111"/>
      <c r="B594" s="111"/>
      <c r="C594" s="111"/>
      <c r="D594" s="111"/>
      <c r="E594" s="111"/>
      <c r="F594" s="112"/>
      <c r="G594" s="111"/>
      <c r="H594" s="111"/>
      <c r="I594" s="113"/>
      <c r="J594" s="114"/>
      <c r="K594" s="115"/>
      <c r="L594" s="115"/>
      <c r="M594" s="116"/>
      <c r="N594" s="116"/>
      <c r="O594" s="116"/>
      <c r="P594" s="116"/>
      <c r="Q594" s="116"/>
    </row>
    <row r="595">
      <c r="A595" s="111"/>
      <c r="B595" s="111"/>
      <c r="C595" s="111"/>
      <c r="D595" s="111"/>
      <c r="E595" s="111"/>
      <c r="F595" s="112"/>
      <c r="G595" s="111"/>
      <c r="H595" s="111"/>
      <c r="I595" s="113"/>
      <c r="J595" s="114"/>
      <c r="K595" s="115"/>
      <c r="L595" s="115"/>
      <c r="M595" s="116"/>
      <c r="N595" s="116"/>
      <c r="O595" s="116"/>
      <c r="P595" s="116"/>
      <c r="Q595" s="116"/>
    </row>
    <row r="596">
      <c r="A596" s="111"/>
      <c r="B596" s="111"/>
      <c r="C596" s="111"/>
      <c r="D596" s="111"/>
      <c r="E596" s="111"/>
      <c r="F596" s="112"/>
      <c r="G596" s="111"/>
      <c r="H596" s="111"/>
      <c r="I596" s="113"/>
      <c r="J596" s="114"/>
      <c r="K596" s="115"/>
      <c r="L596" s="115"/>
      <c r="M596" s="116"/>
      <c r="N596" s="116"/>
      <c r="O596" s="116"/>
      <c r="P596" s="116"/>
      <c r="Q596" s="116"/>
    </row>
    <row r="597">
      <c r="A597" s="111"/>
      <c r="B597" s="111"/>
      <c r="C597" s="111"/>
      <c r="D597" s="111"/>
      <c r="E597" s="111"/>
      <c r="F597" s="112"/>
      <c r="G597" s="111"/>
      <c r="H597" s="111"/>
      <c r="I597" s="113"/>
      <c r="J597" s="114"/>
      <c r="K597" s="115"/>
      <c r="L597" s="115"/>
      <c r="M597" s="116"/>
      <c r="N597" s="116"/>
      <c r="O597" s="116"/>
      <c r="P597" s="116"/>
      <c r="Q597" s="116"/>
    </row>
    <row r="598">
      <c r="A598" s="111"/>
      <c r="B598" s="111"/>
      <c r="C598" s="111"/>
      <c r="D598" s="111"/>
      <c r="E598" s="111"/>
      <c r="F598" s="112"/>
      <c r="G598" s="111"/>
      <c r="H598" s="111"/>
      <c r="I598" s="113"/>
      <c r="J598" s="114"/>
      <c r="K598" s="115"/>
      <c r="L598" s="115"/>
      <c r="M598" s="116"/>
      <c r="N598" s="116"/>
      <c r="O598" s="116"/>
      <c r="P598" s="116"/>
      <c r="Q598" s="116"/>
    </row>
    <row r="599">
      <c r="A599" s="111"/>
      <c r="B599" s="111"/>
      <c r="C599" s="111"/>
      <c r="D599" s="111"/>
      <c r="E599" s="111"/>
      <c r="F599" s="112"/>
      <c r="G599" s="111"/>
      <c r="H599" s="111"/>
      <c r="I599" s="113"/>
      <c r="J599" s="114"/>
      <c r="K599" s="115"/>
      <c r="L599" s="115"/>
      <c r="M599" s="116"/>
      <c r="N599" s="116"/>
      <c r="O599" s="116"/>
      <c r="P599" s="116"/>
      <c r="Q599" s="116"/>
    </row>
    <row r="600">
      <c r="A600" s="111"/>
      <c r="B600" s="111"/>
      <c r="C600" s="111"/>
      <c r="D600" s="111"/>
      <c r="E600" s="111"/>
      <c r="F600" s="112"/>
      <c r="G600" s="111"/>
      <c r="H600" s="111"/>
      <c r="I600" s="113"/>
      <c r="J600" s="114"/>
      <c r="K600" s="115"/>
      <c r="L600" s="115"/>
      <c r="M600" s="116"/>
      <c r="N600" s="116"/>
      <c r="O600" s="116"/>
      <c r="P600" s="116"/>
      <c r="Q600" s="116"/>
    </row>
    <row r="601">
      <c r="A601" s="111"/>
      <c r="B601" s="111"/>
      <c r="C601" s="111"/>
      <c r="D601" s="111"/>
      <c r="E601" s="111"/>
      <c r="F601" s="112"/>
      <c r="G601" s="111"/>
      <c r="H601" s="111"/>
      <c r="I601" s="113"/>
      <c r="J601" s="114"/>
      <c r="K601" s="115"/>
      <c r="L601" s="115"/>
      <c r="M601" s="116"/>
      <c r="N601" s="116"/>
      <c r="O601" s="116"/>
      <c r="P601" s="116"/>
      <c r="Q601" s="116"/>
    </row>
    <row r="602">
      <c r="A602" s="111"/>
      <c r="B602" s="111"/>
      <c r="C602" s="111"/>
      <c r="D602" s="111"/>
      <c r="E602" s="111"/>
      <c r="F602" s="112"/>
      <c r="G602" s="111"/>
      <c r="H602" s="111"/>
      <c r="I602" s="113"/>
      <c r="J602" s="114"/>
      <c r="K602" s="115"/>
      <c r="L602" s="115"/>
      <c r="M602" s="116"/>
      <c r="N602" s="116"/>
      <c r="O602" s="116"/>
      <c r="P602" s="116"/>
      <c r="Q602" s="116"/>
    </row>
    <row r="603">
      <c r="A603" s="111"/>
      <c r="B603" s="111"/>
      <c r="C603" s="111"/>
      <c r="D603" s="111"/>
      <c r="E603" s="111"/>
      <c r="F603" s="112"/>
      <c r="G603" s="111"/>
      <c r="H603" s="111"/>
      <c r="I603" s="113"/>
      <c r="J603" s="114"/>
      <c r="K603" s="115"/>
      <c r="L603" s="115"/>
      <c r="M603" s="116"/>
      <c r="N603" s="116"/>
      <c r="O603" s="116"/>
      <c r="P603" s="116"/>
      <c r="Q603" s="116"/>
    </row>
    <row r="604">
      <c r="A604" s="111"/>
      <c r="B604" s="111"/>
      <c r="C604" s="111"/>
      <c r="D604" s="111"/>
      <c r="E604" s="111"/>
      <c r="F604" s="112"/>
      <c r="G604" s="111"/>
      <c r="H604" s="111"/>
      <c r="I604" s="113"/>
      <c r="J604" s="114"/>
      <c r="K604" s="115"/>
      <c r="L604" s="115"/>
      <c r="M604" s="116"/>
      <c r="N604" s="116"/>
      <c r="O604" s="116"/>
      <c r="P604" s="116"/>
      <c r="Q604" s="116"/>
    </row>
    <row r="605">
      <c r="A605" s="111"/>
      <c r="B605" s="111"/>
      <c r="C605" s="111"/>
      <c r="D605" s="111"/>
      <c r="E605" s="111"/>
      <c r="F605" s="112"/>
      <c r="G605" s="111"/>
      <c r="H605" s="111"/>
      <c r="I605" s="113"/>
      <c r="J605" s="114"/>
      <c r="K605" s="115"/>
      <c r="L605" s="115"/>
      <c r="M605" s="116"/>
      <c r="N605" s="116"/>
      <c r="O605" s="116"/>
      <c r="P605" s="116"/>
      <c r="Q605" s="116"/>
    </row>
    <row r="606">
      <c r="A606" s="111"/>
      <c r="B606" s="111"/>
      <c r="C606" s="111"/>
      <c r="D606" s="111"/>
      <c r="E606" s="111"/>
      <c r="F606" s="112"/>
      <c r="G606" s="111"/>
      <c r="H606" s="111"/>
      <c r="I606" s="113"/>
      <c r="J606" s="114"/>
      <c r="K606" s="115"/>
      <c r="L606" s="115"/>
      <c r="M606" s="116"/>
      <c r="N606" s="116"/>
      <c r="O606" s="116"/>
      <c r="P606" s="116"/>
      <c r="Q606" s="116"/>
    </row>
    <row r="607">
      <c r="A607" s="111"/>
      <c r="B607" s="111"/>
      <c r="C607" s="111"/>
      <c r="D607" s="111"/>
      <c r="E607" s="111"/>
      <c r="F607" s="112"/>
      <c r="G607" s="111"/>
      <c r="H607" s="111"/>
      <c r="I607" s="113"/>
      <c r="J607" s="114"/>
      <c r="K607" s="115"/>
      <c r="L607" s="115"/>
      <c r="M607" s="116"/>
      <c r="N607" s="116"/>
      <c r="O607" s="116"/>
      <c r="P607" s="116"/>
      <c r="Q607" s="116"/>
    </row>
    <row r="608">
      <c r="A608" s="111"/>
      <c r="B608" s="111"/>
      <c r="C608" s="111"/>
      <c r="D608" s="111"/>
      <c r="E608" s="111"/>
      <c r="F608" s="112"/>
      <c r="G608" s="111"/>
      <c r="H608" s="111"/>
      <c r="I608" s="113"/>
      <c r="J608" s="114"/>
      <c r="K608" s="115"/>
      <c r="L608" s="115"/>
      <c r="M608" s="116"/>
      <c r="N608" s="116"/>
      <c r="O608" s="116"/>
      <c r="P608" s="116"/>
      <c r="Q608" s="116"/>
    </row>
    <row r="609">
      <c r="A609" s="111"/>
      <c r="B609" s="111"/>
      <c r="C609" s="111"/>
      <c r="D609" s="111"/>
      <c r="E609" s="111"/>
      <c r="F609" s="112"/>
      <c r="G609" s="111"/>
      <c r="H609" s="111"/>
      <c r="I609" s="113"/>
      <c r="J609" s="114"/>
      <c r="K609" s="115"/>
      <c r="L609" s="115"/>
      <c r="M609" s="116"/>
      <c r="N609" s="116"/>
      <c r="O609" s="116"/>
      <c r="P609" s="116"/>
      <c r="Q609" s="116"/>
    </row>
    <row r="610">
      <c r="A610" s="111"/>
      <c r="B610" s="111"/>
      <c r="C610" s="111"/>
      <c r="D610" s="111"/>
      <c r="E610" s="111"/>
      <c r="F610" s="112"/>
      <c r="G610" s="111"/>
      <c r="H610" s="111"/>
      <c r="I610" s="113"/>
      <c r="J610" s="114"/>
      <c r="K610" s="115"/>
      <c r="L610" s="115"/>
      <c r="M610" s="116"/>
      <c r="N610" s="116"/>
      <c r="O610" s="116"/>
      <c r="P610" s="116"/>
      <c r="Q610" s="116"/>
    </row>
    <row r="611">
      <c r="A611" s="111"/>
      <c r="B611" s="111"/>
      <c r="C611" s="111"/>
      <c r="D611" s="111"/>
      <c r="E611" s="111"/>
      <c r="F611" s="112"/>
      <c r="G611" s="111"/>
      <c r="H611" s="111"/>
      <c r="I611" s="113"/>
      <c r="J611" s="114"/>
      <c r="K611" s="115"/>
      <c r="L611" s="115"/>
      <c r="M611" s="116"/>
      <c r="N611" s="116"/>
      <c r="O611" s="116"/>
      <c r="P611" s="116"/>
      <c r="Q611" s="116"/>
    </row>
    <row r="612">
      <c r="A612" s="111"/>
      <c r="B612" s="111"/>
      <c r="C612" s="111"/>
      <c r="D612" s="111"/>
      <c r="E612" s="111"/>
      <c r="F612" s="112"/>
      <c r="G612" s="111"/>
      <c r="H612" s="111"/>
      <c r="I612" s="113"/>
      <c r="J612" s="114"/>
      <c r="K612" s="115"/>
      <c r="L612" s="115"/>
      <c r="M612" s="116"/>
      <c r="N612" s="116"/>
      <c r="O612" s="116"/>
      <c r="P612" s="116"/>
      <c r="Q612" s="116"/>
    </row>
    <row r="613">
      <c r="A613" s="111"/>
      <c r="B613" s="111"/>
      <c r="C613" s="111"/>
      <c r="D613" s="111"/>
      <c r="E613" s="111"/>
      <c r="F613" s="112"/>
      <c r="G613" s="111"/>
      <c r="H613" s="111"/>
      <c r="I613" s="113"/>
      <c r="J613" s="114"/>
      <c r="K613" s="115"/>
      <c r="L613" s="115"/>
      <c r="M613" s="116"/>
      <c r="N613" s="116"/>
      <c r="O613" s="116"/>
      <c r="P613" s="116"/>
      <c r="Q613" s="116"/>
    </row>
    <row r="614">
      <c r="A614" s="111"/>
      <c r="B614" s="111"/>
      <c r="C614" s="111"/>
      <c r="D614" s="111"/>
      <c r="E614" s="111"/>
      <c r="F614" s="112"/>
      <c r="G614" s="111"/>
      <c r="H614" s="111"/>
      <c r="I614" s="113"/>
      <c r="J614" s="114"/>
      <c r="K614" s="115"/>
      <c r="L614" s="115"/>
      <c r="M614" s="116"/>
      <c r="N614" s="116"/>
      <c r="O614" s="116"/>
      <c r="P614" s="116"/>
      <c r="Q614" s="116"/>
    </row>
    <row r="615">
      <c r="A615" s="111"/>
      <c r="B615" s="111"/>
      <c r="C615" s="111"/>
      <c r="D615" s="111"/>
      <c r="E615" s="111"/>
      <c r="F615" s="112"/>
      <c r="G615" s="111"/>
      <c r="H615" s="111"/>
      <c r="I615" s="113"/>
      <c r="J615" s="114"/>
      <c r="K615" s="115"/>
      <c r="L615" s="115"/>
      <c r="M615" s="116"/>
      <c r="N615" s="116"/>
      <c r="O615" s="116"/>
      <c r="P615" s="116"/>
      <c r="Q615" s="116"/>
    </row>
    <row r="616">
      <c r="A616" s="111"/>
      <c r="B616" s="111"/>
      <c r="C616" s="111"/>
      <c r="D616" s="111"/>
      <c r="E616" s="111"/>
      <c r="F616" s="112"/>
      <c r="G616" s="111"/>
      <c r="H616" s="111"/>
      <c r="I616" s="113"/>
      <c r="J616" s="114"/>
      <c r="K616" s="115"/>
      <c r="L616" s="115"/>
      <c r="M616" s="116"/>
      <c r="N616" s="116"/>
      <c r="O616" s="116"/>
      <c r="P616" s="116"/>
      <c r="Q616" s="116"/>
    </row>
    <row r="617">
      <c r="A617" s="111"/>
      <c r="B617" s="111"/>
      <c r="C617" s="111"/>
      <c r="D617" s="111"/>
      <c r="E617" s="111"/>
      <c r="F617" s="112"/>
      <c r="G617" s="111"/>
      <c r="H617" s="111"/>
      <c r="I617" s="113"/>
      <c r="J617" s="114"/>
      <c r="K617" s="115"/>
      <c r="L617" s="115"/>
      <c r="M617" s="116"/>
      <c r="N617" s="116"/>
      <c r="O617" s="116"/>
      <c r="P617" s="116"/>
      <c r="Q617" s="116"/>
    </row>
    <row r="618">
      <c r="A618" s="111"/>
      <c r="B618" s="111"/>
      <c r="C618" s="111"/>
      <c r="D618" s="111"/>
      <c r="E618" s="111"/>
      <c r="F618" s="112"/>
      <c r="G618" s="111"/>
      <c r="H618" s="111"/>
      <c r="I618" s="113"/>
      <c r="J618" s="114"/>
      <c r="K618" s="115"/>
      <c r="L618" s="115"/>
      <c r="M618" s="116"/>
      <c r="N618" s="116"/>
      <c r="O618" s="116"/>
      <c r="P618" s="116"/>
      <c r="Q618" s="116"/>
    </row>
    <row r="619">
      <c r="A619" s="111"/>
      <c r="B619" s="111"/>
      <c r="C619" s="111"/>
      <c r="D619" s="111"/>
      <c r="E619" s="111"/>
      <c r="F619" s="112"/>
      <c r="G619" s="111"/>
      <c r="H619" s="111"/>
      <c r="I619" s="113"/>
      <c r="J619" s="114"/>
      <c r="K619" s="115"/>
      <c r="L619" s="115"/>
      <c r="M619" s="116"/>
      <c r="N619" s="116"/>
      <c r="O619" s="116"/>
      <c r="P619" s="116"/>
      <c r="Q619" s="116"/>
    </row>
    <row r="620">
      <c r="A620" s="111"/>
      <c r="B620" s="111"/>
      <c r="C620" s="111"/>
      <c r="D620" s="111"/>
      <c r="E620" s="111"/>
      <c r="F620" s="112"/>
      <c r="G620" s="111"/>
      <c r="H620" s="111"/>
      <c r="I620" s="113"/>
      <c r="J620" s="114"/>
      <c r="K620" s="115"/>
      <c r="L620" s="115"/>
      <c r="M620" s="116"/>
      <c r="N620" s="116"/>
      <c r="O620" s="116"/>
      <c r="P620" s="116"/>
      <c r="Q620" s="116"/>
    </row>
    <row r="621">
      <c r="A621" s="111"/>
      <c r="B621" s="111"/>
      <c r="C621" s="111"/>
      <c r="D621" s="111"/>
      <c r="E621" s="111"/>
      <c r="F621" s="112"/>
      <c r="G621" s="111"/>
      <c r="H621" s="111"/>
      <c r="I621" s="113"/>
      <c r="J621" s="114"/>
      <c r="K621" s="115"/>
      <c r="L621" s="115"/>
      <c r="M621" s="116"/>
      <c r="N621" s="116"/>
      <c r="O621" s="116"/>
      <c r="P621" s="116"/>
      <c r="Q621" s="116"/>
    </row>
    <row r="622">
      <c r="A622" s="111"/>
      <c r="B622" s="111"/>
      <c r="C622" s="111"/>
      <c r="D622" s="111"/>
      <c r="E622" s="111"/>
      <c r="F622" s="112"/>
      <c r="G622" s="111"/>
      <c r="H622" s="111"/>
      <c r="I622" s="113"/>
      <c r="J622" s="114"/>
      <c r="K622" s="115"/>
      <c r="L622" s="115"/>
      <c r="M622" s="116"/>
      <c r="N622" s="116"/>
      <c r="O622" s="116"/>
      <c r="P622" s="116"/>
      <c r="Q622" s="116"/>
    </row>
    <row r="623">
      <c r="A623" s="111"/>
      <c r="B623" s="111"/>
      <c r="C623" s="111"/>
      <c r="D623" s="111"/>
      <c r="E623" s="111"/>
      <c r="F623" s="112"/>
      <c r="G623" s="111"/>
      <c r="H623" s="111"/>
      <c r="I623" s="113"/>
      <c r="J623" s="114"/>
      <c r="K623" s="115"/>
      <c r="L623" s="115"/>
      <c r="M623" s="116"/>
      <c r="N623" s="116"/>
      <c r="O623" s="116"/>
      <c r="P623" s="116"/>
      <c r="Q623" s="116"/>
    </row>
    <row r="624">
      <c r="A624" s="111"/>
      <c r="B624" s="111"/>
      <c r="C624" s="111"/>
      <c r="D624" s="111"/>
      <c r="E624" s="111"/>
      <c r="F624" s="112"/>
      <c r="G624" s="111"/>
      <c r="H624" s="111"/>
      <c r="I624" s="113"/>
      <c r="J624" s="114"/>
      <c r="K624" s="115"/>
      <c r="L624" s="115"/>
      <c r="M624" s="116"/>
      <c r="N624" s="116"/>
      <c r="O624" s="116"/>
      <c r="P624" s="116"/>
      <c r="Q624" s="116"/>
    </row>
    <row r="625">
      <c r="A625" s="111"/>
      <c r="B625" s="111"/>
      <c r="C625" s="111"/>
      <c r="D625" s="111"/>
      <c r="E625" s="111"/>
      <c r="F625" s="112"/>
      <c r="G625" s="111"/>
      <c r="H625" s="111"/>
      <c r="I625" s="113"/>
      <c r="J625" s="114"/>
      <c r="K625" s="115"/>
      <c r="L625" s="115"/>
      <c r="M625" s="116"/>
      <c r="N625" s="116"/>
      <c r="O625" s="116"/>
      <c r="P625" s="116"/>
      <c r="Q625" s="116"/>
    </row>
    <row r="626">
      <c r="A626" s="111"/>
      <c r="B626" s="111"/>
      <c r="C626" s="111"/>
      <c r="D626" s="111"/>
      <c r="E626" s="111"/>
      <c r="F626" s="112"/>
      <c r="G626" s="111"/>
      <c r="H626" s="111"/>
      <c r="I626" s="113"/>
      <c r="J626" s="114"/>
      <c r="K626" s="115"/>
      <c r="L626" s="115"/>
      <c r="M626" s="116"/>
      <c r="N626" s="116"/>
      <c r="O626" s="116"/>
      <c r="P626" s="116"/>
      <c r="Q626" s="116"/>
    </row>
    <row r="627">
      <c r="A627" s="111"/>
      <c r="B627" s="111"/>
      <c r="C627" s="111"/>
      <c r="D627" s="111"/>
      <c r="E627" s="111"/>
      <c r="F627" s="112"/>
      <c r="G627" s="111"/>
      <c r="H627" s="111"/>
      <c r="I627" s="113"/>
      <c r="J627" s="114"/>
      <c r="K627" s="115"/>
      <c r="L627" s="115"/>
      <c r="M627" s="116"/>
      <c r="N627" s="116"/>
      <c r="O627" s="116"/>
      <c r="P627" s="116"/>
      <c r="Q627" s="116"/>
    </row>
    <row r="628">
      <c r="A628" s="111"/>
      <c r="B628" s="111"/>
      <c r="C628" s="111"/>
      <c r="D628" s="111"/>
      <c r="E628" s="111"/>
      <c r="F628" s="112"/>
      <c r="G628" s="111"/>
      <c r="H628" s="111"/>
      <c r="I628" s="113"/>
      <c r="J628" s="114"/>
      <c r="K628" s="115"/>
      <c r="L628" s="115"/>
      <c r="M628" s="116"/>
      <c r="N628" s="116"/>
      <c r="O628" s="116"/>
      <c r="P628" s="116"/>
      <c r="Q628" s="116"/>
    </row>
    <row r="629">
      <c r="A629" s="111"/>
      <c r="B629" s="111"/>
      <c r="C629" s="111"/>
      <c r="D629" s="111"/>
      <c r="E629" s="111"/>
      <c r="F629" s="112"/>
      <c r="G629" s="111"/>
      <c r="H629" s="111"/>
      <c r="I629" s="113"/>
      <c r="J629" s="114"/>
      <c r="K629" s="115"/>
      <c r="L629" s="115"/>
      <c r="M629" s="116"/>
      <c r="N629" s="116"/>
      <c r="O629" s="116"/>
      <c r="P629" s="116"/>
      <c r="Q629" s="116"/>
    </row>
    <row r="630">
      <c r="A630" s="111"/>
      <c r="B630" s="111"/>
      <c r="C630" s="111"/>
      <c r="D630" s="111"/>
      <c r="E630" s="111"/>
      <c r="F630" s="112"/>
      <c r="G630" s="111"/>
      <c r="H630" s="111"/>
      <c r="I630" s="113"/>
      <c r="J630" s="114"/>
      <c r="K630" s="115"/>
      <c r="L630" s="115"/>
      <c r="M630" s="116"/>
      <c r="N630" s="116"/>
      <c r="O630" s="116"/>
      <c r="P630" s="116"/>
      <c r="Q630" s="116"/>
    </row>
    <row r="631">
      <c r="A631" s="111"/>
      <c r="B631" s="111"/>
      <c r="C631" s="111"/>
      <c r="D631" s="111"/>
      <c r="E631" s="111"/>
      <c r="F631" s="112"/>
      <c r="G631" s="111"/>
      <c r="H631" s="111"/>
      <c r="I631" s="113"/>
      <c r="J631" s="114"/>
      <c r="K631" s="115"/>
      <c r="L631" s="115"/>
      <c r="M631" s="116"/>
      <c r="N631" s="116"/>
      <c r="O631" s="116"/>
      <c r="P631" s="116"/>
      <c r="Q631" s="116"/>
    </row>
    <row r="632">
      <c r="A632" s="111"/>
      <c r="B632" s="111"/>
      <c r="C632" s="111"/>
      <c r="D632" s="111"/>
      <c r="E632" s="111"/>
      <c r="F632" s="112"/>
      <c r="G632" s="111"/>
      <c r="H632" s="111"/>
      <c r="I632" s="113"/>
      <c r="J632" s="114"/>
      <c r="K632" s="115"/>
      <c r="L632" s="115"/>
      <c r="M632" s="116"/>
      <c r="N632" s="116"/>
      <c r="O632" s="116"/>
      <c r="P632" s="116"/>
      <c r="Q632" s="116"/>
    </row>
    <row r="633">
      <c r="A633" s="111"/>
      <c r="B633" s="111"/>
      <c r="C633" s="111"/>
      <c r="D633" s="111"/>
      <c r="E633" s="111"/>
      <c r="F633" s="112"/>
      <c r="G633" s="111"/>
      <c r="H633" s="111"/>
      <c r="I633" s="113"/>
      <c r="J633" s="114"/>
      <c r="K633" s="115"/>
      <c r="L633" s="115"/>
      <c r="M633" s="116"/>
      <c r="N633" s="116"/>
      <c r="O633" s="116"/>
      <c r="P633" s="116"/>
      <c r="Q633" s="116"/>
    </row>
    <row r="634">
      <c r="A634" s="111"/>
      <c r="B634" s="111"/>
      <c r="C634" s="111"/>
      <c r="D634" s="111"/>
      <c r="E634" s="111"/>
      <c r="F634" s="112"/>
      <c r="G634" s="111"/>
      <c r="H634" s="111"/>
      <c r="I634" s="113"/>
      <c r="J634" s="114"/>
      <c r="K634" s="115"/>
      <c r="L634" s="115"/>
      <c r="M634" s="116"/>
      <c r="N634" s="116"/>
      <c r="O634" s="116"/>
      <c r="P634" s="116"/>
      <c r="Q634" s="116"/>
    </row>
    <row r="635">
      <c r="A635" s="111"/>
      <c r="B635" s="111"/>
      <c r="C635" s="111"/>
      <c r="D635" s="111"/>
      <c r="E635" s="111"/>
      <c r="F635" s="112"/>
      <c r="G635" s="111"/>
      <c r="H635" s="111"/>
      <c r="I635" s="113"/>
      <c r="J635" s="114"/>
      <c r="K635" s="115"/>
      <c r="L635" s="115"/>
      <c r="M635" s="116"/>
      <c r="N635" s="116"/>
      <c r="O635" s="116"/>
      <c r="P635" s="116"/>
      <c r="Q635" s="116"/>
    </row>
    <row r="636">
      <c r="A636" s="111"/>
      <c r="B636" s="111"/>
      <c r="C636" s="111"/>
      <c r="D636" s="111"/>
      <c r="E636" s="111"/>
      <c r="F636" s="112"/>
      <c r="G636" s="111"/>
      <c r="H636" s="111"/>
      <c r="I636" s="113"/>
      <c r="J636" s="114"/>
      <c r="K636" s="115"/>
      <c r="L636" s="115"/>
      <c r="M636" s="116"/>
      <c r="N636" s="116"/>
      <c r="O636" s="116"/>
      <c r="P636" s="116"/>
      <c r="Q636" s="116"/>
    </row>
    <row r="637">
      <c r="A637" s="111"/>
      <c r="B637" s="111"/>
      <c r="C637" s="111"/>
      <c r="D637" s="111"/>
      <c r="E637" s="111"/>
      <c r="F637" s="112"/>
      <c r="G637" s="111"/>
      <c r="H637" s="111"/>
      <c r="I637" s="113"/>
      <c r="J637" s="114"/>
      <c r="K637" s="115"/>
      <c r="L637" s="115"/>
      <c r="M637" s="116"/>
      <c r="N637" s="116"/>
      <c r="O637" s="116"/>
      <c r="P637" s="116"/>
      <c r="Q637" s="116"/>
    </row>
    <row r="638">
      <c r="A638" s="111"/>
      <c r="B638" s="111"/>
      <c r="C638" s="111"/>
      <c r="D638" s="111"/>
      <c r="E638" s="111"/>
      <c r="F638" s="112"/>
      <c r="G638" s="111"/>
      <c r="H638" s="111"/>
      <c r="I638" s="113"/>
      <c r="J638" s="114"/>
      <c r="K638" s="115"/>
      <c r="L638" s="115"/>
      <c r="M638" s="116"/>
      <c r="N638" s="116"/>
      <c r="O638" s="116"/>
      <c r="P638" s="116"/>
      <c r="Q638" s="116"/>
    </row>
    <row r="639">
      <c r="A639" s="111"/>
      <c r="B639" s="111"/>
      <c r="C639" s="111"/>
      <c r="D639" s="111"/>
      <c r="E639" s="111"/>
      <c r="F639" s="112"/>
      <c r="G639" s="111"/>
      <c r="H639" s="111"/>
      <c r="I639" s="113"/>
      <c r="J639" s="114"/>
      <c r="K639" s="115"/>
      <c r="L639" s="115"/>
      <c r="M639" s="116"/>
      <c r="N639" s="116"/>
      <c r="O639" s="116"/>
      <c r="P639" s="116"/>
      <c r="Q639" s="116"/>
    </row>
    <row r="640">
      <c r="A640" s="111"/>
      <c r="B640" s="111"/>
      <c r="C640" s="111"/>
      <c r="D640" s="111"/>
      <c r="E640" s="111"/>
      <c r="F640" s="112"/>
      <c r="G640" s="111"/>
      <c r="H640" s="111"/>
      <c r="I640" s="113"/>
      <c r="J640" s="114"/>
      <c r="K640" s="115"/>
      <c r="L640" s="115"/>
      <c r="M640" s="116"/>
      <c r="N640" s="116"/>
      <c r="O640" s="116"/>
      <c r="P640" s="116"/>
      <c r="Q640" s="116"/>
    </row>
    <row r="641">
      <c r="A641" s="111"/>
      <c r="B641" s="111"/>
      <c r="C641" s="111"/>
      <c r="D641" s="111"/>
      <c r="E641" s="111"/>
      <c r="F641" s="112"/>
      <c r="G641" s="111"/>
      <c r="H641" s="111"/>
      <c r="I641" s="113"/>
      <c r="J641" s="114"/>
      <c r="K641" s="115"/>
      <c r="L641" s="115"/>
      <c r="M641" s="116"/>
      <c r="N641" s="116"/>
      <c r="O641" s="116"/>
      <c r="P641" s="116"/>
      <c r="Q641" s="116"/>
    </row>
    <row r="642">
      <c r="A642" s="111"/>
      <c r="B642" s="111"/>
      <c r="C642" s="111"/>
      <c r="D642" s="111"/>
      <c r="E642" s="111"/>
      <c r="F642" s="112"/>
      <c r="G642" s="111"/>
      <c r="H642" s="111"/>
      <c r="I642" s="113"/>
      <c r="J642" s="114"/>
      <c r="K642" s="115"/>
      <c r="L642" s="115"/>
      <c r="M642" s="116"/>
      <c r="N642" s="116"/>
      <c r="O642" s="116"/>
      <c r="P642" s="116"/>
      <c r="Q642" s="116"/>
    </row>
    <row r="643">
      <c r="A643" s="111"/>
      <c r="B643" s="111"/>
      <c r="C643" s="111"/>
      <c r="D643" s="111"/>
      <c r="E643" s="111"/>
      <c r="F643" s="112"/>
      <c r="G643" s="111"/>
      <c r="H643" s="111"/>
      <c r="I643" s="113"/>
      <c r="J643" s="114"/>
      <c r="K643" s="115"/>
      <c r="L643" s="115"/>
      <c r="M643" s="116"/>
      <c r="N643" s="116"/>
      <c r="O643" s="116"/>
      <c r="P643" s="116"/>
      <c r="Q643" s="116"/>
    </row>
    <row r="644">
      <c r="A644" s="111"/>
      <c r="B644" s="111"/>
      <c r="C644" s="111"/>
      <c r="D644" s="111"/>
      <c r="E644" s="111"/>
      <c r="F644" s="112"/>
      <c r="G644" s="111"/>
      <c r="H644" s="111"/>
      <c r="I644" s="113"/>
      <c r="J644" s="114"/>
      <c r="K644" s="115"/>
      <c r="L644" s="115"/>
      <c r="M644" s="116"/>
      <c r="N644" s="116"/>
      <c r="O644" s="116"/>
      <c r="P644" s="116"/>
      <c r="Q644" s="116"/>
    </row>
    <row r="645">
      <c r="A645" s="111"/>
      <c r="B645" s="111"/>
      <c r="C645" s="111"/>
      <c r="D645" s="111"/>
      <c r="E645" s="111"/>
      <c r="F645" s="112"/>
      <c r="G645" s="111"/>
      <c r="H645" s="111"/>
      <c r="I645" s="113"/>
      <c r="J645" s="114"/>
      <c r="K645" s="115"/>
      <c r="L645" s="115"/>
      <c r="M645" s="116"/>
      <c r="N645" s="116"/>
      <c r="O645" s="116"/>
      <c r="P645" s="116"/>
      <c r="Q645" s="116"/>
    </row>
    <row r="646">
      <c r="A646" s="111"/>
      <c r="B646" s="111"/>
      <c r="C646" s="111"/>
      <c r="D646" s="111"/>
      <c r="E646" s="111"/>
      <c r="F646" s="112"/>
      <c r="G646" s="111"/>
      <c r="H646" s="111"/>
      <c r="I646" s="113"/>
      <c r="J646" s="114"/>
      <c r="K646" s="115"/>
      <c r="L646" s="115"/>
      <c r="M646" s="116"/>
      <c r="N646" s="116"/>
      <c r="O646" s="116"/>
      <c r="P646" s="116"/>
      <c r="Q646" s="116"/>
    </row>
    <row r="647">
      <c r="A647" s="111"/>
      <c r="B647" s="111"/>
      <c r="C647" s="111"/>
      <c r="D647" s="111"/>
      <c r="E647" s="111"/>
      <c r="F647" s="112"/>
      <c r="G647" s="111"/>
      <c r="H647" s="111"/>
      <c r="I647" s="113"/>
      <c r="J647" s="114"/>
      <c r="K647" s="115"/>
      <c r="L647" s="115"/>
      <c r="M647" s="116"/>
      <c r="N647" s="116"/>
      <c r="O647" s="116"/>
      <c r="P647" s="116"/>
      <c r="Q647" s="116"/>
    </row>
    <row r="648">
      <c r="A648" s="111"/>
      <c r="B648" s="111"/>
      <c r="C648" s="111"/>
      <c r="D648" s="111"/>
      <c r="E648" s="111"/>
      <c r="F648" s="112"/>
      <c r="G648" s="111"/>
      <c r="H648" s="111"/>
      <c r="I648" s="113"/>
      <c r="J648" s="114"/>
      <c r="K648" s="115"/>
      <c r="L648" s="115"/>
      <c r="M648" s="116"/>
      <c r="N648" s="116"/>
      <c r="O648" s="116"/>
      <c r="P648" s="116"/>
      <c r="Q648" s="116"/>
    </row>
    <row r="649">
      <c r="A649" s="111"/>
      <c r="B649" s="111"/>
      <c r="C649" s="111"/>
      <c r="D649" s="111"/>
      <c r="E649" s="111"/>
      <c r="F649" s="112"/>
      <c r="G649" s="111"/>
      <c r="H649" s="111"/>
      <c r="I649" s="113"/>
      <c r="J649" s="114"/>
      <c r="K649" s="115"/>
      <c r="L649" s="115"/>
      <c r="M649" s="116"/>
      <c r="N649" s="116"/>
      <c r="O649" s="116"/>
      <c r="P649" s="116"/>
      <c r="Q649" s="116"/>
    </row>
    <row r="650">
      <c r="A650" s="111"/>
      <c r="B650" s="111"/>
      <c r="C650" s="111"/>
      <c r="D650" s="111"/>
      <c r="E650" s="111"/>
      <c r="F650" s="112"/>
      <c r="G650" s="111"/>
      <c r="H650" s="111"/>
      <c r="I650" s="113"/>
      <c r="J650" s="114"/>
      <c r="K650" s="115"/>
      <c r="L650" s="115"/>
      <c r="M650" s="116"/>
      <c r="N650" s="116"/>
      <c r="O650" s="116"/>
      <c r="P650" s="116"/>
      <c r="Q650" s="116"/>
    </row>
    <row r="651">
      <c r="A651" s="111"/>
      <c r="B651" s="111"/>
      <c r="C651" s="111"/>
      <c r="D651" s="111"/>
      <c r="E651" s="111"/>
      <c r="F651" s="112"/>
      <c r="G651" s="111"/>
      <c r="H651" s="111"/>
      <c r="I651" s="113"/>
      <c r="J651" s="114"/>
      <c r="K651" s="115"/>
      <c r="L651" s="115"/>
      <c r="M651" s="116"/>
      <c r="N651" s="116"/>
      <c r="O651" s="116"/>
      <c r="P651" s="116"/>
      <c r="Q651" s="116"/>
    </row>
    <row r="652">
      <c r="A652" s="111"/>
      <c r="B652" s="111"/>
      <c r="C652" s="111"/>
      <c r="D652" s="111"/>
      <c r="E652" s="111"/>
      <c r="F652" s="112"/>
      <c r="G652" s="111"/>
      <c r="H652" s="111"/>
      <c r="I652" s="113"/>
      <c r="J652" s="114"/>
      <c r="K652" s="115"/>
      <c r="L652" s="115"/>
      <c r="M652" s="116"/>
      <c r="N652" s="116"/>
      <c r="O652" s="116"/>
      <c r="P652" s="116"/>
      <c r="Q652" s="116"/>
    </row>
    <row r="653">
      <c r="A653" s="111"/>
      <c r="B653" s="111"/>
      <c r="C653" s="111"/>
      <c r="D653" s="111"/>
      <c r="E653" s="111"/>
      <c r="F653" s="112"/>
      <c r="G653" s="111"/>
      <c r="H653" s="111"/>
      <c r="I653" s="113"/>
      <c r="J653" s="114"/>
      <c r="K653" s="115"/>
      <c r="L653" s="115"/>
      <c r="M653" s="116"/>
      <c r="N653" s="116"/>
      <c r="O653" s="116"/>
      <c r="P653" s="116"/>
      <c r="Q653" s="116"/>
    </row>
    <row r="654">
      <c r="A654" s="111"/>
      <c r="B654" s="111"/>
      <c r="C654" s="111"/>
      <c r="D654" s="111"/>
      <c r="E654" s="111"/>
      <c r="F654" s="112"/>
      <c r="G654" s="111"/>
      <c r="H654" s="111"/>
      <c r="I654" s="113"/>
      <c r="J654" s="114"/>
      <c r="K654" s="115"/>
      <c r="L654" s="115"/>
      <c r="M654" s="116"/>
      <c r="N654" s="116"/>
      <c r="O654" s="116"/>
      <c r="P654" s="116"/>
      <c r="Q654" s="116"/>
    </row>
    <row r="655">
      <c r="A655" s="111"/>
      <c r="B655" s="111"/>
      <c r="C655" s="111"/>
      <c r="D655" s="111"/>
      <c r="E655" s="111"/>
      <c r="F655" s="112"/>
      <c r="G655" s="111"/>
      <c r="H655" s="111"/>
      <c r="I655" s="113"/>
      <c r="J655" s="114"/>
      <c r="K655" s="115"/>
      <c r="L655" s="115"/>
      <c r="M655" s="116"/>
      <c r="N655" s="116"/>
      <c r="O655" s="116"/>
      <c r="P655" s="116"/>
      <c r="Q655" s="116"/>
    </row>
    <row r="656">
      <c r="A656" s="111"/>
      <c r="B656" s="111"/>
      <c r="C656" s="111"/>
      <c r="D656" s="111"/>
      <c r="E656" s="111"/>
      <c r="F656" s="112"/>
      <c r="G656" s="111"/>
      <c r="H656" s="111"/>
      <c r="I656" s="113"/>
      <c r="J656" s="114"/>
      <c r="K656" s="115"/>
      <c r="L656" s="115"/>
      <c r="M656" s="116"/>
      <c r="N656" s="116"/>
      <c r="O656" s="116"/>
      <c r="P656" s="116"/>
      <c r="Q656" s="116"/>
    </row>
    <row r="657">
      <c r="A657" s="111"/>
      <c r="B657" s="111"/>
      <c r="C657" s="111"/>
      <c r="D657" s="111"/>
      <c r="E657" s="111"/>
      <c r="F657" s="112"/>
      <c r="G657" s="111"/>
      <c r="H657" s="111"/>
      <c r="I657" s="113"/>
      <c r="J657" s="114"/>
      <c r="K657" s="115"/>
      <c r="L657" s="115"/>
      <c r="M657" s="116"/>
      <c r="N657" s="116"/>
      <c r="O657" s="116"/>
      <c r="P657" s="116"/>
      <c r="Q657" s="116"/>
    </row>
    <row r="658">
      <c r="A658" s="111"/>
      <c r="B658" s="111"/>
      <c r="C658" s="111"/>
      <c r="D658" s="111"/>
      <c r="E658" s="111"/>
      <c r="F658" s="112"/>
      <c r="G658" s="111"/>
      <c r="H658" s="111"/>
      <c r="I658" s="113"/>
      <c r="J658" s="114"/>
      <c r="K658" s="115"/>
      <c r="L658" s="115"/>
      <c r="M658" s="116"/>
      <c r="N658" s="116"/>
      <c r="O658" s="116"/>
      <c r="P658" s="116"/>
      <c r="Q658" s="116"/>
    </row>
    <row r="659">
      <c r="A659" s="111"/>
      <c r="B659" s="111"/>
      <c r="C659" s="111"/>
      <c r="D659" s="111"/>
      <c r="E659" s="111"/>
      <c r="F659" s="112"/>
      <c r="G659" s="111"/>
      <c r="H659" s="111"/>
      <c r="I659" s="113"/>
      <c r="J659" s="114"/>
      <c r="K659" s="115"/>
      <c r="L659" s="115"/>
      <c r="M659" s="116"/>
      <c r="N659" s="116"/>
      <c r="O659" s="116"/>
      <c r="P659" s="116"/>
      <c r="Q659" s="116"/>
    </row>
    <row r="660">
      <c r="A660" s="111"/>
      <c r="B660" s="111"/>
      <c r="C660" s="111"/>
      <c r="D660" s="111"/>
      <c r="E660" s="111"/>
      <c r="F660" s="112"/>
      <c r="G660" s="111"/>
      <c r="H660" s="111"/>
      <c r="I660" s="113"/>
      <c r="J660" s="114"/>
      <c r="K660" s="115"/>
      <c r="L660" s="115"/>
      <c r="M660" s="116"/>
      <c r="N660" s="116"/>
      <c r="O660" s="116"/>
      <c r="P660" s="116"/>
      <c r="Q660" s="116"/>
    </row>
    <row r="661">
      <c r="A661" s="111"/>
      <c r="B661" s="111"/>
      <c r="C661" s="111"/>
      <c r="D661" s="111"/>
      <c r="E661" s="111"/>
      <c r="F661" s="112"/>
      <c r="G661" s="111"/>
      <c r="H661" s="111"/>
      <c r="I661" s="113"/>
      <c r="J661" s="114"/>
      <c r="K661" s="115"/>
      <c r="L661" s="115"/>
      <c r="M661" s="116"/>
      <c r="N661" s="116"/>
      <c r="O661" s="116"/>
      <c r="P661" s="116"/>
      <c r="Q661" s="116"/>
    </row>
    <row r="662">
      <c r="A662" s="111"/>
      <c r="B662" s="111"/>
      <c r="C662" s="111"/>
      <c r="D662" s="111"/>
      <c r="E662" s="111"/>
      <c r="F662" s="112"/>
      <c r="G662" s="111"/>
      <c r="H662" s="111"/>
      <c r="I662" s="113"/>
      <c r="J662" s="114"/>
      <c r="K662" s="115"/>
      <c r="L662" s="115"/>
      <c r="M662" s="116"/>
      <c r="N662" s="116"/>
      <c r="O662" s="116"/>
      <c r="P662" s="116"/>
      <c r="Q662" s="116"/>
    </row>
    <row r="663">
      <c r="A663" s="111"/>
      <c r="B663" s="111"/>
      <c r="C663" s="111"/>
      <c r="D663" s="111"/>
      <c r="E663" s="111"/>
      <c r="F663" s="112"/>
      <c r="G663" s="111"/>
      <c r="H663" s="111"/>
      <c r="I663" s="113"/>
      <c r="J663" s="114"/>
      <c r="K663" s="115"/>
      <c r="L663" s="115"/>
      <c r="M663" s="116"/>
      <c r="N663" s="116"/>
      <c r="O663" s="116"/>
      <c r="P663" s="116"/>
      <c r="Q663" s="116"/>
    </row>
    <row r="664">
      <c r="A664" s="111"/>
      <c r="B664" s="111"/>
      <c r="C664" s="111"/>
      <c r="D664" s="111"/>
      <c r="E664" s="111"/>
      <c r="F664" s="112"/>
      <c r="G664" s="111"/>
      <c r="H664" s="111"/>
      <c r="I664" s="113"/>
      <c r="J664" s="114"/>
      <c r="K664" s="115"/>
      <c r="L664" s="115"/>
      <c r="M664" s="116"/>
      <c r="N664" s="116"/>
      <c r="O664" s="116"/>
      <c r="P664" s="116"/>
      <c r="Q664" s="116"/>
    </row>
    <row r="665">
      <c r="A665" s="111"/>
      <c r="B665" s="111"/>
      <c r="C665" s="111"/>
      <c r="D665" s="111"/>
      <c r="E665" s="111"/>
      <c r="F665" s="112"/>
      <c r="G665" s="111"/>
      <c r="H665" s="111"/>
      <c r="I665" s="113"/>
      <c r="J665" s="114"/>
      <c r="K665" s="115"/>
      <c r="L665" s="115"/>
      <c r="M665" s="116"/>
      <c r="N665" s="116"/>
      <c r="O665" s="116"/>
      <c r="P665" s="116"/>
      <c r="Q665" s="116"/>
    </row>
    <row r="666">
      <c r="A666" s="111"/>
      <c r="B666" s="111"/>
      <c r="C666" s="111"/>
      <c r="D666" s="111"/>
      <c r="E666" s="111"/>
      <c r="F666" s="112"/>
      <c r="G666" s="111"/>
      <c r="H666" s="111"/>
      <c r="I666" s="113"/>
      <c r="J666" s="114"/>
      <c r="K666" s="115"/>
      <c r="L666" s="115"/>
      <c r="M666" s="116"/>
      <c r="N666" s="116"/>
      <c r="O666" s="116"/>
      <c r="P666" s="116"/>
      <c r="Q666" s="116"/>
    </row>
    <row r="667">
      <c r="A667" s="111"/>
      <c r="B667" s="111"/>
      <c r="C667" s="111"/>
      <c r="D667" s="111"/>
      <c r="E667" s="111"/>
      <c r="F667" s="112"/>
      <c r="G667" s="111"/>
      <c r="H667" s="111"/>
      <c r="I667" s="113"/>
      <c r="J667" s="114"/>
      <c r="K667" s="115"/>
      <c r="L667" s="115"/>
      <c r="M667" s="116"/>
      <c r="N667" s="116"/>
      <c r="O667" s="116"/>
      <c r="P667" s="116"/>
      <c r="Q667" s="116"/>
    </row>
    <row r="668">
      <c r="A668" s="111"/>
      <c r="B668" s="111"/>
      <c r="C668" s="111"/>
      <c r="D668" s="111"/>
      <c r="E668" s="111"/>
      <c r="F668" s="112"/>
      <c r="G668" s="111"/>
      <c r="H668" s="111"/>
      <c r="I668" s="113"/>
      <c r="J668" s="114"/>
      <c r="K668" s="115"/>
      <c r="L668" s="115"/>
      <c r="M668" s="116"/>
      <c r="N668" s="116"/>
      <c r="O668" s="116"/>
      <c r="P668" s="116"/>
      <c r="Q668" s="116"/>
    </row>
    <row r="669">
      <c r="A669" s="111"/>
      <c r="B669" s="111"/>
      <c r="C669" s="111"/>
      <c r="D669" s="111"/>
      <c r="E669" s="111"/>
      <c r="F669" s="112"/>
      <c r="G669" s="111"/>
      <c r="H669" s="111"/>
      <c r="I669" s="113"/>
      <c r="J669" s="114"/>
      <c r="K669" s="115"/>
      <c r="L669" s="115"/>
      <c r="M669" s="116"/>
      <c r="N669" s="116"/>
      <c r="O669" s="116"/>
      <c r="P669" s="116"/>
      <c r="Q669" s="116"/>
    </row>
    <row r="670">
      <c r="A670" s="111"/>
      <c r="B670" s="111"/>
      <c r="C670" s="111"/>
      <c r="D670" s="111"/>
      <c r="E670" s="111"/>
      <c r="F670" s="112"/>
      <c r="G670" s="111"/>
      <c r="H670" s="111"/>
      <c r="I670" s="113"/>
      <c r="J670" s="114"/>
      <c r="K670" s="115"/>
      <c r="L670" s="115"/>
      <c r="M670" s="116"/>
      <c r="N670" s="116"/>
      <c r="O670" s="116"/>
      <c r="P670" s="116"/>
      <c r="Q670" s="116"/>
    </row>
    <row r="671">
      <c r="A671" s="111"/>
      <c r="B671" s="111"/>
      <c r="C671" s="111"/>
      <c r="D671" s="111"/>
      <c r="E671" s="111"/>
      <c r="F671" s="112"/>
      <c r="G671" s="111"/>
      <c r="H671" s="111"/>
      <c r="I671" s="113"/>
      <c r="J671" s="114"/>
      <c r="K671" s="115"/>
      <c r="L671" s="115"/>
      <c r="M671" s="116"/>
      <c r="N671" s="116"/>
      <c r="O671" s="116"/>
      <c r="P671" s="116"/>
      <c r="Q671" s="116"/>
    </row>
    <row r="672">
      <c r="A672" s="111"/>
      <c r="B672" s="111"/>
      <c r="C672" s="111"/>
      <c r="D672" s="111"/>
      <c r="E672" s="111"/>
      <c r="F672" s="112"/>
      <c r="G672" s="111"/>
      <c r="H672" s="111"/>
      <c r="I672" s="113"/>
      <c r="J672" s="114"/>
      <c r="K672" s="115"/>
      <c r="L672" s="115"/>
      <c r="M672" s="116"/>
      <c r="N672" s="116"/>
      <c r="O672" s="116"/>
      <c r="P672" s="116"/>
      <c r="Q672" s="116"/>
    </row>
    <row r="673">
      <c r="A673" s="111"/>
      <c r="B673" s="111"/>
      <c r="C673" s="111"/>
      <c r="D673" s="111"/>
      <c r="E673" s="111"/>
      <c r="F673" s="112"/>
      <c r="G673" s="111"/>
      <c r="H673" s="111"/>
      <c r="I673" s="113"/>
      <c r="J673" s="114"/>
      <c r="K673" s="115"/>
      <c r="L673" s="115"/>
      <c r="M673" s="116"/>
      <c r="N673" s="116"/>
      <c r="O673" s="116"/>
      <c r="P673" s="116"/>
      <c r="Q673" s="116"/>
    </row>
    <row r="674">
      <c r="A674" s="111"/>
      <c r="B674" s="111"/>
      <c r="C674" s="111"/>
      <c r="D674" s="111"/>
      <c r="E674" s="111"/>
      <c r="F674" s="112"/>
      <c r="G674" s="111"/>
      <c r="H674" s="111"/>
      <c r="I674" s="113"/>
      <c r="J674" s="114"/>
      <c r="K674" s="115"/>
      <c r="L674" s="115"/>
      <c r="M674" s="116"/>
      <c r="N674" s="116"/>
      <c r="O674" s="116"/>
      <c r="P674" s="116"/>
      <c r="Q674" s="116"/>
    </row>
    <row r="675">
      <c r="A675" s="111"/>
      <c r="B675" s="111"/>
      <c r="C675" s="111"/>
      <c r="D675" s="111"/>
      <c r="E675" s="111"/>
      <c r="F675" s="112"/>
      <c r="G675" s="111"/>
      <c r="H675" s="111"/>
      <c r="I675" s="113"/>
      <c r="J675" s="114"/>
      <c r="K675" s="115"/>
      <c r="L675" s="115"/>
      <c r="M675" s="116"/>
      <c r="N675" s="116"/>
      <c r="O675" s="116"/>
      <c r="P675" s="116"/>
      <c r="Q675" s="116"/>
    </row>
    <row r="676">
      <c r="A676" s="111"/>
      <c r="B676" s="111"/>
      <c r="C676" s="111"/>
      <c r="D676" s="111"/>
      <c r="E676" s="111"/>
      <c r="F676" s="112"/>
      <c r="G676" s="111"/>
      <c r="H676" s="111"/>
      <c r="I676" s="113"/>
      <c r="J676" s="114"/>
      <c r="K676" s="115"/>
      <c r="L676" s="115"/>
      <c r="M676" s="116"/>
      <c r="N676" s="116"/>
      <c r="O676" s="116"/>
      <c r="P676" s="116"/>
      <c r="Q676" s="116"/>
    </row>
    <row r="677">
      <c r="A677" s="111"/>
      <c r="B677" s="111"/>
      <c r="C677" s="111"/>
      <c r="D677" s="111"/>
      <c r="E677" s="111"/>
      <c r="F677" s="112"/>
      <c r="G677" s="111"/>
      <c r="H677" s="111"/>
      <c r="I677" s="113"/>
      <c r="J677" s="114"/>
      <c r="K677" s="115"/>
      <c r="L677" s="115"/>
      <c r="M677" s="116"/>
      <c r="N677" s="116"/>
      <c r="O677" s="116"/>
      <c r="P677" s="116"/>
      <c r="Q677" s="116"/>
    </row>
    <row r="678">
      <c r="A678" s="111"/>
      <c r="B678" s="111"/>
      <c r="C678" s="111"/>
      <c r="D678" s="111"/>
      <c r="E678" s="111"/>
      <c r="F678" s="112"/>
      <c r="G678" s="111"/>
      <c r="H678" s="111"/>
      <c r="I678" s="113"/>
      <c r="J678" s="114"/>
      <c r="K678" s="115"/>
      <c r="L678" s="115"/>
      <c r="M678" s="116"/>
      <c r="N678" s="116"/>
      <c r="O678" s="116"/>
      <c r="P678" s="116"/>
      <c r="Q678" s="116"/>
    </row>
    <row r="679">
      <c r="A679" s="111"/>
      <c r="B679" s="111"/>
      <c r="C679" s="111"/>
      <c r="D679" s="111"/>
      <c r="E679" s="111"/>
      <c r="F679" s="112"/>
      <c r="G679" s="111"/>
      <c r="H679" s="111"/>
      <c r="I679" s="113"/>
      <c r="J679" s="114"/>
      <c r="K679" s="115"/>
      <c r="L679" s="115"/>
      <c r="M679" s="116"/>
      <c r="N679" s="116"/>
      <c r="O679" s="116"/>
      <c r="P679" s="116"/>
      <c r="Q679" s="116"/>
    </row>
    <row r="680">
      <c r="A680" s="111"/>
      <c r="B680" s="111"/>
      <c r="C680" s="111"/>
      <c r="D680" s="111"/>
      <c r="E680" s="111"/>
      <c r="F680" s="112"/>
      <c r="G680" s="111"/>
      <c r="H680" s="111"/>
      <c r="I680" s="113"/>
      <c r="J680" s="114"/>
      <c r="K680" s="115"/>
      <c r="L680" s="115"/>
      <c r="M680" s="116"/>
      <c r="N680" s="116"/>
      <c r="O680" s="116"/>
      <c r="P680" s="116"/>
      <c r="Q680" s="116"/>
    </row>
    <row r="681">
      <c r="A681" s="111"/>
      <c r="B681" s="111"/>
      <c r="C681" s="111"/>
      <c r="D681" s="111"/>
      <c r="E681" s="111"/>
      <c r="F681" s="112"/>
      <c r="G681" s="111"/>
      <c r="H681" s="111"/>
      <c r="I681" s="113"/>
      <c r="J681" s="114"/>
      <c r="K681" s="115"/>
      <c r="L681" s="115"/>
      <c r="M681" s="116"/>
      <c r="N681" s="116"/>
      <c r="O681" s="116"/>
      <c r="P681" s="116"/>
      <c r="Q681" s="116"/>
    </row>
    <row r="682">
      <c r="A682" s="111"/>
      <c r="B682" s="111"/>
      <c r="C682" s="111"/>
      <c r="D682" s="111"/>
      <c r="E682" s="111"/>
      <c r="F682" s="112"/>
      <c r="G682" s="111"/>
      <c r="H682" s="111"/>
      <c r="I682" s="113"/>
      <c r="J682" s="114"/>
      <c r="K682" s="115"/>
      <c r="L682" s="115"/>
      <c r="M682" s="116"/>
      <c r="N682" s="116"/>
      <c r="O682" s="116"/>
      <c r="P682" s="116"/>
      <c r="Q682" s="116"/>
    </row>
    <row r="683">
      <c r="A683" s="111"/>
      <c r="B683" s="111"/>
      <c r="C683" s="111"/>
      <c r="D683" s="111"/>
      <c r="E683" s="111"/>
      <c r="F683" s="112"/>
      <c r="G683" s="111"/>
      <c r="H683" s="111"/>
      <c r="I683" s="113"/>
      <c r="J683" s="114"/>
      <c r="K683" s="115"/>
      <c r="L683" s="115"/>
      <c r="M683" s="116"/>
      <c r="N683" s="116"/>
      <c r="O683" s="116"/>
      <c r="P683" s="116"/>
      <c r="Q683" s="116"/>
    </row>
    <row r="684">
      <c r="A684" s="111"/>
      <c r="B684" s="111"/>
      <c r="C684" s="111"/>
      <c r="D684" s="111"/>
      <c r="E684" s="111"/>
      <c r="F684" s="112"/>
      <c r="G684" s="111"/>
      <c r="H684" s="111"/>
      <c r="I684" s="113"/>
      <c r="J684" s="114"/>
      <c r="K684" s="115"/>
      <c r="L684" s="115"/>
      <c r="M684" s="116"/>
      <c r="N684" s="116"/>
      <c r="O684" s="116"/>
      <c r="P684" s="116"/>
      <c r="Q684" s="116"/>
    </row>
    <row r="685">
      <c r="A685" s="111"/>
      <c r="B685" s="111"/>
      <c r="C685" s="111"/>
      <c r="D685" s="111"/>
      <c r="E685" s="111"/>
      <c r="F685" s="112"/>
      <c r="G685" s="111"/>
      <c r="H685" s="111"/>
      <c r="I685" s="113"/>
      <c r="J685" s="114"/>
      <c r="K685" s="115"/>
      <c r="L685" s="115"/>
      <c r="M685" s="116"/>
      <c r="N685" s="116"/>
      <c r="O685" s="116"/>
      <c r="P685" s="116"/>
      <c r="Q685" s="116"/>
    </row>
    <row r="686">
      <c r="A686" s="111"/>
      <c r="B686" s="111"/>
      <c r="C686" s="111"/>
      <c r="D686" s="111"/>
      <c r="E686" s="111"/>
      <c r="F686" s="112"/>
      <c r="G686" s="111"/>
      <c r="H686" s="111"/>
      <c r="I686" s="113"/>
      <c r="J686" s="114"/>
      <c r="K686" s="115"/>
      <c r="L686" s="115"/>
      <c r="M686" s="116"/>
      <c r="N686" s="116"/>
      <c r="O686" s="116"/>
      <c r="P686" s="116"/>
      <c r="Q686" s="116"/>
    </row>
    <row r="687">
      <c r="A687" s="111"/>
      <c r="B687" s="111"/>
      <c r="C687" s="111"/>
      <c r="D687" s="111"/>
      <c r="E687" s="111"/>
      <c r="F687" s="112"/>
      <c r="G687" s="111"/>
      <c r="H687" s="111"/>
      <c r="I687" s="113"/>
      <c r="J687" s="114"/>
      <c r="K687" s="115"/>
      <c r="L687" s="115"/>
      <c r="M687" s="116"/>
      <c r="N687" s="116"/>
      <c r="O687" s="116"/>
      <c r="P687" s="116"/>
      <c r="Q687" s="116"/>
    </row>
    <row r="688">
      <c r="A688" s="111"/>
      <c r="B688" s="111"/>
      <c r="C688" s="111"/>
      <c r="D688" s="111"/>
      <c r="E688" s="111"/>
      <c r="F688" s="112"/>
      <c r="G688" s="111"/>
      <c r="H688" s="111"/>
      <c r="I688" s="113"/>
      <c r="J688" s="114"/>
      <c r="K688" s="115"/>
      <c r="L688" s="115"/>
      <c r="M688" s="116"/>
      <c r="N688" s="116"/>
      <c r="O688" s="116"/>
      <c r="P688" s="116"/>
      <c r="Q688" s="116"/>
    </row>
    <row r="689">
      <c r="A689" s="111"/>
      <c r="B689" s="111"/>
      <c r="C689" s="111"/>
      <c r="D689" s="111"/>
      <c r="E689" s="111"/>
      <c r="F689" s="112"/>
      <c r="G689" s="111"/>
      <c r="H689" s="111"/>
      <c r="I689" s="113"/>
      <c r="J689" s="114"/>
      <c r="K689" s="115"/>
      <c r="L689" s="115"/>
      <c r="M689" s="116"/>
      <c r="N689" s="116"/>
      <c r="O689" s="116"/>
      <c r="P689" s="116"/>
      <c r="Q689" s="116"/>
    </row>
    <row r="690">
      <c r="A690" s="111"/>
      <c r="B690" s="111"/>
      <c r="C690" s="111"/>
      <c r="D690" s="111"/>
      <c r="E690" s="111"/>
      <c r="F690" s="112"/>
      <c r="G690" s="111"/>
      <c r="H690" s="111"/>
      <c r="I690" s="113"/>
      <c r="J690" s="114"/>
      <c r="K690" s="115"/>
      <c r="L690" s="115"/>
      <c r="M690" s="116"/>
      <c r="N690" s="116"/>
      <c r="O690" s="116"/>
      <c r="P690" s="116"/>
      <c r="Q690" s="116"/>
    </row>
    <row r="691">
      <c r="A691" s="111"/>
      <c r="B691" s="111"/>
      <c r="C691" s="111"/>
      <c r="D691" s="111"/>
      <c r="E691" s="111"/>
      <c r="F691" s="112"/>
      <c r="G691" s="111"/>
      <c r="H691" s="111"/>
      <c r="I691" s="113"/>
      <c r="J691" s="114"/>
      <c r="K691" s="115"/>
      <c r="L691" s="115"/>
      <c r="M691" s="116"/>
      <c r="N691" s="116"/>
      <c r="O691" s="116"/>
      <c r="P691" s="116"/>
      <c r="Q691" s="116"/>
    </row>
    <row r="692">
      <c r="A692" s="111"/>
      <c r="B692" s="111"/>
      <c r="C692" s="111"/>
      <c r="D692" s="111"/>
      <c r="E692" s="111"/>
      <c r="F692" s="112"/>
      <c r="G692" s="111"/>
      <c r="H692" s="111"/>
      <c r="I692" s="113"/>
      <c r="J692" s="114"/>
      <c r="K692" s="115"/>
      <c r="L692" s="115"/>
      <c r="M692" s="116"/>
      <c r="N692" s="116"/>
      <c r="O692" s="116"/>
      <c r="P692" s="116"/>
      <c r="Q692" s="116"/>
    </row>
    <row r="693">
      <c r="A693" s="111"/>
      <c r="B693" s="111"/>
      <c r="C693" s="111"/>
      <c r="D693" s="111"/>
      <c r="E693" s="111"/>
      <c r="F693" s="112"/>
      <c r="G693" s="111"/>
      <c r="H693" s="111"/>
      <c r="I693" s="113"/>
      <c r="J693" s="114"/>
      <c r="K693" s="115"/>
      <c r="L693" s="115"/>
      <c r="M693" s="116"/>
      <c r="N693" s="116"/>
      <c r="O693" s="116"/>
      <c r="P693" s="116"/>
      <c r="Q693" s="116"/>
    </row>
    <row r="694">
      <c r="A694" s="111"/>
      <c r="B694" s="111"/>
      <c r="C694" s="111"/>
      <c r="D694" s="111"/>
      <c r="E694" s="111"/>
      <c r="F694" s="112"/>
      <c r="G694" s="111"/>
      <c r="H694" s="111"/>
      <c r="I694" s="113"/>
      <c r="J694" s="114"/>
      <c r="K694" s="115"/>
      <c r="L694" s="115"/>
      <c r="M694" s="116"/>
      <c r="N694" s="116"/>
      <c r="O694" s="116"/>
      <c r="P694" s="116"/>
      <c r="Q694" s="116"/>
    </row>
    <row r="695">
      <c r="A695" s="111"/>
      <c r="B695" s="111"/>
      <c r="C695" s="111"/>
      <c r="D695" s="111"/>
      <c r="E695" s="111"/>
      <c r="F695" s="112"/>
      <c r="G695" s="111"/>
      <c r="H695" s="111"/>
      <c r="I695" s="113"/>
      <c r="J695" s="114"/>
      <c r="K695" s="115"/>
      <c r="L695" s="115"/>
      <c r="M695" s="116"/>
      <c r="N695" s="116"/>
      <c r="O695" s="116"/>
      <c r="P695" s="116"/>
      <c r="Q695" s="116"/>
    </row>
    <row r="696">
      <c r="A696" s="111"/>
      <c r="B696" s="111"/>
      <c r="C696" s="111"/>
      <c r="D696" s="111"/>
      <c r="E696" s="111"/>
      <c r="F696" s="112"/>
      <c r="G696" s="111"/>
      <c r="H696" s="111"/>
      <c r="I696" s="113"/>
      <c r="J696" s="114"/>
      <c r="K696" s="115"/>
      <c r="L696" s="115"/>
      <c r="M696" s="116"/>
      <c r="N696" s="116"/>
      <c r="O696" s="116"/>
      <c r="P696" s="116"/>
      <c r="Q696" s="116"/>
    </row>
    <row r="697">
      <c r="A697" s="111"/>
      <c r="B697" s="111"/>
      <c r="C697" s="111"/>
      <c r="D697" s="111"/>
      <c r="E697" s="111"/>
      <c r="F697" s="112"/>
      <c r="G697" s="111"/>
      <c r="H697" s="111"/>
      <c r="I697" s="113"/>
      <c r="J697" s="114"/>
      <c r="K697" s="115"/>
      <c r="L697" s="115"/>
      <c r="M697" s="116"/>
      <c r="N697" s="116"/>
      <c r="O697" s="116"/>
      <c r="P697" s="116"/>
      <c r="Q697" s="116"/>
    </row>
    <row r="698">
      <c r="A698" s="111"/>
      <c r="B698" s="111"/>
      <c r="C698" s="111"/>
      <c r="D698" s="111"/>
      <c r="E698" s="111"/>
      <c r="F698" s="112"/>
      <c r="G698" s="111"/>
      <c r="H698" s="111"/>
      <c r="I698" s="113"/>
      <c r="J698" s="114"/>
      <c r="K698" s="115"/>
      <c r="L698" s="115"/>
      <c r="M698" s="116"/>
      <c r="N698" s="116"/>
      <c r="O698" s="116"/>
      <c r="P698" s="116"/>
      <c r="Q698" s="116"/>
    </row>
    <row r="699">
      <c r="A699" s="111"/>
      <c r="B699" s="111"/>
      <c r="C699" s="111"/>
      <c r="D699" s="111"/>
      <c r="E699" s="111"/>
      <c r="F699" s="112"/>
      <c r="G699" s="111"/>
      <c r="H699" s="111"/>
      <c r="I699" s="113"/>
      <c r="J699" s="114"/>
      <c r="K699" s="115"/>
      <c r="L699" s="115"/>
      <c r="M699" s="116"/>
      <c r="N699" s="116"/>
      <c r="O699" s="116"/>
      <c r="P699" s="116"/>
      <c r="Q699" s="116"/>
    </row>
    <row r="700">
      <c r="A700" s="111"/>
      <c r="B700" s="111"/>
      <c r="C700" s="111"/>
      <c r="D700" s="111"/>
      <c r="E700" s="111"/>
      <c r="F700" s="112"/>
      <c r="G700" s="111"/>
      <c r="H700" s="111"/>
      <c r="I700" s="113"/>
      <c r="J700" s="114"/>
      <c r="K700" s="115"/>
      <c r="L700" s="115"/>
      <c r="M700" s="116"/>
      <c r="N700" s="116"/>
      <c r="O700" s="116"/>
      <c r="P700" s="116"/>
      <c r="Q700" s="116"/>
    </row>
    <row r="701">
      <c r="A701" s="111"/>
      <c r="B701" s="111"/>
      <c r="C701" s="111"/>
      <c r="D701" s="111"/>
      <c r="E701" s="111"/>
      <c r="F701" s="112"/>
      <c r="G701" s="111"/>
      <c r="H701" s="111"/>
      <c r="I701" s="113"/>
      <c r="J701" s="114"/>
      <c r="K701" s="115"/>
      <c r="L701" s="115"/>
      <c r="M701" s="116"/>
      <c r="N701" s="116"/>
      <c r="O701" s="116"/>
      <c r="P701" s="116"/>
      <c r="Q701" s="116"/>
    </row>
    <row r="702">
      <c r="A702" s="111"/>
      <c r="B702" s="111"/>
      <c r="C702" s="111"/>
      <c r="D702" s="111"/>
      <c r="E702" s="111"/>
      <c r="F702" s="112"/>
      <c r="G702" s="111"/>
      <c r="H702" s="111"/>
      <c r="I702" s="113"/>
      <c r="J702" s="114"/>
      <c r="K702" s="115"/>
      <c r="L702" s="115"/>
      <c r="M702" s="116"/>
      <c r="N702" s="116"/>
      <c r="O702" s="116"/>
      <c r="P702" s="116"/>
      <c r="Q702" s="116"/>
    </row>
    <row r="703">
      <c r="A703" s="111"/>
      <c r="B703" s="111"/>
      <c r="C703" s="111"/>
      <c r="D703" s="111"/>
      <c r="E703" s="111"/>
      <c r="F703" s="112"/>
      <c r="G703" s="111"/>
      <c r="H703" s="111"/>
      <c r="I703" s="113"/>
      <c r="J703" s="114"/>
      <c r="K703" s="115"/>
      <c r="L703" s="115"/>
      <c r="M703" s="116"/>
      <c r="N703" s="116"/>
      <c r="O703" s="116"/>
      <c r="P703" s="116"/>
      <c r="Q703" s="116"/>
    </row>
    <row r="704">
      <c r="A704" s="111"/>
      <c r="B704" s="111"/>
      <c r="C704" s="111"/>
      <c r="D704" s="111"/>
      <c r="E704" s="111"/>
      <c r="F704" s="112"/>
      <c r="G704" s="111"/>
      <c r="H704" s="111"/>
      <c r="I704" s="113"/>
      <c r="J704" s="114"/>
      <c r="K704" s="115"/>
      <c r="L704" s="115"/>
      <c r="M704" s="116"/>
      <c r="N704" s="116"/>
      <c r="O704" s="116"/>
      <c r="P704" s="116"/>
      <c r="Q704" s="116"/>
    </row>
    <row r="705">
      <c r="A705" s="111"/>
      <c r="B705" s="111"/>
      <c r="C705" s="111"/>
      <c r="D705" s="111"/>
      <c r="E705" s="111"/>
      <c r="F705" s="112"/>
      <c r="G705" s="111"/>
      <c r="H705" s="111"/>
      <c r="I705" s="113"/>
      <c r="J705" s="114"/>
      <c r="K705" s="115"/>
      <c r="L705" s="115"/>
      <c r="M705" s="116"/>
      <c r="N705" s="116"/>
      <c r="O705" s="116"/>
      <c r="P705" s="116"/>
      <c r="Q705" s="116"/>
    </row>
    <row r="706">
      <c r="A706" s="111"/>
      <c r="B706" s="111"/>
      <c r="C706" s="111"/>
      <c r="D706" s="111"/>
      <c r="E706" s="111"/>
      <c r="F706" s="112"/>
      <c r="G706" s="111"/>
      <c r="H706" s="111"/>
      <c r="I706" s="113"/>
      <c r="J706" s="114"/>
      <c r="K706" s="115"/>
      <c r="L706" s="115"/>
      <c r="M706" s="116"/>
      <c r="N706" s="116"/>
      <c r="O706" s="116"/>
      <c r="P706" s="116"/>
      <c r="Q706" s="116"/>
    </row>
    <row r="707">
      <c r="A707" s="111"/>
      <c r="B707" s="111"/>
      <c r="C707" s="111"/>
      <c r="D707" s="111"/>
      <c r="E707" s="111"/>
      <c r="F707" s="112"/>
      <c r="G707" s="111"/>
      <c r="H707" s="111"/>
      <c r="I707" s="113"/>
      <c r="J707" s="114"/>
      <c r="K707" s="115"/>
      <c r="L707" s="115"/>
      <c r="M707" s="116"/>
      <c r="N707" s="116"/>
      <c r="O707" s="116"/>
      <c r="P707" s="116"/>
      <c r="Q707" s="116"/>
    </row>
    <row r="708">
      <c r="A708" s="111"/>
      <c r="B708" s="111"/>
      <c r="C708" s="111"/>
      <c r="D708" s="111"/>
      <c r="E708" s="111"/>
      <c r="F708" s="112"/>
      <c r="G708" s="111"/>
      <c r="H708" s="111"/>
      <c r="I708" s="113"/>
      <c r="J708" s="114"/>
      <c r="K708" s="115"/>
      <c r="L708" s="115"/>
      <c r="M708" s="116"/>
      <c r="N708" s="116"/>
      <c r="O708" s="116"/>
      <c r="P708" s="116"/>
      <c r="Q708" s="116"/>
    </row>
    <row r="709">
      <c r="A709" s="111"/>
      <c r="B709" s="111"/>
      <c r="C709" s="111"/>
      <c r="D709" s="111"/>
      <c r="E709" s="111"/>
      <c r="F709" s="112"/>
      <c r="G709" s="111"/>
      <c r="H709" s="111"/>
      <c r="I709" s="113"/>
      <c r="J709" s="114"/>
      <c r="K709" s="115"/>
      <c r="L709" s="115"/>
      <c r="M709" s="116"/>
      <c r="N709" s="116"/>
      <c r="O709" s="116"/>
      <c r="P709" s="116"/>
      <c r="Q709" s="116"/>
    </row>
    <row r="710">
      <c r="A710" s="111"/>
      <c r="B710" s="111"/>
      <c r="C710" s="111"/>
      <c r="D710" s="111"/>
      <c r="E710" s="111"/>
      <c r="F710" s="112"/>
      <c r="G710" s="111"/>
      <c r="H710" s="111"/>
      <c r="I710" s="113"/>
      <c r="J710" s="114"/>
      <c r="K710" s="115"/>
      <c r="L710" s="115"/>
      <c r="M710" s="116"/>
      <c r="N710" s="116"/>
      <c r="O710" s="116"/>
      <c r="P710" s="116"/>
      <c r="Q710" s="116"/>
    </row>
    <row r="711">
      <c r="A711" s="111"/>
      <c r="B711" s="111"/>
      <c r="C711" s="111"/>
      <c r="D711" s="111"/>
      <c r="E711" s="111"/>
      <c r="F711" s="112"/>
      <c r="G711" s="111"/>
      <c r="H711" s="111"/>
      <c r="I711" s="113"/>
      <c r="J711" s="114"/>
      <c r="K711" s="115"/>
      <c r="L711" s="115"/>
      <c r="M711" s="116"/>
      <c r="N711" s="116"/>
      <c r="O711" s="116"/>
      <c r="P711" s="116"/>
      <c r="Q711" s="116"/>
    </row>
    <row r="712">
      <c r="A712" s="111"/>
      <c r="B712" s="111"/>
      <c r="C712" s="111"/>
      <c r="D712" s="111"/>
      <c r="E712" s="111"/>
      <c r="F712" s="112"/>
      <c r="G712" s="111"/>
      <c r="H712" s="111"/>
      <c r="I712" s="113"/>
      <c r="J712" s="114"/>
      <c r="K712" s="115"/>
      <c r="L712" s="115"/>
      <c r="M712" s="116"/>
      <c r="N712" s="116"/>
      <c r="O712" s="116"/>
      <c r="P712" s="116"/>
      <c r="Q712" s="116"/>
    </row>
    <row r="713">
      <c r="A713" s="111"/>
      <c r="B713" s="111"/>
      <c r="C713" s="111"/>
      <c r="D713" s="111"/>
      <c r="E713" s="111"/>
      <c r="F713" s="112"/>
      <c r="G713" s="111"/>
      <c r="H713" s="111"/>
      <c r="I713" s="113"/>
      <c r="J713" s="114"/>
      <c r="K713" s="115"/>
      <c r="L713" s="115"/>
      <c r="M713" s="116"/>
      <c r="N713" s="116"/>
      <c r="O713" s="116"/>
      <c r="P713" s="116"/>
      <c r="Q713" s="116"/>
    </row>
    <row r="714">
      <c r="A714" s="111"/>
      <c r="B714" s="111"/>
      <c r="C714" s="111"/>
      <c r="D714" s="111"/>
      <c r="E714" s="111"/>
      <c r="F714" s="112"/>
      <c r="G714" s="111"/>
      <c r="H714" s="111"/>
      <c r="I714" s="113"/>
      <c r="J714" s="114"/>
      <c r="K714" s="115"/>
      <c r="L714" s="115"/>
      <c r="M714" s="116"/>
      <c r="N714" s="116"/>
      <c r="O714" s="116"/>
      <c r="P714" s="116"/>
      <c r="Q714" s="116"/>
    </row>
    <row r="715">
      <c r="A715" s="111"/>
      <c r="B715" s="111"/>
      <c r="C715" s="111"/>
      <c r="D715" s="111"/>
      <c r="E715" s="111"/>
      <c r="F715" s="112"/>
      <c r="G715" s="111"/>
      <c r="H715" s="111"/>
      <c r="I715" s="113"/>
      <c r="J715" s="114"/>
      <c r="K715" s="115"/>
      <c r="L715" s="115"/>
      <c r="M715" s="116"/>
      <c r="N715" s="116"/>
      <c r="O715" s="116"/>
      <c r="P715" s="116"/>
      <c r="Q715" s="116"/>
    </row>
    <row r="716">
      <c r="A716" s="111"/>
      <c r="B716" s="111"/>
      <c r="C716" s="111"/>
      <c r="D716" s="111"/>
      <c r="E716" s="111"/>
      <c r="F716" s="112"/>
      <c r="G716" s="111"/>
      <c r="H716" s="111"/>
      <c r="I716" s="113"/>
      <c r="J716" s="114"/>
      <c r="K716" s="115"/>
      <c r="L716" s="115"/>
      <c r="M716" s="116"/>
      <c r="N716" s="116"/>
      <c r="O716" s="116"/>
      <c r="P716" s="116"/>
      <c r="Q716" s="116"/>
    </row>
    <row r="717">
      <c r="A717" s="111"/>
      <c r="B717" s="111"/>
      <c r="C717" s="111"/>
      <c r="D717" s="111"/>
      <c r="E717" s="111"/>
      <c r="F717" s="112"/>
      <c r="G717" s="111"/>
      <c r="H717" s="111"/>
      <c r="I717" s="113"/>
      <c r="J717" s="114"/>
      <c r="K717" s="115"/>
      <c r="L717" s="115"/>
      <c r="M717" s="116"/>
      <c r="N717" s="116"/>
      <c r="O717" s="116"/>
      <c r="P717" s="116"/>
      <c r="Q717" s="116"/>
    </row>
    <row r="718">
      <c r="A718" s="111"/>
      <c r="B718" s="111"/>
      <c r="C718" s="111"/>
      <c r="D718" s="111"/>
      <c r="E718" s="111"/>
      <c r="F718" s="112"/>
      <c r="G718" s="111"/>
      <c r="H718" s="111"/>
      <c r="I718" s="113"/>
      <c r="J718" s="114"/>
      <c r="K718" s="115"/>
      <c r="L718" s="115"/>
      <c r="M718" s="116"/>
      <c r="N718" s="116"/>
      <c r="O718" s="116"/>
      <c r="P718" s="116"/>
      <c r="Q718" s="116"/>
    </row>
    <row r="719">
      <c r="A719" s="111"/>
      <c r="B719" s="111"/>
      <c r="C719" s="111"/>
      <c r="D719" s="111"/>
      <c r="E719" s="111"/>
      <c r="F719" s="112"/>
      <c r="G719" s="111"/>
      <c r="H719" s="111"/>
      <c r="I719" s="113"/>
      <c r="J719" s="114"/>
      <c r="K719" s="115"/>
      <c r="L719" s="115"/>
      <c r="M719" s="116"/>
      <c r="N719" s="116"/>
      <c r="O719" s="116"/>
      <c r="P719" s="116"/>
      <c r="Q719" s="116"/>
    </row>
    <row r="720">
      <c r="A720" s="111"/>
      <c r="B720" s="111"/>
      <c r="C720" s="111"/>
      <c r="D720" s="111"/>
      <c r="E720" s="111"/>
      <c r="F720" s="112"/>
      <c r="G720" s="111"/>
      <c r="H720" s="111"/>
      <c r="I720" s="113"/>
      <c r="J720" s="114"/>
      <c r="K720" s="115"/>
      <c r="L720" s="115"/>
      <c r="M720" s="116"/>
      <c r="N720" s="116"/>
      <c r="O720" s="116"/>
      <c r="P720" s="116"/>
      <c r="Q720" s="116"/>
    </row>
    <row r="721">
      <c r="A721" s="111"/>
      <c r="B721" s="111"/>
      <c r="C721" s="111"/>
      <c r="D721" s="111"/>
      <c r="E721" s="111"/>
      <c r="F721" s="112"/>
      <c r="G721" s="111"/>
      <c r="H721" s="111"/>
      <c r="I721" s="113"/>
      <c r="J721" s="114"/>
      <c r="K721" s="115"/>
      <c r="L721" s="115"/>
      <c r="M721" s="116"/>
      <c r="N721" s="116"/>
      <c r="O721" s="116"/>
      <c r="P721" s="116"/>
      <c r="Q721" s="116"/>
    </row>
    <row r="722">
      <c r="A722" s="111"/>
      <c r="B722" s="111"/>
      <c r="C722" s="111"/>
      <c r="D722" s="111"/>
      <c r="E722" s="111"/>
      <c r="F722" s="112"/>
      <c r="G722" s="111"/>
      <c r="H722" s="111"/>
      <c r="I722" s="113"/>
      <c r="J722" s="114"/>
      <c r="K722" s="115"/>
      <c r="L722" s="115"/>
      <c r="M722" s="116"/>
      <c r="N722" s="116"/>
      <c r="O722" s="116"/>
      <c r="P722" s="116"/>
      <c r="Q722" s="116"/>
    </row>
    <row r="723">
      <c r="A723" s="111"/>
      <c r="B723" s="111"/>
      <c r="C723" s="111"/>
      <c r="D723" s="111"/>
      <c r="E723" s="111"/>
      <c r="F723" s="112"/>
      <c r="G723" s="111"/>
      <c r="H723" s="111"/>
      <c r="I723" s="113"/>
      <c r="J723" s="114"/>
      <c r="K723" s="115"/>
      <c r="L723" s="115"/>
      <c r="M723" s="116"/>
      <c r="N723" s="116"/>
      <c r="O723" s="116"/>
      <c r="P723" s="116"/>
      <c r="Q723" s="116"/>
    </row>
    <row r="724">
      <c r="A724" s="111"/>
      <c r="B724" s="111"/>
      <c r="C724" s="111"/>
      <c r="D724" s="111"/>
      <c r="E724" s="111"/>
      <c r="F724" s="112"/>
      <c r="G724" s="111"/>
      <c r="H724" s="111"/>
      <c r="I724" s="113"/>
      <c r="J724" s="114"/>
      <c r="K724" s="115"/>
      <c r="L724" s="115"/>
      <c r="M724" s="116"/>
      <c r="N724" s="116"/>
      <c r="O724" s="116"/>
      <c r="P724" s="116"/>
      <c r="Q724" s="116"/>
    </row>
    <row r="725">
      <c r="A725" s="111"/>
      <c r="B725" s="111"/>
      <c r="C725" s="111"/>
      <c r="D725" s="111"/>
      <c r="E725" s="111"/>
      <c r="F725" s="112"/>
      <c r="G725" s="111"/>
      <c r="H725" s="111"/>
      <c r="I725" s="113"/>
      <c r="J725" s="114"/>
      <c r="K725" s="115"/>
      <c r="L725" s="115"/>
      <c r="M725" s="116"/>
      <c r="N725" s="116"/>
      <c r="O725" s="116"/>
      <c r="P725" s="116"/>
      <c r="Q725" s="116"/>
    </row>
    <row r="726">
      <c r="A726" s="111"/>
      <c r="B726" s="111"/>
      <c r="C726" s="111"/>
      <c r="D726" s="111"/>
      <c r="E726" s="111"/>
      <c r="F726" s="112"/>
      <c r="G726" s="111"/>
      <c r="H726" s="111"/>
      <c r="I726" s="113"/>
      <c r="J726" s="114"/>
      <c r="K726" s="115"/>
      <c r="L726" s="115"/>
      <c r="M726" s="116"/>
      <c r="N726" s="116"/>
      <c r="O726" s="116"/>
      <c r="P726" s="116"/>
      <c r="Q726" s="116"/>
    </row>
    <row r="727">
      <c r="A727" s="111"/>
      <c r="B727" s="111"/>
      <c r="C727" s="111"/>
      <c r="D727" s="111"/>
      <c r="E727" s="111"/>
      <c r="F727" s="112"/>
      <c r="G727" s="111"/>
      <c r="H727" s="111"/>
      <c r="I727" s="113"/>
      <c r="J727" s="114"/>
      <c r="K727" s="115"/>
      <c r="L727" s="115"/>
      <c r="M727" s="116"/>
      <c r="N727" s="116"/>
      <c r="O727" s="116"/>
      <c r="P727" s="116"/>
      <c r="Q727" s="116"/>
    </row>
    <row r="728">
      <c r="A728" s="111"/>
      <c r="B728" s="111"/>
      <c r="C728" s="111"/>
      <c r="D728" s="111"/>
      <c r="E728" s="111"/>
      <c r="F728" s="112"/>
      <c r="G728" s="111"/>
      <c r="H728" s="111"/>
      <c r="I728" s="113"/>
      <c r="J728" s="114"/>
      <c r="K728" s="115"/>
      <c r="L728" s="115"/>
      <c r="M728" s="116"/>
      <c r="N728" s="116"/>
      <c r="O728" s="116"/>
      <c r="P728" s="116"/>
      <c r="Q728" s="116"/>
    </row>
    <row r="729">
      <c r="A729" s="111"/>
      <c r="B729" s="111"/>
      <c r="C729" s="111"/>
      <c r="D729" s="111"/>
      <c r="E729" s="111"/>
      <c r="F729" s="112"/>
      <c r="G729" s="111"/>
      <c r="H729" s="111"/>
      <c r="I729" s="113"/>
      <c r="J729" s="114"/>
      <c r="K729" s="115"/>
      <c r="L729" s="115"/>
      <c r="M729" s="116"/>
      <c r="N729" s="116"/>
      <c r="O729" s="116"/>
      <c r="P729" s="116"/>
      <c r="Q729" s="116"/>
    </row>
    <row r="730">
      <c r="A730" s="111"/>
      <c r="B730" s="111"/>
      <c r="C730" s="111"/>
      <c r="D730" s="111"/>
      <c r="E730" s="111"/>
      <c r="F730" s="112"/>
      <c r="G730" s="111"/>
      <c r="H730" s="111"/>
      <c r="I730" s="113"/>
      <c r="J730" s="114"/>
      <c r="K730" s="115"/>
      <c r="L730" s="115"/>
      <c r="M730" s="116"/>
      <c r="N730" s="116"/>
      <c r="O730" s="116"/>
      <c r="P730" s="116"/>
      <c r="Q730" s="116"/>
    </row>
    <row r="731">
      <c r="A731" s="111"/>
      <c r="B731" s="111"/>
      <c r="C731" s="111"/>
      <c r="D731" s="111"/>
      <c r="E731" s="111"/>
      <c r="F731" s="112"/>
      <c r="G731" s="111"/>
      <c r="H731" s="111"/>
      <c r="I731" s="113"/>
      <c r="J731" s="114"/>
      <c r="K731" s="115"/>
      <c r="L731" s="115"/>
      <c r="M731" s="116"/>
      <c r="N731" s="116"/>
      <c r="O731" s="116"/>
      <c r="P731" s="116"/>
      <c r="Q731" s="116"/>
    </row>
    <row r="732">
      <c r="A732" s="111"/>
      <c r="B732" s="111"/>
      <c r="C732" s="111"/>
      <c r="D732" s="111"/>
      <c r="E732" s="111"/>
      <c r="F732" s="112"/>
      <c r="G732" s="111"/>
      <c r="H732" s="111"/>
      <c r="I732" s="113"/>
      <c r="J732" s="114"/>
      <c r="K732" s="115"/>
      <c r="L732" s="115"/>
      <c r="M732" s="116"/>
      <c r="N732" s="116"/>
      <c r="O732" s="116"/>
      <c r="P732" s="116"/>
      <c r="Q732" s="116"/>
    </row>
    <row r="733">
      <c r="A733" s="111"/>
      <c r="B733" s="111"/>
      <c r="C733" s="111"/>
      <c r="D733" s="111"/>
      <c r="E733" s="111"/>
      <c r="F733" s="112"/>
      <c r="G733" s="111"/>
      <c r="H733" s="111"/>
      <c r="I733" s="113"/>
      <c r="J733" s="114"/>
      <c r="K733" s="115"/>
      <c r="L733" s="115"/>
      <c r="M733" s="116"/>
      <c r="N733" s="116"/>
      <c r="O733" s="116"/>
      <c r="P733" s="116"/>
      <c r="Q733" s="116"/>
    </row>
    <row r="734">
      <c r="A734" s="111"/>
      <c r="B734" s="111"/>
      <c r="C734" s="111"/>
      <c r="D734" s="111"/>
      <c r="E734" s="111"/>
      <c r="F734" s="112"/>
      <c r="G734" s="111"/>
      <c r="H734" s="111"/>
      <c r="I734" s="113"/>
      <c r="J734" s="114"/>
      <c r="K734" s="115"/>
      <c r="L734" s="115"/>
      <c r="M734" s="116"/>
      <c r="N734" s="116"/>
      <c r="O734" s="116"/>
      <c r="P734" s="116"/>
      <c r="Q734" s="116"/>
    </row>
    <row r="735">
      <c r="A735" s="111"/>
      <c r="B735" s="111"/>
      <c r="C735" s="111"/>
      <c r="D735" s="111"/>
      <c r="E735" s="111"/>
      <c r="F735" s="112"/>
      <c r="G735" s="111"/>
      <c r="H735" s="111"/>
      <c r="I735" s="113"/>
      <c r="J735" s="114"/>
      <c r="K735" s="115"/>
      <c r="L735" s="115"/>
      <c r="M735" s="116"/>
      <c r="N735" s="116"/>
      <c r="O735" s="116"/>
      <c r="P735" s="116"/>
      <c r="Q735" s="116"/>
    </row>
    <row r="736">
      <c r="A736" s="111"/>
      <c r="B736" s="111"/>
      <c r="C736" s="111"/>
      <c r="D736" s="111"/>
      <c r="E736" s="111"/>
      <c r="F736" s="112"/>
      <c r="G736" s="111"/>
      <c r="H736" s="111"/>
      <c r="I736" s="113"/>
      <c r="J736" s="114"/>
      <c r="K736" s="115"/>
      <c r="L736" s="115"/>
      <c r="M736" s="116"/>
      <c r="N736" s="116"/>
      <c r="O736" s="116"/>
      <c r="P736" s="116"/>
      <c r="Q736" s="116"/>
    </row>
    <row r="737">
      <c r="A737" s="111"/>
      <c r="B737" s="111"/>
      <c r="C737" s="111"/>
      <c r="D737" s="111"/>
      <c r="E737" s="111"/>
      <c r="F737" s="112"/>
      <c r="G737" s="111"/>
      <c r="H737" s="111"/>
      <c r="I737" s="113"/>
      <c r="J737" s="114"/>
      <c r="K737" s="115"/>
      <c r="L737" s="115"/>
      <c r="M737" s="116"/>
      <c r="N737" s="116"/>
      <c r="O737" s="116"/>
      <c r="P737" s="116"/>
      <c r="Q737" s="116"/>
    </row>
    <row r="738">
      <c r="A738" s="111"/>
      <c r="B738" s="111"/>
      <c r="C738" s="111"/>
      <c r="D738" s="111"/>
      <c r="E738" s="111"/>
      <c r="F738" s="112"/>
      <c r="G738" s="111"/>
      <c r="H738" s="111"/>
      <c r="I738" s="113"/>
      <c r="J738" s="114"/>
      <c r="K738" s="115"/>
      <c r="L738" s="115"/>
      <c r="M738" s="116"/>
      <c r="N738" s="116"/>
      <c r="O738" s="116"/>
      <c r="P738" s="116"/>
      <c r="Q738" s="116"/>
    </row>
    <row r="739">
      <c r="A739" s="111"/>
      <c r="B739" s="111"/>
      <c r="C739" s="111"/>
      <c r="D739" s="111"/>
      <c r="E739" s="111"/>
      <c r="F739" s="112"/>
      <c r="G739" s="111"/>
      <c r="H739" s="111"/>
      <c r="I739" s="113"/>
      <c r="J739" s="114"/>
      <c r="K739" s="115"/>
      <c r="L739" s="115"/>
      <c r="M739" s="116"/>
      <c r="N739" s="116"/>
      <c r="O739" s="116"/>
      <c r="P739" s="116"/>
      <c r="Q739" s="116"/>
    </row>
    <row r="740">
      <c r="A740" s="111"/>
      <c r="B740" s="111"/>
      <c r="C740" s="111"/>
      <c r="D740" s="111"/>
      <c r="E740" s="111"/>
      <c r="F740" s="112"/>
      <c r="G740" s="111"/>
      <c r="H740" s="111"/>
      <c r="I740" s="113"/>
      <c r="J740" s="114"/>
      <c r="K740" s="115"/>
      <c r="L740" s="115"/>
      <c r="M740" s="116"/>
      <c r="N740" s="116"/>
      <c r="O740" s="116"/>
      <c r="P740" s="116"/>
      <c r="Q740" s="116"/>
    </row>
    <row r="741">
      <c r="A741" s="111"/>
      <c r="B741" s="111"/>
      <c r="C741" s="111"/>
      <c r="D741" s="111"/>
      <c r="E741" s="111"/>
      <c r="F741" s="112"/>
      <c r="G741" s="111"/>
      <c r="H741" s="111"/>
      <c r="I741" s="113"/>
      <c r="J741" s="114"/>
      <c r="K741" s="115"/>
      <c r="L741" s="115"/>
      <c r="M741" s="116"/>
      <c r="N741" s="116"/>
      <c r="O741" s="116"/>
      <c r="P741" s="116"/>
      <c r="Q741" s="116"/>
    </row>
    <row r="742">
      <c r="A742" s="111"/>
      <c r="B742" s="111"/>
      <c r="C742" s="111"/>
      <c r="D742" s="111"/>
      <c r="E742" s="111"/>
      <c r="F742" s="112"/>
      <c r="G742" s="111"/>
      <c r="H742" s="111"/>
      <c r="I742" s="113"/>
      <c r="J742" s="114"/>
      <c r="K742" s="115"/>
      <c r="L742" s="115"/>
      <c r="M742" s="116"/>
      <c r="N742" s="116"/>
      <c r="O742" s="116"/>
      <c r="P742" s="116"/>
      <c r="Q742" s="116"/>
    </row>
    <row r="743">
      <c r="A743" s="111"/>
      <c r="B743" s="111"/>
      <c r="C743" s="111"/>
      <c r="D743" s="111"/>
      <c r="E743" s="111"/>
      <c r="F743" s="112"/>
      <c r="G743" s="111"/>
      <c r="H743" s="111"/>
      <c r="I743" s="113"/>
      <c r="J743" s="114"/>
      <c r="K743" s="115"/>
      <c r="L743" s="115"/>
      <c r="M743" s="116"/>
      <c r="N743" s="116"/>
      <c r="O743" s="116"/>
      <c r="P743" s="116"/>
      <c r="Q743" s="116"/>
    </row>
    <row r="744">
      <c r="A744" s="111"/>
      <c r="B744" s="111"/>
      <c r="C744" s="111"/>
      <c r="D744" s="111"/>
      <c r="E744" s="111"/>
      <c r="F744" s="112"/>
      <c r="G744" s="111"/>
      <c r="H744" s="111"/>
      <c r="I744" s="113"/>
      <c r="J744" s="114"/>
      <c r="K744" s="115"/>
      <c r="L744" s="115"/>
      <c r="M744" s="116"/>
      <c r="N744" s="116"/>
      <c r="O744" s="116"/>
      <c r="P744" s="116"/>
      <c r="Q744" s="116"/>
    </row>
    <row r="745">
      <c r="A745" s="111"/>
      <c r="B745" s="111"/>
      <c r="C745" s="111"/>
      <c r="D745" s="111"/>
      <c r="E745" s="111"/>
      <c r="F745" s="112"/>
      <c r="G745" s="111"/>
      <c r="H745" s="111"/>
      <c r="I745" s="113"/>
      <c r="J745" s="114"/>
      <c r="K745" s="115"/>
      <c r="L745" s="115"/>
      <c r="M745" s="116"/>
      <c r="N745" s="116"/>
      <c r="O745" s="116"/>
      <c r="P745" s="116"/>
      <c r="Q745" s="116"/>
    </row>
    <row r="746">
      <c r="A746" s="111"/>
      <c r="B746" s="111"/>
      <c r="C746" s="111"/>
      <c r="D746" s="111"/>
      <c r="E746" s="111"/>
      <c r="F746" s="112"/>
      <c r="G746" s="111"/>
      <c r="H746" s="111"/>
      <c r="I746" s="113"/>
      <c r="J746" s="114"/>
      <c r="K746" s="115"/>
      <c r="L746" s="115"/>
      <c r="M746" s="116"/>
      <c r="N746" s="116"/>
      <c r="O746" s="116"/>
      <c r="P746" s="116"/>
      <c r="Q746" s="116"/>
    </row>
    <row r="747">
      <c r="A747" s="111"/>
      <c r="B747" s="111"/>
      <c r="C747" s="111"/>
      <c r="D747" s="111"/>
      <c r="E747" s="111"/>
      <c r="F747" s="112"/>
      <c r="G747" s="111"/>
      <c r="H747" s="111"/>
      <c r="I747" s="113"/>
      <c r="J747" s="114"/>
      <c r="K747" s="115"/>
      <c r="L747" s="115"/>
      <c r="M747" s="116"/>
      <c r="N747" s="116"/>
      <c r="O747" s="116"/>
      <c r="P747" s="116"/>
      <c r="Q747" s="116"/>
    </row>
    <row r="748">
      <c r="A748" s="111"/>
      <c r="B748" s="111"/>
      <c r="C748" s="111"/>
      <c r="D748" s="111"/>
      <c r="E748" s="111"/>
      <c r="F748" s="112"/>
      <c r="G748" s="111"/>
      <c r="H748" s="111"/>
      <c r="I748" s="113"/>
      <c r="J748" s="114"/>
      <c r="K748" s="115"/>
      <c r="L748" s="115"/>
      <c r="M748" s="116"/>
      <c r="N748" s="116"/>
      <c r="O748" s="116"/>
      <c r="P748" s="116"/>
      <c r="Q748" s="116"/>
    </row>
    <row r="749">
      <c r="A749" s="111"/>
      <c r="B749" s="111"/>
      <c r="C749" s="111"/>
      <c r="D749" s="111"/>
      <c r="E749" s="111"/>
      <c r="F749" s="112"/>
      <c r="G749" s="111"/>
      <c r="H749" s="111"/>
      <c r="I749" s="113"/>
      <c r="J749" s="114"/>
      <c r="K749" s="115"/>
      <c r="L749" s="115"/>
      <c r="M749" s="116"/>
      <c r="N749" s="116"/>
      <c r="O749" s="116"/>
      <c r="P749" s="116"/>
      <c r="Q749" s="116"/>
    </row>
    <row r="750">
      <c r="A750" s="111"/>
      <c r="B750" s="111"/>
      <c r="C750" s="111"/>
      <c r="D750" s="111"/>
      <c r="E750" s="111"/>
      <c r="F750" s="112"/>
      <c r="G750" s="111"/>
      <c r="H750" s="111"/>
      <c r="I750" s="113"/>
      <c r="J750" s="114"/>
      <c r="K750" s="115"/>
      <c r="L750" s="115"/>
      <c r="M750" s="116"/>
      <c r="N750" s="116"/>
      <c r="O750" s="116"/>
      <c r="P750" s="116"/>
      <c r="Q750" s="116"/>
    </row>
    <row r="751">
      <c r="A751" s="111"/>
      <c r="B751" s="111"/>
      <c r="C751" s="111"/>
      <c r="D751" s="111"/>
      <c r="E751" s="111"/>
      <c r="F751" s="112"/>
      <c r="G751" s="111"/>
      <c r="H751" s="111"/>
      <c r="I751" s="113"/>
      <c r="J751" s="114"/>
      <c r="K751" s="115"/>
      <c r="L751" s="115"/>
      <c r="M751" s="116"/>
      <c r="N751" s="116"/>
      <c r="O751" s="116"/>
      <c r="P751" s="116"/>
      <c r="Q751" s="116"/>
    </row>
    <row r="752">
      <c r="A752" s="111"/>
      <c r="B752" s="111"/>
      <c r="C752" s="111"/>
      <c r="D752" s="111"/>
      <c r="E752" s="111"/>
      <c r="F752" s="112"/>
      <c r="G752" s="111"/>
      <c r="H752" s="111"/>
      <c r="I752" s="113"/>
      <c r="J752" s="114"/>
      <c r="K752" s="115"/>
      <c r="L752" s="115"/>
      <c r="M752" s="116"/>
      <c r="N752" s="116"/>
      <c r="O752" s="116"/>
      <c r="P752" s="116"/>
      <c r="Q752" s="116"/>
    </row>
    <row r="753">
      <c r="A753" s="111"/>
      <c r="B753" s="111"/>
      <c r="C753" s="111"/>
      <c r="D753" s="111"/>
      <c r="E753" s="111"/>
      <c r="F753" s="112"/>
      <c r="G753" s="111"/>
      <c r="H753" s="111"/>
      <c r="I753" s="113"/>
      <c r="J753" s="114"/>
      <c r="K753" s="115"/>
      <c r="L753" s="115"/>
      <c r="M753" s="116"/>
      <c r="N753" s="116"/>
      <c r="O753" s="116"/>
      <c r="P753" s="116"/>
      <c r="Q753" s="116"/>
    </row>
    <row r="754">
      <c r="A754" s="111"/>
      <c r="B754" s="111"/>
      <c r="C754" s="111"/>
      <c r="D754" s="111"/>
      <c r="E754" s="111"/>
      <c r="F754" s="112"/>
      <c r="G754" s="111"/>
      <c r="H754" s="111"/>
      <c r="I754" s="113"/>
      <c r="J754" s="114"/>
      <c r="K754" s="115"/>
      <c r="L754" s="115"/>
      <c r="M754" s="116"/>
      <c r="N754" s="116"/>
      <c r="O754" s="116"/>
      <c r="P754" s="116"/>
      <c r="Q754" s="116"/>
    </row>
    <row r="755">
      <c r="A755" s="111"/>
      <c r="B755" s="111"/>
      <c r="C755" s="111"/>
      <c r="D755" s="111"/>
      <c r="E755" s="111"/>
      <c r="F755" s="112"/>
      <c r="G755" s="111"/>
      <c r="H755" s="111"/>
      <c r="I755" s="113"/>
      <c r="J755" s="114"/>
      <c r="K755" s="115"/>
      <c r="L755" s="115"/>
      <c r="M755" s="116"/>
      <c r="N755" s="116"/>
      <c r="O755" s="116"/>
      <c r="P755" s="116"/>
      <c r="Q755" s="116"/>
    </row>
    <row r="756">
      <c r="A756" s="111"/>
      <c r="B756" s="111"/>
      <c r="C756" s="111"/>
      <c r="D756" s="111"/>
      <c r="E756" s="111"/>
      <c r="F756" s="112"/>
      <c r="G756" s="111"/>
      <c r="H756" s="111"/>
      <c r="I756" s="113"/>
      <c r="J756" s="114"/>
      <c r="K756" s="115"/>
      <c r="L756" s="115"/>
      <c r="M756" s="116"/>
      <c r="N756" s="116"/>
      <c r="O756" s="116"/>
      <c r="P756" s="116"/>
      <c r="Q756" s="116"/>
    </row>
    <row r="757">
      <c r="A757" s="111"/>
      <c r="B757" s="111"/>
      <c r="C757" s="111"/>
      <c r="D757" s="111"/>
      <c r="E757" s="111"/>
      <c r="F757" s="112"/>
      <c r="G757" s="111"/>
      <c r="H757" s="111"/>
      <c r="I757" s="113"/>
      <c r="J757" s="114"/>
      <c r="K757" s="115"/>
      <c r="L757" s="115"/>
      <c r="M757" s="116"/>
      <c r="N757" s="116"/>
      <c r="O757" s="116"/>
      <c r="P757" s="116"/>
      <c r="Q757" s="116"/>
    </row>
    <row r="758">
      <c r="A758" s="111"/>
      <c r="B758" s="111"/>
      <c r="C758" s="111"/>
      <c r="D758" s="111"/>
      <c r="E758" s="111"/>
      <c r="F758" s="112"/>
      <c r="G758" s="111"/>
      <c r="H758" s="111"/>
      <c r="I758" s="113"/>
      <c r="J758" s="114"/>
      <c r="K758" s="115"/>
      <c r="L758" s="115"/>
      <c r="M758" s="116"/>
      <c r="N758" s="116"/>
      <c r="O758" s="116"/>
      <c r="P758" s="116"/>
      <c r="Q758" s="116"/>
    </row>
    <row r="759">
      <c r="A759" s="111"/>
      <c r="B759" s="111"/>
      <c r="C759" s="111"/>
      <c r="D759" s="111"/>
      <c r="E759" s="111"/>
      <c r="F759" s="112"/>
      <c r="G759" s="111"/>
      <c r="H759" s="111"/>
      <c r="I759" s="113"/>
      <c r="J759" s="114"/>
      <c r="K759" s="115"/>
      <c r="L759" s="115"/>
      <c r="M759" s="116"/>
      <c r="N759" s="116"/>
      <c r="O759" s="116"/>
      <c r="P759" s="116"/>
      <c r="Q759" s="116"/>
    </row>
    <row r="760">
      <c r="A760" s="111"/>
      <c r="B760" s="111"/>
      <c r="C760" s="111"/>
      <c r="D760" s="111"/>
      <c r="E760" s="111"/>
      <c r="F760" s="112"/>
      <c r="G760" s="111"/>
      <c r="H760" s="111"/>
      <c r="I760" s="113"/>
      <c r="J760" s="114"/>
      <c r="K760" s="115"/>
      <c r="L760" s="115"/>
      <c r="M760" s="116"/>
      <c r="N760" s="116"/>
      <c r="O760" s="116"/>
      <c r="P760" s="116"/>
      <c r="Q760" s="116"/>
    </row>
    <row r="761">
      <c r="A761" s="111"/>
      <c r="B761" s="111"/>
      <c r="C761" s="111"/>
      <c r="D761" s="111"/>
      <c r="E761" s="111"/>
      <c r="F761" s="112"/>
      <c r="G761" s="111"/>
      <c r="H761" s="111"/>
      <c r="I761" s="113"/>
      <c r="J761" s="114"/>
      <c r="K761" s="115"/>
      <c r="L761" s="115"/>
      <c r="M761" s="116"/>
      <c r="N761" s="116"/>
      <c r="O761" s="116"/>
      <c r="P761" s="116"/>
      <c r="Q761" s="116"/>
    </row>
    <row r="762">
      <c r="A762" s="111"/>
      <c r="B762" s="111"/>
      <c r="C762" s="111"/>
      <c r="D762" s="111"/>
      <c r="E762" s="111"/>
      <c r="F762" s="112"/>
      <c r="G762" s="111"/>
      <c r="H762" s="111"/>
      <c r="I762" s="113"/>
      <c r="J762" s="114"/>
      <c r="K762" s="115"/>
      <c r="L762" s="115"/>
      <c r="M762" s="116"/>
      <c r="N762" s="116"/>
      <c r="O762" s="116"/>
      <c r="P762" s="116"/>
      <c r="Q762" s="116"/>
    </row>
    <row r="763">
      <c r="A763" s="111"/>
      <c r="B763" s="111"/>
      <c r="C763" s="111"/>
      <c r="D763" s="111"/>
      <c r="E763" s="111"/>
      <c r="F763" s="112"/>
      <c r="G763" s="111"/>
      <c r="H763" s="111"/>
      <c r="I763" s="113"/>
      <c r="J763" s="114"/>
      <c r="K763" s="115"/>
      <c r="L763" s="115"/>
      <c r="M763" s="116"/>
      <c r="N763" s="116"/>
      <c r="O763" s="116"/>
      <c r="P763" s="116"/>
      <c r="Q763" s="116"/>
    </row>
    <row r="764">
      <c r="A764" s="111"/>
      <c r="B764" s="111"/>
      <c r="C764" s="111"/>
      <c r="D764" s="111"/>
      <c r="E764" s="111"/>
      <c r="F764" s="112"/>
      <c r="G764" s="111"/>
      <c r="H764" s="111"/>
      <c r="I764" s="113"/>
      <c r="J764" s="114"/>
      <c r="K764" s="115"/>
      <c r="L764" s="115"/>
      <c r="M764" s="116"/>
      <c r="N764" s="116"/>
      <c r="O764" s="116"/>
      <c r="P764" s="116"/>
      <c r="Q764" s="116"/>
    </row>
    <row r="765">
      <c r="A765" s="111"/>
      <c r="B765" s="111"/>
      <c r="C765" s="111"/>
      <c r="D765" s="111"/>
      <c r="E765" s="111"/>
      <c r="F765" s="112"/>
      <c r="G765" s="111"/>
      <c r="H765" s="111"/>
      <c r="I765" s="113"/>
      <c r="J765" s="114"/>
      <c r="K765" s="115"/>
      <c r="L765" s="115"/>
      <c r="M765" s="116"/>
      <c r="N765" s="116"/>
      <c r="O765" s="116"/>
      <c r="P765" s="116"/>
      <c r="Q765" s="116"/>
    </row>
    <row r="766">
      <c r="A766" s="111"/>
      <c r="B766" s="111"/>
      <c r="C766" s="111"/>
      <c r="D766" s="111"/>
      <c r="E766" s="111"/>
      <c r="F766" s="112"/>
      <c r="G766" s="111"/>
      <c r="H766" s="111"/>
      <c r="I766" s="113"/>
      <c r="J766" s="114"/>
      <c r="K766" s="115"/>
      <c r="L766" s="115"/>
      <c r="M766" s="116"/>
      <c r="N766" s="116"/>
      <c r="O766" s="116"/>
      <c r="P766" s="116"/>
      <c r="Q766" s="116"/>
    </row>
    <row r="767">
      <c r="A767" s="111"/>
      <c r="B767" s="111"/>
      <c r="C767" s="111"/>
      <c r="D767" s="111"/>
      <c r="E767" s="111"/>
      <c r="F767" s="112"/>
      <c r="G767" s="111"/>
      <c r="H767" s="111"/>
      <c r="I767" s="113"/>
      <c r="J767" s="114"/>
      <c r="K767" s="115"/>
      <c r="L767" s="115"/>
      <c r="M767" s="116"/>
      <c r="N767" s="116"/>
      <c r="O767" s="116"/>
      <c r="P767" s="116"/>
      <c r="Q767" s="116"/>
    </row>
    <row r="768">
      <c r="A768" s="111"/>
      <c r="B768" s="111"/>
      <c r="C768" s="111"/>
      <c r="D768" s="111"/>
      <c r="E768" s="111"/>
      <c r="F768" s="112"/>
      <c r="G768" s="111"/>
      <c r="H768" s="111"/>
      <c r="I768" s="113"/>
      <c r="J768" s="114"/>
      <c r="K768" s="115"/>
      <c r="L768" s="115"/>
      <c r="M768" s="116"/>
      <c r="N768" s="116"/>
      <c r="O768" s="116"/>
      <c r="P768" s="116"/>
      <c r="Q768" s="116"/>
    </row>
    <row r="769">
      <c r="A769" s="111"/>
      <c r="B769" s="111"/>
      <c r="C769" s="111"/>
      <c r="D769" s="111"/>
      <c r="E769" s="111"/>
      <c r="F769" s="112"/>
      <c r="G769" s="111"/>
      <c r="H769" s="111"/>
      <c r="I769" s="113"/>
      <c r="J769" s="114"/>
      <c r="K769" s="115"/>
      <c r="L769" s="115"/>
      <c r="M769" s="116"/>
      <c r="N769" s="116"/>
      <c r="O769" s="116"/>
      <c r="P769" s="116"/>
      <c r="Q769" s="116"/>
    </row>
    <row r="770">
      <c r="A770" s="111"/>
      <c r="B770" s="111"/>
      <c r="C770" s="111"/>
      <c r="D770" s="111"/>
      <c r="E770" s="111"/>
      <c r="F770" s="112"/>
      <c r="G770" s="111"/>
      <c r="H770" s="111"/>
      <c r="I770" s="113"/>
      <c r="J770" s="114"/>
      <c r="K770" s="115"/>
      <c r="L770" s="115"/>
      <c r="M770" s="116"/>
      <c r="N770" s="116"/>
      <c r="O770" s="116"/>
      <c r="P770" s="116"/>
      <c r="Q770" s="116"/>
    </row>
    <row r="771">
      <c r="A771" s="111"/>
      <c r="B771" s="111"/>
      <c r="C771" s="111"/>
      <c r="D771" s="111"/>
      <c r="E771" s="111"/>
      <c r="F771" s="112"/>
      <c r="G771" s="111"/>
      <c r="H771" s="111"/>
      <c r="I771" s="113"/>
      <c r="J771" s="114"/>
      <c r="K771" s="115"/>
      <c r="L771" s="115"/>
      <c r="M771" s="116"/>
      <c r="N771" s="116"/>
      <c r="O771" s="116"/>
      <c r="P771" s="116"/>
      <c r="Q771" s="116"/>
    </row>
    <row r="772">
      <c r="A772" s="111"/>
      <c r="B772" s="111"/>
      <c r="C772" s="111"/>
      <c r="D772" s="111"/>
      <c r="E772" s="111"/>
      <c r="F772" s="112"/>
      <c r="G772" s="111"/>
      <c r="H772" s="111"/>
      <c r="I772" s="113"/>
      <c r="J772" s="114"/>
      <c r="K772" s="115"/>
      <c r="L772" s="115"/>
      <c r="M772" s="116"/>
      <c r="N772" s="116"/>
      <c r="O772" s="116"/>
      <c r="P772" s="116"/>
      <c r="Q772" s="116"/>
    </row>
    <row r="773">
      <c r="A773" s="111"/>
      <c r="B773" s="111"/>
      <c r="C773" s="111"/>
      <c r="D773" s="111"/>
      <c r="E773" s="111"/>
      <c r="F773" s="112"/>
      <c r="G773" s="111"/>
      <c r="H773" s="111"/>
      <c r="I773" s="113"/>
      <c r="J773" s="114"/>
      <c r="K773" s="115"/>
      <c r="L773" s="115"/>
      <c r="M773" s="116"/>
      <c r="N773" s="116"/>
      <c r="O773" s="116"/>
      <c r="P773" s="116"/>
      <c r="Q773" s="116"/>
    </row>
    <row r="774">
      <c r="A774" s="111"/>
      <c r="B774" s="111"/>
      <c r="C774" s="111"/>
      <c r="D774" s="111"/>
      <c r="E774" s="111"/>
      <c r="F774" s="112"/>
      <c r="G774" s="111"/>
      <c r="H774" s="111"/>
      <c r="I774" s="113"/>
      <c r="J774" s="114"/>
      <c r="K774" s="115"/>
      <c r="L774" s="115"/>
      <c r="M774" s="116"/>
      <c r="N774" s="116"/>
      <c r="O774" s="116"/>
      <c r="P774" s="116"/>
      <c r="Q774" s="116"/>
    </row>
    <row r="775">
      <c r="A775" s="111"/>
      <c r="B775" s="111"/>
      <c r="C775" s="111"/>
      <c r="D775" s="111"/>
      <c r="E775" s="111"/>
      <c r="F775" s="112"/>
      <c r="G775" s="111"/>
      <c r="H775" s="111"/>
      <c r="I775" s="113"/>
      <c r="J775" s="114"/>
      <c r="K775" s="115"/>
      <c r="L775" s="115"/>
      <c r="M775" s="116"/>
      <c r="N775" s="116"/>
      <c r="O775" s="116"/>
      <c r="P775" s="116"/>
      <c r="Q775" s="116"/>
    </row>
    <row r="776">
      <c r="A776" s="111"/>
      <c r="B776" s="111"/>
      <c r="C776" s="111"/>
      <c r="D776" s="111"/>
      <c r="E776" s="111"/>
      <c r="F776" s="112"/>
      <c r="G776" s="111"/>
      <c r="H776" s="111"/>
      <c r="I776" s="113"/>
      <c r="J776" s="114"/>
      <c r="K776" s="115"/>
      <c r="L776" s="115"/>
      <c r="M776" s="116"/>
      <c r="N776" s="116"/>
      <c r="O776" s="116"/>
      <c r="P776" s="116"/>
      <c r="Q776" s="116"/>
    </row>
    <row r="777">
      <c r="A777" s="111"/>
      <c r="B777" s="111"/>
      <c r="C777" s="111"/>
      <c r="D777" s="111"/>
      <c r="E777" s="111"/>
      <c r="F777" s="112"/>
      <c r="G777" s="111"/>
      <c r="H777" s="111"/>
      <c r="I777" s="113"/>
      <c r="J777" s="114"/>
      <c r="K777" s="115"/>
      <c r="L777" s="115"/>
      <c r="M777" s="116"/>
      <c r="N777" s="116"/>
      <c r="O777" s="116"/>
      <c r="P777" s="116"/>
      <c r="Q777" s="116"/>
    </row>
    <row r="778">
      <c r="A778" s="111"/>
      <c r="B778" s="111"/>
      <c r="C778" s="111"/>
      <c r="D778" s="111"/>
      <c r="E778" s="111"/>
      <c r="F778" s="112"/>
      <c r="G778" s="111"/>
      <c r="H778" s="111"/>
      <c r="I778" s="113"/>
      <c r="J778" s="114"/>
      <c r="K778" s="115"/>
      <c r="L778" s="115"/>
      <c r="M778" s="116"/>
      <c r="N778" s="116"/>
      <c r="O778" s="116"/>
      <c r="P778" s="116"/>
      <c r="Q778" s="116"/>
    </row>
    <row r="779">
      <c r="A779" s="111"/>
      <c r="B779" s="111"/>
      <c r="C779" s="111"/>
      <c r="D779" s="111"/>
      <c r="E779" s="111"/>
      <c r="F779" s="112"/>
      <c r="G779" s="111"/>
      <c r="H779" s="111"/>
      <c r="I779" s="113"/>
      <c r="J779" s="114"/>
      <c r="K779" s="115"/>
      <c r="L779" s="115"/>
      <c r="M779" s="116"/>
      <c r="N779" s="116"/>
      <c r="O779" s="116"/>
      <c r="P779" s="116"/>
      <c r="Q779" s="116"/>
    </row>
    <row r="780">
      <c r="A780" s="111"/>
      <c r="B780" s="111"/>
      <c r="C780" s="111"/>
      <c r="D780" s="111"/>
      <c r="E780" s="111"/>
      <c r="F780" s="112"/>
      <c r="G780" s="111"/>
      <c r="H780" s="111"/>
      <c r="I780" s="113"/>
      <c r="J780" s="114"/>
      <c r="K780" s="115"/>
      <c r="L780" s="115"/>
      <c r="M780" s="116"/>
      <c r="N780" s="116"/>
      <c r="O780" s="116"/>
      <c r="P780" s="116"/>
      <c r="Q780" s="116"/>
    </row>
    <row r="781">
      <c r="A781" s="111"/>
      <c r="B781" s="111"/>
      <c r="C781" s="111"/>
      <c r="D781" s="111"/>
      <c r="E781" s="111"/>
      <c r="F781" s="112"/>
      <c r="G781" s="111"/>
      <c r="H781" s="111"/>
      <c r="I781" s="113"/>
      <c r="J781" s="114"/>
      <c r="K781" s="115"/>
      <c r="L781" s="115"/>
      <c r="M781" s="116"/>
      <c r="N781" s="116"/>
      <c r="O781" s="116"/>
      <c r="P781" s="116"/>
      <c r="Q781" s="116"/>
    </row>
    <row r="782">
      <c r="A782" s="111"/>
      <c r="B782" s="111"/>
      <c r="C782" s="111"/>
      <c r="D782" s="111"/>
      <c r="E782" s="111"/>
      <c r="F782" s="112"/>
      <c r="G782" s="111"/>
      <c r="H782" s="111"/>
      <c r="I782" s="113"/>
      <c r="J782" s="114"/>
      <c r="K782" s="115"/>
      <c r="L782" s="115"/>
      <c r="M782" s="116"/>
      <c r="N782" s="116"/>
      <c r="O782" s="116"/>
      <c r="P782" s="116"/>
      <c r="Q782" s="116"/>
    </row>
    <row r="783">
      <c r="A783" s="111"/>
      <c r="B783" s="111"/>
      <c r="C783" s="111"/>
      <c r="D783" s="111"/>
      <c r="E783" s="111"/>
      <c r="F783" s="112"/>
      <c r="G783" s="111"/>
      <c r="H783" s="111"/>
      <c r="I783" s="113"/>
      <c r="J783" s="114"/>
      <c r="K783" s="115"/>
      <c r="L783" s="115"/>
      <c r="M783" s="116"/>
      <c r="N783" s="116"/>
      <c r="O783" s="116"/>
      <c r="P783" s="116"/>
      <c r="Q783" s="116"/>
    </row>
    <row r="784">
      <c r="A784" s="111"/>
      <c r="B784" s="111"/>
      <c r="C784" s="111"/>
      <c r="D784" s="111"/>
      <c r="E784" s="111"/>
      <c r="F784" s="112"/>
      <c r="G784" s="111"/>
      <c r="H784" s="111"/>
      <c r="I784" s="113"/>
      <c r="J784" s="114"/>
      <c r="K784" s="115"/>
      <c r="L784" s="115"/>
      <c r="M784" s="116"/>
      <c r="N784" s="116"/>
      <c r="O784" s="116"/>
      <c r="P784" s="116"/>
      <c r="Q784" s="116"/>
    </row>
    <row r="785">
      <c r="A785" s="111"/>
      <c r="B785" s="111"/>
      <c r="C785" s="111"/>
      <c r="D785" s="111"/>
      <c r="E785" s="111"/>
      <c r="F785" s="112"/>
      <c r="G785" s="111"/>
      <c r="H785" s="111"/>
      <c r="I785" s="113"/>
      <c r="J785" s="114"/>
      <c r="K785" s="115"/>
      <c r="L785" s="115"/>
      <c r="M785" s="116"/>
      <c r="N785" s="116"/>
      <c r="O785" s="116"/>
      <c r="P785" s="116"/>
      <c r="Q785" s="116"/>
    </row>
    <row r="786">
      <c r="A786" s="111"/>
      <c r="B786" s="111"/>
      <c r="C786" s="111"/>
      <c r="D786" s="111"/>
      <c r="E786" s="111"/>
      <c r="F786" s="112"/>
      <c r="G786" s="111"/>
      <c r="H786" s="111"/>
      <c r="I786" s="113"/>
      <c r="J786" s="114"/>
      <c r="K786" s="115"/>
      <c r="L786" s="115"/>
      <c r="M786" s="116"/>
      <c r="N786" s="116"/>
      <c r="O786" s="116"/>
      <c r="P786" s="116"/>
      <c r="Q786" s="116"/>
    </row>
    <row r="787">
      <c r="A787" s="111"/>
      <c r="B787" s="111"/>
      <c r="C787" s="111"/>
      <c r="D787" s="111"/>
      <c r="E787" s="111"/>
      <c r="F787" s="112"/>
      <c r="G787" s="111"/>
      <c r="H787" s="111"/>
      <c r="I787" s="113"/>
      <c r="J787" s="114"/>
      <c r="K787" s="115"/>
      <c r="L787" s="115"/>
      <c r="M787" s="116"/>
      <c r="N787" s="116"/>
      <c r="O787" s="116"/>
      <c r="P787" s="116"/>
      <c r="Q787" s="116"/>
    </row>
    <row r="788">
      <c r="A788" s="111"/>
      <c r="B788" s="111"/>
      <c r="C788" s="111"/>
      <c r="D788" s="111"/>
      <c r="E788" s="111"/>
      <c r="F788" s="112"/>
      <c r="G788" s="111"/>
      <c r="H788" s="111"/>
      <c r="I788" s="113"/>
      <c r="J788" s="114"/>
      <c r="K788" s="115"/>
      <c r="L788" s="115"/>
      <c r="M788" s="116"/>
      <c r="N788" s="116"/>
      <c r="O788" s="116"/>
      <c r="P788" s="116"/>
      <c r="Q788" s="116"/>
    </row>
    <row r="789">
      <c r="A789" s="111"/>
      <c r="B789" s="111"/>
      <c r="C789" s="111"/>
      <c r="D789" s="111"/>
      <c r="E789" s="111"/>
      <c r="F789" s="112"/>
      <c r="G789" s="111"/>
      <c r="H789" s="111"/>
      <c r="I789" s="113"/>
      <c r="J789" s="114"/>
      <c r="K789" s="115"/>
      <c r="L789" s="115"/>
      <c r="M789" s="116"/>
      <c r="N789" s="116"/>
      <c r="O789" s="116"/>
      <c r="P789" s="116"/>
      <c r="Q789" s="116"/>
    </row>
    <row r="790">
      <c r="A790" s="111"/>
      <c r="B790" s="111"/>
      <c r="C790" s="111"/>
      <c r="D790" s="111"/>
      <c r="E790" s="111"/>
      <c r="F790" s="112"/>
      <c r="G790" s="111"/>
      <c r="H790" s="111"/>
      <c r="I790" s="113"/>
      <c r="J790" s="114"/>
      <c r="K790" s="115"/>
      <c r="L790" s="115"/>
      <c r="M790" s="116"/>
      <c r="N790" s="116"/>
      <c r="O790" s="116"/>
      <c r="P790" s="116"/>
      <c r="Q790" s="116"/>
    </row>
    <row r="791">
      <c r="A791" s="111"/>
      <c r="B791" s="111"/>
      <c r="C791" s="111"/>
      <c r="D791" s="111"/>
      <c r="E791" s="111"/>
      <c r="F791" s="112"/>
      <c r="G791" s="111"/>
      <c r="H791" s="111"/>
      <c r="I791" s="113"/>
      <c r="J791" s="114"/>
      <c r="K791" s="115"/>
      <c r="L791" s="115"/>
      <c r="M791" s="116"/>
      <c r="N791" s="116"/>
      <c r="O791" s="116"/>
      <c r="P791" s="116"/>
      <c r="Q791" s="116"/>
    </row>
    <row r="792">
      <c r="A792" s="111"/>
      <c r="B792" s="111"/>
      <c r="C792" s="111"/>
      <c r="D792" s="111"/>
      <c r="E792" s="111"/>
      <c r="F792" s="112"/>
      <c r="G792" s="111"/>
      <c r="H792" s="111"/>
      <c r="I792" s="113"/>
      <c r="J792" s="114"/>
      <c r="K792" s="115"/>
      <c r="L792" s="115"/>
      <c r="M792" s="116"/>
      <c r="N792" s="116"/>
      <c r="O792" s="116"/>
      <c r="P792" s="116"/>
      <c r="Q792" s="116"/>
    </row>
    <row r="793">
      <c r="A793" s="111"/>
      <c r="B793" s="111"/>
      <c r="C793" s="111"/>
      <c r="D793" s="111"/>
      <c r="E793" s="111"/>
      <c r="F793" s="112"/>
      <c r="G793" s="111"/>
      <c r="H793" s="111"/>
      <c r="I793" s="113"/>
      <c r="J793" s="114"/>
      <c r="K793" s="115"/>
      <c r="L793" s="115"/>
      <c r="M793" s="116"/>
      <c r="N793" s="116"/>
      <c r="O793" s="116"/>
      <c r="P793" s="116"/>
      <c r="Q793" s="116"/>
    </row>
    <row r="794">
      <c r="A794" s="111"/>
      <c r="B794" s="111"/>
      <c r="C794" s="111"/>
      <c r="D794" s="111"/>
      <c r="E794" s="111"/>
      <c r="F794" s="112"/>
      <c r="G794" s="111"/>
      <c r="H794" s="111"/>
      <c r="I794" s="113"/>
      <c r="J794" s="114"/>
      <c r="K794" s="115"/>
      <c r="L794" s="115"/>
      <c r="M794" s="116"/>
      <c r="N794" s="116"/>
      <c r="O794" s="116"/>
      <c r="P794" s="116"/>
      <c r="Q794" s="116"/>
    </row>
    <row r="795">
      <c r="A795" s="111"/>
      <c r="B795" s="111"/>
      <c r="C795" s="111"/>
      <c r="D795" s="111"/>
      <c r="E795" s="111"/>
      <c r="F795" s="112"/>
      <c r="G795" s="111"/>
      <c r="H795" s="111"/>
      <c r="I795" s="113"/>
      <c r="J795" s="114"/>
      <c r="K795" s="115"/>
      <c r="L795" s="115"/>
      <c r="M795" s="116"/>
      <c r="N795" s="116"/>
      <c r="O795" s="116"/>
      <c r="P795" s="116"/>
      <c r="Q795" s="116"/>
    </row>
    <row r="796">
      <c r="A796" s="111"/>
      <c r="B796" s="111"/>
      <c r="C796" s="111"/>
      <c r="D796" s="111"/>
      <c r="E796" s="111"/>
      <c r="F796" s="112"/>
      <c r="G796" s="111"/>
      <c r="H796" s="111"/>
      <c r="I796" s="113"/>
      <c r="J796" s="114"/>
      <c r="K796" s="115"/>
      <c r="L796" s="115"/>
      <c r="M796" s="116"/>
      <c r="N796" s="116"/>
      <c r="O796" s="116"/>
      <c r="P796" s="116"/>
      <c r="Q796" s="116"/>
    </row>
    <row r="797">
      <c r="A797" s="111"/>
      <c r="B797" s="111"/>
      <c r="C797" s="111"/>
      <c r="D797" s="111"/>
      <c r="E797" s="111"/>
      <c r="F797" s="112"/>
      <c r="G797" s="111"/>
      <c r="H797" s="111"/>
      <c r="I797" s="113"/>
      <c r="J797" s="114"/>
      <c r="K797" s="115"/>
      <c r="L797" s="115"/>
      <c r="M797" s="116"/>
      <c r="N797" s="116"/>
      <c r="O797" s="116"/>
      <c r="P797" s="116"/>
      <c r="Q797" s="116"/>
    </row>
    <row r="798">
      <c r="A798" s="111"/>
      <c r="B798" s="111"/>
      <c r="C798" s="111"/>
      <c r="D798" s="111"/>
      <c r="E798" s="111"/>
      <c r="F798" s="112"/>
      <c r="G798" s="111"/>
      <c r="H798" s="111"/>
      <c r="I798" s="113"/>
      <c r="J798" s="114"/>
      <c r="K798" s="115"/>
      <c r="L798" s="115"/>
      <c r="M798" s="116"/>
      <c r="N798" s="116"/>
      <c r="O798" s="116"/>
      <c r="P798" s="116"/>
      <c r="Q798" s="116"/>
    </row>
    <row r="799">
      <c r="A799" s="111"/>
      <c r="B799" s="111"/>
      <c r="C799" s="111"/>
      <c r="D799" s="111"/>
      <c r="E799" s="111"/>
      <c r="F799" s="112"/>
      <c r="G799" s="111"/>
      <c r="H799" s="111"/>
      <c r="I799" s="113"/>
      <c r="J799" s="114"/>
      <c r="K799" s="115"/>
      <c r="L799" s="115"/>
      <c r="M799" s="116"/>
      <c r="N799" s="116"/>
      <c r="O799" s="116"/>
      <c r="P799" s="116"/>
      <c r="Q799" s="116"/>
    </row>
    <row r="800">
      <c r="A800" s="111"/>
      <c r="B800" s="111"/>
      <c r="C800" s="111"/>
      <c r="D800" s="111"/>
      <c r="E800" s="111"/>
      <c r="F800" s="112"/>
      <c r="G800" s="111"/>
      <c r="H800" s="111"/>
      <c r="I800" s="113"/>
      <c r="J800" s="114"/>
      <c r="K800" s="115"/>
      <c r="L800" s="115"/>
      <c r="M800" s="116"/>
      <c r="N800" s="116"/>
      <c r="O800" s="116"/>
      <c r="P800" s="116"/>
      <c r="Q800" s="116"/>
    </row>
    <row r="801">
      <c r="A801" s="111"/>
      <c r="B801" s="111"/>
      <c r="C801" s="111"/>
      <c r="D801" s="111"/>
      <c r="E801" s="111"/>
      <c r="F801" s="112"/>
      <c r="G801" s="111"/>
      <c r="H801" s="111"/>
      <c r="I801" s="113"/>
      <c r="J801" s="114"/>
      <c r="K801" s="115"/>
      <c r="L801" s="115"/>
      <c r="M801" s="116"/>
      <c r="N801" s="116"/>
      <c r="O801" s="116"/>
      <c r="P801" s="116"/>
      <c r="Q801" s="116"/>
    </row>
    <row r="802">
      <c r="A802" s="111"/>
      <c r="B802" s="111"/>
      <c r="C802" s="111"/>
      <c r="D802" s="111"/>
      <c r="E802" s="111"/>
      <c r="F802" s="112"/>
      <c r="G802" s="111"/>
      <c r="H802" s="111"/>
      <c r="I802" s="113"/>
      <c r="J802" s="114"/>
      <c r="K802" s="115"/>
      <c r="L802" s="115"/>
      <c r="M802" s="116"/>
      <c r="N802" s="116"/>
      <c r="O802" s="116"/>
      <c r="P802" s="116"/>
      <c r="Q802" s="116"/>
    </row>
    <row r="803">
      <c r="A803" s="111"/>
      <c r="B803" s="111"/>
      <c r="C803" s="111"/>
      <c r="D803" s="111"/>
      <c r="E803" s="111"/>
      <c r="F803" s="112"/>
      <c r="G803" s="111"/>
      <c r="H803" s="111"/>
      <c r="I803" s="113"/>
      <c r="J803" s="114"/>
      <c r="K803" s="115"/>
      <c r="L803" s="115"/>
      <c r="M803" s="116"/>
      <c r="N803" s="116"/>
      <c r="O803" s="116"/>
      <c r="P803" s="116"/>
      <c r="Q803" s="116"/>
    </row>
    <row r="804">
      <c r="A804" s="111"/>
      <c r="B804" s="111"/>
      <c r="C804" s="111"/>
      <c r="D804" s="111"/>
      <c r="E804" s="111"/>
      <c r="F804" s="112"/>
      <c r="G804" s="111"/>
      <c r="H804" s="111"/>
      <c r="I804" s="113"/>
      <c r="J804" s="114"/>
      <c r="K804" s="115"/>
      <c r="L804" s="115"/>
      <c r="M804" s="116"/>
      <c r="N804" s="116"/>
      <c r="O804" s="116"/>
      <c r="P804" s="116"/>
      <c r="Q804" s="116"/>
    </row>
    <row r="805">
      <c r="A805" s="111"/>
      <c r="B805" s="111"/>
      <c r="C805" s="111"/>
      <c r="D805" s="111"/>
      <c r="E805" s="111"/>
      <c r="F805" s="112"/>
      <c r="G805" s="111"/>
      <c r="H805" s="111"/>
      <c r="I805" s="113"/>
      <c r="J805" s="114"/>
      <c r="K805" s="115"/>
      <c r="L805" s="115"/>
      <c r="M805" s="116"/>
      <c r="N805" s="116"/>
      <c r="O805" s="116"/>
      <c r="P805" s="116"/>
      <c r="Q805" s="116"/>
    </row>
    <row r="806">
      <c r="A806" s="111"/>
      <c r="B806" s="111"/>
      <c r="C806" s="111"/>
      <c r="D806" s="111"/>
      <c r="E806" s="111"/>
      <c r="F806" s="112"/>
      <c r="G806" s="111"/>
      <c r="H806" s="111"/>
      <c r="I806" s="113"/>
      <c r="J806" s="114"/>
      <c r="K806" s="115"/>
      <c r="L806" s="115"/>
      <c r="M806" s="116"/>
      <c r="N806" s="116"/>
      <c r="O806" s="116"/>
      <c r="P806" s="116"/>
      <c r="Q806" s="116"/>
    </row>
    <row r="807">
      <c r="A807" s="111"/>
      <c r="B807" s="111"/>
      <c r="C807" s="111"/>
      <c r="D807" s="111"/>
      <c r="E807" s="111"/>
      <c r="F807" s="112"/>
      <c r="G807" s="111"/>
      <c r="H807" s="111"/>
      <c r="I807" s="113"/>
      <c r="J807" s="114"/>
      <c r="K807" s="115"/>
      <c r="L807" s="115"/>
      <c r="M807" s="116"/>
      <c r="N807" s="116"/>
      <c r="O807" s="116"/>
      <c r="P807" s="116"/>
      <c r="Q807" s="116"/>
    </row>
    <row r="808">
      <c r="A808" s="111"/>
      <c r="B808" s="111"/>
      <c r="C808" s="111"/>
      <c r="D808" s="111"/>
      <c r="E808" s="111"/>
      <c r="F808" s="112"/>
      <c r="G808" s="111"/>
      <c r="H808" s="111"/>
      <c r="I808" s="113"/>
      <c r="J808" s="114"/>
      <c r="K808" s="115"/>
      <c r="L808" s="115"/>
      <c r="M808" s="116"/>
      <c r="N808" s="116"/>
      <c r="O808" s="116"/>
      <c r="P808" s="116"/>
      <c r="Q808" s="116"/>
    </row>
    <row r="809">
      <c r="A809" s="111"/>
      <c r="B809" s="111"/>
      <c r="C809" s="111"/>
      <c r="D809" s="111"/>
      <c r="E809" s="111"/>
      <c r="F809" s="112"/>
      <c r="G809" s="111"/>
      <c r="H809" s="111"/>
      <c r="I809" s="113"/>
      <c r="J809" s="114"/>
      <c r="K809" s="115"/>
      <c r="L809" s="115"/>
      <c r="M809" s="116"/>
      <c r="N809" s="116"/>
      <c r="O809" s="116"/>
      <c r="P809" s="116"/>
      <c r="Q809" s="116"/>
    </row>
    <row r="810">
      <c r="A810" s="111"/>
      <c r="B810" s="111"/>
      <c r="C810" s="111"/>
      <c r="D810" s="111"/>
      <c r="E810" s="111"/>
      <c r="F810" s="112"/>
      <c r="G810" s="111"/>
      <c r="H810" s="111"/>
      <c r="I810" s="113"/>
      <c r="J810" s="114"/>
      <c r="K810" s="115"/>
      <c r="L810" s="115"/>
      <c r="M810" s="116"/>
      <c r="N810" s="116"/>
      <c r="O810" s="116"/>
      <c r="P810" s="116"/>
      <c r="Q810" s="116"/>
    </row>
    <row r="811">
      <c r="A811" s="111"/>
      <c r="B811" s="111"/>
      <c r="C811" s="111"/>
      <c r="D811" s="111"/>
      <c r="E811" s="111"/>
      <c r="F811" s="112"/>
      <c r="G811" s="111"/>
      <c r="H811" s="111"/>
      <c r="I811" s="113"/>
      <c r="J811" s="114"/>
      <c r="K811" s="115"/>
      <c r="L811" s="115"/>
      <c r="M811" s="116"/>
      <c r="N811" s="116"/>
      <c r="O811" s="116"/>
      <c r="P811" s="116"/>
      <c r="Q811" s="116"/>
    </row>
    <row r="812">
      <c r="A812" s="111"/>
      <c r="B812" s="111"/>
      <c r="C812" s="111"/>
      <c r="D812" s="111"/>
      <c r="E812" s="111"/>
      <c r="F812" s="112"/>
      <c r="G812" s="111"/>
      <c r="H812" s="111"/>
      <c r="I812" s="113"/>
      <c r="J812" s="114"/>
      <c r="K812" s="115"/>
      <c r="L812" s="115"/>
      <c r="M812" s="116"/>
      <c r="N812" s="116"/>
      <c r="O812" s="116"/>
      <c r="P812" s="116"/>
      <c r="Q812" s="116"/>
    </row>
    <row r="813">
      <c r="A813" s="111"/>
      <c r="B813" s="111"/>
      <c r="C813" s="111"/>
      <c r="D813" s="111"/>
      <c r="E813" s="111"/>
      <c r="F813" s="112"/>
      <c r="G813" s="111"/>
      <c r="H813" s="111"/>
      <c r="I813" s="113"/>
      <c r="J813" s="114"/>
      <c r="K813" s="115"/>
      <c r="L813" s="115"/>
      <c r="M813" s="116"/>
      <c r="N813" s="116"/>
      <c r="O813" s="116"/>
      <c r="P813" s="116"/>
      <c r="Q813" s="116"/>
    </row>
    <row r="814">
      <c r="A814" s="111"/>
      <c r="B814" s="111"/>
      <c r="C814" s="111"/>
      <c r="D814" s="111"/>
      <c r="E814" s="111"/>
      <c r="F814" s="112"/>
      <c r="G814" s="111"/>
      <c r="H814" s="111"/>
      <c r="I814" s="113"/>
      <c r="J814" s="114"/>
      <c r="K814" s="115"/>
      <c r="L814" s="115"/>
      <c r="M814" s="116"/>
      <c r="N814" s="116"/>
      <c r="O814" s="116"/>
      <c r="P814" s="116"/>
      <c r="Q814" s="116"/>
    </row>
    <row r="815">
      <c r="A815" s="111"/>
      <c r="B815" s="111"/>
      <c r="C815" s="111"/>
      <c r="D815" s="111"/>
      <c r="E815" s="111"/>
      <c r="F815" s="112"/>
      <c r="G815" s="111"/>
      <c r="H815" s="111"/>
      <c r="I815" s="113"/>
      <c r="J815" s="114"/>
      <c r="K815" s="115"/>
      <c r="L815" s="115"/>
      <c r="M815" s="116"/>
      <c r="N815" s="116"/>
      <c r="O815" s="116"/>
      <c r="P815" s="116"/>
      <c r="Q815" s="116"/>
    </row>
    <row r="816">
      <c r="A816" s="111"/>
      <c r="B816" s="111"/>
      <c r="C816" s="111"/>
      <c r="D816" s="111"/>
      <c r="E816" s="111"/>
      <c r="F816" s="112"/>
      <c r="G816" s="111"/>
      <c r="H816" s="111"/>
      <c r="I816" s="113"/>
      <c r="J816" s="114"/>
      <c r="K816" s="115"/>
      <c r="L816" s="115"/>
      <c r="M816" s="116"/>
      <c r="N816" s="116"/>
      <c r="O816" s="116"/>
      <c r="P816" s="116"/>
      <c r="Q816" s="116"/>
    </row>
    <row r="817">
      <c r="A817" s="111"/>
      <c r="B817" s="111"/>
      <c r="C817" s="111"/>
      <c r="D817" s="111"/>
      <c r="E817" s="111"/>
      <c r="F817" s="112"/>
      <c r="G817" s="111"/>
      <c r="H817" s="111"/>
      <c r="I817" s="113"/>
      <c r="J817" s="114"/>
      <c r="K817" s="115"/>
      <c r="L817" s="115"/>
      <c r="M817" s="116"/>
      <c r="N817" s="116"/>
      <c r="O817" s="116"/>
      <c r="P817" s="116"/>
      <c r="Q817" s="116"/>
    </row>
    <row r="818">
      <c r="A818" s="111"/>
      <c r="B818" s="111"/>
      <c r="C818" s="111"/>
      <c r="D818" s="111"/>
      <c r="E818" s="111"/>
      <c r="F818" s="112"/>
      <c r="G818" s="111"/>
      <c r="H818" s="111"/>
      <c r="I818" s="113"/>
      <c r="J818" s="114"/>
      <c r="K818" s="115"/>
      <c r="L818" s="115"/>
      <c r="M818" s="116"/>
      <c r="N818" s="116"/>
      <c r="O818" s="116"/>
      <c r="P818" s="116"/>
      <c r="Q818" s="116"/>
    </row>
    <row r="819">
      <c r="A819" s="111"/>
      <c r="B819" s="111"/>
      <c r="C819" s="111"/>
      <c r="D819" s="111"/>
      <c r="E819" s="111"/>
      <c r="F819" s="112"/>
      <c r="G819" s="111"/>
      <c r="H819" s="111"/>
      <c r="I819" s="113"/>
      <c r="J819" s="114"/>
      <c r="K819" s="115"/>
      <c r="L819" s="115"/>
      <c r="M819" s="116"/>
      <c r="N819" s="116"/>
      <c r="O819" s="116"/>
      <c r="P819" s="116"/>
      <c r="Q819" s="116"/>
    </row>
    <row r="820">
      <c r="A820" s="111"/>
      <c r="B820" s="111"/>
      <c r="C820" s="111"/>
      <c r="D820" s="111"/>
      <c r="E820" s="111"/>
      <c r="F820" s="112"/>
      <c r="G820" s="111"/>
      <c r="H820" s="111"/>
      <c r="I820" s="113"/>
      <c r="J820" s="114"/>
      <c r="K820" s="115"/>
      <c r="L820" s="115"/>
      <c r="M820" s="116"/>
      <c r="N820" s="116"/>
      <c r="O820" s="116"/>
      <c r="P820" s="116"/>
      <c r="Q820" s="116"/>
    </row>
    <row r="821">
      <c r="A821" s="111"/>
      <c r="B821" s="111"/>
      <c r="C821" s="111"/>
      <c r="D821" s="111"/>
      <c r="E821" s="111"/>
      <c r="F821" s="112"/>
      <c r="G821" s="111"/>
      <c r="H821" s="111"/>
      <c r="I821" s="113"/>
      <c r="J821" s="114"/>
      <c r="K821" s="115"/>
      <c r="L821" s="115"/>
      <c r="M821" s="116"/>
      <c r="N821" s="116"/>
      <c r="O821" s="116"/>
      <c r="P821" s="116"/>
      <c r="Q821" s="116"/>
    </row>
    <row r="822">
      <c r="A822" s="111"/>
      <c r="B822" s="111"/>
      <c r="C822" s="111"/>
      <c r="D822" s="111"/>
      <c r="E822" s="111"/>
      <c r="F822" s="112"/>
      <c r="G822" s="111"/>
      <c r="H822" s="111"/>
      <c r="I822" s="113"/>
      <c r="J822" s="114"/>
      <c r="K822" s="115"/>
      <c r="L822" s="115"/>
      <c r="M822" s="116"/>
      <c r="N822" s="116"/>
      <c r="O822" s="116"/>
      <c r="P822" s="116"/>
      <c r="Q822" s="116"/>
    </row>
    <row r="823">
      <c r="A823" s="111"/>
      <c r="B823" s="111"/>
      <c r="C823" s="111"/>
      <c r="D823" s="111"/>
      <c r="E823" s="111"/>
      <c r="F823" s="112"/>
      <c r="G823" s="111"/>
      <c r="H823" s="111"/>
      <c r="I823" s="113"/>
      <c r="J823" s="114"/>
      <c r="K823" s="115"/>
      <c r="L823" s="115"/>
      <c r="M823" s="116"/>
      <c r="N823" s="116"/>
      <c r="O823" s="116"/>
      <c r="P823" s="116"/>
      <c r="Q823" s="116"/>
    </row>
    <row r="824">
      <c r="A824" s="111"/>
      <c r="B824" s="111"/>
      <c r="C824" s="111"/>
      <c r="D824" s="111"/>
      <c r="E824" s="111"/>
      <c r="F824" s="112"/>
      <c r="G824" s="111"/>
      <c r="H824" s="111"/>
      <c r="I824" s="113"/>
      <c r="J824" s="114"/>
      <c r="K824" s="115"/>
      <c r="L824" s="115"/>
      <c r="M824" s="116"/>
      <c r="N824" s="116"/>
      <c r="O824" s="116"/>
      <c r="P824" s="116"/>
      <c r="Q824" s="116"/>
    </row>
    <row r="825">
      <c r="A825" s="111"/>
      <c r="B825" s="111"/>
      <c r="C825" s="111"/>
      <c r="D825" s="111"/>
      <c r="E825" s="111"/>
      <c r="F825" s="112"/>
      <c r="G825" s="111"/>
      <c r="H825" s="111"/>
      <c r="I825" s="113"/>
      <c r="J825" s="114"/>
      <c r="K825" s="115"/>
      <c r="L825" s="115"/>
      <c r="M825" s="116"/>
      <c r="N825" s="116"/>
      <c r="O825" s="116"/>
      <c r="P825" s="116"/>
      <c r="Q825" s="116"/>
    </row>
    <row r="826">
      <c r="A826" s="111"/>
      <c r="B826" s="111"/>
      <c r="C826" s="111"/>
      <c r="D826" s="111"/>
      <c r="E826" s="111"/>
      <c r="F826" s="112"/>
      <c r="G826" s="111"/>
      <c r="H826" s="111"/>
      <c r="I826" s="113"/>
      <c r="J826" s="114"/>
      <c r="K826" s="115"/>
      <c r="L826" s="115"/>
      <c r="M826" s="116"/>
      <c r="N826" s="116"/>
      <c r="O826" s="116"/>
      <c r="P826" s="116"/>
      <c r="Q826" s="116"/>
    </row>
    <row r="827">
      <c r="A827" s="111"/>
      <c r="B827" s="111"/>
      <c r="C827" s="111"/>
      <c r="D827" s="111"/>
      <c r="E827" s="111"/>
      <c r="F827" s="112"/>
      <c r="G827" s="111"/>
      <c r="H827" s="111"/>
      <c r="I827" s="113"/>
      <c r="J827" s="114"/>
      <c r="K827" s="115"/>
      <c r="L827" s="115"/>
      <c r="M827" s="116"/>
      <c r="N827" s="116"/>
      <c r="O827" s="116"/>
      <c r="P827" s="116"/>
      <c r="Q827" s="116"/>
    </row>
    <row r="828">
      <c r="A828" s="111"/>
      <c r="B828" s="111"/>
      <c r="C828" s="111"/>
      <c r="D828" s="111"/>
      <c r="E828" s="111"/>
      <c r="F828" s="112"/>
      <c r="G828" s="111"/>
      <c r="H828" s="111"/>
      <c r="I828" s="113"/>
      <c r="J828" s="114"/>
      <c r="K828" s="115"/>
      <c r="L828" s="115"/>
      <c r="M828" s="116"/>
      <c r="N828" s="116"/>
      <c r="O828" s="116"/>
      <c r="P828" s="116"/>
      <c r="Q828" s="116"/>
    </row>
    <row r="829">
      <c r="A829" s="111"/>
      <c r="B829" s="111"/>
      <c r="C829" s="111"/>
      <c r="D829" s="111"/>
      <c r="E829" s="111"/>
      <c r="F829" s="112"/>
      <c r="G829" s="111"/>
      <c r="H829" s="111"/>
      <c r="I829" s="113"/>
      <c r="J829" s="114"/>
      <c r="K829" s="115"/>
      <c r="L829" s="115"/>
      <c r="M829" s="116"/>
      <c r="N829" s="116"/>
      <c r="O829" s="116"/>
      <c r="P829" s="116"/>
      <c r="Q829" s="116"/>
    </row>
    <row r="830">
      <c r="A830" s="111"/>
      <c r="B830" s="111"/>
      <c r="C830" s="111"/>
      <c r="D830" s="111"/>
      <c r="E830" s="111"/>
      <c r="F830" s="112"/>
      <c r="G830" s="111"/>
      <c r="H830" s="111"/>
      <c r="I830" s="113"/>
      <c r="J830" s="114"/>
      <c r="K830" s="115"/>
      <c r="L830" s="115"/>
      <c r="M830" s="116"/>
      <c r="N830" s="116"/>
      <c r="O830" s="116"/>
      <c r="P830" s="116"/>
      <c r="Q830" s="116"/>
    </row>
    <row r="831">
      <c r="A831" s="111"/>
      <c r="B831" s="111"/>
      <c r="C831" s="111"/>
      <c r="D831" s="111"/>
      <c r="E831" s="111"/>
      <c r="F831" s="112"/>
      <c r="G831" s="111"/>
      <c r="H831" s="111"/>
      <c r="I831" s="113"/>
      <c r="J831" s="114"/>
      <c r="K831" s="115"/>
      <c r="L831" s="115"/>
      <c r="M831" s="116"/>
      <c r="N831" s="116"/>
      <c r="O831" s="116"/>
      <c r="P831" s="116"/>
      <c r="Q831" s="116"/>
    </row>
    <row r="832">
      <c r="A832" s="111"/>
      <c r="B832" s="111"/>
      <c r="C832" s="111"/>
      <c r="D832" s="111"/>
      <c r="E832" s="111"/>
      <c r="F832" s="112"/>
      <c r="G832" s="111"/>
      <c r="H832" s="111"/>
      <c r="I832" s="113"/>
      <c r="J832" s="114"/>
      <c r="K832" s="115"/>
      <c r="L832" s="115"/>
      <c r="M832" s="116"/>
      <c r="N832" s="116"/>
      <c r="O832" s="116"/>
      <c r="P832" s="116"/>
      <c r="Q832" s="116"/>
    </row>
    <row r="833">
      <c r="A833" s="111"/>
      <c r="B833" s="111"/>
      <c r="C833" s="111"/>
      <c r="D833" s="111"/>
      <c r="E833" s="111"/>
      <c r="F833" s="112"/>
      <c r="G833" s="111"/>
      <c r="H833" s="111"/>
      <c r="I833" s="113"/>
      <c r="J833" s="114"/>
      <c r="K833" s="115"/>
      <c r="L833" s="115"/>
      <c r="M833" s="116"/>
      <c r="N833" s="116"/>
      <c r="O833" s="116"/>
      <c r="P833" s="116"/>
      <c r="Q833" s="116"/>
    </row>
    <row r="834">
      <c r="A834" s="111"/>
      <c r="B834" s="111"/>
      <c r="C834" s="111"/>
      <c r="D834" s="111"/>
      <c r="E834" s="111"/>
      <c r="F834" s="112"/>
      <c r="G834" s="111"/>
      <c r="H834" s="111"/>
      <c r="I834" s="113"/>
      <c r="J834" s="114"/>
      <c r="K834" s="115"/>
      <c r="L834" s="115"/>
      <c r="M834" s="116"/>
      <c r="N834" s="116"/>
      <c r="O834" s="116"/>
      <c r="P834" s="116"/>
      <c r="Q834" s="116"/>
    </row>
    <row r="835">
      <c r="A835" s="111"/>
      <c r="B835" s="111"/>
      <c r="C835" s="111"/>
      <c r="D835" s="111"/>
      <c r="E835" s="111"/>
      <c r="F835" s="112"/>
      <c r="G835" s="111"/>
      <c r="H835" s="111"/>
      <c r="I835" s="113"/>
      <c r="J835" s="114"/>
      <c r="K835" s="115"/>
      <c r="L835" s="115"/>
      <c r="M835" s="116"/>
      <c r="N835" s="116"/>
      <c r="O835" s="116"/>
      <c r="P835" s="116"/>
      <c r="Q835" s="116"/>
    </row>
    <row r="836">
      <c r="A836" s="111"/>
      <c r="B836" s="111"/>
      <c r="C836" s="111"/>
      <c r="D836" s="111"/>
      <c r="E836" s="111"/>
      <c r="F836" s="112"/>
      <c r="G836" s="111"/>
      <c r="H836" s="111"/>
      <c r="I836" s="113"/>
      <c r="J836" s="114"/>
      <c r="K836" s="115"/>
      <c r="L836" s="115"/>
      <c r="M836" s="116"/>
      <c r="N836" s="116"/>
      <c r="O836" s="116"/>
      <c r="P836" s="116"/>
      <c r="Q836" s="116"/>
    </row>
    <row r="837">
      <c r="A837" s="111"/>
      <c r="B837" s="111"/>
      <c r="C837" s="111"/>
      <c r="D837" s="111"/>
      <c r="E837" s="111"/>
      <c r="F837" s="112"/>
      <c r="G837" s="111"/>
      <c r="H837" s="111"/>
      <c r="I837" s="113"/>
      <c r="J837" s="114"/>
      <c r="K837" s="115"/>
      <c r="L837" s="115"/>
      <c r="M837" s="116"/>
      <c r="N837" s="116"/>
      <c r="O837" s="116"/>
      <c r="P837" s="116"/>
      <c r="Q837" s="116"/>
    </row>
    <row r="838">
      <c r="A838" s="111"/>
      <c r="B838" s="111"/>
      <c r="C838" s="111"/>
      <c r="D838" s="111"/>
      <c r="E838" s="111"/>
      <c r="F838" s="112"/>
      <c r="G838" s="111"/>
      <c r="H838" s="111"/>
      <c r="I838" s="113"/>
      <c r="J838" s="114"/>
      <c r="K838" s="115"/>
      <c r="L838" s="115"/>
      <c r="M838" s="116"/>
      <c r="N838" s="116"/>
      <c r="O838" s="116"/>
      <c r="P838" s="116"/>
      <c r="Q838" s="116"/>
    </row>
    <row r="839">
      <c r="A839" s="111"/>
      <c r="B839" s="111"/>
      <c r="C839" s="111"/>
      <c r="D839" s="111"/>
      <c r="E839" s="111"/>
      <c r="F839" s="112"/>
      <c r="G839" s="111"/>
      <c r="H839" s="111"/>
      <c r="I839" s="113"/>
      <c r="J839" s="114"/>
      <c r="K839" s="115"/>
      <c r="L839" s="115"/>
      <c r="M839" s="116"/>
      <c r="N839" s="116"/>
      <c r="O839" s="116"/>
      <c r="P839" s="116"/>
      <c r="Q839" s="116"/>
    </row>
    <row r="840">
      <c r="A840" s="111"/>
      <c r="B840" s="111"/>
      <c r="C840" s="111"/>
      <c r="D840" s="111"/>
      <c r="E840" s="111"/>
      <c r="F840" s="112"/>
      <c r="G840" s="111"/>
      <c r="H840" s="111"/>
      <c r="I840" s="113"/>
      <c r="J840" s="114"/>
      <c r="K840" s="115"/>
      <c r="L840" s="115"/>
      <c r="M840" s="116"/>
      <c r="N840" s="116"/>
      <c r="O840" s="116"/>
      <c r="P840" s="116"/>
      <c r="Q840" s="116"/>
    </row>
    <row r="841">
      <c r="A841" s="111"/>
      <c r="B841" s="111"/>
      <c r="C841" s="111"/>
      <c r="D841" s="111"/>
      <c r="E841" s="111"/>
      <c r="F841" s="112"/>
      <c r="G841" s="111"/>
      <c r="H841" s="111"/>
      <c r="I841" s="113"/>
      <c r="J841" s="114"/>
      <c r="K841" s="115"/>
      <c r="L841" s="115"/>
      <c r="M841" s="116"/>
      <c r="N841" s="116"/>
      <c r="O841" s="116"/>
      <c r="P841" s="116"/>
      <c r="Q841" s="116"/>
    </row>
    <row r="842">
      <c r="A842" s="111"/>
      <c r="B842" s="111"/>
      <c r="C842" s="111"/>
      <c r="D842" s="111"/>
      <c r="E842" s="111"/>
      <c r="F842" s="112"/>
      <c r="G842" s="111"/>
      <c r="H842" s="111"/>
      <c r="I842" s="113"/>
      <c r="J842" s="114"/>
      <c r="K842" s="115"/>
      <c r="L842" s="115"/>
      <c r="M842" s="116"/>
      <c r="N842" s="116"/>
      <c r="O842" s="116"/>
      <c r="P842" s="116"/>
      <c r="Q842" s="116"/>
    </row>
    <row r="843">
      <c r="A843" s="111"/>
      <c r="B843" s="111"/>
      <c r="C843" s="111"/>
      <c r="D843" s="111"/>
      <c r="E843" s="111"/>
      <c r="F843" s="112"/>
      <c r="G843" s="111"/>
      <c r="H843" s="111"/>
      <c r="I843" s="113"/>
      <c r="J843" s="114"/>
      <c r="K843" s="115"/>
      <c r="L843" s="115"/>
      <c r="M843" s="116"/>
      <c r="N843" s="116"/>
      <c r="O843" s="116"/>
      <c r="P843" s="116"/>
      <c r="Q843" s="116"/>
    </row>
    <row r="844">
      <c r="A844" s="111"/>
      <c r="B844" s="111"/>
      <c r="C844" s="111"/>
      <c r="D844" s="111"/>
      <c r="E844" s="111"/>
      <c r="F844" s="112"/>
      <c r="G844" s="111"/>
      <c r="H844" s="111"/>
      <c r="I844" s="113"/>
      <c r="J844" s="114"/>
      <c r="K844" s="115"/>
      <c r="L844" s="115"/>
      <c r="M844" s="116"/>
      <c r="N844" s="116"/>
      <c r="O844" s="116"/>
      <c r="P844" s="116"/>
      <c r="Q844" s="116"/>
    </row>
    <row r="845">
      <c r="A845" s="111"/>
      <c r="B845" s="111"/>
      <c r="C845" s="111"/>
      <c r="D845" s="111"/>
      <c r="E845" s="111"/>
      <c r="F845" s="112"/>
      <c r="G845" s="111"/>
      <c r="H845" s="111"/>
      <c r="I845" s="113"/>
      <c r="J845" s="114"/>
      <c r="K845" s="115"/>
      <c r="L845" s="115"/>
      <c r="M845" s="116"/>
      <c r="N845" s="116"/>
      <c r="O845" s="116"/>
      <c r="P845" s="116"/>
      <c r="Q845" s="116"/>
    </row>
    <row r="846">
      <c r="A846" s="111"/>
      <c r="B846" s="111"/>
      <c r="C846" s="111"/>
      <c r="D846" s="111"/>
      <c r="E846" s="111"/>
      <c r="F846" s="112"/>
      <c r="G846" s="111"/>
      <c r="H846" s="111"/>
      <c r="I846" s="113"/>
      <c r="J846" s="114"/>
      <c r="K846" s="115"/>
      <c r="L846" s="115"/>
      <c r="M846" s="116"/>
      <c r="N846" s="116"/>
      <c r="O846" s="116"/>
      <c r="P846" s="116"/>
      <c r="Q846" s="116"/>
    </row>
    <row r="847">
      <c r="A847" s="111"/>
      <c r="B847" s="111"/>
      <c r="C847" s="111"/>
      <c r="D847" s="111"/>
      <c r="E847" s="111"/>
      <c r="F847" s="112"/>
      <c r="G847" s="111"/>
      <c r="H847" s="111"/>
      <c r="I847" s="113"/>
      <c r="J847" s="114"/>
      <c r="K847" s="115"/>
      <c r="L847" s="115"/>
      <c r="M847" s="116"/>
      <c r="N847" s="116"/>
      <c r="O847" s="116"/>
      <c r="P847" s="116"/>
      <c r="Q847" s="116"/>
    </row>
    <row r="848">
      <c r="A848" s="111"/>
      <c r="B848" s="111"/>
      <c r="C848" s="111"/>
      <c r="D848" s="111"/>
      <c r="E848" s="111"/>
      <c r="F848" s="112"/>
      <c r="G848" s="111"/>
      <c r="H848" s="111"/>
      <c r="I848" s="113"/>
      <c r="J848" s="114"/>
      <c r="K848" s="115"/>
      <c r="L848" s="115"/>
      <c r="M848" s="116"/>
      <c r="N848" s="116"/>
      <c r="O848" s="116"/>
      <c r="P848" s="116"/>
      <c r="Q848" s="116"/>
    </row>
    <row r="849">
      <c r="A849" s="111"/>
      <c r="B849" s="111"/>
      <c r="C849" s="111"/>
      <c r="D849" s="111"/>
      <c r="E849" s="111"/>
      <c r="F849" s="112"/>
      <c r="G849" s="111"/>
      <c r="H849" s="111"/>
      <c r="I849" s="113"/>
      <c r="J849" s="114"/>
      <c r="K849" s="115"/>
      <c r="L849" s="115"/>
      <c r="M849" s="116"/>
      <c r="N849" s="116"/>
      <c r="O849" s="116"/>
      <c r="P849" s="116"/>
      <c r="Q849" s="116"/>
    </row>
    <row r="850">
      <c r="A850" s="111"/>
      <c r="B850" s="111"/>
      <c r="C850" s="111"/>
      <c r="D850" s="111"/>
      <c r="E850" s="111"/>
      <c r="F850" s="112"/>
      <c r="G850" s="111"/>
      <c r="H850" s="111"/>
      <c r="I850" s="113"/>
      <c r="J850" s="114"/>
      <c r="K850" s="115"/>
      <c r="L850" s="115"/>
      <c r="M850" s="116"/>
      <c r="N850" s="116"/>
      <c r="O850" s="116"/>
      <c r="P850" s="116"/>
      <c r="Q850" s="116"/>
    </row>
    <row r="851">
      <c r="A851" s="111"/>
      <c r="B851" s="111"/>
      <c r="C851" s="111"/>
      <c r="D851" s="111"/>
      <c r="E851" s="111"/>
      <c r="F851" s="112"/>
      <c r="G851" s="111"/>
      <c r="H851" s="111"/>
      <c r="I851" s="113"/>
      <c r="J851" s="114"/>
      <c r="K851" s="115"/>
      <c r="L851" s="115"/>
      <c r="M851" s="116"/>
      <c r="N851" s="116"/>
      <c r="O851" s="116"/>
      <c r="P851" s="116"/>
      <c r="Q851" s="116"/>
    </row>
    <row r="852">
      <c r="A852" s="111"/>
      <c r="B852" s="111"/>
      <c r="C852" s="111"/>
      <c r="D852" s="111"/>
      <c r="E852" s="111"/>
      <c r="F852" s="112"/>
      <c r="G852" s="111"/>
      <c r="H852" s="111"/>
      <c r="I852" s="113"/>
      <c r="J852" s="114"/>
      <c r="K852" s="115"/>
      <c r="L852" s="115"/>
      <c r="M852" s="116"/>
      <c r="N852" s="116"/>
      <c r="O852" s="116"/>
      <c r="P852" s="116"/>
      <c r="Q852" s="116"/>
    </row>
    <row r="853">
      <c r="A853" s="111"/>
      <c r="B853" s="111"/>
      <c r="C853" s="111"/>
      <c r="D853" s="111"/>
      <c r="E853" s="111"/>
      <c r="F853" s="112"/>
      <c r="G853" s="111"/>
      <c r="H853" s="111"/>
      <c r="I853" s="113"/>
      <c r="J853" s="114"/>
      <c r="K853" s="115"/>
      <c r="L853" s="115"/>
      <c r="M853" s="116"/>
      <c r="N853" s="116"/>
      <c r="O853" s="116"/>
      <c r="P853" s="116"/>
      <c r="Q853" s="116"/>
    </row>
    <row r="854">
      <c r="A854" s="111"/>
      <c r="B854" s="111"/>
      <c r="C854" s="111"/>
      <c r="D854" s="111"/>
      <c r="E854" s="111"/>
      <c r="F854" s="112"/>
      <c r="G854" s="111"/>
      <c r="H854" s="111"/>
      <c r="I854" s="113"/>
      <c r="J854" s="114"/>
      <c r="K854" s="115"/>
      <c r="L854" s="115"/>
      <c r="M854" s="116"/>
      <c r="N854" s="116"/>
      <c r="O854" s="116"/>
      <c r="P854" s="116"/>
      <c r="Q854" s="116"/>
    </row>
    <row r="855">
      <c r="A855" s="111"/>
      <c r="B855" s="111"/>
      <c r="C855" s="111"/>
      <c r="D855" s="111"/>
      <c r="E855" s="111"/>
      <c r="F855" s="112"/>
      <c r="G855" s="111"/>
      <c r="H855" s="111"/>
      <c r="I855" s="113"/>
      <c r="J855" s="114"/>
      <c r="K855" s="115"/>
      <c r="L855" s="115"/>
      <c r="M855" s="116"/>
      <c r="N855" s="116"/>
      <c r="O855" s="116"/>
      <c r="P855" s="116"/>
      <c r="Q855" s="116"/>
    </row>
    <row r="856">
      <c r="A856" s="111"/>
      <c r="B856" s="111"/>
      <c r="C856" s="111"/>
      <c r="D856" s="111"/>
      <c r="E856" s="111"/>
      <c r="F856" s="112"/>
      <c r="G856" s="111"/>
      <c r="H856" s="111"/>
      <c r="I856" s="113"/>
      <c r="J856" s="114"/>
      <c r="K856" s="115"/>
      <c r="L856" s="115"/>
      <c r="M856" s="116"/>
      <c r="N856" s="116"/>
      <c r="O856" s="116"/>
      <c r="P856" s="116"/>
      <c r="Q856" s="116"/>
    </row>
    <row r="857">
      <c r="A857" s="111"/>
      <c r="B857" s="111"/>
      <c r="C857" s="111"/>
      <c r="D857" s="111"/>
      <c r="E857" s="111"/>
      <c r="F857" s="112"/>
      <c r="G857" s="111"/>
      <c r="H857" s="111"/>
      <c r="I857" s="113"/>
      <c r="J857" s="114"/>
      <c r="K857" s="115"/>
      <c r="L857" s="115"/>
      <c r="M857" s="116"/>
      <c r="N857" s="116"/>
      <c r="O857" s="116"/>
      <c r="P857" s="116"/>
      <c r="Q857" s="116"/>
    </row>
    <row r="858">
      <c r="A858" s="111"/>
      <c r="B858" s="111"/>
      <c r="C858" s="111"/>
      <c r="D858" s="111"/>
      <c r="E858" s="111"/>
      <c r="F858" s="112"/>
      <c r="G858" s="111"/>
      <c r="H858" s="111"/>
      <c r="I858" s="113"/>
      <c r="J858" s="114"/>
      <c r="K858" s="115"/>
      <c r="L858" s="115"/>
      <c r="M858" s="116"/>
      <c r="N858" s="116"/>
      <c r="O858" s="116"/>
      <c r="P858" s="116"/>
      <c r="Q858" s="116"/>
    </row>
    <row r="859">
      <c r="A859" s="111"/>
      <c r="B859" s="111"/>
      <c r="C859" s="111"/>
      <c r="D859" s="111"/>
      <c r="E859" s="111"/>
      <c r="F859" s="112"/>
      <c r="G859" s="111"/>
      <c r="H859" s="111"/>
      <c r="I859" s="113"/>
      <c r="J859" s="114"/>
      <c r="K859" s="115"/>
      <c r="L859" s="115"/>
      <c r="M859" s="116"/>
      <c r="N859" s="116"/>
      <c r="O859" s="116"/>
      <c r="P859" s="116"/>
      <c r="Q859" s="116"/>
    </row>
    <row r="860">
      <c r="A860" s="111"/>
      <c r="B860" s="111"/>
      <c r="C860" s="111"/>
      <c r="D860" s="111"/>
      <c r="E860" s="111"/>
      <c r="F860" s="112"/>
      <c r="G860" s="111"/>
      <c r="H860" s="111"/>
      <c r="I860" s="113"/>
      <c r="J860" s="114"/>
      <c r="K860" s="115"/>
      <c r="L860" s="115"/>
      <c r="M860" s="116"/>
      <c r="N860" s="116"/>
      <c r="O860" s="116"/>
      <c r="P860" s="116"/>
      <c r="Q860" s="116"/>
    </row>
    <row r="861">
      <c r="A861" s="111"/>
      <c r="B861" s="111"/>
      <c r="C861" s="111"/>
      <c r="D861" s="111"/>
      <c r="E861" s="111"/>
      <c r="F861" s="112"/>
      <c r="G861" s="111"/>
      <c r="H861" s="111"/>
      <c r="I861" s="113"/>
      <c r="J861" s="114"/>
      <c r="K861" s="115"/>
      <c r="L861" s="115"/>
      <c r="M861" s="116"/>
      <c r="N861" s="116"/>
      <c r="O861" s="116"/>
      <c r="P861" s="116"/>
      <c r="Q861" s="116"/>
    </row>
    <row r="862">
      <c r="A862" s="111"/>
      <c r="B862" s="111"/>
      <c r="C862" s="111"/>
      <c r="D862" s="111"/>
      <c r="E862" s="111"/>
      <c r="F862" s="112"/>
      <c r="G862" s="111"/>
      <c r="H862" s="111"/>
      <c r="I862" s="113"/>
      <c r="J862" s="114"/>
      <c r="K862" s="115"/>
      <c r="L862" s="115"/>
      <c r="M862" s="116"/>
      <c r="N862" s="116"/>
      <c r="O862" s="116"/>
      <c r="P862" s="116"/>
      <c r="Q862" s="116"/>
    </row>
    <row r="863">
      <c r="A863" s="111"/>
      <c r="B863" s="111"/>
      <c r="C863" s="111"/>
      <c r="D863" s="111"/>
      <c r="E863" s="111"/>
      <c r="F863" s="112"/>
      <c r="G863" s="111"/>
      <c r="H863" s="111"/>
      <c r="I863" s="113"/>
      <c r="J863" s="114"/>
      <c r="K863" s="115"/>
      <c r="L863" s="115"/>
      <c r="M863" s="116"/>
      <c r="N863" s="116"/>
      <c r="O863" s="116"/>
      <c r="P863" s="116"/>
      <c r="Q863" s="116"/>
    </row>
    <row r="864">
      <c r="A864" s="111"/>
      <c r="B864" s="111"/>
      <c r="C864" s="111"/>
      <c r="D864" s="111"/>
      <c r="E864" s="111"/>
      <c r="F864" s="112"/>
      <c r="G864" s="111"/>
      <c r="H864" s="111"/>
      <c r="I864" s="113"/>
      <c r="J864" s="114"/>
      <c r="K864" s="115"/>
      <c r="L864" s="115"/>
      <c r="M864" s="116"/>
      <c r="N864" s="116"/>
      <c r="O864" s="116"/>
      <c r="P864" s="116"/>
      <c r="Q864" s="116"/>
    </row>
    <row r="865">
      <c r="A865" s="111"/>
      <c r="B865" s="111"/>
      <c r="C865" s="111"/>
      <c r="D865" s="111"/>
      <c r="E865" s="111"/>
      <c r="F865" s="112"/>
      <c r="G865" s="111"/>
      <c r="H865" s="111"/>
      <c r="I865" s="113"/>
      <c r="J865" s="114"/>
      <c r="K865" s="115"/>
      <c r="L865" s="115"/>
      <c r="M865" s="116"/>
      <c r="N865" s="116"/>
      <c r="O865" s="116"/>
      <c r="P865" s="116"/>
      <c r="Q865" s="116"/>
    </row>
    <row r="866">
      <c r="A866" s="111"/>
      <c r="B866" s="111"/>
      <c r="C866" s="111"/>
      <c r="D866" s="111"/>
      <c r="E866" s="111"/>
      <c r="F866" s="112"/>
      <c r="G866" s="111"/>
      <c r="H866" s="111"/>
      <c r="I866" s="113"/>
      <c r="J866" s="114"/>
      <c r="K866" s="115"/>
      <c r="L866" s="115"/>
      <c r="M866" s="116"/>
      <c r="N866" s="116"/>
      <c r="O866" s="116"/>
      <c r="P866" s="116"/>
      <c r="Q866" s="116"/>
    </row>
    <row r="867">
      <c r="A867" s="111"/>
      <c r="B867" s="111"/>
      <c r="C867" s="111"/>
      <c r="D867" s="111"/>
      <c r="E867" s="111"/>
      <c r="F867" s="112"/>
      <c r="G867" s="111"/>
      <c r="H867" s="111"/>
      <c r="I867" s="113"/>
      <c r="J867" s="114"/>
      <c r="K867" s="115"/>
      <c r="L867" s="115"/>
      <c r="M867" s="116"/>
      <c r="N867" s="116"/>
      <c r="O867" s="116"/>
      <c r="P867" s="116"/>
      <c r="Q867" s="116"/>
    </row>
    <row r="868">
      <c r="A868" s="111"/>
      <c r="B868" s="111"/>
      <c r="C868" s="111"/>
      <c r="D868" s="111"/>
      <c r="E868" s="111"/>
      <c r="F868" s="112"/>
      <c r="G868" s="111"/>
      <c r="H868" s="111"/>
      <c r="I868" s="113"/>
      <c r="J868" s="114"/>
      <c r="K868" s="115"/>
      <c r="L868" s="115"/>
      <c r="M868" s="116"/>
      <c r="N868" s="116"/>
      <c r="O868" s="116"/>
      <c r="P868" s="116"/>
      <c r="Q868" s="116"/>
    </row>
    <row r="869">
      <c r="A869" s="111"/>
      <c r="B869" s="111"/>
      <c r="C869" s="111"/>
      <c r="D869" s="111"/>
      <c r="E869" s="111"/>
      <c r="F869" s="112"/>
      <c r="G869" s="111"/>
      <c r="H869" s="111"/>
      <c r="I869" s="113"/>
      <c r="J869" s="114"/>
      <c r="K869" s="115"/>
      <c r="L869" s="115"/>
      <c r="M869" s="116"/>
      <c r="N869" s="116"/>
      <c r="O869" s="116"/>
      <c r="P869" s="116"/>
      <c r="Q869" s="116"/>
    </row>
    <row r="870">
      <c r="A870" s="111"/>
      <c r="B870" s="111"/>
      <c r="C870" s="111"/>
      <c r="D870" s="111"/>
      <c r="E870" s="111"/>
      <c r="F870" s="112"/>
      <c r="G870" s="111"/>
      <c r="H870" s="111"/>
      <c r="I870" s="113"/>
      <c r="J870" s="114"/>
      <c r="K870" s="115"/>
      <c r="L870" s="115"/>
      <c r="M870" s="116"/>
      <c r="N870" s="116"/>
      <c r="O870" s="116"/>
      <c r="P870" s="116"/>
      <c r="Q870" s="116"/>
    </row>
    <row r="871">
      <c r="A871" s="111"/>
      <c r="B871" s="111"/>
      <c r="C871" s="111"/>
      <c r="D871" s="111"/>
      <c r="E871" s="111"/>
      <c r="F871" s="112"/>
      <c r="G871" s="111"/>
      <c r="H871" s="111"/>
      <c r="I871" s="113"/>
      <c r="J871" s="114"/>
      <c r="K871" s="115"/>
      <c r="L871" s="115"/>
      <c r="M871" s="116"/>
      <c r="N871" s="116"/>
      <c r="O871" s="116"/>
      <c r="P871" s="116"/>
      <c r="Q871" s="116"/>
    </row>
    <row r="872">
      <c r="A872" s="111"/>
      <c r="B872" s="111"/>
      <c r="C872" s="111"/>
      <c r="D872" s="111"/>
      <c r="E872" s="111"/>
      <c r="F872" s="112"/>
      <c r="G872" s="111"/>
      <c r="H872" s="111"/>
      <c r="I872" s="113"/>
      <c r="J872" s="114"/>
      <c r="K872" s="115"/>
      <c r="L872" s="115"/>
      <c r="M872" s="116"/>
      <c r="N872" s="116"/>
      <c r="O872" s="116"/>
      <c r="P872" s="116"/>
      <c r="Q872" s="116"/>
    </row>
    <row r="873">
      <c r="A873" s="111"/>
      <c r="B873" s="111"/>
      <c r="C873" s="111"/>
      <c r="D873" s="111"/>
      <c r="E873" s="111"/>
      <c r="F873" s="112"/>
      <c r="G873" s="111"/>
      <c r="H873" s="111"/>
      <c r="I873" s="113"/>
      <c r="J873" s="114"/>
      <c r="K873" s="115"/>
      <c r="L873" s="115"/>
      <c r="M873" s="116"/>
      <c r="N873" s="116"/>
      <c r="O873" s="116"/>
      <c r="P873" s="116"/>
      <c r="Q873" s="116"/>
    </row>
    <row r="874">
      <c r="A874" s="111"/>
      <c r="B874" s="111"/>
      <c r="C874" s="111"/>
      <c r="D874" s="111"/>
      <c r="E874" s="111"/>
      <c r="F874" s="112"/>
      <c r="G874" s="111"/>
      <c r="H874" s="111"/>
      <c r="I874" s="113"/>
      <c r="J874" s="114"/>
      <c r="K874" s="115"/>
      <c r="L874" s="115"/>
      <c r="M874" s="116"/>
      <c r="N874" s="116"/>
      <c r="O874" s="116"/>
      <c r="P874" s="116"/>
      <c r="Q874" s="116"/>
    </row>
    <row r="875">
      <c r="A875" s="111"/>
      <c r="B875" s="111"/>
      <c r="C875" s="111"/>
      <c r="D875" s="111"/>
      <c r="E875" s="111"/>
      <c r="F875" s="112"/>
      <c r="G875" s="111"/>
      <c r="H875" s="111"/>
      <c r="I875" s="113"/>
      <c r="J875" s="114"/>
      <c r="K875" s="115"/>
      <c r="L875" s="115"/>
      <c r="M875" s="116"/>
      <c r="N875" s="116"/>
      <c r="O875" s="116"/>
      <c r="P875" s="116"/>
      <c r="Q875" s="116"/>
    </row>
    <row r="876">
      <c r="A876" s="111"/>
      <c r="B876" s="111"/>
      <c r="C876" s="111"/>
      <c r="D876" s="111"/>
      <c r="E876" s="111"/>
      <c r="F876" s="112"/>
      <c r="G876" s="111"/>
      <c r="H876" s="111"/>
      <c r="I876" s="113"/>
      <c r="J876" s="114"/>
      <c r="K876" s="115"/>
      <c r="L876" s="115"/>
      <c r="M876" s="116"/>
      <c r="N876" s="116"/>
      <c r="O876" s="116"/>
      <c r="P876" s="116"/>
      <c r="Q876" s="116"/>
    </row>
    <row r="877">
      <c r="A877" s="111"/>
      <c r="B877" s="111"/>
      <c r="C877" s="111"/>
      <c r="D877" s="111"/>
      <c r="E877" s="111"/>
      <c r="F877" s="112"/>
      <c r="G877" s="111"/>
      <c r="H877" s="111"/>
      <c r="I877" s="113"/>
      <c r="J877" s="114"/>
      <c r="K877" s="115"/>
      <c r="L877" s="115"/>
      <c r="M877" s="116"/>
      <c r="N877" s="116"/>
      <c r="O877" s="116"/>
      <c r="P877" s="116"/>
      <c r="Q877" s="116"/>
    </row>
    <row r="878">
      <c r="A878" s="111"/>
      <c r="B878" s="111"/>
      <c r="C878" s="111"/>
      <c r="D878" s="111"/>
      <c r="E878" s="111"/>
      <c r="F878" s="112"/>
      <c r="G878" s="111"/>
      <c r="H878" s="111"/>
      <c r="I878" s="113"/>
      <c r="J878" s="114"/>
      <c r="K878" s="115"/>
      <c r="L878" s="115"/>
      <c r="M878" s="116"/>
      <c r="N878" s="116"/>
      <c r="O878" s="116"/>
      <c r="P878" s="116"/>
      <c r="Q878" s="116"/>
    </row>
    <row r="879">
      <c r="A879" s="111"/>
      <c r="B879" s="111"/>
      <c r="C879" s="111"/>
      <c r="D879" s="111"/>
      <c r="E879" s="111"/>
      <c r="F879" s="112"/>
      <c r="G879" s="111"/>
      <c r="H879" s="111"/>
      <c r="I879" s="113"/>
      <c r="J879" s="114"/>
      <c r="K879" s="115"/>
      <c r="L879" s="115"/>
      <c r="M879" s="116"/>
      <c r="N879" s="116"/>
      <c r="O879" s="116"/>
      <c r="P879" s="116"/>
      <c r="Q879" s="116"/>
    </row>
    <row r="880">
      <c r="A880" s="111"/>
      <c r="B880" s="111"/>
      <c r="C880" s="111"/>
      <c r="D880" s="111"/>
      <c r="E880" s="111"/>
      <c r="F880" s="112"/>
      <c r="G880" s="111"/>
      <c r="H880" s="111"/>
      <c r="I880" s="113"/>
      <c r="J880" s="114"/>
      <c r="K880" s="115"/>
      <c r="L880" s="115"/>
      <c r="M880" s="116"/>
      <c r="N880" s="116"/>
      <c r="O880" s="116"/>
      <c r="P880" s="116"/>
      <c r="Q880" s="116"/>
    </row>
    <row r="881">
      <c r="A881" s="111"/>
      <c r="B881" s="111"/>
      <c r="C881" s="111"/>
      <c r="D881" s="111"/>
      <c r="E881" s="111"/>
      <c r="F881" s="112"/>
      <c r="G881" s="111"/>
      <c r="H881" s="111"/>
      <c r="I881" s="113"/>
      <c r="J881" s="114"/>
      <c r="K881" s="115"/>
      <c r="L881" s="115"/>
      <c r="M881" s="116"/>
      <c r="N881" s="116"/>
      <c r="O881" s="116"/>
      <c r="P881" s="116"/>
      <c r="Q881" s="116"/>
    </row>
    <row r="882">
      <c r="A882" s="111"/>
      <c r="B882" s="111"/>
      <c r="C882" s="111"/>
      <c r="D882" s="111"/>
      <c r="E882" s="111"/>
      <c r="F882" s="112"/>
      <c r="G882" s="111"/>
      <c r="H882" s="111"/>
      <c r="I882" s="113"/>
      <c r="J882" s="114"/>
      <c r="K882" s="115"/>
      <c r="L882" s="115"/>
      <c r="M882" s="116"/>
      <c r="N882" s="116"/>
      <c r="O882" s="116"/>
      <c r="P882" s="116"/>
      <c r="Q882" s="116"/>
    </row>
    <row r="883">
      <c r="A883" s="111"/>
      <c r="B883" s="111"/>
      <c r="C883" s="111"/>
      <c r="D883" s="111"/>
      <c r="E883" s="111"/>
      <c r="F883" s="112"/>
      <c r="G883" s="111"/>
      <c r="H883" s="111"/>
      <c r="I883" s="113"/>
      <c r="J883" s="114"/>
      <c r="K883" s="115"/>
      <c r="L883" s="115"/>
      <c r="M883" s="116"/>
      <c r="N883" s="116"/>
      <c r="O883" s="116"/>
      <c r="P883" s="116"/>
      <c r="Q883" s="116"/>
    </row>
    <row r="884">
      <c r="A884" s="111"/>
      <c r="B884" s="111"/>
      <c r="C884" s="111"/>
      <c r="D884" s="111"/>
      <c r="E884" s="111"/>
      <c r="F884" s="112"/>
      <c r="G884" s="111"/>
      <c r="H884" s="111"/>
      <c r="I884" s="113"/>
      <c r="J884" s="114"/>
      <c r="K884" s="115"/>
      <c r="L884" s="115"/>
      <c r="M884" s="116"/>
      <c r="N884" s="116"/>
      <c r="O884" s="116"/>
      <c r="P884" s="116"/>
      <c r="Q884" s="116"/>
    </row>
    <row r="885">
      <c r="A885" s="111"/>
      <c r="B885" s="111"/>
      <c r="C885" s="111"/>
      <c r="D885" s="111"/>
      <c r="E885" s="111"/>
      <c r="F885" s="112"/>
      <c r="G885" s="111"/>
      <c r="H885" s="111"/>
      <c r="I885" s="113"/>
      <c r="J885" s="114"/>
      <c r="K885" s="115"/>
      <c r="L885" s="115"/>
      <c r="M885" s="116"/>
      <c r="N885" s="116"/>
      <c r="O885" s="116"/>
      <c r="P885" s="116"/>
      <c r="Q885" s="116"/>
    </row>
    <row r="886">
      <c r="A886" s="111"/>
      <c r="B886" s="111"/>
      <c r="C886" s="111"/>
      <c r="D886" s="111"/>
      <c r="E886" s="111"/>
      <c r="F886" s="112"/>
      <c r="G886" s="111"/>
      <c r="H886" s="111"/>
      <c r="I886" s="113"/>
      <c r="J886" s="114"/>
      <c r="K886" s="115"/>
      <c r="L886" s="115"/>
      <c r="M886" s="116"/>
      <c r="N886" s="116"/>
      <c r="O886" s="116"/>
      <c r="P886" s="116"/>
      <c r="Q886" s="116"/>
    </row>
    <row r="887">
      <c r="A887" s="111"/>
      <c r="B887" s="111"/>
      <c r="C887" s="111"/>
      <c r="D887" s="111"/>
      <c r="E887" s="111"/>
      <c r="F887" s="112"/>
      <c r="G887" s="111"/>
      <c r="H887" s="111"/>
      <c r="I887" s="113"/>
      <c r="J887" s="114"/>
      <c r="K887" s="115"/>
      <c r="L887" s="115"/>
      <c r="M887" s="116"/>
      <c r="N887" s="116"/>
      <c r="O887" s="116"/>
      <c r="P887" s="116"/>
      <c r="Q887" s="116"/>
    </row>
    <row r="888">
      <c r="A888" s="111"/>
      <c r="B888" s="111"/>
      <c r="C888" s="111"/>
      <c r="D888" s="111"/>
      <c r="E888" s="111"/>
      <c r="F888" s="112"/>
      <c r="G888" s="111"/>
      <c r="H888" s="111"/>
      <c r="I888" s="113"/>
      <c r="J888" s="114"/>
      <c r="K888" s="115"/>
      <c r="L888" s="115"/>
      <c r="M888" s="116"/>
      <c r="N888" s="116"/>
      <c r="O888" s="116"/>
      <c r="P888" s="116"/>
      <c r="Q888" s="116"/>
    </row>
    <row r="889">
      <c r="A889" s="111"/>
      <c r="B889" s="111"/>
      <c r="C889" s="111"/>
      <c r="D889" s="111"/>
      <c r="E889" s="111"/>
      <c r="F889" s="112"/>
      <c r="G889" s="111"/>
      <c r="H889" s="111"/>
      <c r="I889" s="113"/>
      <c r="J889" s="114"/>
      <c r="K889" s="115"/>
      <c r="L889" s="115"/>
      <c r="M889" s="116"/>
      <c r="N889" s="116"/>
      <c r="O889" s="116"/>
      <c r="P889" s="116"/>
      <c r="Q889" s="116"/>
    </row>
    <row r="890">
      <c r="A890" s="111"/>
      <c r="B890" s="111"/>
      <c r="C890" s="111"/>
      <c r="D890" s="111"/>
      <c r="E890" s="111"/>
      <c r="F890" s="112"/>
      <c r="G890" s="111"/>
      <c r="H890" s="111"/>
      <c r="I890" s="113"/>
      <c r="J890" s="114"/>
      <c r="K890" s="115"/>
      <c r="L890" s="115"/>
      <c r="M890" s="116"/>
      <c r="N890" s="116"/>
      <c r="O890" s="116"/>
      <c r="P890" s="116"/>
      <c r="Q890" s="116"/>
    </row>
    <row r="891">
      <c r="A891" s="111"/>
      <c r="B891" s="111"/>
      <c r="C891" s="111"/>
      <c r="D891" s="111"/>
      <c r="E891" s="111"/>
      <c r="F891" s="112"/>
      <c r="G891" s="111"/>
      <c r="H891" s="111"/>
      <c r="I891" s="113"/>
      <c r="J891" s="114"/>
      <c r="K891" s="115"/>
      <c r="L891" s="115"/>
      <c r="M891" s="116"/>
      <c r="N891" s="116"/>
      <c r="O891" s="116"/>
      <c r="P891" s="116"/>
      <c r="Q891" s="116"/>
    </row>
    <row r="892">
      <c r="A892" s="111"/>
      <c r="B892" s="111"/>
      <c r="C892" s="111"/>
      <c r="D892" s="111"/>
      <c r="E892" s="111"/>
      <c r="F892" s="112"/>
      <c r="G892" s="111"/>
      <c r="H892" s="111"/>
      <c r="I892" s="113"/>
      <c r="J892" s="114"/>
      <c r="K892" s="115"/>
      <c r="L892" s="115"/>
      <c r="M892" s="116"/>
      <c r="N892" s="116"/>
      <c r="O892" s="116"/>
      <c r="P892" s="116"/>
      <c r="Q892" s="116"/>
    </row>
    <row r="893">
      <c r="A893" s="111"/>
      <c r="B893" s="111"/>
      <c r="C893" s="111"/>
      <c r="D893" s="111"/>
      <c r="E893" s="111"/>
      <c r="F893" s="112"/>
      <c r="G893" s="111"/>
      <c r="H893" s="111"/>
      <c r="I893" s="113"/>
      <c r="J893" s="114"/>
      <c r="K893" s="115"/>
      <c r="L893" s="115"/>
      <c r="M893" s="116"/>
      <c r="N893" s="116"/>
      <c r="O893" s="116"/>
      <c r="P893" s="116"/>
      <c r="Q893" s="116"/>
    </row>
    <row r="894">
      <c r="A894" s="111"/>
      <c r="B894" s="111"/>
      <c r="C894" s="111"/>
      <c r="D894" s="111"/>
      <c r="E894" s="111"/>
      <c r="F894" s="112"/>
      <c r="G894" s="111"/>
      <c r="H894" s="111"/>
      <c r="I894" s="113"/>
      <c r="J894" s="114"/>
      <c r="K894" s="115"/>
      <c r="L894" s="115"/>
      <c r="M894" s="116"/>
      <c r="N894" s="116"/>
      <c r="O894" s="116"/>
      <c r="P894" s="116"/>
      <c r="Q894" s="116"/>
    </row>
    <row r="895">
      <c r="A895" s="111"/>
      <c r="B895" s="111"/>
      <c r="C895" s="111"/>
      <c r="D895" s="111"/>
      <c r="E895" s="111"/>
      <c r="F895" s="112"/>
      <c r="G895" s="111"/>
      <c r="H895" s="111"/>
      <c r="I895" s="113"/>
      <c r="J895" s="114"/>
      <c r="K895" s="115"/>
      <c r="L895" s="115"/>
      <c r="M895" s="116"/>
      <c r="N895" s="116"/>
      <c r="O895" s="116"/>
      <c r="P895" s="116"/>
      <c r="Q895" s="116"/>
    </row>
    <row r="896">
      <c r="A896" s="111"/>
      <c r="B896" s="111"/>
      <c r="C896" s="111"/>
      <c r="D896" s="111"/>
      <c r="E896" s="111"/>
      <c r="F896" s="112"/>
      <c r="G896" s="111"/>
      <c r="H896" s="111"/>
      <c r="I896" s="113"/>
      <c r="J896" s="114"/>
      <c r="K896" s="115"/>
      <c r="L896" s="115"/>
      <c r="M896" s="116"/>
      <c r="N896" s="116"/>
      <c r="O896" s="116"/>
      <c r="P896" s="116"/>
      <c r="Q896" s="116"/>
    </row>
    <row r="897">
      <c r="A897" s="111"/>
      <c r="B897" s="111"/>
      <c r="C897" s="111"/>
      <c r="D897" s="111"/>
      <c r="E897" s="111"/>
      <c r="F897" s="112"/>
      <c r="G897" s="111"/>
      <c r="H897" s="111"/>
      <c r="I897" s="113"/>
      <c r="J897" s="114"/>
      <c r="K897" s="115"/>
      <c r="L897" s="115"/>
      <c r="M897" s="116"/>
      <c r="N897" s="116"/>
      <c r="O897" s="116"/>
      <c r="P897" s="116"/>
      <c r="Q897" s="116"/>
    </row>
    <row r="898">
      <c r="A898" s="111"/>
      <c r="B898" s="111"/>
      <c r="C898" s="111"/>
      <c r="D898" s="111"/>
      <c r="E898" s="111"/>
      <c r="F898" s="112"/>
      <c r="G898" s="111"/>
      <c r="H898" s="111"/>
      <c r="I898" s="113"/>
      <c r="J898" s="114"/>
      <c r="K898" s="115"/>
      <c r="L898" s="115"/>
      <c r="M898" s="116"/>
      <c r="N898" s="116"/>
      <c r="O898" s="116"/>
      <c r="P898" s="116"/>
      <c r="Q898" s="116"/>
    </row>
    <row r="899">
      <c r="A899" s="111"/>
      <c r="B899" s="111"/>
      <c r="C899" s="111"/>
      <c r="D899" s="111"/>
      <c r="E899" s="111"/>
      <c r="F899" s="112"/>
      <c r="G899" s="111"/>
      <c r="H899" s="111"/>
      <c r="I899" s="113"/>
      <c r="J899" s="114"/>
      <c r="K899" s="115"/>
      <c r="L899" s="115"/>
      <c r="M899" s="116"/>
      <c r="N899" s="116"/>
      <c r="O899" s="116"/>
      <c r="P899" s="116"/>
      <c r="Q899" s="116"/>
    </row>
    <row r="900">
      <c r="A900" s="111"/>
      <c r="B900" s="111"/>
      <c r="C900" s="111"/>
      <c r="D900" s="111"/>
      <c r="E900" s="111"/>
      <c r="F900" s="112"/>
      <c r="G900" s="111"/>
      <c r="H900" s="111"/>
      <c r="I900" s="113"/>
      <c r="J900" s="114"/>
      <c r="K900" s="115"/>
      <c r="L900" s="115"/>
      <c r="M900" s="116"/>
      <c r="N900" s="116"/>
      <c r="O900" s="116"/>
      <c r="P900" s="116"/>
      <c r="Q900" s="116"/>
    </row>
    <row r="901">
      <c r="A901" s="111"/>
      <c r="B901" s="111"/>
      <c r="C901" s="111"/>
      <c r="D901" s="111"/>
      <c r="E901" s="111"/>
      <c r="F901" s="112"/>
      <c r="G901" s="111"/>
      <c r="H901" s="111"/>
      <c r="I901" s="113"/>
      <c r="J901" s="114"/>
      <c r="K901" s="115"/>
      <c r="L901" s="115"/>
      <c r="M901" s="116"/>
      <c r="N901" s="116"/>
      <c r="O901" s="116"/>
      <c r="P901" s="116"/>
      <c r="Q901" s="116"/>
    </row>
    <row r="902">
      <c r="A902" s="111"/>
      <c r="B902" s="111"/>
      <c r="C902" s="111"/>
      <c r="D902" s="111"/>
      <c r="E902" s="111"/>
      <c r="F902" s="112"/>
      <c r="G902" s="111"/>
      <c r="H902" s="111"/>
      <c r="I902" s="113"/>
      <c r="J902" s="114"/>
      <c r="K902" s="115"/>
      <c r="L902" s="115"/>
      <c r="M902" s="116"/>
      <c r="N902" s="116"/>
      <c r="O902" s="116"/>
      <c r="P902" s="116"/>
      <c r="Q902" s="116"/>
    </row>
    <row r="903">
      <c r="A903" s="111"/>
      <c r="B903" s="111"/>
      <c r="C903" s="111"/>
      <c r="D903" s="111"/>
      <c r="E903" s="111"/>
      <c r="F903" s="112"/>
      <c r="G903" s="111"/>
      <c r="H903" s="111"/>
      <c r="I903" s="113"/>
      <c r="J903" s="114"/>
      <c r="K903" s="115"/>
      <c r="L903" s="115"/>
      <c r="M903" s="116"/>
      <c r="N903" s="116"/>
      <c r="O903" s="116"/>
      <c r="P903" s="116"/>
      <c r="Q903" s="116"/>
    </row>
    <row r="904">
      <c r="A904" s="111"/>
      <c r="B904" s="111"/>
      <c r="C904" s="111"/>
      <c r="D904" s="111"/>
      <c r="E904" s="111"/>
      <c r="F904" s="112"/>
      <c r="G904" s="111"/>
      <c r="H904" s="111"/>
      <c r="I904" s="113"/>
      <c r="J904" s="114"/>
      <c r="K904" s="115"/>
      <c r="L904" s="115"/>
      <c r="M904" s="116"/>
      <c r="N904" s="116"/>
      <c r="O904" s="116"/>
      <c r="P904" s="116"/>
      <c r="Q904" s="116"/>
    </row>
    <row r="905">
      <c r="A905" s="111"/>
      <c r="B905" s="111"/>
      <c r="C905" s="111"/>
      <c r="D905" s="111"/>
      <c r="E905" s="111"/>
      <c r="F905" s="112"/>
      <c r="G905" s="111"/>
      <c r="H905" s="111"/>
      <c r="I905" s="113"/>
      <c r="J905" s="114"/>
      <c r="K905" s="115"/>
      <c r="L905" s="115"/>
      <c r="M905" s="116"/>
      <c r="N905" s="116"/>
      <c r="O905" s="116"/>
      <c r="P905" s="116"/>
      <c r="Q905" s="116"/>
    </row>
    <row r="906">
      <c r="A906" s="111"/>
      <c r="B906" s="111"/>
      <c r="C906" s="111"/>
      <c r="D906" s="111"/>
      <c r="E906" s="111"/>
      <c r="F906" s="112"/>
      <c r="G906" s="111"/>
      <c r="H906" s="111"/>
      <c r="I906" s="113"/>
      <c r="J906" s="114"/>
      <c r="K906" s="115"/>
      <c r="L906" s="115"/>
      <c r="M906" s="116"/>
      <c r="N906" s="116"/>
      <c r="O906" s="116"/>
      <c r="P906" s="116"/>
      <c r="Q906" s="116"/>
    </row>
    <row r="907">
      <c r="A907" s="111"/>
      <c r="B907" s="111"/>
      <c r="C907" s="111"/>
      <c r="D907" s="111"/>
      <c r="E907" s="111"/>
      <c r="F907" s="112"/>
      <c r="G907" s="111"/>
      <c r="H907" s="111"/>
      <c r="I907" s="113"/>
      <c r="J907" s="114"/>
      <c r="K907" s="115"/>
      <c r="L907" s="115"/>
      <c r="M907" s="116"/>
      <c r="N907" s="116"/>
      <c r="O907" s="116"/>
      <c r="P907" s="116"/>
      <c r="Q907" s="116"/>
    </row>
    <row r="908">
      <c r="A908" s="111"/>
      <c r="B908" s="111"/>
      <c r="C908" s="111"/>
      <c r="D908" s="111"/>
      <c r="E908" s="111"/>
      <c r="F908" s="112"/>
      <c r="G908" s="111"/>
      <c r="H908" s="111"/>
      <c r="I908" s="113"/>
      <c r="J908" s="114"/>
      <c r="K908" s="115"/>
      <c r="L908" s="115"/>
      <c r="M908" s="116"/>
      <c r="N908" s="116"/>
      <c r="O908" s="116"/>
      <c r="P908" s="116"/>
      <c r="Q908" s="116"/>
    </row>
    <row r="909">
      <c r="A909" s="111"/>
      <c r="B909" s="111"/>
      <c r="C909" s="111"/>
      <c r="D909" s="111"/>
      <c r="E909" s="111"/>
      <c r="F909" s="112"/>
      <c r="G909" s="111"/>
      <c r="H909" s="111"/>
      <c r="I909" s="113"/>
      <c r="J909" s="114"/>
      <c r="K909" s="115"/>
      <c r="L909" s="115"/>
      <c r="M909" s="116"/>
      <c r="N909" s="116"/>
      <c r="O909" s="116"/>
      <c r="P909" s="116"/>
      <c r="Q909" s="116"/>
    </row>
    <row r="910">
      <c r="A910" s="111"/>
      <c r="B910" s="111"/>
      <c r="C910" s="111"/>
      <c r="D910" s="111"/>
      <c r="E910" s="111"/>
      <c r="F910" s="112"/>
      <c r="G910" s="111"/>
      <c r="H910" s="111"/>
      <c r="I910" s="113"/>
      <c r="J910" s="114"/>
      <c r="K910" s="115"/>
      <c r="L910" s="115"/>
      <c r="M910" s="116"/>
      <c r="N910" s="116"/>
      <c r="O910" s="116"/>
      <c r="P910" s="116"/>
      <c r="Q910" s="116"/>
    </row>
    <row r="911">
      <c r="A911" s="111"/>
      <c r="B911" s="111"/>
      <c r="C911" s="111"/>
      <c r="D911" s="111"/>
      <c r="E911" s="111"/>
      <c r="F911" s="112"/>
      <c r="G911" s="111"/>
      <c r="H911" s="111"/>
      <c r="I911" s="113"/>
      <c r="J911" s="114"/>
      <c r="K911" s="115"/>
      <c r="L911" s="115"/>
      <c r="M911" s="116"/>
      <c r="N911" s="116"/>
      <c r="O911" s="116"/>
      <c r="P911" s="116"/>
      <c r="Q911" s="116"/>
    </row>
    <row r="912">
      <c r="A912" s="111"/>
      <c r="B912" s="111"/>
      <c r="C912" s="111"/>
      <c r="D912" s="111"/>
      <c r="E912" s="111"/>
      <c r="F912" s="112"/>
      <c r="G912" s="111"/>
      <c r="H912" s="111"/>
      <c r="I912" s="113"/>
      <c r="J912" s="114"/>
      <c r="K912" s="115"/>
      <c r="L912" s="115"/>
      <c r="M912" s="116"/>
      <c r="N912" s="116"/>
      <c r="O912" s="116"/>
      <c r="P912" s="116"/>
      <c r="Q912" s="116"/>
    </row>
    <row r="913">
      <c r="A913" s="111"/>
      <c r="B913" s="111"/>
      <c r="C913" s="111"/>
      <c r="D913" s="111"/>
      <c r="E913" s="111"/>
      <c r="F913" s="112"/>
      <c r="G913" s="111"/>
      <c r="H913" s="111"/>
      <c r="I913" s="113"/>
      <c r="J913" s="114"/>
      <c r="K913" s="115"/>
      <c r="L913" s="115"/>
      <c r="M913" s="116"/>
      <c r="N913" s="116"/>
      <c r="O913" s="116"/>
      <c r="P913" s="116"/>
      <c r="Q913" s="116"/>
    </row>
    <row r="914">
      <c r="A914" s="111"/>
      <c r="B914" s="111"/>
      <c r="C914" s="111"/>
      <c r="D914" s="111"/>
      <c r="E914" s="111"/>
      <c r="F914" s="112"/>
      <c r="G914" s="111"/>
      <c r="H914" s="111"/>
      <c r="I914" s="113"/>
      <c r="J914" s="114"/>
      <c r="K914" s="115"/>
      <c r="L914" s="115"/>
      <c r="M914" s="116"/>
      <c r="N914" s="116"/>
      <c r="O914" s="116"/>
      <c r="P914" s="116"/>
      <c r="Q914" s="116"/>
    </row>
    <row r="915">
      <c r="A915" s="111"/>
      <c r="B915" s="111"/>
      <c r="C915" s="111"/>
      <c r="D915" s="111"/>
      <c r="E915" s="111"/>
      <c r="F915" s="112"/>
      <c r="G915" s="111"/>
      <c r="H915" s="111"/>
      <c r="I915" s="113"/>
      <c r="J915" s="114"/>
      <c r="K915" s="115"/>
      <c r="L915" s="115"/>
      <c r="M915" s="116"/>
      <c r="N915" s="116"/>
      <c r="O915" s="116"/>
      <c r="P915" s="116"/>
      <c r="Q915" s="116"/>
    </row>
    <row r="916">
      <c r="A916" s="111"/>
      <c r="B916" s="111"/>
      <c r="C916" s="111"/>
      <c r="D916" s="111"/>
      <c r="E916" s="111"/>
      <c r="F916" s="112"/>
      <c r="G916" s="111"/>
      <c r="H916" s="111"/>
      <c r="I916" s="113"/>
      <c r="J916" s="114"/>
      <c r="K916" s="115"/>
      <c r="L916" s="115"/>
      <c r="M916" s="116"/>
      <c r="N916" s="116"/>
      <c r="O916" s="116"/>
      <c r="P916" s="116"/>
      <c r="Q916" s="116"/>
    </row>
    <row r="917">
      <c r="A917" s="111"/>
      <c r="B917" s="111"/>
      <c r="C917" s="111"/>
      <c r="D917" s="111"/>
      <c r="E917" s="111"/>
      <c r="F917" s="112"/>
      <c r="G917" s="111"/>
      <c r="H917" s="111"/>
      <c r="I917" s="113"/>
      <c r="J917" s="114"/>
      <c r="K917" s="115"/>
      <c r="L917" s="115"/>
      <c r="M917" s="116"/>
      <c r="N917" s="116"/>
      <c r="O917" s="116"/>
      <c r="P917" s="116"/>
      <c r="Q917" s="116"/>
    </row>
    <row r="918">
      <c r="A918" s="111"/>
      <c r="B918" s="111"/>
      <c r="C918" s="111"/>
      <c r="D918" s="111"/>
      <c r="E918" s="111"/>
      <c r="F918" s="112"/>
      <c r="G918" s="111"/>
      <c r="H918" s="111"/>
      <c r="I918" s="113"/>
      <c r="J918" s="114"/>
      <c r="K918" s="115"/>
      <c r="L918" s="115"/>
      <c r="M918" s="116"/>
      <c r="N918" s="116"/>
      <c r="O918" s="116"/>
      <c r="P918" s="116"/>
      <c r="Q918" s="116"/>
    </row>
    <row r="919">
      <c r="A919" s="111"/>
      <c r="B919" s="111"/>
      <c r="C919" s="111"/>
      <c r="D919" s="111"/>
      <c r="E919" s="111"/>
      <c r="F919" s="112"/>
      <c r="G919" s="111"/>
      <c r="H919" s="111"/>
      <c r="I919" s="113"/>
      <c r="J919" s="114"/>
      <c r="K919" s="115"/>
      <c r="L919" s="115"/>
      <c r="M919" s="116"/>
      <c r="N919" s="116"/>
      <c r="O919" s="116"/>
      <c r="P919" s="116"/>
      <c r="Q919" s="116"/>
    </row>
    <row r="920">
      <c r="A920" s="111"/>
      <c r="B920" s="111"/>
      <c r="C920" s="111"/>
      <c r="D920" s="111"/>
      <c r="E920" s="111"/>
      <c r="F920" s="112"/>
      <c r="G920" s="111"/>
      <c r="H920" s="111"/>
      <c r="I920" s="113"/>
      <c r="J920" s="114"/>
      <c r="K920" s="115"/>
      <c r="L920" s="115"/>
      <c r="M920" s="116"/>
      <c r="N920" s="116"/>
      <c r="O920" s="116"/>
      <c r="P920" s="116"/>
      <c r="Q920" s="116"/>
    </row>
    <row r="921">
      <c r="A921" s="111"/>
      <c r="B921" s="111"/>
      <c r="C921" s="111"/>
      <c r="D921" s="111"/>
      <c r="E921" s="111"/>
      <c r="F921" s="112"/>
      <c r="G921" s="111"/>
      <c r="H921" s="111"/>
      <c r="I921" s="113"/>
      <c r="J921" s="114"/>
      <c r="K921" s="115"/>
      <c r="L921" s="115"/>
      <c r="M921" s="116"/>
      <c r="N921" s="116"/>
      <c r="O921" s="116"/>
      <c r="P921" s="116"/>
      <c r="Q921" s="116"/>
    </row>
    <row r="922">
      <c r="A922" s="111"/>
      <c r="B922" s="111"/>
      <c r="C922" s="111"/>
      <c r="D922" s="111"/>
      <c r="E922" s="111"/>
      <c r="F922" s="112"/>
      <c r="G922" s="111"/>
      <c r="H922" s="111"/>
      <c r="I922" s="113"/>
      <c r="J922" s="114"/>
      <c r="K922" s="115"/>
      <c r="L922" s="115"/>
      <c r="M922" s="116"/>
      <c r="N922" s="116"/>
      <c r="O922" s="116"/>
      <c r="P922" s="116"/>
      <c r="Q922" s="116"/>
    </row>
    <row r="923">
      <c r="A923" s="111"/>
      <c r="B923" s="111"/>
      <c r="C923" s="111"/>
      <c r="D923" s="111"/>
      <c r="E923" s="111"/>
      <c r="F923" s="112"/>
      <c r="G923" s="111"/>
      <c r="H923" s="111"/>
      <c r="I923" s="113"/>
      <c r="J923" s="114"/>
      <c r="K923" s="115"/>
      <c r="L923" s="115"/>
      <c r="M923" s="116"/>
      <c r="N923" s="116"/>
      <c r="O923" s="116"/>
      <c r="P923" s="116"/>
      <c r="Q923" s="116"/>
    </row>
    <row r="924">
      <c r="A924" s="111"/>
      <c r="B924" s="111"/>
      <c r="C924" s="111"/>
      <c r="D924" s="111"/>
      <c r="E924" s="111"/>
      <c r="F924" s="112"/>
      <c r="G924" s="111"/>
      <c r="H924" s="111"/>
      <c r="I924" s="113"/>
      <c r="J924" s="114"/>
      <c r="K924" s="115"/>
      <c r="L924" s="115"/>
      <c r="M924" s="116"/>
      <c r="N924" s="116"/>
      <c r="O924" s="116"/>
      <c r="P924" s="116"/>
      <c r="Q924" s="116"/>
    </row>
    <row r="925">
      <c r="A925" s="111"/>
      <c r="B925" s="111"/>
      <c r="C925" s="111"/>
      <c r="D925" s="111"/>
      <c r="E925" s="111"/>
      <c r="F925" s="112"/>
      <c r="G925" s="111"/>
      <c r="H925" s="111"/>
      <c r="I925" s="113"/>
      <c r="J925" s="114"/>
      <c r="K925" s="115"/>
      <c r="L925" s="115"/>
      <c r="M925" s="116"/>
      <c r="N925" s="116"/>
      <c r="O925" s="116"/>
      <c r="P925" s="116"/>
      <c r="Q925" s="116"/>
    </row>
    <row r="926">
      <c r="A926" s="111"/>
      <c r="B926" s="111"/>
      <c r="C926" s="111"/>
      <c r="D926" s="111"/>
      <c r="E926" s="111"/>
      <c r="F926" s="112"/>
      <c r="G926" s="111"/>
      <c r="H926" s="111"/>
      <c r="I926" s="113"/>
      <c r="J926" s="114"/>
      <c r="K926" s="115"/>
      <c r="L926" s="115"/>
      <c r="M926" s="116"/>
      <c r="N926" s="116"/>
      <c r="O926" s="116"/>
      <c r="P926" s="116"/>
      <c r="Q926" s="116"/>
    </row>
    <row r="927">
      <c r="A927" s="111"/>
      <c r="B927" s="111"/>
      <c r="C927" s="111"/>
      <c r="D927" s="111"/>
      <c r="E927" s="111"/>
      <c r="F927" s="112"/>
      <c r="G927" s="111"/>
      <c r="H927" s="111"/>
      <c r="I927" s="113"/>
      <c r="J927" s="114"/>
      <c r="K927" s="115"/>
      <c r="L927" s="115"/>
      <c r="M927" s="116"/>
      <c r="N927" s="116"/>
      <c r="O927" s="116"/>
      <c r="P927" s="116"/>
      <c r="Q927" s="116"/>
    </row>
    <row r="928">
      <c r="A928" s="111"/>
      <c r="B928" s="111"/>
      <c r="C928" s="111"/>
      <c r="D928" s="111"/>
      <c r="E928" s="111"/>
      <c r="F928" s="112"/>
      <c r="G928" s="111"/>
      <c r="H928" s="111"/>
      <c r="I928" s="113"/>
      <c r="J928" s="114"/>
      <c r="K928" s="115"/>
      <c r="L928" s="115"/>
      <c r="M928" s="116"/>
      <c r="N928" s="116"/>
      <c r="O928" s="116"/>
      <c r="P928" s="116"/>
      <c r="Q928" s="116"/>
    </row>
    <row r="929">
      <c r="A929" s="111"/>
      <c r="B929" s="111"/>
      <c r="C929" s="111"/>
      <c r="D929" s="111"/>
      <c r="E929" s="111"/>
      <c r="F929" s="112"/>
      <c r="G929" s="111"/>
      <c r="H929" s="111"/>
      <c r="I929" s="113"/>
      <c r="J929" s="114"/>
      <c r="K929" s="115"/>
      <c r="L929" s="115"/>
      <c r="M929" s="116"/>
      <c r="N929" s="116"/>
      <c r="O929" s="116"/>
      <c r="P929" s="116"/>
      <c r="Q929" s="116"/>
    </row>
    <row r="930">
      <c r="A930" s="111"/>
      <c r="B930" s="111"/>
      <c r="C930" s="111"/>
      <c r="D930" s="111"/>
      <c r="E930" s="111"/>
      <c r="F930" s="112"/>
      <c r="G930" s="111"/>
      <c r="H930" s="111"/>
      <c r="I930" s="113"/>
      <c r="J930" s="114"/>
      <c r="K930" s="115"/>
      <c r="L930" s="115"/>
      <c r="M930" s="116"/>
      <c r="N930" s="116"/>
      <c r="O930" s="116"/>
      <c r="P930" s="116"/>
      <c r="Q930" s="116"/>
    </row>
    <row r="931">
      <c r="A931" s="111"/>
      <c r="B931" s="111"/>
      <c r="C931" s="111"/>
      <c r="D931" s="111"/>
      <c r="E931" s="111"/>
      <c r="F931" s="112"/>
      <c r="G931" s="111"/>
      <c r="H931" s="111"/>
      <c r="I931" s="113"/>
      <c r="J931" s="114"/>
      <c r="K931" s="115"/>
      <c r="L931" s="115"/>
      <c r="M931" s="116"/>
      <c r="N931" s="116"/>
      <c r="O931" s="116"/>
      <c r="P931" s="116"/>
      <c r="Q931" s="116"/>
    </row>
    <row r="932">
      <c r="A932" s="111"/>
      <c r="B932" s="111"/>
      <c r="C932" s="111"/>
      <c r="D932" s="111"/>
      <c r="E932" s="111"/>
      <c r="F932" s="112"/>
      <c r="G932" s="111"/>
      <c r="H932" s="111"/>
      <c r="I932" s="113"/>
      <c r="J932" s="114"/>
      <c r="K932" s="115"/>
      <c r="L932" s="115"/>
      <c r="M932" s="116"/>
      <c r="N932" s="116"/>
      <c r="O932" s="116"/>
      <c r="P932" s="116"/>
      <c r="Q932" s="116"/>
    </row>
    <row r="933">
      <c r="A933" s="111"/>
      <c r="B933" s="111"/>
      <c r="C933" s="111"/>
      <c r="D933" s="111"/>
      <c r="E933" s="111"/>
      <c r="F933" s="112"/>
      <c r="G933" s="111"/>
      <c r="H933" s="111"/>
      <c r="I933" s="113"/>
      <c r="J933" s="114"/>
      <c r="K933" s="115"/>
      <c r="L933" s="115"/>
      <c r="M933" s="116"/>
      <c r="N933" s="116"/>
      <c r="O933" s="116"/>
      <c r="P933" s="116"/>
      <c r="Q933" s="116"/>
    </row>
    <row r="934">
      <c r="A934" s="111"/>
      <c r="B934" s="111"/>
      <c r="C934" s="111"/>
      <c r="D934" s="111"/>
      <c r="E934" s="111"/>
      <c r="F934" s="112"/>
      <c r="G934" s="111"/>
      <c r="H934" s="111"/>
      <c r="I934" s="113"/>
      <c r="J934" s="114"/>
      <c r="K934" s="115"/>
      <c r="L934" s="115"/>
      <c r="M934" s="116"/>
      <c r="N934" s="116"/>
      <c r="O934" s="116"/>
      <c r="P934" s="116"/>
      <c r="Q934" s="116"/>
    </row>
    <row r="935">
      <c r="A935" s="111"/>
      <c r="B935" s="111"/>
      <c r="C935" s="111"/>
      <c r="D935" s="111"/>
      <c r="E935" s="111"/>
      <c r="F935" s="112"/>
      <c r="G935" s="111"/>
      <c r="H935" s="111"/>
      <c r="I935" s="113"/>
      <c r="J935" s="114"/>
      <c r="K935" s="115"/>
      <c r="L935" s="115"/>
      <c r="M935" s="116"/>
      <c r="N935" s="116"/>
      <c r="O935" s="116"/>
      <c r="P935" s="116"/>
      <c r="Q935" s="116"/>
    </row>
    <row r="936">
      <c r="A936" s="111"/>
      <c r="B936" s="111"/>
      <c r="C936" s="111"/>
      <c r="D936" s="111"/>
      <c r="E936" s="111"/>
      <c r="F936" s="112"/>
      <c r="G936" s="111"/>
      <c r="H936" s="111"/>
      <c r="I936" s="113"/>
      <c r="J936" s="114"/>
      <c r="K936" s="115"/>
      <c r="L936" s="115"/>
      <c r="M936" s="116"/>
      <c r="N936" s="116"/>
      <c r="O936" s="116"/>
      <c r="P936" s="116"/>
      <c r="Q936" s="116"/>
    </row>
    <row r="937">
      <c r="A937" s="111"/>
      <c r="B937" s="111"/>
      <c r="C937" s="111"/>
      <c r="D937" s="111"/>
      <c r="E937" s="111"/>
      <c r="F937" s="112"/>
      <c r="G937" s="111"/>
      <c r="H937" s="111"/>
      <c r="I937" s="113"/>
      <c r="J937" s="114"/>
      <c r="K937" s="115"/>
      <c r="L937" s="115"/>
      <c r="M937" s="116"/>
      <c r="N937" s="116"/>
      <c r="O937" s="116"/>
      <c r="P937" s="116"/>
      <c r="Q937" s="116"/>
    </row>
    <row r="938">
      <c r="A938" s="111"/>
      <c r="B938" s="111"/>
      <c r="C938" s="111"/>
      <c r="D938" s="111"/>
      <c r="E938" s="111"/>
      <c r="F938" s="112"/>
      <c r="G938" s="111"/>
      <c r="H938" s="111"/>
      <c r="I938" s="113"/>
      <c r="J938" s="114"/>
      <c r="K938" s="115"/>
      <c r="L938" s="115"/>
      <c r="M938" s="116"/>
      <c r="N938" s="116"/>
      <c r="O938" s="116"/>
      <c r="P938" s="116"/>
      <c r="Q938" s="116"/>
    </row>
    <row r="939">
      <c r="A939" s="111"/>
      <c r="B939" s="111"/>
      <c r="C939" s="111"/>
      <c r="D939" s="111"/>
      <c r="E939" s="111"/>
      <c r="F939" s="112"/>
      <c r="G939" s="111"/>
      <c r="H939" s="111"/>
      <c r="I939" s="113"/>
      <c r="J939" s="114"/>
      <c r="K939" s="115"/>
      <c r="L939" s="115"/>
      <c r="M939" s="116"/>
      <c r="N939" s="116"/>
      <c r="O939" s="116"/>
      <c r="P939" s="116"/>
      <c r="Q939" s="116"/>
    </row>
    <row r="940">
      <c r="A940" s="111"/>
      <c r="B940" s="111"/>
      <c r="C940" s="111"/>
      <c r="D940" s="111"/>
      <c r="E940" s="111"/>
      <c r="F940" s="112"/>
      <c r="G940" s="111"/>
      <c r="H940" s="111"/>
      <c r="I940" s="113"/>
      <c r="J940" s="114"/>
      <c r="K940" s="115"/>
      <c r="L940" s="115"/>
      <c r="M940" s="116"/>
      <c r="N940" s="116"/>
      <c r="O940" s="116"/>
      <c r="P940" s="116"/>
      <c r="Q940" s="116"/>
    </row>
    <row r="941">
      <c r="A941" s="111"/>
      <c r="B941" s="111"/>
      <c r="C941" s="111"/>
      <c r="D941" s="111"/>
      <c r="E941" s="111"/>
      <c r="F941" s="112"/>
      <c r="G941" s="111"/>
      <c r="H941" s="111"/>
      <c r="I941" s="113"/>
      <c r="J941" s="114"/>
      <c r="K941" s="115"/>
      <c r="L941" s="115"/>
      <c r="M941" s="116"/>
      <c r="N941" s="116"/>
      <c r="O941" s="116"/>
      <c r="P941" s="116"/>
      <c r="Q941" s="116"/>
    </row>
    <row r="942">
      <c r="A942" s="111"/>
      <c r="B942" s="111"/>
      <c r="C942" s="111"/>
      <c r="D942" s="111"/>
      <c r="E942" s="111"/>
      <c r="F942" s="112"/>
      <c r="G942" s="111"/>
      <c r="H942" s="111"/>
      <c r="I942" s="113"/>
      <c r="J942" s="114"/>
      <c r="K942" s="115"/>
      <c r="L942" s="115"/>
      <c r="M942" s="116"/>
      <c r="N942" s="116"/>
      <c r="O942" s="116"/>
      <c r="P942" s="116"/>
      <c r="Q942" s="116"/>
    </row>
    <row r="943">
      <c r="A943" s="111"/>
      <c r="B943" s="111"/>
      <c r="C943" s="111"/>
      <c r="D943" s="111"/>
      <c r="E943" s="111"/>
      <c r="F943" s="112"/>
      <c r="G943" s="111"/>
      <c r="H943" s="111"/>
      <c r="I943" s="113"/>
      <c r="J943" s="114"/>
      <c r="K943" s="115"/>
      <c r="L943" s="115"/>
      <c r="M943" s="116"/>
      <c r="N943" s="116"/>
      <c r="O943" s="116"/>
      <c r="P943" s="116"/>
      <c r="Q943" s="116"/>
    </row>
    <row r="944">
      <c r="A944" s="111"/>
      <c r="B944" s="111"/>
      <c r="C944" s="111"/>
      <c r="D944" s="111"/>
      <c r="E944" s="111"/>
      <c r="F944" s="112"/>
      <c r="G944" s="111"/>
      <c r="H944" s="111"/>
      <c r="I944" s="113"/>
      <c r="J944" s="114"/>
      <c r="K944" s="115"/>
      <c r="L944" s="115"/>
      <c r="M944" s="116"/>
      <c r="N944" s="116"/>
      <c r="O944" s="116"/>
      <c r="P944" s="116"/>
      <c r="Q944" s="116"/>
    </row>
    <row r="945">
      <c r="A945" s="111"/>
      <c r="B945" s="111"/>
      <c r="C945" s="111"/>
      <c r="D945" s="111"/>
      <c r="E945" s="111"/>
      <c r="F945" s="112"/>
      <c r="G945" s="111"/>
      <c r="H945" s="111"/>
      <c r="I945" s="113"/>
      <c r="J945" s="114"/>
      <c r="K945" s="115"/>
      <c r="L945" s="115"/>
      <c r="M945" s="116"/>
      <c r="N945" s="116"/>
      <c r="O945" s="116"/>
      <c r="P945" s="116"/>
      <c r="Q945" s="116"/>
    </row>
    <row r="946">
      <c r="A946" s="111"/>
      <c r="B946" s="111"/>
      <c r="C946" s="111"/>
      <c r="D946" s="111"/>
      <c r="E946" s="111"/>
      <c r="F946" s="112"/>
      <c r="G946" s="111"/>
      <c r="H946" s="111"/>
      <c r="I946" s="113"/>
      <c r="J946" s="114"/>
      <c r="K946" s="115"/>
      <c r="L946" s="115"/>
      <c r="M946" s="116"/>
      <c r="N946" s="116"/>
      <c r="O946" s="116"/>
      <c r="P946" s="116"/>
      <c r="Q946" s="116"/>
    </row>
    <row r="947">
      <c r="A947" s="111"/>
      <c r="B947" s="111"/>
      <c r="C947" s="111"/>
      <c r="D947" s="111"/>
      <c r="E947" s="111"/>
      <c r="F947" s="112"/>
      <c r="G947" s="111"/>
      <c r="H947" s="111"/>
      <c r="I947" s="113"/>
      <c r="J947" s="114"/>
      <c r="K947" s="115"/>
      <c r="L947" s="115"/>
      <c r="M947" s="116"/>
      <c r="N947" s="116"/>
      <c r="O947" s="116"/>
      <c r="P947" s="116"/>
      <c r="Q947" s="116"/>
    </row>
    <row r="948">
      <c r="A948" s="111"/>
      <c r="B948" s="111"/>
      <c r="C948" s="111"/>
      <c r="D948" s="111"/>
      <c r="E948" s="111"/>
      <c r="F948" s="112"/>
      <c r="G948" s="111"/>
      <c r="H948" s="111"/>
      <c r="I948" s="113"/>
      <c r="J948" s="114"/>
      <c r="K948" s="115"/>
      <c r="L948" s="115"/>
      <c r="M948" s="116"/>
      <c r="N948" s="116"/>
      <c r="O948" s="116"/>
      <c r="P948" s="116"/>
      <c r="Q948" s="116"/>
    </row>
    <row r="949">
      <c r="A949" s="111"/>
      <c r="B949" s="111"/>
      <c r="C949" s="111"/>
      <c r="D949" s="111"/>
      <c r="E949" s="111"/>
      <c r="F949" s="112"/>
      <c r="G949" s="111"/>
      <c r="H949" s="111"/>
      <c r="I949" s="113"/>
      <c r="J949" s="114"/>
      <c r="K949" s="115"/>
      <c r="L949" s="115"/>
      <c r="M949" s="116"/>
      <c r="N949" s="116"/>
      <c r="O949" s="116"/>
      <c r="P949" s="116"/>
      <c r="Q949" s="116"/>
    </row>
    <row r="950">
      <c r="A950" s="111"/>
      <c r="B950" s="111"/>
      <c r="C950" s="111"/>
      <c r="D950" s="111"/>
      <c r="E950" s="111"/>
      <c r="F950" s="112"/>
      <c r="G950" s="111"/>
      <c r="H950" s="111"/>
      <c r="I950" s="113"/>
      <c r="J950" s="114"/>
      <c r="K950" s="115"/>
      <c r="L950" s="115"/>
      <c r="M950" s="116"/>
      <c r="N950" s="116"/>
      <c r="O950" s="116"/>
      <c r="P950" s="116"/>
      <c r="Q950" s="116"/>
    </row>
    <row r="951">
      <c r="A951" s="111"/>
      <c r="B951" s="111"/>
      <c r="C951" s="111"/>
      <c r="D951" s="111"/>
      <c r="E951" s="111"/>
      <c r="F951" s="112"/>
      <c r="G951" s="111"/>
      <c r="H951" s="111"/>
      <c r="I951" s="113"/>
      <c r="J951" s="114"/>
      <c r="K951" s="115"/>
      <c r="L951" s="115"/>
      <c r="M951" s="116"/>
      <c r="N951" s="116"/>
      <c r="O951" s="116"/>
      <c r="P951" s="116"/>
      <c r="Q951" s="116"/>
    </row>
    <row r="952">
      <c r="A952" s="111"/>
      <c r="B952" s="111"/>
      <c r="C952" s="111"/>
      <c r="D952" s="111"/>
      <c r="E952" s="111"/>
      <c r="F952" s="112"/>
      <c r="G952" s="111"/>
      <c r="H952" s="111"/>
      <c r="I952" s="113"/>
      <c r="J952" s="114"/>
      <c r="K952" s="115"/>
      <c r="L952" s="115"/>
      <c r="M952" s="116"/>
      <c r="N952" s="116"/>
      <c r="O952" s="116"/>
      <c r="P952" s="116"/>
      <c r="Q952" s="116"/>
    </row>
    <row r="953">
      <c r="A953" s="111"/>
      <c r="B953" s="111"/>
      <c r="C953" s="111"/>
      <c r="D953" s="111"/>
      <c r="E953" s="111"/>
      <c r="F953" s="112"/>
      <c r="G953" s="111"/>
      <c r="H953" s="111"/>
      <c r="I953" s="113"/>
      <c r="J953" s="114"/>
      <c r="K953" s="115"/>
      <c r="L953" s="115"/>
      <c r="M953" s="116"/>
      <c r="N953" s="116"/>
      <c r="O953" s="116"/>
      <c r="P953" s="116"/>
      <c r="Q953" s="116"/>
    </row>
    <row r="954">
      <c r="A954" s="111"/>
      <c r="B954" s="111"/>
      <c r="C954" s="111"/>
      <c r="D954" s="111"/>
      <c r="E954" s="111"/>
      <c r="F954" s="112"/>
      <c r="G954" s="111"/>
      <c r="H954" s="111"/>
      <c r="I954" s="113"/>
      <c r="J954" s="114"/>
      <c r="K954" s="115"/>
      <c r="L954" s="115"/>
      <c r="M954" s="116"/>
      <c r="N954" s="116"/>
      <c r="O954" s="116"/>
      <c r="P954" s="116"/>
      <c r="Q954" s="116"/>
    </row>
    <row r="955">
      <c r="A955" s="111"/>
      <c r="B955" s="111"/>
      <c r="C955" s="111"/>
      <c r="D955" s="111"/>
      <c r="E955" s="111"/>
      <c r="F955" s="112"/>
      <c r="G955" s="111"/>
      <c r="H955" s="111"/>
      <c r="I955" s="113"/>
      <c r="J955" s="114"/>
      <c r="K955" s="115"/>
      <c r="L955" s="115"/>
      <c r="M955" s="116"/>
      <c r="N955" s="116"/>
      <c r="O955" s="116"/>
      <c r="P955" s="116"/>
      <c r="Q955" s="116"/>
    </row>
    <row r="956">
      <c r="A956" s="111"/>
      <c r="B956" s="111"/>
      <c r="C956" s="111"/>
      <c r="D956" s="111"/>
      <c r="E956" s="111"/>
      <c r="F956" s="112"/>
      <c r="G956" s="111"/>
      <c r="H956" s="111"/>
      <c r="I956" s="113"/>
      <c r="J956" s="114"/>
      <c r="K956" s="115"/>
      <c r="L956" s="115"/>
      <c r="M956" s="116"/>
      <c r="N956" s="116"/>
      <c r="O956" s="116"/>
      <c r="P956" s="116"/>
      <c r="Q956" s="116"/>
    </row>
    <row r="957">
      <c r="A957" s="111"/>
      <c r="B957" s="111"/>
      <c r="C957" s="111"/>
      <c r="D957" s="111"/>
      <c r="E957" s="111"/>
      <c r="F957" s="112"/>
      <c r="G957" s="111"/>
      <c r="H957" s="111"/>
      <c r="I957" s="113"/>
      <c r="J957" s="114"/>
      <c r="K957" s="115"/>
      <c r="L957" s="115"/>
      <c r="M957" s="116"/>
      <c r="N957" s="116"/>
      <c r="O957" s="116"/>
      <c r="P957" s="116"/>
      <c r="Q957" s="116"/>
    </row>
    <row r="958">
      <c r="A958" s="111"/>
      <c r="B958" s="111"/>
      <c r="C958" s="111"/>
      <c r="D958" s="111"/>
      <c r="E958" s="111"/>
      <c r="F958" s="112"/>
      <c r="G958" s="111"/>
      <c r="H958" s="111"/>
      <c r="I958" s="113"/>
      <c r="J958" s="114"/>
      <c r="K958" s="115"/>
      <c r="L958" s="115"/>
      <c r="M958" s="116"/>
      <c r="N958" s="116"/>
      <c r="O958" s="116"/>
      <c r="P958" s="116"/>
      <c r="Q958" s="116"/>
    </row>
    <row r="959">
      <c r="A959" s="111"/>
      <c r="B959" s="111"/>
      <c r="C959" s="111"/>
      <c r="D959" s="111"/>
      <c r="E959" s="111"/>
      <c r="F959" s="112"/>
      <c r="G959" s="111"/>
      <c r="H959" s="111"/>
      <c r="I959" s="113"/>
      <c r="J959" s="114"/>
      <c r="K959" s="115"/>
      <c r="L959" s="115"/>
      <c r="M959" s="116"/>
      <c r="N959" s="116"/>
      <c r="O959" s="116"/>
      <c r="P959" s="116"/>
      <c r="Q959" s="116"/>
    </row>
    <row r="960">
      <c r="A960" s="111"/>
      <c r="B960" s="111"/>
      <c r="C960" s="111"/>
      <c r="D960" s="111"/>
      <c r="E960" s="111"/>
      <c r="F960" s="112"/>
      <c r="G960" s="111"/>
      <c r="H960" s="111"/>
      <c r="I960" s="113"/>
      <c r="J960" s="114"/>
      <c r="K960" s="115"/>
      <c r="L960" s="115"/>
      <c r="M960" s="116"/>
      <c r="N960" s="116"/>
      <c r="O960" s="116"/>
      <c r="P960" s="116"/>
      <c r="Q960" s="116"/>
    </row>
    <row r="961">
      <c r="A961" s="111"/>
      <c r="B961" s="111"/>
      <c r="C961" s="111"/>
      <c r="D961" s="111"/>
      <c r="E961" s="111"/>
      <c r="F961" s="112"/>
      <c r="G961" s="111"/>
      <c r="H961" s="111"/>
      <c r="I961" s="113"/>
      <c r="J961" s="114"/>
      <c r="K961" s="115"/>
      <c r="L961" s="115"/>
      <c r="M961" s="116"/>
      <c r="N961" s="116"/>
      <c r="O961" s="116"/>
      <c r="P961" s="116"/>
      <c r="Q961" s="116"/>
    </row>
    <row r="962">
      <c r="A962" s="111"/>
      <c r="B962" s="111"/>
      <c r="C962" s="111"/>
      <c r="D962" s="111"/>
      <c r="E962" s="111"/>
      <c r="F962" s="112"/>
      <c r="G962" s="111"/>
      <c r="H962" s="111"/>
      <c r="I962" s="113"/>
      <c r="J962" s="114"/>
      <c r="K962" s="115"/>
      <c r="L962" s="115"/>
      <c r="M962" s="116"/>
      <c r="N962" s="116"/>
      <c r="O962" s="116"/>
      <c r="P962" s="116"/>
      <c r="Q962" s="116"/>
    </row>
    <row r="963">
      <c r="A963" s="111"/>
      <c r="B963" s="111"/>
      <c r="C963" s="111"/>
      <c r="D963" s="111"/>
      <c r="E963" s="111"/>
      <c r="F963" s="112"/>
      <c r="G963" s="111"/>
      <c r="H963" s="111"/>
      <c r="I963" s="113"/>
      <c r="J963" s="114"/>
      <c r="K963" s="115"/>
      <c r="L963" s="115"/>
      <c r="M963" s="116"/>
      <c r="N963" s="116"/>
      <c r="O963" s="116"/>
      <c r="P963" s="116"/>
      <c r="Q963" s="116"/>
    </row>
    <row r="964">
      <c r="A964" s="111"/>
      <c r="B964" s="111"/>
      <c r="C964" s="111"/>
      <c r="D964" s="111"/>
      <c r="E964" s="111"/>
      <c r="F964" s="112"/>
      <c r="G964" s="111"/>
      <c r="H964" s="111"/>
      <c r="I964" s="113"/>
      <c r="J964" s="114"/>
      <c r="K964" s="115"/>
      <c r="L964" s="115"/>
      <c r="M964" s="116"/>
      <c r="N964" s="116"/>
      <c r="O964" s="116"/>
      <c r="P964" s="116"/>
      <c r="Q964" s="116"/>
    </row>
    <row r="965">
      <c r="A965" s="111"/>
      <c r="B965" s="111"/>
      <c r="C965" s="111"/>
      <c r="D965" s="111"/>
      <c r="E965" s="111"/>
      <c r="F965" s="112"/>
      <c r="G965" s="111"/>
      <c r="H965" s="111"/>
      <c r="I965" s="113"/>
      <c r="J965" s="114"/>
      <c r="K965" s="115"/>
      <c r="L965" s="115"/>
      <c r="M965" s="116"/>
      <c r="N965" s="116"/>
      <c r="O965" s="116"/>
      <c r="P965" s="116"/>
      <c r="Q965" s="116"/>
    </row>
    <row r="966">
      <c r="A966" s="111"/>
      <c r="B966" s="111"/>
      <c r="C966" s="111"/>
      <c r="D966" s="111"/>
      <c r="E966" s="111"/>
      <c r="F966" s="112"/>
      <c r="G966" s="111"/>
      <c r="H966" s="111"/>
      <c r="I966" s="113"/>
      <c r="J966" s="114"/>
      <c r="K966" s="115"/>
      <c r="L966" s="115"/>
      <c r="M966" s="116"/>
      <c r="N966" s="116"/>
      <c r="O966" s="116"/>
      <c r="P966" s="116"/>
      <c r="Q966" s="116"/>
    </row>
    <row r="967">
      <c r="A967" s="111"/>
      <c r="B967" s="111"/>
      <c r="C967" s="111"/>
      <c r="D967" s="111"/>
      <c r="E967" s="111"/>
      <c r="F967" s="112"/>
      <c r="G967" s="111"/>
      <c r="H967" s="111"/>
      <c r="I967" s="113"/>
      <c r="J967" s="114"/>
      <c r="K967" s="115"/>
      <c r="L967" s="115"/>
      <c r="M967" s="116"/>
      <c r="N967" s="116"/>
      <c r="O967" s="116"/>
      <c r="P967" s="116"/>
      <c r="Q967" s="116"/>
    </row>
    <row r="968">
      <c r="A968" s="111"/>
      <c r="B968" s="111"/>
      <c r="C968" s="111"/>
      <c r="D968" s="111"/>
      <c r="E968" s="111"/>
      <c r="F968" s="112"/>
      <c r="G968" s="111"/>
      <c r="H968" s="111"/>
      <c r="I968" s="113"/>
      <c r="J968" s="114"/>
      <c r="K968" s="115"/>
      <c r="L968" s="115"/>
      <c r="M968" s="116"/>
      <c r="N968" s="116"/>
      <c r="O968" s="116"/>
      <c r="P968" s="116"/>
      <c r="Q968" s="116"/>
    </row>
    <row r="969">
      <c r="A969" s="111"/>
      <c r="B969" s="111"/>
      <c r="C969" s="111"/>
      <c r="D969" s="111"/>
      <c r="E969" s="111"/>
      <c r="F969" s="112"/>
      <c r="G969" s="111"/>
      <c r="H969" s="111"/>
      <c r="I969" s="113"/>
      <c r="J969" s="114"/>
      <c r="K969" s="115"/>
      <c r="L969" s="115"/>
      <c r="M969" s="116"/>
      <c r="N969" s="116"/>
      <c r="O969" s="116"/>
      <c r="P969" s="116"/>
      <c r="Q969" s="116"/>
    </row>
    <row r="970">
      <c r="A970" s="111"/>
      <c r="B970" s="111"/>
      <c r="C970" s="111"/>
      <c r="D970" s="111"/>
      <c r="E970" s="111"/>
      <c r="F970" s="112"/>
      <c r="G970" s="111"/>
      <c r="H970" s="111"/>
      <c r="I970" s="113"/>
      <c r="J970" s="114"/>
      <c r="K970" s="115"/>
      <c r="L970" s="115"/>
      <c r="M970" s="116"/>
      <c r="N970" s="116"/>
      <c r="O970" s="116"/>
      <c r="P970" s="116"/>
      <c r="Q970" s="116"/>
    </row>
    <row r="971">
      <c r="A971" s="111"/>
      <c r="B971" s="111"/>
      <c r="C971" s="111"/>
      <c r="D971" s="111"/>
      <c r="E971" s="111"/>
      <c r="F971" s="112"/>
      <c r="G971" s="111"/>
      <c r="H971" s="111"/>
      <c r="I971" s="113"/>
      <c r="J971" s="114"/>
      <c r="K971" s="115"/>
      <c r="L971" s="115"/>
      <c r="M971" s="116"/>
      <c r="N971" s="116"/>
      <c r="O971" s="116"/>
      <c r="P971" s="116"/>
      <c r="Q971" s="116"/>
    </row>
    <row r="972">
      <c r="A972" s="111"/>
      <c r="B972" s="111"/>
      <c r="C972" s="111"/>
      <c r="D972" s="111"/>
      <c r="E972" s="111"/>
      <c r="F972" s="112"/>
      <c r="G972" s="111"/>
      <c r="H972" s="111"/>
      <c r="I972" s="113"/>
      <c r="J972" s="114"/>
      <c r="K972" s="115"/>
      <c r="L972" s="115"/>
      <c r="M972" s="116"/>
      <c r="N972" s="116"/>
      <c r="O972" s="116"/>
      <c r="P972" s="116"/>
      <c r="Q972" s="116"/>
    </row>
    <row r="973">
      <c r="A973" s="111"/>
      <c r="B973" s="111"/>
      <c r="C973" s="111"/>
      <c r="D973" s="111"/>
      <c r="E973" s="111"/>
      <c r="F973" s="112"/>
      <c r="G973" s="111"/>
      <c r="H973" s="111"/>
      <c r="I973" s="113"/>
      <c r="J973" s="114"/>
      <c r="K973" s="115"/>
      <c r="L973" s="115"/>
      <c r="M973" s="116"/>
      <c r="N973" s="116"/>
      <c r="O973" s="116"/>
      <c r="P973" s="116"/>
      <c r="Q973" s="116"/>
    </row>
    <row r="974">
      <c r="A974" s="111"/>
      <c r="B974" s="111"/>
      <c r="C974" s="111"/>
      <c r="D974" s="111"/>
      <c r="E974" s="111"/>
      <c r="F974" s="112"/>
      <c r="G974" s="111"/>
      <c r="H974" s="111"/>
      <c r="I974" s="113"/>
      <c r="J974" s="114"/>
      <c r="K974" s="115"/>
      <c r="L974" s="115"/>
      <c r="M974" s="116"/>
      <c r="N974" s="116"/>
      <c r="O974" s="116"/>
      <c r="P974" s="116"/>
      <c r="Q974" s="116"/>
    </row>
    <row r="975">
      <c r="A975" s="111"/>
      <c r="B975" s="111"/>
      <c r="C975" s="111"/>
      <c r="D975" s="111"/>
      <c r="E975" s="111"/>
      <c r="F975" s="112"/>
      <c r="G975" s="111"/>
      <c r="H975" s="111"/>
      <c r="I975" s="113"/>
      <c r="J975" s="114"/>
      <c r="K975" s="115"/>
      <c r="L975" s="115"/>
      <c r="M975" s="116"/>
      <c r="N975" s="116"/>
      <c r="O975" s="116"/>
      <c r="P975" s="116"/>
      <c r="Q975" s="116"/>
    </row>
    <row r="976">
      <c r="A976" s="111"/>
      <c r="B976" s="111"/>
      <c r="C976" s="111"/>
      <c r="D976" s="111"/>
      <c r="E976" s="111"/>
      <c r="F976" s="112"/>
      <c r="G976" s="111"/>
      <c r="H976" s="111"/>
      <c r="I976" s="113"/>
      <c r="J976" s="114"/>
      <c r="K976" s="115"/>
      <c r="L976" s="115"/>
      <c r="M976" s="116"/>
      <c r="N976" s="116"/>
      <c r="O976" s="116"/>
      <c r="P976" s="116"/>
      <c r="Q976" s="116"/>
    </row>
    <row r="977">
      <c r="A977" s="111"/>
      <c r="B977" s="111"/>
      <c r="C977" s="111"/>
      <c r="D977" s="111"/>
      <c r="E977" s="111"/>
      <c r="F977" s="112"/>
      <c r="G977" s="111"/>
      <c r="H977" s="111"/>
      <c r="I977" s="113"/>
      <c r="J977" s="114"/>
      <c r="K977" s="115"/>
      <c r="L977" s="115"/>
      <c r="M977" s="116"/>
      <c r="N977" s="116"/>
      <c r="O977" s="116"/>
      <c r="P977" s="116"/>
      <c r="Q977" s="116"/>
    </row>
    <row r="978">
      <c r="A978" s="111"/>
      <c r="B978" s="111"/>
      <c r="C978" s="111"/>
      <c r="D978" s="111"/>
      <c r="E978" s="111"/>
      <c r="F978" s="112"/>
      <c r="G978" s="111"/>
      <c r="H978" s="111"/>
      <c r="I978" s="113"/>
      <c r="J978" s="114"/>
      <c r="K978" s="115"/>
      <c r="L978" s="115"/>
      <c r="M978" s="116"/>
      <c r="N978" s="116"/>
      <c r="O978" s="116"/>
      <c r="P978" s="116"/>
      <c r="Q978" s="116"/>
    </row>
    <row r="979">
      <c r="A979" s="111"/>
      <c r="B979" s="111"/>
      <c r="C979" s="111"/>
      <c r="D979" s="111"/>
      <c r="E979" s="111"/>
      <c r="F979" s="112"/>
      <c r="G979" s="111"/>
      <c r="H979" s="111"/>
      <c r="I979" s="113"/>
      <c r="J979" s="114"/>
      <c r="K979" s="115"/>
      <c r="L979" s="115"/>
      <c r="M979" s="116"/>
      <c r="N979" s="116"/>
      <c r="O979" s="116"/>
      <c r="P979" s="116"/>
      <c r="Q979" s="116"/>
    </row>
    <row r="980">
      <c r="A980" s="111"/>
      <c r="B980" s="111"/>
      <c r="C980" s="111"/>
      <c r="D980" s="111"/>
      <c r="E980" s="111"/>
      <c r="F980" s="112"/>
      <c r="G980" s="111"/>
      <c r="H980" s="111"/>
      <c r="I980" s="113"/>
      <c r="J980" s="114"/>
      <c r="K980" s="115"/>
      <c r="L980" s="115"/>
      <c r="M980" s="116"/>
      <c r="N980" s="116"/>
      <c r="O980" s="116"/>
      <c r="P980" s="116"/>
      <c r="Q980" s="116"/>
    </row>
    <row r="981">
      <c r="A981" s="111"/>
      <c r="B981" s="111"/>
      <c r="C981" s="111"/>
      <c r="D981" s="111"/>
      <c r="E981" s="111"/>
      <c r="F981" s="112"/>
      <c r="G981" s="111"/>
      <c r="H981" s="111"/>
      <c r="I981" s="113"/>
      <c r="J981" s="114"/>
      <c r="K981" s="115"/>
      <c r="L981" s="115"/>
      <c r="M981" s="116"/>
      <c r="N981" s="116"/>
      <c r="O981" s="116"/>
      <c r="P981" s="116"/>
      <c r="Q981" s="116"/>
    </row>
    <row r="982">
      <c r="A982" s="111"/>
      <c r="B982" s="111"/>
      <c r="C982" s="111"/>
      <c r="D982" s="111"/>
      <c r="E982" s="111"/>
      <c r="F982" s="112"/>
      <c r="G982" s="111"/>
      <c r="H982" s="111"/>
      <c r="I982" s="113"/>
      <c r="J982" s="114"/>
      <c r="K982" s="115"/>
      <c r="L982" s="115"/>
      <c r="M982" s="116"/>
      <c r="N982" s="116"/>
      <c r="O982" s="116"/>
      <c r="P982" s="116"/>
      <c r="Q982" s="116"/>
    </row>
    <row r="983">
      <c r="A983" s="111"/>
      <c r="B983" s="111"/>
      <c r="C983" s="111"/>
      <c r="D983" s="111"/>
      <c r="E983" s="111"/>
      <c r="F983" s="112"/>
      <c r="G983" s="111"/>
      <c r="H983" s="111"/>
      <c r="I983" s="113"/>
      <c r="J983" s="114"/>
      <c r="K983" s="115"/>
      <c r="L983" s="115"/>
      <c r="M983" s="116"/>
      <c r="N983" s="116"/>
      <c r="O983" s="116"/>
      <c r="P983" s="116"/>
      <c r="Q983" s="116"/>
    </row>
    <row r="984">
      <c r="A984" s="111"/>
      <c r="B984" s="111"/>
      <c r="C984" s="111"/>
      <c r="D984" s="111"/>
      <c r="E984" s="111"/>
      <c r="F984" s="112"/>
      <c r="G984" s="111"/>
      <c r="H984" s="111"/>
      <c r="I984" s="113"/>
      <c r="J984" s="114"/>
      <c r="K984" s="115"/>
      <c r="L984" s="115"/>
      <c r="M984" s="116"/>
      <c r="N984" s="116"/>
      <c r="O984" s="116"/>
      <c r="P984" s="116"/>
      <c r="Q984" s="116"/>
    </row>
    <row r="985">
      <c r="A985" s="111"/>
      <c r="B985" s="111"/>
      <c r="C985" s="111"/>
      <c r="D985" s="111"/>
      <c r="E985" s="111"/>
      <c r="F985" s="112"/>
      <c r="G985" s="111"/>
      <c r="H985" s="111"/>
      <c r="I985" s="113"/>
      <c r="J985" s="114"/>
      <c r="K985" s="115"/>
      <c r="L985" s="115"/>
      <c r="M985" s="116"/>
      <c r="N985" s="116"/>
      <c r="O985" s="116"/>
      <c r="P985" s="116"/>
      <c r="Q985" s="116"/>
    </row>
    <row r="986">
      <c r="A986" s="111"/>
      <c r="B986" s="111"/>
      <c r="C986" s="111"/>
      <c r="D986" s="111"/>
      <c r="E986" s="111"/>
      <c r="F986" s="112"/>
      <c r="G986" s="111"/>
      <c r="H986" s="111"/>
      <c r="I986" s="113"/>
      <c r="J986" s="114"/>
      <c r="K986" s="115"/>
      <c r="L986" s="115"/>
      <c r="M986" s="116"/>
      <c r="N986" s="116"/>
      <c r="O986" s="116"/>
      <c r="P986" s="116"/>
      <c r="Q986" s="116"/>
    </row>
    <row r="987">
      <c r="A987" s="111"/>
      <c r="B987" s="111"/>
      <c r="C987" s="111"/>
      <c r="D987" s="111"/>
      <c r="E987" s="111"/>
      <c r="F987" s="112"/>
      <c r="G987" s="111"/>
      <c r="H987" s="111"/>
      <c r="I987" s="113"/>
      <c r="J987" s="114"/>
      <c r="K987" s="115"/>
      <c r="L987" s="115"/>
      <c r="M987" s="116"/>
      <c r="N987" s="116"/>
      <c r="O987" s="116"/>
      <c r="P987" s="116"/>
      <c r="Q987" s="116"/>
    </row>
    <row r="988">
      <c r="A988" s="111"/>
      <c r="B988" s="111"/>
      <c r="C988" s="111"/>
      <c r="D988" s="111"/>
      <c r="E988" s="111"/>
      <c r="F988" s="112"/>
      <c r="G988" s="111"/>
      <c r="H988" s="111"/>
      <c r="I988" s="113"/>
      <c r="J988" s="114"/>
      <c r="K988" s="115"/>
      <c r="L988" s="115"/>
      <c r="M988" s="116"/>
      <c r="N988" s="116"/>
      <c r="O988" s="116"/>
      <c r="P988" s="116"/>
      <c r="Q988" s="116"/>
    </row>
    <row r="989">
      <c r="A989" s="111"/>
      <c r="B989" s="111"/>
      <c r="C989" s="111"/>
      <c r="D989" s="111"/>
      <c r="E989" s="111"/>
      <c r="F989" s="112"/>
      <c r="G989" s="111"/>
      <c r="H989" s="111"/>
      <c r="I989" s="113"/>
      <c r="J989" s="114"/>
      <c r="K989" s="115"/>
      <c r="L989" s="115"/>
      <c r="M989" s="116"/>
      <c r="N989" s="116"/>
      <c r="O989" s="116"/>
      <c r="P989" s="116"/>
      <c r="Q989" s="116"/>
    </row>
    <row r="990">
      <c r="A990" s="111"/>
      <c r="B990" s="111"/>
      <c r="C990" s="111"/>
      <c r="D990" s="111"/>
      <c r="E990" s="111"/>
      <c r="F990" s="112"/>
      <c r="G990" s="111"/>
      <c r="H990" s="111"/>
      <c r="I990" s="113"/>
      <c r="J990" s="114"/>
      <c r="K990" s="115"/>
      <c r="L990" s="115"/>
      <c r="M990" s="116"/>
      <c r="N990" s="116"/>
      <c r="O990" s="116"/>
      <c r="P990" s="116"/>
      <c r="Q990" s="116"/>
    </row>
    <row r="991">
      <c r="A991" s="111"/>
      <c r="B991" s="111"/>
      <c r="C991" s="111"/>
      <c r="D991" s="111"/>
      <c r="E991" s="111"/>
      <c r="F991" s="112"/>
      <c r="G991" s="111"/>
      <c r="H991" s="111"/>
      <c r="I991" s="113"/>
      <c r="J991" s="114"/>
      <c r="K991" s="115"/>
      <c r="L991" s="115"/>
      <c r="M991" s="116"/>
      <c r="N991" s="116"/>
      <c r="O991" s="116"/>
      <c r="P991" s="116"/>
      <c r="Q991" s="116"/>
    </row>
    <row r="992">
      <c r="A992" s="111"/>
      <c r="B992" s="111"/>
      <c r="C992" s="111"/>
      <c r="D992" s="111"/>
      <c r="E992" s="111"/>
      <c r="F992" s="112"/>
      <c r="G992" s="111"/>
      <c r="H992" s="111"/>
      <c r="I992" s="113"/>
      <c r="J992" s="114"/>
      <c r="K992" s="115"/>
      <c r="L992" s="115"/>
      <c r="M992" s="116"/>
      <c r="N992" s="116"/>
      <c r="O992" s="116"/>
      <c r="P992" s="116"/>
      <c r="Q992" s="116"/>
    </row>
    <row r="993">
      <c r="A993" s="111"/>
      <c r="B993" s="111"/>
      <c r="C993" s="111"/>
      <c r="D993" s="111"/>
      <c r="E993" s="111"/>
      <c r="F993" s="112"/>
      <c r="G993" s="111"/>
      <c r="H993" s="111"/>
      <c r="I993" s="113"/>
      <c r="J993" s="114"/>
      <c r="K993" s="115"/>
      <c r="L993" s="115"/>
      <c r="M993" s="116"/>
      <c r="N993" s="116"/>
      <c r="O993" s="116"/>
      <c r="P993" s="116"/>
      <c r="Q993" s="116"/>
    </row>
    <row r="994">
      <c r="A994" s="111"/>
      <c r="B994" s="111"/>
      <c r="C994" s="111"/>
      <c r="D994" s="111"/>
      <c r="E994" s="111"/>
      <c r="F994" s="112"/>
      <c r="G994" s="111"/>
      <c r="H994" s="111"/>
      <c r="I994" s="113"/>
      <c r="J994" s="114"/>
      <c r="K994" s="115"/>
      <c r="L994" s="115"/>
      <c r="M994" s="116"/>
      <c r="N994" s="116"/>
      <c r="O994" s="116"/>
      <c r="P994" s="116"/>
      <c r="Q994" s="116"/>
    </row>
    <row r="995">
      <c r="A995" s="111"/>
      <c r="B995" s="111"/>
      <c r="C995" s="111"/>
      <c r="D995" s="111"/>
      <c r="E995" s="111"/>
      <c r="F995" s="112"/>
      <c r="G995" s="111"/>
      <c r="H995" s="111"/>
      <c r="I995" s="113"/>
      <c r="J995" s="114"/>
      <c r="K995" s="115"/>
      <c r="L995" s="115"/>
      <c r="M995" s="116"/>
      <c r="N995" s="116"/>
      <c r="O995" s="116"/>
      <c r="P995" s="116"/>
      <c r="Q995" s="116"/>
    </row>
    <row r="996">
      <c r="A996" s="111"/>
      <c r="B996" s="111"/>
      <c r="C996" s="111"/>
      <c r="D996" s="111"/>
      <c r="E996" s="111"/>
      <c r="F996" s="112"/>
      <c r="G996" s="111"/>
      <c r="H996" s="111"/>
      <c r="I996" s="113"/>
      <c r="J996" s="114"/>
      <c r="K996" s="115"/>
      <c r="L996" s="115"/>
      <c r="M996" s="116"/>
      <c r="N996" s="116"/>
      <c r="O996" s="116"/>
      <c r="P996" s="116"/>
      <c r="Q996" s="116"/>
    </row>
    <row r="997">
      <c r="A997" s="111"/>
      <c r="B997" s="111"/>
      <c r="C997" s="111"/>
      <c r="D997" s="111"/>
      <c r="E997" s="111"/>
      <c r="F997" s="112"/>
      <c r="G997" s="111"/>
      <c r="H997" s="111"/>
      <c r="I997" s="113"/>
      <c r="J997" s="114"/>
      <c r="K997" s="115"/>
      <c r="L997" s="115"/>
      <c r="M997" s="116"/>
      <c r="N997" s="116"/>
      <c r="O997" s="116"/>
      <c r="P997" s="116"/>
      <c r="Q997" s="116"/>
    </row>
    <row r="998">
      <c r="A998" s="111"/>
      <c r="B998" s="111"/>
      <c r="C998" s="111"/>
      <c r="D998" s="111"/>
      <c r="E998" s="111"/>
      <c r="F998" s="112"/>
      <c r="G998" s="111"/>
      <c r="H998" s="111"/>
      <c r="I998" s="113"/>
      <c r="J998" s="114"/>
      <c r="K998" s="115"/>
      <c r="L998" s="115"/>
      <c r="M998" s="116"/>
      <c r="N998" s="116"/>
      <c r="O998" s="116"/>
      <c r="P998" s="116"/>
      <c r="Q998" s="116"/>
    </row>
    <row r="999">
      <c r="A999" s="111"/>
      <c r="B999" s="111"/>
      <c r="C999" s="111"/>
      <c r="D999" s="111"/>
      <c r="E999" s="111"/>
      <c r="F999" s="112"/>
      <c r="G999" s="111"/>
      <c r="H999" s="111"/>
      <c r="I999" s="113"/>
      <c r="J999" s="114"/>
      <c r="K999" s="115"/>
      <c r="L999" s="115"/>
      <c r="M999" s="116"/>
      <c r="N999" s="116"/>
      <c r="O999" s="116"/>
      <c r="P999" s="116"/>
      <c r="Q999" s="116"/>
    </row>
  </sheetData>
  <customSheetViews>
    <customSheetView guid="{196E67E1-827B-460C-B6F7-15B643C48C5D}" filter="1" showAutoFilter="1">
      <autoFilter ref="$A$1:$N$377">
        <filterColumn colId="5">
          <filters blank="1"/>
        </filterColumn>
      </autoFilter>
    </customSheetView>
  </customSheetView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6.0"/>
    <col customWidth="1" min="2" max="2" width="32.38"/>
    <col customWidth="1" min="3" max="3" width="28.88"/>
    <col customWidth="1" min="4" max="4" width="12.63"/>
  </cols>
  <sheetData>
    <row r="1">
      <c r="A1" s="101" t="e">
        <v>#REF!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7" t="s">
        <v>76</v>
      </c>
      <c r="B1" s="118" t="s">
        <v>93</v>
      </c>
      <c r="C1" s="118" t="s">
        <v>94</v>
      </c>
      <c r="D1" s="118" t="s">
        <v>69</v>
      </c>
      <c r="E1" s="118" t="s">
        <v>95</v>
      </c>
      <c r="F1" s="119" t="s">
        <v>96</v>
      </c>
    </row>
    <row r="2">
      <c r="A2" s="120" t="s">
        <v>97</v>
      </c>
      <c r="B2" s="121" t="s">
        <v>98</v>
      </c>
      <c r="C2" s="121" t="s">
        <v>99</v>
      </c>
      <c r="D2" s="121" t="s">
        <v>100</v>
      </c>
      <c r="E2" s="122"/>
      <c r="F2" s="123" t="s">
        <v>101</v>
      </c>
    </row>
    <row r="3">
      <c r="A3" s="120" t="s">
        <v>97</v>
      </c>
      <c r="B3" s="121" t="s">
        <v>98</v>
      </c>
      <c r="C3" s="121" t="s">
        <v>99</v>
      </c>
      <c r="D3" s="121" t="s">
        <v>100</v>
      </c>
      <c r="E3" s="122"/>
      <c r="F3" s="123" t="s">
        <v>101</v>
      </c>
    </row>
    <row r="4">
      <c r="A4" s="120" t="s">
        <v>102</v>
      </c>
      <c r="B4" s="121" t="s">
        <v>98</v>
      </c>
      <c r="C4" s="121" t="s">
        <v>103</v>
      </c>
      <c r="D4" s="121" t="s">
        <v>104</v>
      </c>
      <c r="E4" s="122"/>
      <c r="F4" s="123" t="s">
        <v>101</v>
      </c>
    </row>
    <row r="5">
      <c r="A5" s="120" t="s">
        <v>105</v>
      </c>
      <c r="B5" s="121" t="s">
        <v>98</v>
      </c>
      <c r="C5" s="121" t="s">
        <v>106</v>
      </c>
      <c r="D5" s="121" t="s">
        <v>107</v>
      </c>
      <c r="E5" s="122"/>
      <c r="F5" s="123" t="s">
        <v>101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3.25"/>
    <col customWidth="1" min="3" max="3" width="8.63"/>
    <col customWidth="1" min="4" max="4" width="21.38"/>
    <col customWidth="1" min="5" max="5" width="71.0"/>
    <col customWidth="1" min="6" max="6" width="30.88"/>
  </cols>
  <sheetData>
    <row r="1">
      <c r="A1" s="124" t="s">
        <v>108</v>
      </c>
      <c r="B1" s="124" t="s">
        <v>109</v>
      </c>
      <c r="C1" s="124" t="s">
        <v>110</v>
      </c>
      <c r="D1" s="124" t="s">
        <v>79</v>
      </c>
      <c r="E1" s="124" t="s">
        <v>111</v>
      </c>
      <c r="F1" s="124" t="s">
        <v>112</v>
      </c>
    </row>
    <row r="2">
      <c r="A2" s="125">
        <v>44265.414433541664</v>
      </c>
      <c r="B2" s="124" t="s">
        <v>113</v>
      </c>
      <c r="C2" s="124" t="s">
        <v>52</v>
      </c>
      <c r="D2" s="124" t="s">
        <v>97</v>
      </c>
      <c r="E2" s="126" t="s">
        <v>114</v>
      </c>
      <c r="F2" s="124" t="s">
        <v>115</v>
      </c>
    </row>
    <row r="3">
      <c r="A3" s="125">
        <v>44265.51168542824</v>
      </c>
      <c r="B3" s="124" t="s">
        <v>113</v>
      </c>
      <c r="C3" s="124" t="s">
        <v>58</v>
      </c>
      <c r="D3" s="124" t="s">
        <v>97</v>
      </c>
      <c r="E3" s="126" t="s">
        <v>116</v>
      </c>
      <c r="F3" s="124" t="s">
        <v>117</v>
      </c>
    </row>
    <row r="4">
      <c r="A4" s="125">
        <v>44265.518553622685</v>
      </c>
      <c r="B4" s="124" t="s">
        <v>113</v>
      </c>
      <c r="C4" s="124" t="s">
        <v>63</v>
      </c>
      <c r="D4" s="124" t="s">
        <v>97</v>
      </c>
      <c r="E4" s="126" t="s">
        <v>118</v>
      </c>
      <c r="F4" s="124" t="s">
        <v>119</v>
      </c>
    </row>
    <row r="5">
      <c r="A5" s="125">
        <v>44265.52049840278</v>
      </c>
      <c r="B5" s="124" t="s">
        <v>113</v>
      </c>
      <c r="C5" s="124" t="s">
        <v>52</v>
      </c>
      <c r="D5" s="124" t="s">
        <v>120</v>
      </c>
      <c r="E5" s="126" t="s">
        <v>121</v>
      </c>
      <c r="F5" s="124" t="s">
        <v>115</v>
      </c>
    </row>
    <row r="6">
      <c r="A6" s="125">
        <v>44266.008821724536</v>
      </c>
      <c r="B6" s="124" t="s">
        <v>113</v>
      </c>
      <c r="C6" s="124" t="s">
        <v>52</v>
      </c>
      <c r="D6" s="124" t="s">
        <v>105</v>
      </c>
      <c r="E6" s="126" t="s">
        <v>122</v>
      </c>
      <c r="F6" s="124" t="s">
        <v>123</v>
      </c>
    </row>
    <row r="7">
      <c r="A7" s="125">
        <v>44266.29485575232</v>
      </c>
      <c r="B7" s="124" t="s">
        <v>113</v>
      </c>
      <c r="C7" s="124" t="s">
        <v>58</v>
      </c>
      <c r="D7" s="124" t="s">
        <v>97</v>
      </c>
      <c r="E7" s="126" t="s">
        <v>124</v>
      </c>
      <c r="F7" s="124" t="s">
        <v>117</v>
      </c>
    </row>
    <row r="8">
      <c r="A8" s="125">
        <v>44266.296429062495</v>
      </c>
      <c r="B8" s="124" t="s">
        <v>113</v>
      </c>
      <c r="C8" s="124" t="s">
        <v>63</v>
      </c>
      <c r="D8" s="124" t="s">
        <v>97</v>
      </c>
      <c r="E8" s="126" t="s">
        <v>125</v>
      </c>
      <c r="F8" s="124" t="s">
        <v>119</v>
      </c>
    </row>
    <row r="9">
      <c r="A9" s="125">
        <v>44266.29881458334</v>
      </c>
      <c r="B9" s="124" t="s">
        <v>113</v>
      </c>
      <c r="C9" s="124" t="s">
        <v>63</v>
      </c>
      <c r="D9" s="124" t="s">
        <v>126</v>
      </c>
      <c r="E9" s="126" t="s">
        <v>127</v>
      </c>
      <c r="F9" s="124" t="s">
        <v>119</v>
      </c>
    </row>
    <row r="10">
      <c r="A10" s="125">
        <v>44266.30196670139</v>
      </c>
      <c r="B10" s="124" t="s">
        <v>113</v>
      </c>
      <c r="C10" s="124" t="s">
        <v>63</v>
      </c>
      <c r="D10" s="124" t="s">
        <v>97</v>
      </c>
      <c r="E10" s="126" t="s">
        <v>128</v>
      </c>
      <c r="F10" s="124" t="s">
        <v>119</v>
      </c>
    </row>
    <row r="11">
      <c r="A11" s="125">
        <v>44266.91611005787</v>
      </c>
      <c r="B11" s="124" t="s">
        <v>113</v>
      </c>
      <c r="C11" s="124" t="s">
        <v>58</v>
      </c>
      <c r="D11" s="124" t="s">
        <v>105</v>
      </c>
      <c r="E11" s="126" t="s">
        <v>129</v>
      </c>
      <c r="F11" s="124" t="s">
        <v>130</v>
      </c>
    </row>
    <row r="12">
      <c r="A12" s="125">
        <v>44266.917657569444</v>
      </c>
      <c r="B12" s="124" t="s">
        <v>113</v>
      </c>
      <c r="C12" s="124" t="s">
        <v>63</v>
      </c>
      <c r="D12" s="124" t="s">
        <v>102</v>
      </c>
      <c r="E12" s="126" t="s">
        <v>131</v>
      </c>
      <c r="F12" s="124" t="s">
        <v>132</v>
      </c>
    </row>
    <row r="13">
      <c r="A13" s="125">
        <v>44266.953132106486</v>
      </c>
      <c r="B13" s="124" t="s">
        <v>113</v>
      </c>
      <c r="C13" s="124" t="s">
        <v>63</v>
      </c>
      <c r="D13" s="124" t="s">
        <v>105</v>
      </c>
      <c r="E13" s="126" t="s">
        <v>133</v>
      </c>
      <c r="F13" s="124" t="s">
        <v>134</v>
      </c>
    </row>
    <row r="14">
      <c r="A14" s="125">
        <v>44267.48791033565</v>
      </c>
      <c r="B14" s="124" t="s">
        <v>113</v>
      </c>
      <c r="C14" s="124" t="s">
        <v>52</v>
      </c>
      <c r="D14" s="124" t="s">
        <v>135</v>
      </c>
      <c r="E14" s="126" t="s">
        <v>136</v>
      </c>
      <c r="F14" s="124" t="s">
        <v>137</v>
      </c>
    </row>
    <row r="15">
      <c r="A15" s="125">
        <v>44271.767240706016</v>
      </c>
      <c r="B15" s="124" t="s">
        <v>113</v>
      </c>
      <c r="C15" s="124" t="s">
        <v>52</v>
      </c>
      <c r="D15" s="124" t="s">
        <v>138</v>
      </c>
      <c r="E15" s="126" t="s">
        <v>139</v>
      </c>
      <c r="F15" s="124" t="s">
        <v>140</v>
      </c>
    </row>
    <row r="16">
      <c r="A16" s="125">
        <v>44271.76733428241</v>
      </c>
      <c r="B16" s="124" t="s">
        <v>113</v>
      </c>
      <c r="C16" s="124" t="s">
        <v>52</v>
      </c>
      <c r="D16" s="124" t="s">
        <v>141</v>
      </c>
      <c r="E16" s="126" t="s">
        <v>142</v>
      </c>
      <c r="F16" s="124" t="s">
        <v>143</v>
      </c>
    </row>
    <row r="17">
      <c r="A17" s="125">
        <v>44271.767610069444</v>
      </c>
      <c r="B17" s="124" t="s">
        <v>113</v>
      </c>
      <c r="C17" s="124" t="s">
        <v>58</v>
      </c>
      <c r="D17" s="124" t="s">
        <v>138</v>
      </c>
      <c r="E17" s="126" t="s">
        <v>144</v>
      </c>
      <c r="F17" s="124" t="s">
        <v>145</v>
      </c>
    </row>
    <row r="18">
      <c r="A18" s="125">
        <v>44271.768064178235</v>
      </c>
      <c r="B18" s="124" t="s">
        <v>113</v>
      </c>
      <c r="C18" s="124" t="s">
        <v>52</v>
      </c>
      <c r="D18" s="124" t="s">
        <v>146</v>
      </c>
      <c r="E18" s="126" t="s">
        <v>147</v>
      </c>
      <c r="F18" s="124" t="s">
        <v>148</v>
      </c>
    </row>
    <row r="19">
      <c r="A19" s="125">
        <v>44271.76867496528</v>
      </c>
      <c r="B19" s="124" t="s">
        <v>113</v>
      </c>
      <c r="C19" s="124" t="s">
        <v>52</v>
      </c>
      <c r="D19" s="124" t="s">
        <v>149</v>
      </c>
      <c r="E19" s="126" t="s">
        <v>150</v>
      </c>
      <c r="F19" s="124" t="s">
        <v>151</v>
      </c>
    </row>
    <row r="20">
      <c r="A20" s="125">
        <v>44271.7687915625</v>
      </c>
      <c r="B20" s="124" t="s">
        <v>113</v>
      </c>
      <c r="C20" s="124" t="s">
        <v>52</v>
      </c>
      <c r="D20" s="124" t="s">
        <v>152</v>
      </c>
      <c r="E20" s="126" t="s">
        <v>153</v>
      </c>
      <c r="F20" s="124" t="s">
        <v>154</v>
      </c>
    </row>
    <row r="21">
      <c r="A21" s="125">
        <v>44271.768946701384</v>
      </c>
      <c r="B21" s="124" t="s">
        <v>113</v>
      </c>
      <c r="C21" s="124" t="s">
        <v>58</v>
      </c>
      <c r="D21" s="124" t="s">
        <v>141</v>
      </c>
      <c r="E21" s="126" t="s">
        <v>155</v>
      </c>
      <c r="F21" s="124" t="s">
        <v>156</v>
      </c>
    </row>
    <row r="22">
      <c r="A22" s="125">
        <v>44271.770958043984</v>
      </c>
      <c r="B22" s="124" t="s">
        <v>113</v>
      </c>
      <c r="C22" s="124" t="s">
        <v>52</v>
      </c>
      <c r="D22" s="124" t="s">
        <v>157</v>
      </c>
      <c r="E22" s="126" t="s">
        <v>158</v>
      </c>
      <c r="F22" s="124" t="s">
        <v>159</v>
      </c>
    </row>
    <row r="23">
      <c r="A23" s="125">
        <v>44271.77136554398</v>
      </c>
      <c r="B23" s="124" t="s">
        <v>113</v>
      </c>
      <c r="C23" s="124" t="s">
        <v>58</v>
      </c>
      <c r="D23" s="124" t="s">
        <v>157</v>
      </c>
      <c r="E23" s="126" t="s">
        <v>160</v>
      </c>
      <c r="F23" s="124" t="s">
        <v>161</v>
      </c>
    </row>
    <row r="24">
      <c r="A24" s="125">
        <v>44271.77157333333</v>
      </c>
      <c r="B24" s="124" t="s">
        <v>113</v>
      </c>
      <c r="C24" s="124" t="s">
        <v>58</v>
      </c>
      <c r="D24" s="124" t="s">
        <v>149</v>
      </c>
      <c r="E24" s="126" t="s">
        <v>162</v>
      </c>
      <c r="F24" s="124" t="s">
        <v>163</v>
      </c>
    </row>
    <row r="25">
      <c r="A25" s="125">
        <v>44271.772660787035</v>
      </c>
      <c r="B25" s="124" t="s">
        <v>113</v>
      </c>
      <c r="C25" s="124" t="s">
        <v>52</v>
      </c>
      <c r="D25" s="124" t="s">
        <v>164</v>
      </c>
      <c r="E25" s="126" t="s">
        <v>165</v>
      </c>
      <c r="F25" s="124" t="s">
        <v>166</v>
      </c>
    </row>
    <row r="26">
      <c r="A26" s="125">
        <v>44271.77350292824</v>
      </c>
      <c r="B26" s="124" t="s">
        <v>113</v>
      </c>
      <c r="C26" s="124" t="s">
        <v>58</v>
      </c>
      <c r="D26" s="124" t="s">
        <v>164</v>
      </c>
      <c r="E26" s="126" t="s">
        <v>167</v>
      </c>
      <c r="F26" s="124" t="s">
        <v>168</v>
      </c>
    </row>
    <row r="27">
      <c r="A27" s="125">
        <v>44271.77449994213</v>
      </c>
      <c r="B27" s="124" t="s">
        <v>113</v>
      </c>
      <c r="C27" s="124" t="s">
        <v>58</v>
      </c>
      <c r="D27" s="124" t="s">
        <v>169</v>
      </c>
      <c r="E27" s="126" t="s">
        <v>170</v>
      </c>
      <c r="F27" s="124" t="s">
        <v>171</v>
      </c>
    </row>
    <row r="28">
      <c r="A28" s="125">
        <v>44271.77504393518</v>
      </c>
      <c r="B28" s="124" t="s">
        <v>113</v>
      </c>
      <c r="C28" s="124" t="s">
        <v>52</v>
      </c>
      <c r="D28" s="124" t="s">
        <v>172</v>
      </c>
      <c r="E28" s="126" t="s">
        <v>173</v>
      </c>
      <c r="F28" s="124" t="s">
        <v>174</v>
      </c>
    </row>
    <row r="29">
      <c r="A29" s="125">
        <v>44271.77621935185</v>
      </c>
      <c r="B29" s="124" t="s">
        <v>113</v>
      </c>
      <c r="C29" s="124" t="s">
        <v>52</v>
      </c>
      <c r="D29" s="124" t="s">
        <v>175</v>
      </c>
      <c r="E29" s="126" t="s">
        <v>176</v>
      </c>
      <c r="F29" s="124" t="s">
        <v>177</v>
      </c>
    </row>
    <row r="30">
      <c r="A30" s="125">
        <v>44271.77657100694</v>
      </c>
      <c r="B30" s="124" t="s">
        <v>113</v>
      </c>
      <c r="C30" s="124" t="s">
        <v>58</v>
      </c>
      <c r="D30" s="124" t="s">
        <v>175</v>
      </c>
      <c r="E30" s="126" t="s">
        <v>178</v>
      </c>
      <c r="F30" s="124" t="s">
        <v>179</v>
      </c>
    </row>
    <row r="31">
      <c r="A31" s="125">
        <v>44271.7770441551</v>
      </c>
      <c r="B31" s="124" t="s">
        <v>113</v>
      </c>
      <c r="C31" s="124" t="s">
        <v>52</v>
      </c>
      <c r="D31" s="124" t="s">
        <v>180</v>
      </c>
      <c r="E31" s="126" t="s">
        <v>181</v>
      </c>
      <c r="F31" s="124" t="s">
        <v>182</v>
      </c>
    </row>
    <row r="32">
      <c r="A32" s="125">
        <v>44271.777749016204</v>
      </c>
      <c r="B32" s="124" t="s">
        <v>113</v>
      </c>
      <c r="C32" s="124" t="s">
        <v>58</v>
      </c>
      <c r="D32" s="124" t="s">
        <v>180</v>
      </c>
      <c r="E32" s="126" t="s">
        <v>183</v>
      </c>
      <c r="F32" s="124" t="s">
        <v>184</v>
      </c>
    </row>
    <row r="33">
      <c r="A33" s="125">
        <v>44271.77868752315</v>
      </c>
      <c r="B33" s="124" t="s">
        <v>113</v>
      </c>
      <c r="C33" s="124" t="s">
        <v>52</v>
      </c>
      <c r="D33" s="124" t="s">
        <v>185</v>
      </c>
      <c r="E33" s="126" t="s">
        <v>186</v>
      </c>
      <c r="F33" s="124" t="s">
        <v>187</v>
      </c>
    </row>
    <row r="34">
      <c r="A34" s="125">
        <v>44271.77945672454</v>
      </c>
      <c r="B34" s="124" t="s">
        <v>113</v>
      </c>
      <c r="C34" s="124" t="s">
        <v>58</v>
      </c>
      <c r="D34" s="124" t="s">
        <v>185</v>
      </c>
      <c r="E34" s="126" t="s">
        <v>188</v>
      </c>
      <c r="F34" s="124" t="s">
        <v>189</v>
      </c>
    </row>
    <row r="35">
      <c r="A35" s="125">
        <v>44271.780070127315</v>
      </c>
      <c r="B35" s="124" t="s">
        <v>113</v>
      </c>
      <c r="C35" s="124" t="s">
        <v>52</v>
      </c>
      <c r="D35" s="124" t="s">
        <v>190</v>
      </c>
      <c r="E35" s="126" t="s">
        <v>191</v>
      </c>
      <c r="F35" s="124" t="s">
        <v>192</v>
      </c>
    </row>
    <row r="36">
      <c r="A36" s="125">
        <v>44271.780582141204</v>
      </c>
      <c r="B36" s="124" t="s">
        <v>113</v>
      </c>
      <c r="C36" s="124" t="s">
        <v>58</v>
      </c>
      <c r="D36" s="124" t="s">
        <v>190</v>
      </c>
      <c r="E36" s="126" t="s">
        <v>193</v>
      </c>
      <c r="F36" s="124" t="s">
        <v>194</v>
      </c>
    </row>
    <row r="37">
      <c r="A37" s="125">
        <v>44271.78107427083</v>
      </c>
      <c r="B37" s="124" t="s">
        <v>113</v>
      </c>
      <c r="C37" s="124" t="s">
        <v>58</v>
      </c>
      <c r="D37" s="124" t="s">
        <v>195</v>
      </c>
      <c r="E37" s="126" t="s">
        <v>196</v>
      </c>
      <c r="F37" s="124" t="s">
        <v>197</v>
      </c>
    </row>
    <row r="38">
      <c r="A38" s="125">
        <v>44271.78291879629</v>
      </c>
      <c r="B38" s="124" t="s">
        <v>113</v>
      </c>
      <c r="C38" s="124" t="s">
        <v>58</v>
      </c>
      <c r="D38" s="124" t="s">
        <v>198</v>
      </c>
      <c r="E38" s="126" t="s">
        <v>199</v>
      </c>
      <c r="F38" s="124" t="s">
        <v>200</v>
      </c>
    </row>
    <row r="39">
      <c r="A39" s="125">
        <v>44271.78415872685</v>
      </c>
      <c r="B39" s="124" t="s">
        <v>113</v>
      </c>
      <c r="C39" s="124" t="s">
        <v>52</v>
      </c>
      <c r="D39" s="124" t="s">
        <v>201</v>
      </c>
      <c r="E39" s="126" t="s">
        <v>202</v>
      </c>
      <c r="F39" s="124" t="s">
        <v>203</v>
      </c>
    </row>
    <row r="40">
      <c r="A40" s="125">
        <v>44271.78448372685</v>
      </c>
      <c r="B40" s="124" t="s">
        <v>113</v>
      </c>
      <c r="C40" s="124" t="s">
        <v>58</v>
      </c>
      <c r="D40" s="124" t="s">
        <v>201</v>
      </c>
      <c r="E40" s="126" t="s">
        <v>204</v>
      </c>
      <c r="F40" s="124" t="s">
        <v>205</v>
      </c>
    </row>
    <row r="41">
      <c r="A41" s="125">
        <v>44271.7856411574</v>
      </c>
      <c r="B41" s="124" t="s">
        <v>113</v>
      </c>
      <c r="C41" s="124" t="s">
        <v>52</v>
      </c>
      <c r="D41" s="124" t="s">
        <v>206</v>
      </c>
      <c r="E41" s="126" t="s">
        <v>207</v>
      </c>
      <c r="F41" s="124" t="s">
        <v>208</v>
      </c>
    </row>
    <row r="42">
      <c r="A42" s="125">
        <v>44271.78605292824</v>
      </c>
      <c r="B42" s="124" t="s">
        <v>113</v>
      </c>
      <c r="C42" s="124" t="s">
        <v>58</v>
      </c>
      <c r="D42" s="124" t="s">
        <v>206</v>
      </c>
      <c r="E42" s="126" t="s">
        <v>209</v>
      </c>
      <c r="F42" s="124" t="s">
        <v>210</v>
      </c>
    </row>
    <row r="43">
      <c r="A43" s="125">
        <v>44271.79516527778</v>
      </c>
      <c r="B43" s="124" t="s">
        <v>113</v>
      </c>
      <c r="C43" s="124" t="s">
        <v>58</v>
      </c>
      <c r="D43" s="124" t="s">
        <v>211</v>
      </c>
      <c r="E43" s="126" t="s">
        <v>212</v>
      </c>
      <c r="F43" s="124" t="s">
        <v>213</v>
      </c>
    </row>
    <row r="44">
      <c r="A44" s="125">
        <v>44271.795251793985</v>
      </c>
      <c r="B44" s="124" t="s">
        <v>113</v>
      </c>
      <c r="C44" s="124" t="s">
        <v>58</v>
      </c>
      <c r="D44" s="124" t="s">
        <v>211</v>
      </c>
      <c r="E44" s="126" t="s">
        <v>214</v>
      </c>
      <c r="F44" s="124" t="s">
        <v>213</v>
      </c>
    </row>
    <row r="45">
      <c r="A45" s="125">
        <v>44271.80946640046</v>
      </c>
      <c r="B45" s="124" t="s">
        <v>113</v>
      </c>
      <c r="C45" s="124" t="s">
        <v>52</v>
      </c>
      <c r="D45" s="124" t="s">
        <v>215</v>
      </c>
      <c r="E45" s="126" t="s">
        <v>216</v>
      </c>
      <c r="F45" s="124" t="s">
        <v>217</v>
      </c>
    </row>
    <row r="46">
      <c r="A46" s="125">
        <v>44271.80990896991</v>
      </c>
      <c r="B46" s="124" t="s">
        <v>113</v>
      </c>
      <c r="C46" s="124" t="s">
        <v>58</v>
      </c>
      <c r="D46" s="124" t="s">
        <v>215</v>
      </c>
      <c r="E46" s="126" t="s">
        <v>218</v>
      </c>
      <c r="F46" s="124" t="s">
        <v>219</v>
      </c>
    </row>
    <row r="47">
      <c r="A47" s="125">
        <v>44271.81834241898</v>
      </c>
      <c r="B47" s="124" t="s">
        <v>113</v>
      </c>
      <c r="C47" s="124" t="s">
        <v>52</v>
      </c>
      <c r="D47" s="124" t="s">
        <v>220</v>
      </c>
      <c r="E47" s="126" t="s">
        <v>221</v>
      </c>
      <c r="F47" s="124" t="s">
        <v>222</v>
      </c>
    </row>
    <row r="48">
      <c r="A48" s="125">
        <v>44271.81974925926</v>
      </c>
      <c r="B48" s="124" t="s">
        <v>113</v>
      </c>
      <c r="C48" s="124" t="s">
        <v>58</v>
      </c>
      <c r="D48" s="124" t="s">
        <v>223</v>
      </c>
      <c r="E48" s="126" t="s">
        <v>224</v>
      </c>
      <c r="F48" s="124" t="s">
        <v>225</v>
      </c>
    </row>
    <row r="49">
      <c r="A49" s="125">
        <v>44271.819939594905</v>
      </c>
      <c r="B49" s="124" t="s">
        <v>113</v>
      </c>
      <c r="C49" s="124" t="s">
        <v>58</v>
      </c>
      <c r="D49" s="124" t="s">
        <v>220</v>
      </c>
      <c r="E49" s="126" t="s">
        <v>226</v>
      </c>
      <c r="F49" s="124" t="s">
        <v>227</v>
      </c>
    </row>
    <row r="50">
      <c r="A50" s="125">
        <v>44271.82091790509</v>
      </c>
      <c r="B50" s="124" t="s">
        <v>113</v>
      </c>
      <c r="C50" s="124" t="s">
        <v>52</v>
      </c>
      <c r="D50" s="124" t="s">
        <v>228</v>
      </c>
      <c r="E50" s="126" t="s">
        <v>229</v>
      </c>
      <c r="F50" s="124" t="s">
        <v>230</v>
      </c>
    </row>
    <row r="51">
      <c r="A51" s="125">
        <v>44271.8216439699</v>
      </c>
      <c r="B51" s="124" t="s">
        <v>113</v>
      </c>
      <c r="C51" s="124" t="s">
        <v>58</v>
      </c>
      <c r="D51" s="124" t="s">
        <v>228</v>
      </c>
      <c r="E51" s="126" t="s">
        <v>231</v>
      </c>
      <c r="F51" s="124" t="s">
        <v>232</v>
      </c>
    </row>
    <row r="52">
      <c r="A52" s="125">
        <v>44271.82556079861</v>
      </c>
      <c r="B52" s="124" t="s">
        <v>113</v>
      </c>
      <c r="C52" s="124" t="s">
        <v>58</v>
      </c>
      <c r="D52" s="124" t="s">
        <v>233</v>
      </c>
      <c r="E52" s="126" t="s">
        <v>234</v>
      </c>
      <c r="F52" s="124" t="s">
        <v>235</v>
      </c>
    </row>
    <row r="53">
      <c r="A53" s="125">
        <v>44271.82718850694</v>
      </c>
      <c r="B53" s="124" t="s">
        <v>113</v>
      </c>
      <c r="C53" s="124" t="s">
        <v>58</v>
      </c>
      <c r="D53" s="124" t="s">
        <v>236</v>
      </c>
      <c r="E53" s="126" t="s">
        <v>237</v>
      </c>
      <c r="F53" s="124" t="s">
        <v>238</v>
      </c>
    </row>
    <row r="54">
      <c r="A54" s="125">
        <v>44271.82734880787</v>
      </c>
      <c r="B54" s="124" t="s">
        <v>113</v>
      </c>
      <c r="C54" s="124" t="s">
        <v>52</v>
      </c>
      <c r="D54" s="124" t="s">
        <v>233</v>
      </c>
      <c r="E54" s="126" t="s">
        <v>239</v>
      </c>
      <c r="F54" s="124" t="s">
        <v>240</v>
      </c>
    </row>
    <row r="55">
      <c r="A55" s="125">
        <v>44271.85638038194</v>
      </c>
      <c r="B55" s="124" t="s">
        <v>113</v>
      </c>
      <c r="C55" s="124" t="s">
        <v>52</v>
      </c>
      <c r="D55" s="124" t="s">
        <v>241</v>
      </c>
      <c r="E55" s="126" t="s">
        <v>242</v>
      </c>
      <c r="F55" s="124" t="s">
        <v>243</v>
      </c>
    </row>
    <row r="56">
      <c r="A56" s="125">
        <v>44271.85698960648</v>
      </c>
      <c r="B56" s="124" t="s">
        <v>113</v>
      </c>
      <c r="C56" s="124" t="s">
        <v>58</v>
      </c>
      <c r="D56" s="124" t="s">
        <v>241</v>
      </c>
      <c r="E56" s="126" t="s">
        <v>244</v>
      </c>
      <c r="F56" s="124" t="s">
        <v>245</v>
      </c>
    </row>
    <row r="57">
      <c r="A57" s="125">
        <v>44271.862219305556</v>
      </c>
      <c r="B57" s="124" t="s">
        <v>113</v>
      </c>
      <c r="C57" s="124" t="s">
        <v>52</v>
      </c>
      <c r="D57" s="124" t="s">
        <v>246</v>
      </c>
      <c r="E57" s="126" t="s">
        <v>247</v>
      </c>
      <c r="F57" s="124" t="s">
        <v>248</v>
      </c>
    </row>
    <row r="58">
      <c r="A58" s="125">
        <v>44271.86256414352</v>
      </c>
      <c r="B58" s="124" t="s">
        <v>113</v>
      </c>
      <c r="C58" s="124" t="s">
        <v>58</v>
      </c>
      <c r="D58" s="124" t="s">
        <v>246</v>
      </c>
      <c r="E58" s="126" t="s">
        <v>249</v>
      </c>
      <c r="F58" s="124" t="s">
        <v>250</v>
      </c>
    </row>
    <row r="59">
      <c r="A59" s="125">
        <v>44271.90253982639</v>
      </c>
      <c r="B59" s="124" t="s">
        <v>113</v>
      </c>
      <c r="C59" s="124" t="s">
        <v>52</v>
      </c>
      <c r="D59" s="124" t="s">
        <v>251</v>
      </c>
      <c r="E59" s="126" t="s">
        <v>252</v>
      </c>
      <c r="F59" s="124" t="s">
        <v>253</v>
      </c>
    </row>
    <row r="60">
      <c r="A60" s="125">
        <v>44271.90265877315</v>
      </c>
      <c r="B60" s="124" t="s">
        <v>113</v>
      </c>
      <c r="C60" s="124" t="s">
        <v>58</v>
      </c>
      <c r="D60" s="124" t="s">
        <v>251</v>
      </c>
      <c r="E60" s="126" t="s">
        <v>254</v>
      </c>
      <c r="F60" s="124" t="s">
        <v>255</v>
      </c>
    </row>
    <row r="61">
      <c r="A61" s="125">
        <v>44271.9096965162</v>
      </c>
      <c r="B61" s="124" t="s">
        <v>113</v>
      </c>
      <c r="C61" s="124" t="s">
        <v>52</v>
      </c>
      <c r="D61" s="124" t="s">
        <v>256</v>
      </c>
      <c r="E61" s="126" t="s">
        <v>257</v>
      </c>
      <c r="F61" s="124" t="s">
        <v>258</v>
      </c>
    </row>
    <row r="62">
      <c r="A62" s="125">
        <v>44271.92971203703</v>
      </c>
      <c r="B62" s="124" t="s">
        <v>113</v>
      </c>
      <c r="C62" s="124" t="s">
        <v>52</v>
      </c>
      <c r="D62" s="124" t="s">
        <v>259</v>
      </c>
      <c r="E62" s="126" t="s">
        <v>260</v>
      </c>
      <c r="F62" s="124" t="s">
        <v>261</v>
      </c>
    </row>
    <row r="63">
      <c r="A63" s="125">
        <v>44271.929934976855</v>
      </c>
      <c r="B63" s="124" t="s">
        <v>113</v>
      </c>
      <c r="C63" s="124" t="s">
        <v>58</v>
      </c>
      <c r="D63" s="124" t="s">
        <v>259</v>
      </c>
      <c r="E63" s="126" t="s">
        <v>262</v>
      </c>
      <c r="F63" s="124" t="s">
        <v>263</v>
      </c>
    </row>
    <row r="64">
      <c r="A64" s="125">
        <v>44271.93035293982</v>
      </c>
      <c r="B64" s="124" t="s">
        <v>113</v>
      </c>
      <c r="C64" s="124" t="s">
        <v>52</v>
      </c>
      <c r="D64" s="124" t="s">
        <v>264</v>
      </c>
      <c r="E64" s="126" t="s">
        <v>265</v>
      </c>
      <c r="F64" s="124" t="s">
        <v>266</v>
      </c>
    </row>
    <row r="65">
      <c r="A65" s="125">
        <v>44271.9307225463</v>
      </c>
      <c r="B65" s="124" t="s">
        <v>113</v>
      </c>
      <c r="C65" s="124" t="s">
        <v>58</v>
      </c>
      <c r="D65" s="124" t="s">
        <v>264</v>
      </c>
      <c r="E65" s="126" t="s">
        <v>267</v>
      </c>
      <c r="F65" s="124" t="s">
        <v>268</v>
      </c>
    </row>
    <row r="66">
      <c r="A66" s="125">
        <v>44272.32637821759</v>
      </c>
      <c r="B66" s="124" t="s">
        <v>113</v>
      </c>
      <c r="C66" s="124" t="s">
        <v>52</v>
      </c>
      <c r="D66" s="124" t="s">
        <v>269</v>
      </c>
      <c r="E66" s="126" t="s">
        <v>270</v>
      </c>
      <c r="F66" s="124" t="s">
        <v>271</v>
      </c>
    </row>
    <row r="67">
      <c r="A67" s="125">
        <v>44272.32656645833</v>
      </c>
      <c r="B67" s="124" t="s">
        <v>113</v>
      </c>
      <c r="C67" s="124" t="s">
        <v>58</v>
      </c>
      <c r="D67" s="124" t="s">
        <v>269</v>
      </c>
      <c r="E67" s="126" t="s">
        <v>272</v>
      </c>
      <c r="F67" s="124" t="s">
        <v>273</v>
      </c>
    </row>
    <row r="68">
      <c r="A68" s="125">
        <v>44272.33732010417</v>
      </c>
      <c r="B68" s="124" t="s">
        <v>113</v>
      </c>
      <c r="C68" s="124" t="s">
        <v>58</v>
      </c>
      <c r="D68" s="124" t="s">
        <v>274</v>
      </c>
      <c r="E68" s="126" t="s">
        <v>275</v>
      </c>
      <c r="F68" s="124" t="s">
        <v>276</v>
      </c>
    </row>
    <row r="69">
      <c r="A69" s="125">
        <v>44272.33744427083</v>
      </c>
      <c r="B69" s="124" t="s">
        <v>113</v>
      </c>
      <c r="C69" s="124" t="s">
        <v>58</v>
      </c>
      <c r="D69" s="124" t="s">
        <v>277</v>
      </c>
      <c r="E69" s="126" t="s">
        <v>278</v>
      </c>
      <c r="F69" s="124" t="s">
        <v>279</v>
      </c>
    </row>
    <row r="70">
      <c r="A70" s="125">
        <v>44272.344037511575</v>
      </c>
      <c r="B70" s="124" t="s">
        <v>113</v>
      </c>
      <c r="C70" s="124" t="s">
        <v>52</v>
      </c>
      <c r="D70" s="124" t="s">
        <v>280</v>
      </c>
      <c r="E70" s="126" t="s">
        <v>281</v>
      </c>
      <c r="F70" s="124" t="s">
        <v>282</v>
      </c>
    </row>
    <row r="71">
      <c r="A71" s="125">
        <v>44272.34436914352</v>
      </c>
      <c r="B71" s="124" t="s">
        <v>113</v>
      </c>
      <c r="C71" s="124" t="s">
        <v>58</v>
      </c>
      <c r="D71" s="124" t="s">
        <v>280</v>
      </c>
      <c r="E71" s="126" t="s">
        <v>283</v>
      </c>
      <c r="F71" s="124" t="s">
        <v>284</v>
      </c>
    </row>
    <row r="72">
      <c r="A72" s="125">
        <v>44272.35687482639</v>
      </c>
      <c r="B72" s="124" t="s">
        <v>113</v>
      </c>
      <c r="C72" s="124" t="s">
        <v>52</v>
      </c>
      <c r="D72" s="124" t="s">
        <v>285</v>
      </c>
      <c r="E72" s="126" t="s">
        <v>286</v>
      </c>
      <c r="F72" s="124" t="s">
        <v>287</v>
      </c>
    </row>
    <row r="73">
      <c r="A73" s="125">
        <v>44272.358441689816</v>
      </c>
      <c r="B73" s="124" t="s">
        <v>113</v>
      </c>
      <c r="C73" s="124" t="s">
        <v>58</v>
      </c>
      <c r="D73" s="124" t="s">
        <v>285</v>
      </c>
      <c r="E73" s="126" t="s">
        <v>288</v>
      </c>
      <c r="F73" s="124" t="s">
        <v>289</v>
      </c>
    </row>
    <row r="74">
      <c r="A74" s="125">
        <v>44272.36222214121</v>
      </c>
      <c r="B74" s="124" t="s">
        <v>113</v>
      </c>
      <c r="C74" s="124" t="s">
        <v>58</v>
      </c>
      <c r="D74" s="124" t="s">
        <v>290</v>
      </c>
      <c r="E74" s="126" t="s">
        <v>291</v>
      </c>
      <c r="F74" s="124" t="s">
        <v>292</v>
      </c>
    </row>
    <row r="75">
      <c r="A75" s="125">
        <v>44272.36261737268</v>
      </c>
      <c r="B75" s="124" t="s">
        <v>113</v>
      </c>
      <c r="C75" s="124" t="s">
        <v>52</v>
      </c>
      <c r="D75" s="124" t="s">
        <v>293</v>
      </c>
      <c r="E75" s="126" t="s">
        <v>294</v>
      </c>
      <c r="F75" s="124" t="s">
        <v>295</v>
      </c>
    </row>
    <row r="76">
      <c r="A76" s="125">
        <v>44272.363219861116</v>
      </c>
      <c r="B76" s="124" t="s">
        <v>113</v>
      </c>
      <c r="C76" s="124" t="s">
        <v>58</v>
      </c>
      <c r="D76" s="124" t="s">
        <v>293</v>
      </c>
      <c r="E76" s="126" t="s">
        <v>296</v>
      </c>
      <c r="F76" s="124" t="s">
        <v>297</v>
      </c>
    </row>
    <row r="77">
      <c r="A77" s="125">
        <v>44272.36349341435</v>
      </c>
      <c r="B77" s="124" t="s">
        <v>113</v>
      </c>
      <c r="C77" s="124" t="s">
        <v>52</v>
      </c>
      <c r="D77" s="124" t="s">
        <v>298</v>
      </c>
      <c r="E77" s="126" t="s">
        <v>299</v>
      </c>
      <c r="F77" s="124" t="s">
        <v>300</v>
      </c>
    </row>
    <row r="78">
      <c r="A78" s="125">
        <v>44272.36864021991</v>
      </c>
      <c r="B78" s="124" t="s">
        <v>113</v>
      </c>
      <c r="C78" s="124" t="s">
        <v>52</v>
      </c>
      <c r="D78" s="124" t="s">
        <v>301</v>
      </c>
      <c r="E78" s="126" t="s">
        <v>302</v>
      </c>
      <c r="F78" s="124" t="s">
        <v>303</v>
      </c>
    </row>
    <row r="79">
      <c r="A79" s="125">
        <v>44272.369496458334</v>
      </c>
      <c r="B79" s="124" t="s">
        <v>113</v>
      </c>
      <c r="C79" s="124" t="s">
        <v>58</v>
      </c>
      <c r="D79" s="124" t="s">
        <v>304</v>
      </c>
      <c r="E79" s="126" t="s">
        <v>305</v>
      </c>
      <c r="F79" s="124" t="s">
        <v>306</v>
      </c>
    </row>
    <row r="80">
      <c r="A80" s="125">
        <v>44272.36972165509</v>
      </c>
      <c r="B80" s="124" t="s">
        <v>113</v>
      </c>
      <c r="C80" s="124" t="s">
        <v>52</v>
      </c>
      <c r="D80" s="124" t="s">
        <v>304</v>
      </c>
      <c r="E80" s="126" t="s">
        <v>307</v>
      </c>
      <c r="F80" s="124" t="s">
        <v>303</v>
      </c>
    </row>
    <row r="81">
      <c r="A81" s="125">
        <v>44272.374632314815</v>
      </c>
      <c r="B81" s="124" t="s">
        <v>113</v>
      </c>
      <c r="C81" s="124" t="s">
        <v>52</v>
      </c>
      <c r="D81" s="124" t="s">
        <v>308</v>
      </c>
      <c r="E81" s="126" t="s">
        <v>309</v>
      </c>
      <c r="F81" s="124" t="s">
        <v>310</v>
      </c>
    </row>
    <row r="82">
      <c r="A82" s="125">
        <v>44272.37492306713</v>
      </c>
      <c r="B82" s="124" t="s">
        <v>113</v>
      </c>
      <c r="C82" s="124" t="s">
        <v>58</v>
      </c>
      <c r="D82" s="124" t="s">
        <v>308</v>
      </c>
      <c r="E82" s="126" t="s">
        <v>311</v>
      </c>
      <c r="F82" s="124" t="s">
        <v>312</v>
      </c>
    </row>
    <row r="83">
      <c r="A83" s="125">
        <v>44272.376568865744</v>
      </c>
      <c r="B83" s="124" t="s">
        <v>113</v>
      </c>
      <c r="C83" s="124" t="s">
        <v>58</v>
      </c>
      <c r="D83" s="124" t="s">
        <v>313</v>
      </c>
      <c r="E83" s="126" t="s">
        <v>314</v>
      </c>
      <c r="F83" s="124" t="s">
        <v>315</v>
      </c>
    </row>
    <row r="84">
      <c r="A84" s="125">
        <v>44272.38021554398</v>
      </c>
      <c r="B84" s="124" t="s">
        <v>113</v>
      </c>
      <c r="C84" s="124" t="s">
        <v>52</v>
      </c>
      <c r="D84" s="124" t="s">
        <v>316</v>
      </c>
      <c r="E84" s="126" t="s">
        <v>317</v>
      </c>
      <c r="F84" s="124" t="s">
        <v>318</v>
      </c>
    </row>
    <row r="85">
      <c r="A85" s="125">
        <v>44272.38044679398</v>
      </c>
      <c r="B85" s="124" t="s">
        <v>113</v>
      </c>
      <c r="C85" s="124" t="s">
        <v>58</v>
      </c>
      <c r="D85" s="124" t="s">
        <v>316</v>
      </c>
      <c r="E85" s="126" t="s">
        <v>319</v>
      </c>
      <c r="F85" s="124" t="s">
        <v>320</v>
      </c>
    </row>
    <row r="86">
      <c r="A86" s="125">
        <v>44272.382127986115</v>
      </c>
      <c r="B86" s="124" t="s">
        <v>113</v>
      </c>
      <c r="C86" s="124" t="s">
        <v>52</v>
      </c>
      <c r="D86" s="124" t="s">
        <v>321</v>
      </c>
      <c r="E86" s="126" t="s">
        <v>322</v>
      </c>
      <c r="F86" s="124" t="s">
        <v>323</v>
      </c>
    </row>
    <row r="87">
      <c r="A87" s="125">
        <v>44272.38245425926</v>
      </c>
      <c r="B87" s="124" t="s">
        <v>113</v>
      </c>
      <c r="C87" s="124" t="s">
        <v>58</v>
      </c>
      <c r="D87" s="124" t="s">
        <v>321</v>
      </c>
      <c r="E87" s="126" t="s">
        <v>324</v>
      </c>
      <c r="F87" s="124" t="s">
        <v>325</v>
      </c>
    </row>
    <row r="88">
      <c r="A88" s="125">
        <v>44272.38366835648</v>
      </c>
      <c r="B88" s="124" t="s">
        <v>113</v>
      </c>
      <c r="C88" s="124" t="s">
        <v>52</v>
      </c>
      <c r="D88" s="124" t="s">
        <v>326</v>
      </c>
      <c r="E88" s="126" t="s">
        <v>327</v>
      </c>
      <c r="F88" s="124" t="s">
        <v>328</v>
      </c>
    </row>
    <row r="89">
      <c r="A89" s="125">
        <v>44272.38397436343</v>
      </c>
      <c r="B89" s="124" t="s">
        <v>113</v>
      </c>
      <c r="C89" s="124" t="s">
        <v>58</v>
      </c>
      <c r="D89" s="124" t="s">
        <v>326</v>
      </c>
      <c r="E89" s="126" t="s">
        <v>329</v>
      </c>
      <c r="F89" s="124" t="s">
        <v>330</v>
      </c>
    </row>
    <row r="90">
      <c r="A90" s="125">
        <v>44272.385052928235</v>
      </c>
      <c r="B90" s="124" t="s">
        <v>113</v>
      </c>
      <c r="C90" s="124" t="s">
        <v>52</v>
      </c>
      <c r="D90" s="124" t="s">
        <v>331</v>
      </c>
      <c r="E90" s="126" t="s">
        <v>332</v>
      </c>
      <c r="F90" s="124" t="s">
        <v>333</v>
      </c>
    </row>
    <row r="91">
      <c r="A91" s="125">
        <v>44272.38731131944</v>
      </c>
      <c r="B91" s="124" t="s">
        <v>113</v>
      </c>
      <c r="C91" s="124" t="s">
        <v>52</v>
      </c>
      <c r="D91" s="124" t="s">
        <v>334</v>
      </c>
      <c r="E91" s="126" t="s">
        <v>335</v>
      </c>
      <c r="F91" s="124" t="s">
        <v>336</v>
      </c>
    </row>
    <row r="92">
      <c r="A92" s="125">
        <v>44272.38733666667</v>
      </c>
      <c r="B92" s="124" t="s">
        <v>113</v>
      </c>
      <c r="C92" s="124" t="s">
        <v>52</v>
      </c>
      <c r="D92" s="124" t="s">
        <v>337</v>
      </c>
      <c r="E92" s="126" t="s">
        <v>338</v>
      </c>
      <c r="F92" s="124" t="s">
        <v>339</v>
      </c>
    </row>
    <row r="93">
      <c r="A93" s="125">
        <v>44272.38743170139</v>
      </c>
      <c r="B93" s="124" t="s">
        <v>113</v>
      </c>
      <c r="C93" s="124" t="s">
        <v>58</v>
      </c>
      <c r="D93" s="124" t="s">
        <v>337</v>
      </c>
      <c r="E93" s="126" t="s">
        <v>340</v>
      </c>
      <c r="F93" s="124" t="s">
        <v>341</v>
      </c>
    </row>
    <row r="94">
      <c r="A94" s="125">
        <v>44272.38785518518</v>
      </c>
      <c r="B94" s="124" t="s">
        <v>113</v>
      </c>
      <c r="C94" s="124" t="s">
        <v>58</v>
      </c>
      <c r="D94" s="124" t="s">
        <v>334</v>
      </c>
      <c r="E94" s="126" t="s">
        <v>342</v>
      </c>
      <c r="F94" s="124" t="s">
        <v>343</v>
      </c>
    </row>
    <row r="95">
      <c r="A95" s="125">
        <v>44272.388599224534</v>
      </c>
      <c r="B95" s="124" t="s">
        <v>113</v>
      </c>
      <c r="C95" s="124" t="s">
        <v>58</v>
      </c>
      <c r="D95" s="124" t="s">
        <v>344</v>
      </c>
      <c r="E95" s="126" t="s">
        <v>345</v>
      </c>
      <c r="F95" s="124" t="s">
        <v>346</v>
      </c>
    </row>
    <row r="96">
      <c r="A96" s="125">
        <v>44272.38990025463</v>
      </c>
      <c r="B96" s="124" t="s">
        <v>113</v>
      </c>
      <c r="C96" s="124" t="s">
        <v>52</v>
      </c>
      <c r="D96" s="124" t="s">
        <v>347</v>
      </c>
      <c r="E96" s="126" t="s">
        <v>348</v>
      </c>
      <c r="F96" s="124" t="s">
        <v>349</v>
      </c>
    </row>
    <row r="97">
      <c r="A97" s="125">
        <v>44272.39042788194</v>
      </c>
      <c r="B97" s="124" t="s">
        <v>113</v>
      </c>
      <c r="C97" s="124" t="s">
        <v>52</v>
      </c>
      <c r="D97" s="124" t="s">
        <v>350</v>
      </c>
      <c r="E97" s="126" t="s">
        <v>351</v>
      </c>
      <c r="F97" s="124" t="s">
        <v>352</v>
      </c>
    </row>
    <row r="98">
      <c r="A98" s="125">
        <v>44272.39051372685</v>
      </c>
      <c r="B98" s="124" t="s">
        <v>113</v>
      </c>
      <c r="C98" s="124" t="s">
        <v>52</v>
      </c>
      <c r="D98" s="124" t="s">
        <v>353</v>
      </c>
      <c r="E98" s="126" t="s">
        <v>354</v>
      </c>
      <c r="F98" s="124" t="s">
        <v>355</v>
      </c>
    </row>
    <row r="99">
      <c r="A99" s="125">
        <v>44272.390643692124</v>
      </c>
      <c r="B99" s="124" t="s">
        <v>113</v>
      </c>
      <c r="C99" s="124" t="s">
        <v>58</v>
      </c>
      <c r="D99" s="124" t="s">
        <v>350</v>
      </c>
      <c r="E99" s="126" t="s">
        <v>356</v>
      </c>
      <c r="F99" s="124" t="s">
        <v>357</v>
      </c>
    </row>
    <row r="100">
      <c r="A100" s="125">
        <v>44272.39086421297</v>
      </c>
      <c r="B100" s="124" t="s">
        <v>113</v>
      </c>
      <c r="C100" s="124" t="s">
        <v>58</v>
      </c>
      <c r="D100" s="124" t="s">
        <v>347</v>
      </c>
      <c r="E100" s="126" t="s">
        <v>358</v>
      </c>
      <c r="F100" s="124" t="s">
        <v>359</v>
      </c>
    </row>
    <row r="101">
      <c r="A101" s="125">
        <v>44272.392083935185</v>
      </c>
      <c r="B101" s="124" t="s">
        <v>113</v>
      </c>
      <c r="C101" s="124" t="s">
        <v>52</v>
      </c>
      <c r="D101" s="124" t="s">
        <v>360</v>
      </c>
      <c r="E101" s="126" t="s">
        <v>361</v>
      </c>
      <c r="F101" s="124" t="s">
        <v>362</v>
      </c>
    </row>
    <row r="102">
      <c r="A102" s="125">
        <v>44272.3924305324</v>
      </c>
      <c r="B102" s="124" t="s">
        <v>113</v>
      </c>
      <c r="C102" s="124" t="s">
        <v>58</v>
      </c>
      <c r="D102" s="124" t="s">
        <v>360</v>
      </c>
      <c r="E102" s="126" t="s">
        <v>363</v>
      </c>
      <c r="F102" s="124" t="s">
        <v>364</v>
      </c>
    </row>
    <row r="103">
      <c r="A103" s="125">
        <v>44272.3991725</v>
      </c>
      <c r="B103" s="124" t="s">
        <v>113</v>
      </c>
      <c r="C103" s="124" t="s">
        <v>52</v>
      </c>
      <c r="D103" s="124" t="s">
        <v>344</v>
      </c>
      <c r="E103" s="126" t="s">
        <v>365</v>
      </c>
      <c r="F103" s="124" t="s">
        <v>366</v>
      </c>
    </row>
    <row r="104">
      <c r="A104" s="125">
        <v>44272.400748009255</v>
      </c>
      <c r="B104" s="124" t="s">
        <v>113</v>
      </c>
      <c r="C104" s="124" t="s">
        <v>52</v>
      </c>
      <c r="D104" s="124" t="s">
        <v>367</v>
      </c>
      <c r="E104" s="126" t="s">
        <v>368</v>
      </c>
      <c r="F104" s="124" t="s">
        <v>369</v>
      </c>
    </row>
    <row r="105">
      <c r="A105" s="125">
        <v>44272.401821956024</v>
      </c>
      <c r="B105" s="124" t="s">
        <v>113</v>
      </c>
      <c r="C105" s="124" t="s">
        <v>58</v>
      </c>
      <c r="D105" s="124" t="s">
        <v>367</v>
      </c>
      <c r="E105" s="126" t="s">
        <v>370</v>
      </c>
      <c r="F105" s="124" t="s">
        <v>371</v>
      </c>
    </row>
    <row r="106">
      <c r="A106" s="125">
        <v>44272.40208612269</v>
      </c>
      <c r="B106" s="124" t="s">
        <v>113</v>
      </c>
      <c r="C106" s="124" t="s">
        <v>52</v>
      </c>
      <c r="D106" s="124" t="s">
        <v>372</v>
      </c>
      <c r="E106" s="126" t="s">
        <v>373</v>
      </c>
      <c r="F106" s="124" t="s">
        <v>374</v>
      </c>
    </row>
    <row r="107">
      <c r="A107" s="125">
        <v>44272.40284271991</v>
      </c>
      <c r="B107" s="124" t="s">
        <v>113</v>
      </c>
      <c r="C107" s="124" t="s">
        <v>58</v>
      </c>
      <c r="D107" s="124" t="s">
        <v>375</v>
      </c>
      <c r="E107" s="126" t="s">
        <v>376</v>
      </c>
      <c r="F107" s="124" t="s">
        <v>377</v>
      </c>
    </row>
    <row r="108">
      <c r="A108" s="125">
        <v>44272.40385681713</v>
      </c>
      <c r="B108" s="124" t="s">
        <v>113</v>
      </c>
      <c r="C108" s="124" t="s">
        <v>52</v>
      </c>
      <c r="D108" s="124" t="s">
        <v>378</v>
      </c>
      <c r="E108" s="126" t="s">
        <v>379</v>
      </c>
      <c r="F108" s="124" t="s">
        <v>380</v>
      </c>
    </row>
    <row r="109">
      <c r="A109" s="125">
        <v>44272.40410153935</v>
      </c>
      <c r="B109" s="124" t="s">
        <v>113</v>
      </c>
      <c r="C109" s="124" t="s">
        <v>58</v>
      </c>
      <c r="D109" s="124" t="s">
        <v>378</v>
      </c>
      <c r="E109" s="126" t="s">
        <v>381</v>
      </c>
      <c r="F109" s="124" t="s">
        <v>382</v>
      </c>
    </row>
    <row r="110">
      <c r="A110" s="125">
        <v>44272.41014260417</v>
      </c>
      <c r="B110" s="124" t="s">
        <v>113</v>
      </c>
      <c r="C110" s="124" t="s">
        <v>52</v>
      </c>
      <c r="D110" s="124" t="s">
        <v>383</v>
      </c>
      <c r="E110" s="126" t="s">
        <v>384</v>
      </c>
      <c r="F110" s="124" t="s">
        <v>385</v>
      </c>
    </row>
    <row r="111">
      <c r="A111" s="125">
        <v>44272.41052635417</v>
      </c>
      <c r="B111" s="124" t="s">
        <v>113</v>
      </c>
      <c r="C111" s="124" t="s">
        <v>58</v>
      </c>
      <c r="D111" s="124" t="s">
        <v>383</v>
      </c>
      <c r="E111" s="126" t="s">
        <v>386</v>
      </c>
      <c r="F111" s="124" t="s">
        <v>387</v>
      </c>
    </row>
    <row r="112">
      <c r="A112" s="125">
        <v>44272.41236798611</v>
      </c>
      <c r="B112" s="124" t="s">
        <v>113</v>
      </c>
      <c r="C112" s="124" t="s">
        <v>52</v>
      </c>
      <c r="D112" s="124" t="s">
        <v>388</v>
      </c>
      <c r="E112" s="126" t="s">
        <v>389</v>
      </c>
      <c r="F112" s="124" t="s">
        <v>390</v>
      </c>
    </row>
    <row r="113">
      <c r="A113" s="125">
        <v>44272.412959375</v>
      </c>
      <c r="B113" s="124" t="s">
        <v>113</v>
      </c>
      <c r="C113" s="124" t="s">
        <v>58</v>
      </c>
      <c r="D113" s="124" t="s">
        <v>388</v>
      </c>
      <c r="E113" s="126" t="s">
        <v>391</v>
      </c>
      <c r="F113" s="124" t="s">
        <v>392</v>
      </c>
    </row>
    <row r="114">
      <c r="A114" s="125">
        <v>44272.41433003472</v>
      </c>
      <c r="B114" s="124" t="s">
        <v>113</v>
      </c>
      <c r="C114" s="124" t="s">
        <v>58</v>
      </c>
      <c r="D114" s="124" t="s">
        <v>393</v>
      </c>
      <c r="E114" s="126" t="s">
        <v>394</v>
      </c>
      <c r="F114" s="124" t="s">
        <v>395</v>
      </c>
    </row>
    <row r="115">
      <c r="A115" s="125">
        <v>44272.41446230324</v>
      </c>
      <c r="B115" s="124" t="s">
        <v>113</v>
      </c>
      <c r="C115" s="124" t="s">
        <v>52</v>
      </c>
      <c r="D115" s="124" t="s">
        <v>396</v>
      </c>
      <c r="E115" s="126" t="s">
        <v>397</v>
      </c>
      <c r="F115" s="124" t="s">
        <v>398</v>
      </c>
    </row>
    <row r="116">
      <c r="A116" s="125">
        <v>44272.41460923611</v>
      </c>
      <c r="B116" s="124" t="s">
        <v>113</v>
      </c>
      <c r="C116" s="124" t="s">
        <v>58</v>
      </c>
      <c r="D116" s="124" t="s">
        <v>396</v>
      </c>
      <c r="E116" s="126" t="s">
        <v>399</v>
      </c>
      <c r="F116" s="124" t="s">
        <v>400</v>
      </c>
    </row>
    <row r="117">
      <c r="A117" s="125">
        <v>44272.417166493055</v>
      </c>
      <c r="B117" s="124" t="s">
        <v>113</v>
      </c>
      <c r="C117" s="124" t="s">
        <v>52</v>
      </c>
      <c r="D117" s="124" t="s">
        <v>401</v>
      </c>
      <c r="E117" s="126" t="s">
        <v>402</v>
      </c>
      <c r="F117" s="124" t="s">
        <v>403</v>
      </c>
    </row>
    <row r="118">
      <c r="A118" s="125">
        <v>44272.41745070602</v>
      </c>
      <c r="B118" s="124" t="s">
        <v>113</v>
      </c>
      <c r="C118" s="124" t="s">
        <v>58</v>
      </c>
      <c r="D118" s="124" t="s">
        <v>401</v>
      </c>
      <c r="E118" s="126" t="s">
        <v>404</v>
      </c>
      <c r="F118" s="124" t="s">
        <v>405</v>
      </c>
    </row>
    <row r="119">
      <c r="A119" s="125">
        <v>44272.41888628472</v>
      </c>
      <c r="B119" s="124" t="s">
        <v>113</v>
      </c>
      <c r="C119" s="124" t="s">
        <v>52</v>
      </c>
      <c r="D119" s="124" t="s">
        <v>406</v>
      </c>
      <c r="E119" s="126" t="s">
        <v>407</v>
      </c>
      <c r="F119" s="124" t="s">
        <v>408</v>
      </c>
    </row>
    <row r="120">
      <c r="A120" s="125">
        <v>44272.419409270835</v>
      </c>
      <c r="B120" s="124" t="s">
        <v>113</v>
      </c>
      <c r="C120" s="124" t="s">
        <v>58</v>
      </c>
      <c r="D120" s="124" t="s">
        <v>406</v>
      </c>
      <c r="E120" s="126" t="s">
        <v>409</v>
      </c>
      <c r="F120" s="124" t="s">
        <v>410</v>
      </c>
    </row>
    <row r="121">
      <c r="A121" s="125">
        <v>44272.4196510301</v>
      </c>
      <c r="B121" s="124" t="s">
        <v>113</v>
      </c>
      <c r="C121" s="124" t="s">
        <v>52</v>
      </c>
      <c r="D121" s="124" t="s">
        <v>411</v>
      </c>
      <c r="E121" s="126" t="s">
        <v>412</v>
      </c>
      <c r="F121" s="124" t="s">
        <v>413</v>
      </c>
    </row>
    <row r="122">
      <c r="A122" s="125">
        <v>44272.420474363425</v>
      </c>
      <c r="B122" s="124" t="s">
        <v>113</v>
      </c>
      <c r="C122" s="124" t="s">
        <v>58</v>
      </c>
      <c r="D122" s="124" t="s">
        <v>411</v>
      </c>
      <c r="E122" s="126" t="s">
        <v>414</v>
      </c>
      <c r="F122" s="124" t="s">
        <v>415</v>
      </c>
    </row>
    <row r="123">
      <c r="A123" s="125">
        <v>44272.421108807874</v>
      </c>
      <c r="B123" s="124" t="s">
        <v>113</v>
      </c>
      <c r="C123" s="124" t="s">
        <v>58</v>
      </c>
      <c r="D123" s="124" t="s">
        <v>416</v>
      </c>
      <c r="E123" s="126" t="s">
        <v>417</v>
      </c>
      <c r="F123" s="124" t="s">
        <v>418</v>
      </c>
    </row>
    <row r="124">
      <c r="A124" s="125">
        <v>44272.438695034725</v>
      </c>
      <c r="B124" s="124" t="s">
        <v>113</v>
      </c>
      <c r="C124" s="124" t="s">
        <v>58</v>
      </c>
      <c r="D124" s="124" t="s">
        <v>256</v>
      </c>
      <c r="E124" s="126" t="s">
        <v>419</v>
      </c>
      <c r="F124" s="124" t="s">
        <v>420</v>
      </c>
    </row>
    <row r="125">
      <c r="A125" s="125">
        <v>44272.43917032407</v>
      </c>
      <c r="B125" s="124" t="s">
        <v>113</v>
      </c>
      <c r="C125" s="124" t="s">
        <v>58</v>
      </c>
      <c r="D125" s="124" t="s">
        <v>421</v>
      </c>
      <c r="E125" s="126" t="s">
        <v>422</v>
      </c>
      <c r="F125" s="124" t="s">
        <v>423</v>
      </c>
    </row>
    <row r="126">
      <c r="A126" s="125">
        <v>44272.44657251157</v>
      </c>
      <c r="B126" s="124" t="s">
        <v>113</v>
      </c>
      <c r="C126" s="124" t="s">
        <v>52</v>
      </c>
      <c r="D126" s="124" t="s">
        <v>424</v>
      </c>
      <c r="E126" s="126" t="s">
        <v>425</v>
      </c>
      <c r="F126" s="124" t="s">
        <v>426</v>
      </c>
    </row>
    <row r="127">
      <c r="A127" s="125">
        <v>44272.44797094907</v>
      </c>
      <c r="B127" s="124" t="s">
        <v>113</v>
      </c>
      <c r="C127" s="124" t="s">
        <v>52</v>
      </c>
      <c r="D127" s="124" t="s">
        <v>427</v>
      </c>
      <c r="E127" s="126" t="s">
        <v>428</v>
      </c>
      <c r="F127" s="124" t="s">
        <v>429</v>
      </c>
    </row>
    <row r="128">
      <c r="A128" s="125">
        <v>44272.449101770835</v>
      </c>
      <c r="B128" s="124" t="s">
        <v>113</v>
      </c>
      <c r="C128" s="124" t="s">
        <v>58</v>
      </c>
      <c r="D128" s="124" t="s">
        <v>424</v>
      </c>
      <c r="E128" s="126" t="s">
        <v>430</v>
      </c>
      <c r="F128" s="124" t="s">
        <v>431</v>
      </c>
    </row>
    <row r="129">
      <c r="A129" s="125">
        <v>44272.44913645834</v>
      </c>
      <c r="B129" s="124" t="s">
        <v>113</v>
      </c>
      <c r="C129" s="124" t="s">
        <v>58</v>
      </c>
      <c r="D129" s="124" t="s">
        <v>427</v>
      </c>
      <c r="E129" s="126" t="s">
        <v>432</v>
      </c>
      <c r="F129" s="124" t="s">
        <v>433</v>
      </c>
    </row>
    <row r="130">
      <c r="A130" s="125">
        <v>44272.457198125005</v>
      </c>
      <c r="B130" s="124" t="s">
        <v>113</v>
      </c>
      <c r="C130" s="124" t="s">
        <v>58</v>
      </c>
      <c r="D130" s="124" t="s">
        <v>434</v>
      </c>
      <c r="E130" s="126" t="s">
        <v>435</v>
      </c>
      <c r="F130" s="124" t="s">
        <v>436</v>
      </c>
    </row>
    <row r="131">
      <c r="A131" s="125">
        <v>44272.465137129635</v>
      </c>
      <c r="B131" s="124" t="s">
        <v>113</v>
      </c>
      <c r="C131" s="124" t="s">
        <v>52</v>
      </c>
      <c r="D131" s="124" t="s">
        <v>437</v>
      </c>
      <c r="E131" s="126" t="s">
        <v>438</v>
      </c>
      <c r="F131" s="124" t="s">
        <v>439</v>
      </c>
    </row>
    <row r="132">
      <c r="A132" s="125">
        <v>44272.465345034725</v>
      </c>
      <c r="B132" s="124" t="s">
        <v>113</v>
      </c>
      <c r="C132" s="124" t="s">
        <v>58</v>
      </c>
      <c r="D132" s="124" t="s">
        <v>437</v>
      </c>
      <c r="E132" s="126" t="s">
        <v>440</v>
      </c>
      <c r="F132" s="124" t="s">
        <v>441</v>
      </c>
    </row>
    <row r="133">
      <c r="A133" s="125">
        <v>44272.46589857639</v>
      </c>
      <c r="B133" s="124" t="s">
        <v>113</v>
      </c>
      <c r="C133" s="124" t="s">
        <v>58</v>
      </c>
      <c r="D133" s="124" t="s">
        <v>442</v>
      </c>
      <c r="E133" s="126" t="s">
        <v>443</v>
      </c>
      <c r="F133" s="124" t="s">
        <v>444</v>
      </c>
    </row>
    <row r="134">
      <c r="A134" s="125">
        <v>44272.469982696755</v>
      </c>
      <c r="B134" s="124" t="s">
        <v>113</v>
      </c>
      <c r="C134" s="124" t="s">
        <v>52</v>
      </c>
      <c r="D134" s="124" t="s">
        <v>445</v>
      </c>
      <c r="E134" s="126" t="s">
        <v>446</v>
      </c>
      <c r="F134" s="124" t="s">
        <v>447</v>
      </c>
    </row>
    <row r="135">
      <c r="A135" s="125">
        <v>44272.477415138885</v>
      </c>
      <c r="B135" s="124" t="s">
        <v>113</v>
      </c>
      <c r="C135" s="124" t="s">
        <v>52</v>
      </c>
      <c r="D135" s="124" t="s">
        <v>448</v>
      </c>
      <c r="E135" s="126" t="s">
        <v>449</v>
      </c>
      <c r="F135" s="124" t="s">
        <v>450</v>
      </c>
    </row>
    <row r="136">
      <c r="A136" s="125">
        <v>44272.4777596412</v>
      </c>
      <c r="B136" s="124" t="s">
        <v>113</v>
      </c>
      <c r="C136" s="124" t="s">
        <v>58</v>
      </c>
      <c r="D136" s="124" t="s">
        <v>448</v>
      </c>
      <c r="E136" s="126" t="s">
        <v>451</v>
      </c>
      <c r="F136" s="124" t="s">
        <v>452</v>
      </c>
    </row>
    <row r="137">
      <c r="A137" s="125">
        <v>44272.49205122685</v>
      </c>
      <c r="B137" s="124" t="s">
        <v>113</v>
      </c>
      <c r="C137" s="124" t="s">
        <v>52</v>
      </c>
      <c r="D137" s="124" t="s">
        <v>453</v>
      </c>
      <c r="E137" s="126" t="s">
        <v>454</v>
      </c>
      <c r="F137" s="124" t="s">
        <v>455</v>
      </c>
    </row>
    <row r="138">
      <c r="A138" s="125">
        <v>44272.49287540509</v>
      </c>
      <c r="B138" s="124" t="s">
        <v>113</v>
      </c>
      <c r="C138" s="124" t="s">
        <v>58</v>
      </c>
      <c r="D138" s="124" t="s">
        <v>453</v>
      </c>
      <c r="E138" s="126" t="s">
        <v>456</v>
      </c>
      <c r="F138" s="124" t="s">
        <v>457</v>
      </c>
    </row>
    <row r="139">
      <c r="A139" s="125">
        <v>44272.49350098379</v>
      </c>
      <c r="B139" s="124" t="s">
        <v>113</v>
      </c>
      <c r="C139" s="124" t="s">
        <v>52</v>
      </c>
      <c r="D139" s="124" t="s">
        <v>458</v>
      </c>
      <c r="E139" s="126" t="s">
        <v>459</v>
      </c>
      <c r="F139" s="124" t="s">
        <v>460</v>
      </c>
    </row>
    <row r="140">
      <c r="A140" s="125">
        <v>44272.494729108796</v>
      </c>
      <c r="B140" s="124" t="s">
        <v>113</v>
      </c>
      <c r="C140" s="124" t="s">
        <v>58</v>
      </c>
      <c r="D140" s="124" t="s">
        <v>458</v>
      </c>
      <c r="E140" s="126" t="s">
        <v>461</v>
      </c>
      <c r="F140" s="124" t="s">
        <v>462</v>
      </c>
    </row>
    <row r="141">
      <c r="A141" s="125">
        <v>44272.49903331019</v>
      </c>
      <c r="B141" s="124" t="s">
        <v>113</v>
      </c>
      <c r="C141" s="124" t="s">
        <v>58</v>
      </c>
      <c r="D141" s="124" t="s">
        <v>463</v>
      </c>
      <c r="E141" s="126" t="s">
        <v>464</v>
      </c>
      <c r="F141" s="124" t="s">
        <v>465</v>
      </c>
    </row>
    <row r="142">
      <c r="A142" s="125">
        <v>44272.49981957176</v>
      </c>
      <c r="B142" s="124" t="s">
        <v>113</v>
      </c>
      <c r="C142" s="124" t="s">
        <v>52</v>
      </c>
      <c r="D142" s="124" t="s">
        <v>463</v>
      </c>
      <c r="E142" s="126" t="s">
        <v>466</v>
      </c>
      <c r="F142" s="124" t="s">
        <v>467</v>
      </c>
    </row>
    <row r="143">
      <c r="A143" s="125">
        <v>44272.51887402778</v>
      </c>
      <c r="B143" s="124" t="s">
        <v>113</v>
      </c>
      <c r="C143" s="124" t="s">
        <v>52</v>
      </c>
      <c r="D143" s="124" t="s">
        <v>468</v>
      </c>
      <c r="E143" s="126" t="s">
        <v>469</v>
      </c>
      <c r="F143" s="124" t="s">
        <v>470</v>
      </c>
    </row>
    <row r="144">
      <c r="A144" s="125">
        <v>44272.5190446875</v>
      </c>
      <c r="B144" s="124" t="s">
        <v>113</v>
      </c>
      <c r="C144" s="124" t="s">
        <v>58</v>
      </c>
      <c r="D144" s="124" t="s">
        <v>468</v>
      </c>
      <c r="E144" s="126" t="s">
        <v>471</v>
      </c>
      <c r="F144" s="124" t="s">
        <v>472</v>
      </c>
    </row>
    <row r="145">
      <c r="A145" s="125">
        <v>44272.52016260417</v>
      </c>
      <c r="B145" s="124" t="s">
        <v>113</v>
      </c>
      <c r="C145" s="124" t="s">
        <v>58</v>
      </c>
      <c r="D145" s="124" t="s">
        <v>473</v>
      </c>
      <c r="E145" s="126" t="s">
        <v>474</v>
      </c>
      <c r="F145" s="124" t="s">
        <v>475</v>
      </c>
    </row>
    <row r="146">
      <c r="A146" s="125">
        <v>44272.52277210648</v>
      </c>
      <c r="B146" s="124" t="s">
        <v>113</v>
      </c>
      <c r="C146" s="124" t="s">
        <v>52</v>
      </c>
      <c r="D146" s="124" t="s">
        <v>476</v>
      </c>
      <c r="E146" s="126" t="s">
        <v>477</v>
      </c>
      <c r="F146" s="124" t="s">
        <v>478</v>
      </c>
    </row>
    <row r="147">
      <c r="A147" s="125">
        <v>44272.522999293986</v>
      </c>
      <c r="B147" s="124" t="s">
        <v>113</v>
      </c>
      <c r="C147" s="124" t="s">
        <v>58</v>
      </c>
      <c r="D147" s="124" t="s">
        <v>476</v>
      </c>
      <c r="E147" s="126" t="s">
        <v>479</v>
      </c>
      <c r="F147" s="124" t="s">
        <v>480</v>
      </c>
    </row>
    <row r="148">
      <c r="A148" s="125">
        <v>44272.576879189815</v>
      </c>
      <c r="B148" s="124" t="s">
        <v>113</v>
      </c>
      <c r="C148" s="124" t="s">
        <v>58</v>
      </c>
      <c r="D148" s="124" t="s">
        <v>481</v>
      </c>
      <c r="E148" s="126" t="s">
        <v>482</v>
      </c>
      <c r="F148" s="124" t="s">
        <v>483</v>
      </c>
    </row>
    <row r="149">
      <c r="A149" s="125">
        <v>44272.577278240744</v>
      </c>
      <c r="B149" s="124" t="s">
        <v>113</v>
      </c>
      <c r="C149" s="124" t="s">
        <v>52</v>
      </c>
      <c r="D149" s="124" t="s">
        <v>481</v>
      </c>
      <c r="E149" s="126" t="s">
        <v>484</v>
      </c>
      <c r="F149" s="124" t="s">
        <v>485</v>
      </c>
    </row>
    <row r="150">
      <c r="A150" s="125">
        <v>44272.5911809838</v>
      </c>
      <c r="B150" s="124" t="s">
        <v>113</v>
      </c>
      <c r="C150" s="124" t="s">
        <v>52</v>
      </c>
      <c r="D150" s="124" t="s">
        <v>486</v>
      </c>
      <c r="E150" s="126" t="s">
        <v>487</v>
      </c>
      <c r="F150" s="124" t="s">
        <v>488</v>
      </c>
    </row>
    <row r="151">
      <c r="A151" s="125">
        <v>44272.594813206015</v>
      </c>
      <c r="B151" s="124" t="s">
        <v>113</v>
      </c>
      <c r="C151" s="124" t="s">
        <v>52</v>
      </c>
      <c r="D151" s="124" t="s">
        <v>489</v>
      </c>
      <c r="E151" s="126" t="s">
        <v>490</v>
      </c>
      <c r="F151" s="124" t="s">
        <v>491</v>
      </c>
    </row>
    <row r="152">
      <c r="A152" s="125">
        <v>44272.59499916667</v>
      </c>
      <c r="B152" s="124" t="s">
        <v>113</v>
      </c>
      <c r="C152" s="124" t="s">
        <v>58</v>
      </c>
      <c r="D152" s="124" t="s">
        <v>489</v>
      </c>
      <c r="E152" s="126" t="s">
        <v>492</v>
      </c>
      <c r="F152" s="124" t="s">
        <v>493</v>
      </c>
    </row>
    <row r="153">
      <c r="A153" s="125">
        <v>44272.60153164352</v>
      </c>
      <c r="B153" s="124" t="s">
        <v>113</v>
      </c>
      <c r="C153" s="124" t="s">
        <v>52</v>
      </c>
      <c r="D153" s="124" t="s">
        <v>494</v>
      </c>
      <c r="E153" s="126" t="s">
        <v>495</v>
      </c>
      <c r="F153" s="124" t="s">
        <v>496</v>
      </c>
    </row>
    <row r="154">
      <c r="A154" s="125">
        <v>44272.60345473379</v>
      </c>
      <c r="B154" s="124" t="s">
        <v>113</v>
      </c>
      <c r="C154" s="124" t="s">
        <v>52</v>
      </c>
      <c r="D154" s="124" t="s">
        <v>497</v>
      </c>
      <c r="E154" s="126" t="s">
        <v>498</v>
      </c>
      <c r="F154" s="124" t="s">
        <v>499</v>
      </c>
    </row>
    <row r="155">
      <c r="A155" s="125">
        <v>44272.603875659726</v>
      </c>
      <c r="B155" s="124" t="s">
        <v>113</v>
      </c>
      <c r="C155" s="124" t="s">
        <v>58</v>
      </c>
      <c r="D155" s="124" t="s">
        <v>497</v>
      </c>
      <c r="E155" s="126" t="s">
        <v>500</v>
      </c>
      <c r="F155" s="124" t="s">
        <v>501</v>
      </c>
    </row>
    <row r="156">
      <c r="A156" s="125">
        <v>44272.60570453704</v>
      </c>
      <c r="B156" s="124" t="s">
        <v>113</v>
      </c>
      <c r="C156" s="124" t="s">
        <v>52</v>
      </c>
      <c r="D156" s="124" t="s">
        <v>502</v>
      </c>
      <c r="E156" s="126" t="s">
        <v>503</v>
      </c>
      <c r="F156" s="124" t="s">
        <v>504</v>
      </c>
    </row>
    <row r="157">
      <c r="A157" s="125">
        <v>44272.60598800926</v>
      </c>
      <c r="B157" s="124" t="s">
        <v>113</v>
      </c>
      <c r="C157" s="124" t="s">
        <v>58</v>
      </c>
      <c r="D157" s="124" t="s">
        <v>502</v>
      </c>
      <c r="E157" s="126" t="s">
        <v>505</v>
      </c>
      <c r="F157" s="124" t="s">
        <v>506</v>
      </c>
    </row>
    <row r="158">
      <c r="A158" s="125">
        <v>44272.60695540509</v>
      </c>
      <c r="B158" s="124" t="s">
        <v>113</v>
      </c>
      <c r="C158" s="124" t="s">
        <v>52</v>
      </c>
      <c r="D158" s="124" t="s">
        <v>507</v>
      </c>
      <c r="E158" s="126" t="s">
        <v>508</v>
      </c>
      <c r="F158" s="124" t="s">
        <v>509</v>
      </c>
    </row>
    <row r="159">
      <c r="A159" s="125">
        <v>44272.62051451389</v>
      </c>
      <c r="B159" s="124" t="s">
        <v>113</v>
      </c>
      <c r="C159" s="124" t="s">
        <v>52</v>
      </c>
      <c r="D159" s="124" t="s">
        <v>510</v>
      </c>
      <c r="E159" s="126" t="s">
        <v>511</v>
      </c>
      <c r="F159" s="124" t="s">
        <v>512</v>
      </c>
    </row>
    <row r="160">
      <c r="A160" s="125">
        <v>44272.62093322916</v>
      </c>
      <c r="B160" s="124" t="s">
        <v>113</v>
      </c>
      <c r="C160" s="124" t="s">
        <v>58</v>
      </c>
      <c r="D160" s="124" t="s">
        <v>510</v>
      </c>
      <c r="E160" s="126" t="s">
        <v>513</v>
      </c>
      <c r="F160" s="124" t="s">
        <v>514</v>
      </c>
    </row>
    <row r="161">
      <c r="A161" s="125">
        <v>44272.63517577546</v>
      </c>
      <c r="B161" s="124" t="s">
        <v>113</v>
      </c>
      <c r="C161" s="124" t="s">
        <v>52</v>
      </c>
      <c r="D161" s="124" t="s">
        <v>515</v>
      </c>
      <c r="E161" s="126" t="s">
        <v>516</v>
      </c>
      <c r="F161" s="124" t="s">
        <v>517</v>
      </c>
    </row>
    <row r="162">
      <c r="A162" s="125">
        <v>44272.639760590275</v>
      </c>
      <c r="B162" s="124" t="s">
        <v>113</v>
      </c>
      <c r="C162" s="124" t="s">
        <v>58</v>
      </c>
      <c r="D162" s="124" t="s">
        <v>486</v>
      </c>
      <c r="E162" s="126" t="s">
        <v>518</v>
      </c>
      <c r="F162" s="124" t="s">
        <v>519</v>
      </c>
    </row>
    <row r="163">
      <c r="A163" s="125">
        <v>44272.64654646991</v>
      </c>
      <c r="B163" s="124" t="s">
        <v>113</v>
      </c>
      <c r="C163" s="124" t="s">
        <v>52</v>
      </c>
      <c r="D163" s="124" t="s">
        <v>520</v>
      </c>
      <c r="E163" s="126" t="s">
        <v>521</v>
      </c>
      <c r="F163" s="124" t="s">
        <v>522</v>
      </c>
    </row>
    <row r="164">
      <c r="A164" s="125">
        <v>44272.64677935185</v>
      </c>
      <c r="B164" s="124" t="s">
        <v>113</v>
      </c>
      <c r="C164" s="124" t="s">
        <v>58</v>
      </c>
      <c r="D164" s="124" t="s">
        <v>520</v>
      </c>
      <c r="E164" s="126" t="s">
        <v>523</v>
      </c>
      <c r="F164" s="124" t="s">
        <v>524</v>
      </c>
    </row>
    <row r="165">
      <c r="A165" s="125">
        <v>44272.651134803236</v>
      </c>
      <c r="B165" s="124" t="s">
        <v>113</v>
      </c>
      <c r="C165" s="124" t="s">
        <v>52</v>
      </c>
      <c r="D165" s="124" t="s">
        <v>525</v>
      </c>
      <c r="E165" s="126" t="s">
        <v>526</v>
      </c>
      <c r="F165" s="124" t="s">
        <v>527</v>
      </c>
    </row>
    <row r="166">
      <c r="A166" s="125">
        <v>44272.65191811342</v>
      </c>
      <c r="B166" s="124" t="s">
        <v>113</v>
      </c>
      <c r="C166" s="124" t="s">
        <v>58</v>
      </c>
      <c r="D166" s="124" t="s">
        <v>525</v>
      </c>
      <c r="E166" s="126" t="s">
        <v>528</v>
      </c>
      <c r="F166" s="124" t="s">
        <v>529</v>
      </c>
    </row>
    <row r="167">
      <c r="A167" s="125">
        <v>44272.65249445602</v>
      </c>
      <c r="B167" s="124" t="s">
        <v>113</v>
      </c>
      <c r="C167" s="124" t="s">
        <v>52</v>
      </c>
      <c r="D167" s="124" t="s">
        <v>530</v>
      </c>
      <c r="E167" s="126" t="s">
        <v>531</v>
      </c>
      <c r="F167" s="124" t="s">
        <v>532</v>
      </c>
    </row>
    <row r="168">
      <c r="A168" s="125">
        <v>44272.6531712037</v>
      </c>
      <c r="B168" s="124" t="s">
        <v>113</v>
      </c>
      <c r="C168" s="124" t="s">
        <v>58</v>
      </c>
      <c r="D168" s="124" t="s">
        <v>530</v>
      </c>
      <c r="E168" s="126" t="s">
        <v>533</v>
      </c>
      <c r="F168" s="124" t="s">
        <v>534</v>
      </c>
    </row>
    <row r="169">
      <c r="A169" s="125">
        <v>44272.658248657404</v>
      </c>
      <c r="B169" s="124" t="s">
        <v>113</v>
      </c>
      <c r="C169" s="124" t="s">
        <v>58</v>
      </c>
      <c r="D169" s="124" t="s">
        <v>535</v>
      </c>
      <c r="E169" s="126" t="s">
        <v>536</v>
      </c>
      <c r="F169" s="124" t="s">
        <v>537</v>
      </c>
    </row>
    <row r="170">
      <c r="A170" s="125">
        <v>44272.670993912034</v>
      </c>
      <c r="B170" s="124" t="s">
        <v>113</v>
      </c>
      <c r="C170" s="124" t="s">
        <v>52</v>
      </c>
      <c r="D170" s="124" t="s">
        <v>538</v>
      </c>
      <c r="E170" s="126" t="s">
        <v>539</v>
      </c>
      <c r="F170" s="124" t="s">
        <v>540</v>
      </c>
    </row>
    <row r="171">
      <c r="A171" s="125">
        <v>44272.67136125</v>
      </c>
      <c r="B171" s="124" t="s">
        <v>113</v>
      </c>
      <c r="C171" s="124" t="s">
        <v>58</v>
      </c>
      <c r="D171" s="124" t="s">
        <v>538</v>
      </c>
      <c r="E171" s="126" t="s">
        <v>541</v>
      </c>
      <c r="F171" s="124" t="s">
        <v>542</v>
      </c>
    </row>
    <row r="172">
      <c r="A172" s="125">
        <v>44272.67623375</v>
      </c>
      <c r="B172" s="124" t="s">
        <v>113</v>
      </c>
      <c r="C172" s="124" t="s">
        <v>52</v>
      </c>
      <c r="D172" s="124" t="s">
        <v>543</v>
      </c>
      <c r="E172" s="126" t="s">
        <v>544</v>
      </c>
      <c r="F172" s="124" t="s">
        <v>545</v>
      </c>
    </row>
    <row r="173">
      <c r="A173" s="125">
        <v>44272.695224560186</v>
      </c>
      <c r="B173" s="124" t="s">
        <v>113</v>
      </c>
      <c r="C173" s="124" t="s">
        <v>52</v>
      </c>
      <c r="D173" s="124" t="s">
        <v>546</v>
      </c>
      <c r="E173" s="126" t="s">
        <v>547</v>
      </c>
      <c r="F173" s="124" t="s">
        <v>548</v>
      </c>
    </row>
    <row r="174">
      <c r="A174" s="125">
        <v>44272.695330462964</v>
      </c>
      <c r="B174" s="124" t="s">
        <v>113</v>
      </c>
      <c r="C174" s="124" t="s">
        <v>52</v>
      </c>
      <c r="D174" s="124" t="s">
        <v>549</v>
      </c>
      <c r="E174" s="126" t="s">
        <v>550</v>
      </c>
      <c r="F174" s="124" t="s">
        <v>551</v>
      </c>
    </row>
    <row r="175">
      <c r="A175" s="125">
        <v>44272.695747453705</v>
      </c>
      <c r="B175" s="124" t="s">
        <v>113</v>
      </c>
      <c r="C175" s="124" t="s">
        <v>58</v>
      </c>
      <c r="D175" s="124" t="s">
        <v>549</v>
      </c>
      <c r="E175" s="126" t="s">
        <v>552</v>
      </c>
      <c r="F175" s="124" t="s">
        <v>553</v>
      </c>
    </row>
    <row r="176">
      <c r="A176" s="125">
        <v>44272.70973682871</v>
      </c>
      <c r="B176" s="124" t="s">
        <v>113</v>
      </c>
      <c r="C176" s="124" t="s">
        <v>52</v>
      </c>
      <c r="D176" s="124" t="s">
        <v>554</v>
      </c>
      <c r="E176" s="126" t="s">
        <v>555</v>
      </c>
      <c r="F176" s="124" t="s">
        <v>556</v>
      </c>
    </row>
    <row r="177">
      <c r="A177" s="125">
        <v>44272.713050509265</v>
      </c>
      <c r="B177" s="124" t="s">
        <v>113</v>
      </c>
      <c r="C177" s="124" t="s">
        <v>58</v>
      </c>
      <c r="D177" s="124" t="s">
        <v>554</v>
      </c>
      <c r="E177" s="126" t="s">
        <v>557</v>
      </c>
      <c r="F177" s="124" t="s">
        <v>558</v>
      </c>
    </row>
    <row r="178">
      <c r="A178" s="125">
        <v>44272.72521359954</v>
      </c>
      <c r="B178" s="124" t="s">
        <v>113</v>
      </c>
      <c r="C178" s="124" t="s">
        <v>52</v>
      </c>
      <c r="D178" s="124" t="s">
        <v>559</v>
      </c>
      <c r="E178" s="126" t="s">
        <v>560</v>
      </c>
      <c r="F178" s="124" t="s">
        <v>561</v>
      </c>
    </row>
    <row r="179">
      <c r="A179" s="125">
        <v>44272.72551373843</v>
      </c>
      <c r="B179" s="124" t="s">
        <v>113</v>
      </c>
      <c r="C179" s="124" t="s">
        <v>58</v>
      </c>
      <c r="D179" s="124" t="s">
        <v>559</v>
      </c>
      <c r="E179" s="126" t="s">
        <v>562</v>
      </c>
      <c r="F179" s="124" t="s">
        <v>563</v>
      </c>
    </row>
    <row r="180">
      <c r="A180" s="125">
        <v>44272.72931971065</v>
      </c>
      <c r="B180" s="124" t="s">
        <v>113</v>
      </c>
      <c r="C180" s="124" t="s">
        <v>58</v>
      </c>
      <c r="D180" s="124" t="s">
        <v>564</v>
      </c>
      <c r="E180" s="126" t="s">
        <v>565</v>
      </c>
      <c r="F180" s="124" t="s">
        <v>566</v>
      </c>
    </row>
    <row r="181">
      <c r="A181" s="125">
        <v>44272.73858898148</v>
      </c>
      <c r="B181" s="124" t="s">
        <v>113</v>
      </c>
      <c r="C181" s="124" t="s">
        <v>58</v>
      </c>
      <c r="D181" s="124" t="s">
        <v>567</v>
      </c>
      <c r="E181" s="126" t="s">
        <v>568</v>
      </c>
      <c r="F181" s="124" t="s">
        <v>570</v>
      </c>
    </row>
    <row r="182">
      <c r="A182" s="125">
        <v>44272.78352037037</v>
      </c>
      <c r="B182" s="124" t="s">
        <v>113</v>
      </c>
      <c r="C182" s="124" t="s">
        <v>52</v>
      </c>
      <c r="D182" s="124" t="s">
        <v>571</v>
      </c>
      <c r="E182" s="126" t="s">
        <v>572</v>
      </c>
      <c r="F182" s="124" t="s">
        <v>573</v>
      </c>
    </row>
    <row r="183">
      <c r="A183" s="125">
        <v>44272.78415373842</v>
      </c>
      <c r="B183" s="124" t="s">
        <v>113</v>
      </c>
      <c r="C183" s="124" t="s">
        <v>58</v>
      </c>
      <c r="D183" s="124" t="s">
        <v>571</v>
      </c>
      <c r="E183" s="126" t="s">
        <v>575</v>
      </c>
      <c r="F183" s="124" t="s">
        <v>576</v>
      </c>
    </row>
    <row r="184">
      <c r="A184" s="125">
        <v>44272.85499119213</v>
      </c>
      <c r="B184" s="124" t="s">
        <v>113</v>
      </c>
      <c r="C184" s="124" t="s">
        <v>52</v>
      </c>
      <c r="D184" s="124" t="s">
        <v>577</v>
      </c>
      <c r="E184" s="126" t="s">
        <v>578</v>
      </c>
      <c r="F184" s="124" t="s">
        <v>580</v>
      </c>
    </row>
    <row r="185">
      <c r="A185" s="125">
        <v>44272.85824325231</v>
      </c>
      <c r="B185" s="124" t="s">
        <v>113</v>
      </c>
      <c r="C185" s="124" t="s">
        <v>58</v>
      </c>
      <c r="D185" s="124" t="s">
        <v>577</v>
      </c>
      <c r="E185" s="126" t="s">
        <v>581</v>
      </c>
      <c r="F185" s="124" t="s">
        <v>583</v>
      </c>
    </row>
    <row r="186">
      <c r="A186" s="125">
        <v>44272.86418744213</v>
      </c>
      <c r="B186" s="124" t="s">
        <v>113</v>
      </c>
      <c r="C186" s="124" t="s">
        <v>52</v>
      </c>
      <c r="D186" s="124" t="s">
        <v>584</v>
      </c>
      <c r="E186" s="126" t="s">
        <v>585</v>
      </c>
      <c r="F186" s="124" t="s">
        <v>587</v>
      </c>
    </row>
    <row r="187">
      <c r="A187" s="125">
        <v>44272.86479739583</v>
      </c>
      <c r="B187" s="124" t="s">
        <v>113</v>
      </c>
      <c r="C187" s="124" t="s">
        <v>58</v>
      </c>
      <c r="D187" s="124" t="s">
        <v>584</v>
      </c>
      <c r="E187" s="126" t="s">
        <v>588</v>
      </c>
      <c r="F187" s="124" t="s">
        <v>589</v>
      </c>
    </row>
    <row r="188">
      <c r="A188" s="125">
        <v>44273.35486236111</v>
      </c>
      <c r="B188" s="124" t="s">
        <v>113</v>
      </c>
      <c r="C188" s="124" t="s">
        <v>58</v>
      </c>
      <c r="D188" s="124" t="s">
        <v>590</v>
      </c>
      <c r="E188" s="126" t="s">
        <v>591</v>
      </c>
      <c r="F188" s="124" t="s">
        <v>592</v>
      </c>
    </row>
    <row r="189">
      <c r="A189" s="125">
        <v>44273.35516866898</v>
      </c>
      <c r="B189" s="124" t="s">
        <v>113</v>
      </c>
      <c r="C189" s="124" t="s">
        <v>52</v>
      </c>
      <c r="D189" s="124" t="s">
        <v>590</v>
      </c>
      <c r="E189" s="126" t="s">
        <v>593</v>
      </c>
      <c r="F189" s="124" t="s">
        <v>595</v>
      </c>
    </row>
    <row r="190">
      <c r="A190" s="125">
        <v>44273.35657113426</v>
      </c>
      <c r="B190" s="124" t="s">
        <v>113</v>
      </c>
      <c r="C190" s="124" t="s">
        <v>52</v>
      </c>
      <c r="D190" s="124" t="s">
        <v>596</v>
      </c>
      <c r="E190" s="126" t="s">
        <v>597</v>
      </c>
      <c r="F190" s="124" t="s">
        <v>598</v>
      </c>
    </row>
    <row r="191">
      <c r="A191" s="125">
        <v>44273.35675555556</v>
      </c>
      <c r="B191" s="124" t="s">
        <v>113</v>
      </c>
      <c r="C191" s="124" t="s">
        <v>58</v>
      </c>
      <c r="D191" s="124" t="s">
        <v>596</v>
      </c>
      <c r="E191" s="126" t="s">
        <v>599</v>
      </c>
      <c r="F191" s="124" t="s">
        <v>601</v>
      </c>
    </row>
    <row r="192">
      <c r="A192" s="125">
        <v>44273.36283701389</v>
      </c>
      <c r="B192" s="124" t="s">
        <v>113</v>
      </c>
      <c r="C192" s="124" t="s">
        <v>52</v>
      </c>
      <c r="D192" s="124" t="s">
        <v>602</v>
      </c>
      <c r="E192" s="126" t="s">
        <v>603</v>
      </c>
      <c r="F192" s="124" t="s">
        <v>605</v>
      </c>
    </row>
    <row r="193">
      <c r="A193" s="125">
        <v>44273.36355733796</v>
      </c>
      <c r="B193" s="124" t="s">
        <v>113</v>
      </c>
      <c r="C193" s="124" t="s">
        <v>58</v>
      </c>
      <c r="D193" s="124" t="s">
        <v>602</v>
      </c>
      <c r="E193" s="126" t="s">
        <v>606</v>
      </c>
      <c r="F193" s="124" t="s">
        <v>608</v>
      </c>
    </row>
    <row r="194">
      <c r="A194" s="125">
        <v>44273.37317560185</v>
      </c>
      <c r="B194" s="124" t="s">
        <v>113</v>
      </c>
      <c r="C194" s="124" t="s">
        <v>52</v>
      </c>
      <c r="D194" s="124" t="s">
        <v>609</v>
      </c>
      <c r="E194" s="126" t="s">
        <v>610</v>
      </c>
      <c r="F194" s="124" t="s">
        <v>612</v>
      </c>
    </row>
    <row r="195">
      <c r="A195" s="125">
        <v>44273.374937256944</v>
      </c>
      <c r="B195" s="124" t="s">
        <v>113</v>
      </c>
      <c r="C195" s="124" t="s">
        <v>52</v>
      </c>
      <c r="D195" s="124" t="s">
        <v>613</v>
      </c>
      <c r="E195" s="126" t="s">
        <v>614</v>
      </c>
      <c r="F195" s="124" t="s">
        <v>616</v>
      </c>
    </row>
    <row r="196">
      <c r="A196" s="125">
        <v>44273.37687447917</v>
      </c>
      <c r="B196" s="124" t="s">
        <v>113</v>
      </c>
      <c r="C196" s="124" t="s">
        <v>58</v>
      </c>
      <c r="D196" s="124" t="s">
        <v>613</v>
      </c>
      <c r="E196" s="126" t="s">
        <v>617</v>
      </c>
      <c r="F196" s="124" t="s">
        <v>619</v>
      </c>
    </row>
    <row r="197">
      <c r="A197" s="125">
        <v>44273.37797023148</v>
      </c>
      <c r="B197" s="124" t="s">
        <v>113</v>
      </c>
      <c r="C197" s="124" t="s">
        <v>58</v>
      </c>
      <c r="D197" s="124" t="s">
        <v>620</v>
      </c>
      <c r="E197" s="126" t="s">
        <v>621</v>
      </c>
      <c r="F197" s="124" t="s">
        <v>623</v>
      </c>
    </row>
    <row r="198">
      <c r="A198" s="125">
        <v>44273.38760908565</v>
      </c>
      <c r="B198" s="124" t="s">
        <v>113</v>
      </c>
      <c r="C198" s="124" t="s">
        <v>58</v>
      </c>
      <c r="D198" s="124" t="s">
        <v>624</v>
      </c>
      <c r="E198" s="126" t="s">
        <v>625</v>
      </c>
      <c r="F198" s="124" t="s">
        <v>627</v>
      </c>
    </row>
    <row r="199">
      <c r="A199" s="125">
        <v>44273.38830726852</v>
      </c>
      <c r="B199" s="124" t="s">
        <v>113</v>
      </c>
      <c r="C199" s="124" t="s">
        <v>52</v>
      </c>
      <c r="D199" s="124" t="s">
        <v>624</v>
      </c>
      <c r="E199" s="126" t="s">
        <v>628</v>
      </c>
      <c r="F199" s="124" t="s">
        <v>630</v>
      </c>
    </row>
    <row r="200">
      <c r="A200" s="125">
        <v>44273.4097080787</v>
      </c>
      <c r="B200" s="124" t="s">
        <v>113</v>
      </c>
      <c r="C200" s="124" t="s">
        <v>52</v>
      </c>
      <c r="D200" s="124" t="s">
        <v>631</v>
      </c>
      <c r="E200" s="126" t="s">
        <v>632</v>
      </c>
      <c r="F200" s="124" t="s">
        <v>634</v>
      </c>
    </row>
    <row r="201">
      <c r="A201" s="125">
        <v>44273.41040523148</v>
      </c>
      <c r="B201" s="124" t="s">
        <v>113</v>
      </c>
      <c r="C201" s="124" t="s">
        <v>58</v>
      </c>
      <c r="D201" s="124" t="s">
        <v>631</v>
      </c>
      <c r="E201" s="126" t="s">
        <v>635</v>
      </c>
      <c r="F201" s="124" t="s">
        <v>638</v>
      </c>
    </row>
    <row r="202">
      <c r="A202" s="125">
        <v>44273.425704444446</v>
      </c>
      <c r="B202" s="124" t="s">
        <v>113</v>
      </c>
      <c r="C202" s="124" t="s">
        <v>52</v>
      </c>
      <c r="D202" s="124" t="s">
        <v>639</v>
      </c>
      <c r="E202" s="126" t="s">
        <v>640</v>
      </c>
      <c r="F202" s="124" t="s">
        <v>641</v>
      </c>
    </row>
    <row r="203">
      <c r="A203" s="125">
        <v>44273.429865300925</v>
      </c>
      <c r="B203" s="124" t="s">
        <v>113</v>
      </c>
      <c r="C203" s="124" t="s">
        <v>52</v>
      </c>
      <c r="D203" s="124" t="s">
        <v>642</v>
      </c>
      <c r="E203" s="126" t="s">
        <v>643</v>
      </c>
      <c r="F203" s="124" t="s">
        <v>644</v>
      </c>
    </row>
    <row r="204">
      <c r="A204" s="125">
        <v>44273.43052278935</v>
      </c>
      <c r="B204" s="124" t="s">
        <v>113</v>
      </c>
      <c r="C204" s="124" t="s">
        <v>58</v>
      </c>
      <c r="D204" s="124" t="s">
        <v>645</v>
      </c>
      <c r="E204" s="126" t="s">
        <v>646</v>
      </c>
      <c r="F204" s="124" t="s">
        <v>647</v>
      </c>
    </row>
    <row r="205">
      <c r="A205" s="125">
        <v>44273.43478210648</v>
      </c>
      <c r="B205" s="124" t="s">
        <v>113</v>
      </c>
      <c r="C205" s="124" t="s">
        <v>52</v>
      </c>
      <c r="D205" s="124" t="s">
        <v>648</v>
      </c>
      <c r="E205" s="126" t="s">
        <v>649</v>
      </c>
      <c r="F205" s="124" t="s">
        <v>650</v>
      </c>
    </row>
    <row r="206">
      <c r="A206" s="125">
        <v>44273.43563143519</v>
      </c>
      <c r="B206" s="124" t="s">
        <v>113</v>
      </c>
      <c r="C206" s="124" t="s">
        <v>58</v>
      </c>
      <c r="D206" s="124" t="s">
        <v>648</v>
      </c>
      <c r="E206" s="126" t="s">
        <v>651</v>
      </c>
      <c r="F206" s="124" t="s">
        <v>652</v>
      </c>
    </row>
    <row r="207">
      <c r="A207" s="125">
        <v>44273.464529317134</v>
      </c>
      <c r="B207" s="124" t="s">
        <v>113</v>
      </c>
      <c r="C207" s="124" t="s">
        <v>52</v>
      </c>
      <c r="D207" s="124" t="s">
        <v>653</v>
      </c>
      <c r="E207" s="126" t="s">
        <v>654</v>
      </c>
      <c r="F207" s="124" t="s">
        <v>655</v>
      </c>
    </row>
    <row r="208">
      <c r="A208" s="125">
        <v>44273.46493584491</v>
      </c>
      <c r="B208" s="124" t="s">
        <v>113</v>
      </c>
      <c r="C208" s="124" t="s">
        <v>58</v>
      </c>
      <c r="D208" s="124" t="s">
        <v>653</v>
      </c>
      <c r="E208" s="126" t="s">
        <v>656</v>
      </c>
      <c r="F208" s="124" t="s">
        <v>657</v>
      </c>
    </row>
    <row r="209">
      <c r="A209" s="125">
        <v>44273.511217210646</v>
      </c>
      <c r="B209" s="124" t="s">
        <v>113</v>
      </c>
      <c r="C209" s="124" t="s">
        <v>52</v>
      </c>
      <c r="D209" s="124" t="s">
        <v>658</v>
      </c>
      <c r="E209" s="126" t="s">
        <v>659</v>
      </c>
      <c r="F209" s="124" t="s">
        <v>660</v>
      </c>
    </row>
    <row r="210">
      <c r="A210" s="125">
        <v>44273.511372141205</v>
      </c>
      <c r="B210" s="124" t="s">
        <v>113</v>
      </c>
      <c r="C210" s="124" t="s">
        <v>58</v>
      </c>
      <c r="D210" s="124" t="s">
        <v>658</v>
      </c>
      <c r="E210" s="126" t="s">
        <v>662</v>
      </c>
      <c r="F210" s="124" t="s">
        <v>663</v>
      </c>
    </row>
    <row r="211">
      <c r="A211" s="125">
        <v>44273.51610255787</v>
      </c>
      <c r="B211" s="124" t="s">
        <v>113</v>
      </c>
      <c r="C211" s="124" t="s">
        <v>52</v>
      </c>
      <c r="D211" s="124" t="s">
        <v>664</v>
      </c>
      <c r="E211" s="126" t="s">
        <v>665</v>
      </c>
      <c r="F211" s="124" t="s">
        <v>667</v>
      </c>
    </row>
    <row r="212">
      <c r="A212" s="125">
        <v>44273.51645505787</v>
      </c>
      <c r="B212" s="124" t="s">
        <v>113</v>
      </c>
      <c r="C212" s="124" t="s">
        <v>52</v>
      </c>
      <c r="D212" s="124" t="s">
        <v>668</v>
      </c>
      <c r="E212" s="126" t="s">
        <v>669</v>
      </c>
      <c r="F212" s="124" t="s">
        <v>670</v>
      </c>
    </row>
    <row r="213">
      <c r="A213" s="125">
        <v>44273.51656700231</v>
      </c>
      <c r="B213" s="124" t="s">
        <v>113</v>
      </c>
      <c r="C213" s="124" t="s">
        <v>58</v>
      </c>
      <c r="D213" s="124" t="s">
        <v>664</v>
      </c>
      <c r="E213" s="126" t="s">
        <v>672</v>
      </c>
      <c r="F213" s="124" t="s">
        <v>673</v>
      </c>
    </row>
    <row r="214">
      <c r="A214" s="125">
        <v>44273.51676083333</v>
      </c>
      <c r="B214" s="124" t="s">
        <v>113</v>
      </c>
      <c r="C214" s="124" t="s">
        <v>58</v>
      </c>
      <c r="D214" s="124" t="s">
        <v>668</v>
      </c>
      <c r="E214" s="126" t="s">
        <v>675</v>
      </c>
      <c r="F214" s="124" t="s">
        <v>676</v>
      </c>
    </row>
    <row r="215">
      <c r="A215" s="125">
        <v>44273.51991451389</v>
      </c>
      <c r="B215" s="124" t="s">
        <v>113</v>
      </c>
      <c r="C215" s="124" t="s">
        <v>52</v>
      </c>
      <c r="D215" s="124" t="s">
        <v>678</v>
      </c>
      <c r="E215" s="126" t="s">
        <v>679</v>
      </c>
      <c r="F215" s="124" t="s">
        <v>680</v>
      </c>
    </row>
    <row r="216">
      <c r="A216" s="125">
        <v>44273.51995715278</v>
      </c>
      <c r="B216" s="124" t="s">
        <v>113</v>
      </c>
      <c r="C216" s="124" t="s">
        <v>52</v>
      </c>
      <c r="D216" s="124" t="s">
        <v>681</v>
      </c>
      <c r="E216" s="126" t="s">
        <v>682</v>
      </c>
      <c r="F216" s="124" t="s">
        <v>683</v>
      </c>
    </row>
    <row r="217">
      <c r="A217" s="125">
        <v>44273.52011658565</v>
      </c>
      <c r="B217" s="124" t="s">
        <v>113</v>
      </c>
      <c r="C217" s="124" t="s">
        <v>58</v>
      </c>
      <c r="D217" s="124" t="s">
        <v>678</v>
      </c>
      <c r="E217" s="126" t="s">
        <v>684</v>
      </c>
      <c r="F217" s="124" t="s">
        <v>685</v>
      </c>
    </row>
    <row r="218">
      <c r="A218" s="125">
        <v>44273.52044841435</v>
      </c>
      <c r="B218" s="124" t="s">
        <v>113</v>
      </c>
      <c r="C218" s="124" t="s">
        <v>58</v>
      </c>
      <c r="D218" s="124" t="s">
        <v>681</v>
      </c>
      <c r="E218" s="126" t="s">
        <v>686</v>
      </c>
      <c r="F218" s="124" t="s">
        <v>688</v>
      </c>
    </row>
    <row r="219">
      <c r="A219" s="125">
        <v>44273.54520527778</v>
      </c>
      <c r="B219" s="124" t="s">
        <v>113</v>
      </c>
      <c r="C219" s="124" t="s">
        <v>52</v>
      </c>
      <c r="D219" s="124" t="s">
        <v>689</v>
      </c>
      <c r="E219" s="126" t="s">
        <v>690</v>
      </c>
      <c r="F219" s="124" t="s">
        <v>691</v>
      </c>
    </row>
    <row r="220">
      <c r="A220" s="125">
        <v>44273.54564013889</v>
      </c>
      <c r="B220" s="124" t="s">
        <v>113</v>
      </c>
      <c r="C220" s="124" t="s">
        <v>58</v>
      </c>
      <c r="D220" s="124" t="s">
        <v>689</v>
      </c>
      <c r="E220" s="126" t="s">
        <v>692</v>
      </c>
      <c r="F220" s="124" t="s">
        <v>696</v>
      </c>
    </row>
    <row r="221">
      <c r="A221" s="125">
        <v>44273.568724004625</v>
      </c>
      <c r="B221" s="124" t="s">
        <v>113</v>
      </c>
      <c r="C221" s="124" t="s">
        <v>52</v>
      </c>
      <c r="D221" s="124" t="s">
        <v>697</v>
      </c>
      <c r="E221" s="126" t="s">
        <v>699</v>
      </c>
      <c r="F221" s="124" t="s">
        <v>700</v>
      </c>
    </row>
    <row r="222">
      <c r="A222" s="125">
        <v>44273.56926217592</v>
      </c>
      <c r="B222" s="124" t="s">
        <v>113</v>
      </c>
      <c r="C222" s="124" t="s">
        <v>58</v>
      </c>
      <c r="D222" s="124" t="s">
        <v>697</v>
      </c>
      <c r="E222" s="126" t="s">
        <v>702</v>
      </c>
      <c r="F222" s="124" t="s">
        <v>708</v>
      </c>
    </row>
    <row r="223">
      <c r="A223" s="125">
        <v>44273.59580938658</v>
      </c>
      <c r="B223" s="124" t="s">
        <v>113</v>
      </c>
      <c r="C223" s="124" t="s">
        <v>52</v>
      </c>
      <c r="D223" s="124" t="s">
        <v>709</v>
      </c>
      <c r="E223" s="126" t="s">
        <v>710</v>
      </c>
      <c r="F223" s="124" t="s">
        <v>711</v>
      </c>
    </row>
    <row r="224">
      <c r="A224" s="125">
        <v>44273.5960905324</v>
      </c>
      <c r="B224" s="124" t="s">
        <v>113</v>
      </c>
      <c r="C224" s="124" t="s">
        <v>52</v>
      </c>
      <c r="D224" s="124" t="s">
        <v>712</v>
      </c>
      <c r="E224" s="126" t="s">
        <v>713</v>
      </c>
      <c r="F224" s="124" t="s">
        <v>714</v>
      </c>
    </row>
    <row r="225">
      <c r="A225" s="125">
        <v>44273.59624303241</v>
      </c>
      <c r="B225" s="124" t="s">
        <v>113</v>
      </c>
      <c r="C225" s="124" t="s">
        <v>58</v>
      </c>
      <c r="D225" s="124" t="s">
        <v>712</v>
      </c>
      <c r="E225" s="126" t="s">
        <v>715</v>
      </c>
      <c r="F225" s="124" t="s">
        <v>721</v>
      </c>
    </row>
    <row r="226">
      <c r="A226" s="125">
        <v>44273.59642270833</v>
      </c>
      <c r="B226" s="124" t="s">
        <v>113</v>
      </c>
      <c r="C226" s="124" t="s">
        <v>58</v>
      </c>
      <c r="D226" s="124" t="s">
        <v>709</v>
      </c>
      <c r="E226" s="126" t="s">
        <v>722</v>
      </c>
      <c r="F226" s="124" t="s">
        <v>724</v>
      </c>
    </row>
    <row r="227">
      <c r="A227" s="125">
        <v>44273.60549923611</v>
      </c>
      <c r="B227" s="124" t="s">
        <v>113</v>
      </c>
      <c r="C227" s="124" t="s">
        <v>52</v>
      </c>
      <c r="D227" s="124" t="s">
        <v>726</v>
      </c>
      <c r="E227" s="126" t="s">
        <v>727</v>
      </c>
      <c r="F227" s="124" t="s">
        <v>731</v>
      </c>
    </row>
    <row r="228">
      <c r="A228" s="125">
        <v>44273.60616800926</v>
      </c>
      <c r="B228" s="124" t="s">
        <v>113</v>
      </c>
      <c r="C228" s="124" t="s">
        <v>58</v>
      </c>
      <c r="D228" s="124" t="s">
        <v>726</v>
      </c>
      <c r="E228" s="126" t="s">
        <v>732</v>
      </c>
      <c r="F228" s="124" t="s">
        <v>734</v>
      </c>
    </row>
    <row r="229">
      <c r="A229" s="125">
        <v>44273.60989476852</v>
      </c>
      <c r="B229" s="124" t="s">
        <v>113</v>
      </c>
      <c r="C229" s="124" t="s">
        <v>58</v>
      </c>
      <c r="D229" s="124" t="s">
        <v>736</v>
      </c>
      <c r="E229" s="126" t="s">
        <v>737</v>
      </c>
      <c r="F229" s="124" t="s">
        <v>738</v>
      </c>
    </row>
    <row r="230">
      <c r="A230" s="125">
        <v>44273.611493055556</v>
      </c>
      <c r="B230" s="124" t="s">
        <v>113</v>
      </c>
      <c r="C230" s="124" t="s">
        <v>52</v>
      </c>
      <c r="D230" s="124" t="s">
        <v>736</v>
      </c>
      <c r="E230" s="126" t="s">
        <v>740</v>
      </c>
      <c r="F230" s="124" t="s">
        <v>741</v>
      </c>
    </row>
    <row r="231">
      <c r="A231" s="125">
        <v>44273.619989548606</v>
      </c>
      <c r="B231" s="124" t="s">
        <v>113</v>
      </c>
      <c r="C231" s="124" t="s">
        <v>52</v>
      </c>
      <c r="D231" s="124" t="s">
        <v>743</v>
      </c>
      <c r="E231" s="126" t="s">
        <v>744</v>
      </c>
      <c r="F231" s="124" t="s">
        <v>745</v>
      </c>
    </row>
    <row r="232">
      <c r="A232" s="125">
        <v>44273.620450497685</v>
      </c>
      <c r="B232" s="124" t="s">
        <v>113</v>
      </c>
      <c r="C232" s="124" t="s">
        <v>58</v>
      </c>
      <c r="D232" s="124" t="s">
        <v>743</v>
      </c>
      <c r="E232" s="126" t="s">
        <v>746</v>
      </c>
      <c r="F232" s="124" t="s">
        <v>748</v>
      </c>
    </row>
    <row r="233">
      <c r="A233" s="125">
        <v>44273.62158747685</v>
      </c>
      <c r="B233" s="124" t="s">
        <v>113</v>
      </c>
      <c r="C233" s="124" t="s">
        <v>52</v>
      </c>
      <c r="D233" s="124" t="s">
        <v>750</v>
      </c>
      <c r="E233" s="126" t="s">
        <v>751</v>
      </c>
      <c r="F233" s="124" t="s">
        <v>753</v>
      </c>
    </row>
    <row r="234">
      <c r="A234" s="125">
        <v>44273.62209509259</v>
      </c>
      <c r="B234" s="124" t="s">
        <v>113</v>
      </c>
      <c r="C234" s="124" t="s">
        <v>58</v>
      </c>
      <c r="D234" s="124" t="s">
        <v>750</v>
      </c>
      <c r="E234" s="126" t="s">
        <v>755</v>
      </c>
      <c r="F234" s="124" t="s">
        <v>756</v>
      </c>
    </row>
    <row r="235">
      <c r="A235" s="125">
        <v>44273.622782569444</v>
      </c>
      <c r="B235" s="124" t="s">
        <v>113</v>
      </c>
      <c r="C235" s="124" t="s">
        <v>52</v>
      </c>
      <c r="D235" s="124" t="s">
        <v>757</v>
      </c>
      <c r="E235" s="126" t="s">
        <v>758</v>
      </c>
      <c r="F235" s="124" t="s">
        <v>760</v>
      </c>
    </row>
    <row r="236">
      <c r="A236" s="125">
        <v>44273.62303184028</v>
      </c>
      <c r="B236" s="124" t="s">
        <v>113</v>
      </c>
      <c r="C236" s="124" t="s">
        <v>58</v>
      </c>
      <c r="D236" s="124" t="s">
        <v>757</v>
      </c>
      <c r="E236" s="126" t="s">
        <v>761</v>
      </c>
      <c r="F236" s="124" t="s">
        <v>762</v>
      </c>
    </row>
    <row r="237">
      <c r="A237" s="125">
        <v>44273.62357520833</v>
      </c>
      <c r="B237" s="124" t="s">
        <v>113</v>
      </c>
      <c r="C237" s="124" t="s">
        <v>52</v>
      </c>
      <c r="D237" s="124" t="s">
        <v>764</v>
      </c>
      <c r="E237" s="126" t="s">
        <v>765</v>
      </c>
      <c r="F237" s="124" t="s">
        <v>766</v>
      </c>
    </row>
    <row r="238">
      <c r="A238" s="125">
        <v>44273.624129062504</v>
      </c>
      <c r="B238" s="124" t="s">
        <v>113</v>
      </c>
      <c r="C238" s="124" t="s">
        <v>58</v>
      </c>
      <c r="D238" s="124" t="s">
        <v>764</v>
      </c>
      <c r="E238" s="126" t="s">
        <v>767</v>
      </c>
      <c r="F238" s="124" t="s">
        <v>768</v>
      </c>
    </row>
    <row r="239">
      <c r="A239" s="125">
        <v>44273.62458481481</v>
      </c>
      <c r="B239" s="124" t="s">
        <v>113</v>
      </c>
      <c r="C239" s="124" t="s">
        <v>52</v>
      </c>
      <c r="D239" s="124" t="s">
        <v>770</v>
      </c>
      <c r="E239" s="126" t="s">
        <v>771</v>
      </c>
      <c r="F239" s="124" t="s">
        <v>772</v>
      </c>
    </row>
    <row r="240">
      <c r="A240" s="125">
        <v>44273.62503545139</v>
      </c>
      <c r="B240" s="124" t="s">
        <v>113</v>
      </c>
      <c r="C240" s="124" t="s">
        <v>58</v>
      </c>
      <c r="D240" s="124" t="s">
        <v>770</v>
      </c>
      <c r="E240" s="126" t="s">
        <v>773</v>
      </c>
      <c r="F240" s="124" t="s">
        <v>775</v>
      </c>
    </row>
    <row r="241">
      <c r="A241" s="125">
        <v>44273.62518606482</v>
      </c>
      <c r="B241" s="124" t="s">
        <v>113</v>
      </c>
      <c r="C241" s="124" t="s">
        <v>52</v>
      </c>
      <c r="D241" s="124" t="s">
        <v>776</v>
      </c>
      <c r="E241" s="126" t="s">
        <v>778</v>
      </c>
      <c r="F241" s="124" t="s">
        <v>794</v>
      </c>
    </row>
    <row r="242">
      <c r="A242" s="125">
        <v>44273.635629745375</v>
      </c>
      <c r="B242" s="124" t="s">
        <v>113</v>
      </c>
      <c r="C242" s="124" t="s">
        <v>58</v>
      </c>
      <c r="D242" s="124" t="s">
        <v>795</v>
      </c>
      <c r="E242" s="126" t="s">
        <v>796</v>
      </c>
      <c r="F242" s="124" t="s">
        <v>798</v>
      </c>
    </row>
    <row r="243">
      <c r="A243" s="125">
        <v>44273.64648325232</v>
      </c>
      <c r="B243" s="124" t="s">
        <v>113</v>
      </c>
      <c r="C243" s="124" t="s">
        <v>52</v>
      </c>
      <c r="D243" s="124" t="s">
        <v>800</v>
      </c>
      <c r="E243" s="126" t="s">
        <v>801</v>
      </c>
      <c r="F243" s="124" t="s">
        <v>803</v>
      </c>
    </row>
    <row r="244">
      <c r="A244" s="125">
        <v>44273.65826265047</v>
      </c>
      <c r="B244" s="124" t="s">
        <v>113</v>
      </c>
      <c r="C244" s="124" t="s">
        <v>52</v>
      </c>
      <c r="D244" s="124" t="s">
        <v>804</v>
      </c>
      <c r="E244" s="126" t="s">
        <v>805</v>
      </c>
      <c r="F244" s="124" t="s">
        <v>807</v>
      </c>
    </row>
    <row r="245">
      <c r="A245" s="125">
        <v>44273.658412060184</v>
      </c>
      <c r="B245" s="124" t="s">
        <v>113</v>
      </c>
      <c r="C245" s="124" t="s">
        <v>58</v>
      </c>
      <c r="D245" s="124" t="s">
        <v>804</v>
      </c>
      <c r="E245" s="126" t="s">
        <v>808</v>
      </c>
      <c r="F245" s="124" t="s">
        <v>810</v>
      </c>
    </row>
    <row r="246">
      <c r="A246" s="125">
        <v>44273.67777741898</v>
      </c>
      <c r="B246" s="124" t="s">
        <v>113</v>
      </c>
      <c r="C246" s="124" t="s">
        <v>52</v>
      </c>
      <c r="D246" s="124" t="s">
        <v>811</v>
      </c>
      <c r="E246" s="126" t="s">
        <v>812</v>
      </c>
      <c r="F246" s="124" t="s">
        <v>814</v>
      </c>
    </row>
    <row r="247">
      <c r="A247" s="125">
        <v>44273.678054918986</v>
      </c>
      <c r="B247" s="124" t="s">
        <v>113</v>
      </c>
      <c r="C247" s="124" t="s">
        <v>58</v>
      </c>
      <c r="D247" s="124" t="s">
        <v>811</v>
      </c>
      <c r="E247" s="126" t="s">
        <v>815</v>
      </c>
      <c r="F247" s="124" t="s">
        <v>816</v>
      </c>
    </row>
    <row r="248">
      <c r="A248" s="125">
        <v>44273.70788898148</v>
      </c>
      <c r="B248" s="124" t="s">
        <v>113</v>
      </c>
      <c r="C248" s="124" t="s">
        <v>52</v>
      </c>
      <c r="D248" s="124" t="s">
        <v>817</v>
      </c>
      <c r="E248" s="126" t="s">
        <v>819</v>
      </c>
      <c r="F248" s="124" t="s">
        <v>820</v>
      </c>
    </row>
    <row r="249">
      <c r="A249" s="125">
        <v>44273.70812510417</v>
      </c>
      <c r="B249" s="124" t="s">
        <v>113</v>
      </c>
      <c r="C249" s="124" t="s">
        <v>58</v>
      </c>
      <c r="D249" s="124" t="s">
        <v>817</v>
      </c>
      <c r="E249" s="126" t="s">
        <v>822</v>
      </c>
      <c r="F249" s="124" t="s">
        <v>823</v>
      </c>
    </row>
    <row r="250">
      <c r="A250" s="125">
        <v>44273.71341916667</v>
      </c>
      <c r="B250" s="124" t="s">
        <v>113</v>
      </c>
      <c r="C250" s="124" t="s">
        <v>52</v>
      </c>
      <c r="D250" s="124" t="s">
        <v>824</v>
      </c>
      <c r="E250" s="126" t="s">
        <v>826</v>
      </c>
      <c r="F250" s="124" t="s">
        <v>827</v>
      </c>
    </row>
    <row r="251">
      <c r="A251" s="125">
        <v>44273.71406946759</v>
      </c>
      <c r="B251" s="124" t="s">
        <v>113</v>
      </c>
      <c r="C251" s="124" t="s">
        <v>58</v>
      </c>
      <c r="D251" s="124" t="s">
        <v>824</v>
      </c>
      <c r="E251" s="126" t="s">
        <v>829</v>
      </c>
      <c r="F251" s="124" t="s">
        <v>830</v>
      </c>
    </row>
    <row r="252">
      <c r="A252" s="125">
        <v>44273.74428646991</v>
      </c>
      <c r="B252" s="124" t="s">
        <v>113</v>
      </c>
      <c r="C252" s="124" t="s">
        <v>52</v>
      </c>
      <c r="D252" s="124" t="s">
        <v>831</v>
      </c>
      <c r="E252" s="126" t="s">
        <v>832</v>
      </c>
      <c r="F252" s="124" t="s">
        <v>834</v>
      </c>
    </row>
    <row r="253">
      <c r="A253" s="125">
        <v>44273.74597668981</v>
      </c>
      <c r="B253" s="124" t="s">
        <v>113</v>
      </c>
      <c r="C253" s="124" t="s">
        <v>58</v>
      </c>
      <c r="D253" s="124" t="s">
        <v>831</v>
      </c>
      <c r="E253" s="126" t="s">
        <v>835</v>
      </c>
      <c r="F253" s="124" t="s">
        <v>837</v>
      </c>
    </row>
    <row r="254">
      <c r="A254" s="125">
        <v>44273.775615335646</v>
      </c>
      <c r="B254" s="124" t="s">
        <v>113</v>
      </c>
      <c r="C254" s="124" t="s">
        <v>52</v>
      </c>
      <c r="D254" s="124" t="s">
        <v>838</v>
      </c>
      <c r="E254" s="126" t="s">
        <v>839</v>
      </c>
      <c r="F254" s="124" t="s">
        <v>841</v>
      </c>
    </row>
    <row r="255">
      <c r="A255" s="125">
        <v>44273.77658438658</v>
      </c>
      <c r="B255" s="124" t="s">
        <v>113</v>
      </c>
      <c r="C255" s="124" t="s">
        <v>58</v>
      </c>
      <c r="D255" s="124" t="s">
        <v>838</v>
      </c>
      <c r="E255" s="126" t="s">
        <v>842</v>
      </c>
      <c r="F255" s="124" t="s">
        <v>844</v>
      </c>
    </row>
    <row r="256">
      <c r="A256" s="125">
        <v>44273.812481319444</v>
      </c>
      <c r="B256" s="124" t="s">
        <v>113</v>
      </c>
      <c r="C256" s="124" t="s">
        <v>52</v>
      </c>
      <c r="D256" s="124" t="s">
        <v>845</v>
      </c>
      <c r="E256" s="126" t="s">
        <v>846</v>
      </c>
      <c r="F256" s="124" t="s">
        <v>848</v>
      </c>
    </row>
    <row r="257">
      <c r="A257" s="125">
        <v>44274.30216851852</v>
      </c>
      <c r="B257" s="124" t="s">
        <v>113</v>
      </c>
      <c r="C257" s="124" t="s">
        <v>52</v>
      </c>
      <c r="D257" s="124" t="s">
        <v>849</v>
      </c>
      <c r="E257" s="126" t="s">
        <v>850</v>
      </c>
      <c r="F257" s="124" t="s">
        <v>852</v>
      </c>
    </row>
    <row r="258">
      <c r="A258" s="125">
        <v>44274.30259438657</v>
      </c>
      <c r="B258" s="124" t="s">
        <v>113</v>
      </c>
      <c r="C258" s="124" t="s">
        <v>58</v>
      </c>
      <c r="D258" s="124" t="s">
        <v>849</v>
      </c>
      <c r="E258" s="126" t="s">
        <v>853</v>
      </c>
      <c r="F258" s="124" t="s">
        <v>855</v>
      </c>
    </row>
    <row r="259">
      <c r="A259" s="125">
        <v>44274.31671506945</v>
      </c>
      <c r="B259" s="124" t="s">
        <v>113</v>
      </c>
      <c r="C259" s="124" t="s">
        <v>52</v>
      </c>
      <c r="D259" s="124" t="s">
        <v>856</v>
      </c>
      <c r="E259" s="126" t="s">
        <v>857</v>
      </c>
      <c r="F259" s="124" t="s">
        <v>859</v>
      </c>
    </row>
    <row r="260">
      <c r="A260" s="125">
        <v>44274.31928171296</v>
      </c>
      <c r="B260" s="124" t="s">
        <v>113</v>
      </c>
      <c r="C260" s="124" t="s">
        <v>58</v>
      </c>
      <c r="D260" s="124" t="s">
        <v>856</v>
      </c>
      <c r="E260" s="126" t="s">
        <v>860</v>
      </c>
      <c r="F260" s="124" t="s">
        <v>862</v>
      </c>
    </row>
    <row r="261">
      <c r="A261" s="125">
        <v>44274.39349728009</v>
      </c>
      <c r="B261" s="124" t="s">
        <v>113</v>
      </c>
      <c r="C261" s="124" t="s">
        <v>58</v>
      </c>
      <c r="D261" s="124" t="s">
        <v>863</v>
      </c>
      <c r="E261" s="126" t="s">
        <v>864</v>
      </c>
      <c r="F261" s="124" t="s">
        <v>866</v>
      </c>
    </row>
    <row r="262">
      <c r="A262" s="125">
        <v>44274.39565806713</v>
      </c>
      <c r="B262" s="124" t="s">
        <v>113</v>
      </c>
      <c r="C262" s="124" t="s">
        <v>52</v>
      </c>
      <c r="D262" s="124" t="s">
        <v>867</v>
      </c>
      <c r="E262" s="126" t="s">
        <v>868</v>
      </c>
      <c r="F262" s="124" t="s">
        <v>872</v>
      </c>
    </row>
    <row r="263">
      <c r="A263" s="125">
        <v>44274.39596361111</v>
      </c>
      <c r="B263" s="124" t="s">
        <v>113</v>
      </c>
      <c r="C263" s="124" t="s">
        <v>58</v>
      </c>
      <c r="D263" s="124" t="s">
        <v>867</v>
      </c>
      <c r="E263" s="126" t="s">
        <v>873</v>
      </c>
      <c r="F263" s="124" t="s">
        <v>875</v>
      </c>
    </row>
    <row r="264">
      <c r="A264" s="125">
        <v>44274.417212280096</v>
      </c>
      <c r="B264" s="124" t="s">
        <v>113</v>
      </c>
      <c r="C264" s="124" t="s">
        <v>52</v>
      </c>
      <c r="D264" s="124" t="s">
        <v>876</v>
      </c>
      <c r="E264" s="126" t="s">
        <v>877</v>
      </c>
      <c r="F264" s="124" t="s">
        <v>879</v>
      </c>
    </row>
    <row r="265">
      <c r="A265" s="125">
        <v>44274.4213641088</v>
      </c>
      <c r="B265" s="124" t="s">
        <v>113</v>
      </c>
      <c r="C265" s="124" t="s">
        <v>58</v>
      </c>
      <c r="D265" s="124" t="s">
        <v>445</v>
      </c>
      <c r="E265" s="126" t="s">
        <v>880</v>
      </c>
      <c r="F265" s="124" t="s">
        <v>882</v>
      </c>
    </row>
    <row r="266">
      <c r="A266" s="125">
        <v>44274.42408024306</v>
      </c>
      <c r="B266" s="124" t="s">
        <v>113</v>
      </c>
      <c r="C266" s="124" t="s">
        <v>58</v>
      </c>
      <c r="D266" s="124" t="s">
        <v>876</v>
      </c>
      <c r="E266" s="126" t="s">
        <v>883</v>
      </c>
      <c r="F266" s="124" t="s">
        <v>885</v>
      </c>
    </row>
    <row r="267">
      <c r="A267" s="125">
        <v>44274.46336081019</v>
      </c>
      <c r="B267" s="124" t="s">
        <v>113</v>
      </c>
      <c r="C267" s="124" t="s">
        <v>52</v>
      </c>
      <c r="D267" s="124" t="s">
        <v>887</v>
      </c>
      <c r="E267" s="126" t="s">
        <v>888</v>
      </c>
      <c r="F267" s="124" t="s">
        <v>889</v>
      </c>
    </row>
    <row r="268">
      <c r="A268" s="125">
        <v>44274.4637612963</v>
      </c>
      <c r="B268" s="124" t="s">
        <v>113</v>
      </c>
      <c r="C268" s="124" t="s">
        <v>58</v>
      </c>
      <c r="D268" s="124" t="s">
        <v>887</v>
      </c>
      <c r="E268" s="126" t="s">
        <v>891</v>
      </c>
      <c r="F268" s="124" t="s">
        <v>892</v>
      </c>
    </row>
    <row r="269">
      <c r="A269" s="125">
        <v>44274.46421508102</v>
      </c>
      <c r="B269" s="124" t="s">
        <v>113</v>
      </c>
      <c r="C269" s="124" t="s">
        <v>52</v>
      </c>
      <c r="D269" s="124" t="s">
        <v>894</v>
      </c>
      <c r="E269" s="126" t="s">
        <v>895</v>
      </c>
      <c r="F269" s="124" t="s">
        <v>897</v>
      </c>
    </row>
    <row r="270">
      <c r="A270" s="125">
        <v>44274.46461274306</v>
      </c>
      <c r="B270" s="124" t="s">
        <v>113</v>
      </c>
      <c r="C270" s="124" t="s">
        <v>58</v>
      </c>
      <c r="D270" s="124" t="s">
        <v>894</v>
      </c>
      <c r="E270" s="126" t="s">
        <v>898</v>
      </c>
      <c r="F270" s="124" t="s">
        <v>900</v>
      </c>
    </row>
    <row r="271">
      <c r="A271" s="125">
        <v>44274.48648471065</v>
      </c>
      <c r="B271" s="124" t="s">
        <v>113</v>
      </c>
      <c r="C271" s="124" t="s">
        <v>52</v>
      </c>
      <c r="D271" s="124" t="s">
        <v>901</v>
      </c>
      <c r="E271" s="126" t="s">
        <v>902</v>
      </c>
      <c r="F271" s="124" t="s">
        <v>904</v>
      </c>
    </row>
    <row r="272">
      <c r="A272" s="125">
        <v>44274.48707413195</v>
      </c>
      <c r="B272" s="124" t="s">
        <v>113</v>
      </c>
      <c r="C272" s="124" t="s">
        <v>58</v>
      </c>
      <c r="D272" s="124" t="s">
        <v>901</v>
      </c>
      <c r="E272" s="126" t="s">
        <v>905</v>
      </c>
      <c r="F272" s="124" t="s">
        <v>907</v>
      </c>
    </row>
    <row r="273">
      <c r="A273" s="125">
        <v>44274.48885984954</v>
      </c>
      <c r="B273" s="124" t="s">
        <v>113</v>
      </c>
      <c r="C273" s="124" t="s">
        <v>52</v>
      </c>
      <c r="D273" s="124" t="s">
        <v>908</v>
      </c>
      <c r="E273" s="126" t="s">
        <v>909</v>
      </c>
      <c r="F273" s="124" t="s">
        <v>911</v>
      </c>
    </row>
    <row r="274">
      <c r="A274" s="125">
        <v>44274.48942090278</v>
      </c>
      <c r="B274" s="124" t="s">
        <v>113</v>
      </c>
      <c r="C274" s="124" t="s">
        <v>58</v>
      </c>
      <c r="D274" s="124" t="s">
        <v>912</v>
      </c>
      <c r="E274" s="126" t="s">
        <v>913</v>
      </c>
      <c r="F274" s="124" t="s">
        <v>915</v>
      </c>
    </row>
    <row r="275">
      <c r="A275" s="125">
        <v>44274.49215839121</v>
      </c>
      <c r="B275" s="124" t="s">
        <v>113</v>
      </c>
      <c r="C275" s="124" t="s">
        <v>52</v>
      </c>
      <c r="D275" s="124" t="s">
        <v>912</v>
      </c>
      <c r="E275" s="126" t="s">
        <v>916</v>
      </c>
      <c r="F275" s="124" t="s">
        <v>911</v>
      </c>
    </row>
    <row r="276">
      <c r="A276" s="125">
        <v>44274.520926400466</v>
      </c>
      <c r="B276" s="124" t="s">
        <v>113</v>
      </c>
      <c r="C276" s="124" t="s">
        <v>52</v>
      </c>
      <c r="D276" s="124" t="s">
        <v>918</v>
      </c>
      <c r="E276" s="126" t="s">
        <v>919</v>
      </c>
      <c r="F276" s="124" t="s">
        <v>921</v>
      </c>
    </row>
    <row r="277">
      <c r="A277" s="125">
        <v>44274.52138167824</v>
      </c>
      <c r="B277" s="124" t="s">
        <v>113</v>
      </c>
      <c r="C277" s="124" t="s">
        <v>58</v>
      </c>
      <c r="D277" s="124" t="s">
        <v>918</v>
      </c>
      <c r="E277" s="126" t="s">
        <v>922</v>
      </c>
      <c r="F277" s="124" t="s">
        <v>924</v>
      </c>
    </row>
    <row r="278">
      <c r="A278" s="125">
        <v>44274.545685081015</v>
      </c>
      <c r="B278" s="124" t="s">
        <v>113</v>
      </c>
      <c r="C278" s="124" t="s">
        <v>52</v>
      </c>
      <c r="D278" s="124" t="s">
        <v>925</v>
      </c>
      <c r="E278" s="126" t="s">
        <v>926</v>
      </c>
      <c r="F278" s="124" t="s">
        <v>928</v>
      </c>
    </row>
    <row r="279">
      <c r="A279" s="125">
        <v>44274.55007052083</v>
      </c>
      <c r="B279" s="124" t="s">
        <v>113</v>
      </c>
      <c r="C279" s="124" t="s">
        <v>58</v>
      </c>
      <c r="D279" s="124" t="s">
        <v>929</v>
      </c>
      <c r="E279" s="126" t="s">
        <v>930</v>
      </c>
      <c r="F279" s="124" t="s">
        <v>932</v>
      </c>
    </row>
    <row r="280">
      <c r="A280" s="125">
        <v>44274.756196898146</v>
      </c>
      <c r="B280" s="124" t="s">
        <v>113</v>
      </c>
      <c r="C280" s="124" t="s">
        <v>52</v>
      </c>
      <c r="D280" s="124" t="s">
        <v>933</v>
      </c>
      <c r="E280" s="126" t="s">
        <v>934</v>
      </c>
      <c r="F280" s="124" t="s">
        <v>936</v>
      </c>
    </row>
    <row r="281">
      <c r="A281" s="125">
        <v>44274.76401518518</v>
      </c>
      <c r="B281" s="124" t="s">
        <v>113</v>
      </c>
      <c r="C281" s="124" t="s">
        <v>52</v>
      </c>
      <c r="D281" s="124" t="s">
        <v>937</v>
      </c>
      <c r="E281" s="126" t="s">
        <v>938</v>
      </c>
      <c r="F281" s="124" t="s">
        <v>940</v>
      </c>
    </row>
    <row r="282">
      <c r="A282" s="125">
        <v>44274.82581893518</v>
      </c>
      <c r="B282" s="124" t="s">
        <v>113</v>
      </c>
      <c r="C282" s="124" t="s">
        <v>52</v>
      </c>
      <c r="D282" s="124" t="s">
        <v>941</v>
      </c>
      <c r="E282" s="126" t="s">
        <v>942</v>
      </c>
      <c r="F282" s="124" t="s">
        <v>945</v>
      </c>
    </row>
    <row r="283">
      <c r="A283" s="125">
        <v>44274.82598425926</v>
      </c>
      <c r="B283" s="124" t="s">
        <v>113</v>
      </c>
      <c r="C283" s="124" t="s">
        <v>58</v>
      </c>
      <c r="D283" s="124" t="s">
        <v>941</v>
      </c>
      <c r="E283" s="126" t="s">
        <v>946</v>
      </c>
      <c r="F283" s="124" t="s">
        <v>948</v>
      </c>
    </row>
    <row r="284">
      <c r="A284" s="125">
        <v>44274.92838159722</v>
      </c>
      <c r="B284" s="124" t="s">
        <v>113</v>
      </c>
      <c r="C284" s="124" t="s">
        <v>52</v>
      </c>
      <c r="D284" s="124" t="s">
        <v>949</v>
      </c>
      <c r="E284" s="126" t="s">
        <v>950</v>
      </c>
      <c r="F284" s="124" t="s">
        <v>952</v>
      </c>
    </row>
    <row r="285">
      <c r="A285" s="125">
        <v>44274.92970652778</v>
      </c>
      <c r="B285" s="124" t="s">
        <v>113</v>
      </c>
      <c r="C285" s="124" t="s">
        <v>58</v>
      </c>
      <c r="D285" s="124" t="s">
        <v>949</v>
      </c>
      <c r="E285" s="126" t="s">
        <v>953</v>
      </c>
      <c r="F285" s="124" t="s">
        <v>955</v>
      </c>
    </row>
    <row r="286">
      <c r="A286" s="125">
        <v>44276.68701807871</v>
      </c>
      <c r="B286" s="124" t="s">
        <v>113</v>
      </c>
      <c r="C286" s="124" t="s">
        <v>52</v>
      </c>
      <c r="D286" s="124" t="s">
        <v>956</v>
      </c>
      <c r="E286" s="126" t="s">
        <v>957</v>
      </c>
      <c r="F286" s="124" t="s">
        <v>959</v>
      </c>
    </row>
    <row r="287">
      <c r="A287" s="125">
        <v>44276.68739340278</v>
      </c>
      <c r="B287" s="124" t="s">
        <v>113</v>
      </c>
      <c r="C287" s="124" t="s">
        <v>58</v>
      </c>
      <c r="D287" s="124" t="s">
        <v>956</v>
      </c>
      <c r="E287" s="126" t="s">
        <v>960</v>
      </c>
      <c r="F287" s="124" t="s">
        <v>961</v>
      </c>
    </row>
    <row r="288">
      <c r="A288" s="125">
        <v>44276.74096858797</v>
      </c>
      <c r="B288" s="124" t="s">
        <v>113</v>
      </c>
      <c r="C288" s="124" t="s">
        <v>52</v>
      </c>
      <c r="D288" s="124" t="s">
        <v>962</v>
      </c>
      <c r="E288" s="126" t="s">
        <v>963</v>
      </c>
      <c r="F288" s="124" t="s">
        <v>965</v>
      </c>
    </row>
    <row r="289">
      <c r="A289" s="125">
        <v>44277.3836777199</v>
      </c>
      <c r="B289" s="124" t="s">
        <v>113</v>
      </c>
      <c r="C289" s="124" t="s">
        <v>52</v>
      </c>
      <c r="D289" s="124" t="s">
        <v>966</v>
      </c>
      <c r="E289" s="126" t="s">
        <v>967</v>
      </c>
      <c r="F289" s="124" t="s">
        <v>969</v>
      </c>
    </row>
    <row r="290">
      <c r="A290" s="125">
        <v>44277.39205361111</v>
      </c>
      <c r="B290" s="124" t="s">
        <v>113</v>
      </c>
      <c r="C290" s="124" t="s">
        <v>52</v>
      </c>
      <c r="D290" s="124" t="s">
        <v>970</v>
      </c>
      <c r="E290" s="126" t="s">
        <v>971</v>
      </c>
      <c r="F290" s="124" t="s">
        <v>973</v>
      </c>
    </row>
    <row r="291">
      <c r="A291" s="125">
        <v>44277.39267310185</v>
      </c>
      <c r="B291" s="124" t="s">
        <v>113</v>
      </c>
      <c r="C291" s="124" t="s">
        <v>58</v>
      </c>
      <c r="D291" s="124" t="s">
        <v>970</v>
      </c>
      <c r="E291" s="126" t="s">
        <v>974</v>
      </c>
      <c r="F291" s="124" t="s">
        <v>976</v>
      </c>
    </row>
    <row r="292">
      <c r="A292" s="125">
        <v>44277.39882653936</v>
      </c>
      <c r="B292" s="124" t="s">
        <v>113</v>
      </c>
      <c r="C292" s="124" t="s">
        <v>52</v>
      </c>
      <c r="D292" s="124" t="s">
        <v>977</v>
      </c>
      <c r="E292" s="126" t="s">
        <v>978</v>
      </c>
      <c r="F292" s="124" t="s">
        <v>980</v>
      </c>
    </row>
    <row r="293">
      <c r="A293" s="125">
        <v>44277.39906931713</v>
      </c>
      <c r="B293" s="124" t="s">
        <v>113</v>
      </c>
      <c r="C293" s="124" t="s">
        <v>58</v>
      </c>
      <c r="D293" s="124" t="s">
        <v>981</v>
      </c>
      <c r="E293" s="126" t="s">
        <v>982</v>
      </c>
      <c r="F293" s="124" t="s">
        <v>984</v>
      </c>
    </row>
    <row r="294">
      <c r="A294" s="125">
        <v>44277.40284401621</v>
      </c>
      <c r="B294" s="124" t="s">
        <v>113</v>
      </c>
      <c r="C294" s="124" t="s">
        <v>52</v>
      </c>
      <c r="D294" s="124" t="s">
        <v>985</v>
      </c>
      <c r="E294" s="126" t="s">
        <v>986</v>
      </c>
      <c r="F294" s="124" t="s">
        <v>988</v>
      </c>
    </row>
    <row r="295">
      <c r="A295" s="125">
        <v>44277.40351340278</v>
      </c>
      <c r="B295" s="124" t="s">
        <v>113</v>
      </c>
      <c r="C295" s="124" t="s">
        <v>58</v>
      </c>
      <c r="D295" s="124" t="s">
        <v>985</v>
      </c>
      <c r="E295" s="126" t="s">
        <v>989</v>
      </c>
      <c r="F295" s="124" t="s">
        <v>991</v>
      </c>
    </row>
    <row r="296">
      <c r="A296" s="125">
        <v>44277.40585087963</v>
      </c>
      <c r="B296" s="124" t="s">
        <v>113</v>
      </c>
      <c r="C296" s="124" t="s">
        <v>52</v>
      </c>
      <c r="D296" s="124" t="s">
        <v>992</v>
      </c>
      <c r="E296" s="126" t="s">
        <v>993</v>
      </c>
      <c r="F296" s="124" t="s">
        <v>616</v>
      </c>
    </row>
    <row r="297">
      <c r="A297" s="125">
        <v>44277.40683054399</v>
      </c>
      <c r="B297" s="124" t="s">
        <v>113</v>
      </c>
      <c r="C297" s="124" t="s">
        <v>58</v>
      </c>
      <c r="D297" s="124" t="s">
        <v>992</v>
      </c>
      <c r="E297" s="126" t="s">
        <v>995</v>
      </c>
      <c r="F297" s="124" t="s">
        <v>619</v>
      </c>
    </row>
    <row r="298">
      <c r="A298" s="125">
        <v>44277.40693981481</v>
      </c>
      <c r="B298" s="124" t="s">
        <v>113</v>
      </c>
      <c r="C298" s="124" t="s">
        <v>52</v>
      </c>
      <c r="D298" s="124" t="s">
        <v>997</v>
      </c>
      <c r="E298" s="126" t="s">
        <v>998</v>
      </c>
      <c r="F298" s="124" t="s">
        <v>1000</v>
      </c>
    </row>
    <row r="299">
      <c r="A299" s="125">
        <v>44277.41000422454</v>
      </c>
      <c r="B299" s="124" t="s">
        <v>113</v>
      </c>
      <c r="C299" s="124" t="s">
        <v>58</v>
      </c>
      <c r="D299" s="124" t="s">
        <v>997</v>
      </c>
      <c r="E299" s="126" t="s">
        <v>1001</v>
      </c>
      <c r="F299" s="124" t="s">
        <v>1003</v>
      </c>
    </row>
    <row r="300">
      <c r="A300" s="125">
        <v>44277.421313576386</v>
      </c>
      <c r="B300" s="124" t="s">
        <v>113</v>
      </c>
      <c r="C300" s="124" t="s">
        <v>52</v>
      </c>
      <c r="D300" s="124" t="s">
        <v>1004</v>
      </c>
      <c r="E300" s="126" t="s">
        <v>1005</v>
      </c>
      <c r="F300" s="124" t="s">
        <v>1007</v>
      </c>
    </row>
    <row r="301">
      <c r="A301" s="125">
        <v>44277.42164701389</v>
      </c>
      <c r="B301" s="124" t="s">
        <v>113</v>
      </c>
      <c r="C301" s="124" t="s">
        <v>58</v>
      </c>
      <c r="D301" s="124" t="s">
        <v>1004</v>
      </c>
      <c r="E301" s="126" t="s">
        <v>1008</v>
      </c>
      <c r="F301" s="124" t="s">
        <v>1010</v>
      </c>
    </row>
    <row r="302">
      <c r="A302" s="125">
        <v>44277.44950994213</v>
      </c>
      <c r="B302" s="124" t="s">
        <v>113</v>
      </c>
      <c r="C302" s="124" t="s">
        <v>52</v>
      </c>
      <c r="D302" s="124" t="s">
        <v>1011</v>
      </c>
      <c r="E302" s="126" t="s">
        <v>1012</v>
      </c>
      <c r="F302" s="124" t="s">
        <v>1014</v>
      </c>
    </row>
    <row r="303">
      <c r="A303" s="125">
        <v>44277.45110061343</v>
      </c>
      <c r="B303" s="124" t="s">
        <v>113</v>
      </c>
      <c r="C303" s="124" t="s">
        <v>58</v>
      </c>
      <c r="D303" s="124" t="s">
        <v>1015</v>
      </c>
      <c r="E303" s="126" t="s">
        <v>1016</v>
      </c>
      <c r="F303" s="124" t="s">
        <v>1019</v>
      </c>
    </row>
    <row r="304">
      <c r="A304" s="125">
        <v>44277.45681837963</v>
      </c>
      <c r="B304" s="124" t="s">
        <v>113</v>
      </c>
      <c r="C304" s="124" t="s">
        <v>52</v>
      </c>
      <c r="D304" s="124" t="s">
        <v>1020</v>
      </c>
      <c r="E304" s="126" t="s">
        <v>1021</v>
      </c>
      <c r="F304" s="124" t="s">
        <v>1022</v>
      </c>
    </row>
    <row r="305">
      <c r="A305" s="125">
        <v>44277.45700163195</v>
      </c>
      <c r="B305" s="124" t="s">
        <v>113</v>
      </c>
      <c r="C305" s="124" t="s">
        <v>58</v>
      </c>
      <c r="D305" s="124" t="s">
        <v>1020</v>
      </c>
      <c r="E305" s="126" t="s">
        <v>1023</v>
      </c>
      <c r="F305" s="124" t="s">
        <v>1024</v>
      </c>
    </row>
    <row r="306">
      <c r="A306" s="125">
        <v>44277.468058240745</v>
      </c>
      <c r="B306" s="124" t="s">
        <v>113</v>
      </c>
      <c r="C306" s="124" t="s">
        <v>52</v>
      </c>
      <c r="D306" s="124" t="s">
        <v>1025</v>
      </c>
      <c r="E306" s="126" t="s">
        <v>1026</v>
      </c>
      <c r="F306" s="124" t="s">
        <v>1027</v>
      </c>
    </row>
    <row r="307">
      <c r="A307" s="125">
        <v>44277.468988611115</v>
      </c>
      <c r="B307" s="124" t="s">
        <v>113</v>
      </c>
      <c r="C307" s="124" t="s">
        <v>58</v>
      </c>
      <c r="D307" s="124" t="s">
        <v>1025</v>
      </c>
      <c r="E307" s="126" t="s">
        <v>1028</v>
      </c>
      <c r="F307" s="124" t="s">
        <v>1029</v>
      </c>
    </row>
    <row r="308">
      <c r="A308" s="125">
        <v>44277.50669454861</v>
      </c>
      <c r="B308" s="124" t="s">
        <v>113</v>
      </c>
      <c r="C308" s="124" t="s">
        <v>52</v>
      </c>
      <c r="D308" s="124" t="s">
        <v>1030</v>
      </c>
      <c r="E308" s="126" t="s">
        <v>1031</v>
      </c>
      <c r="F308" s="124" t="s">
        <v>1032</v>
      </c>
    </row>
    <row r="309">
      <c r="A309" s="125">
        <v>44277.507585706015</v>
      </c>
      <c r="B309" s="124" t="s">
        <v>113</v>
      </c>
      <c r="C309" s="124" t="s">
        <v>58</v>
      </c>
      <c r="D309" s="124" t="s">
        <v>1030</v>
      </c>
      <c r="E309" s="126" t="s">
        <v>1033</v>
      </c>
      <c r="F309" s="124" t="s">
        <v>1035</v>
      </c>
    </row>
    <row r="310">
      <c r="A310" s="125">
        <v>44277.60153039352</v>
      </c>
      <c r="B310" s="124" t="s">
        <v>113</v>
      </c>
      <c r="C310" s="124" t="s">
        <v>52</v>
      </c>
      <c r="D310" s="124" t="s">
        <v>1036</v>
      </c>
      <c r="E310" s="126" t="s">
        <v>1037</v>
      </c>
      <c r="F310" s="124" t="s">
        <v>1039</v>
      </c>
    </row>
    <row r="311">
      <c r="A311" s="125">
        <v>44277.60167775463</v>
      </c>
      <c r="B311" s="124" t="s">
        <v>113</v>
      </c>
      <c r="C311" s="124" t="s">
        <v>58</v>
      </c>
      <c r="D311" s="124" t="s">
        <v>1036</v>
      </c>
      <c r="E311" s="126" t="s">
        <v>1041</v>
      </c>
      <c r="F311" s="124" t="s">
        <v>1042</v>
      </c>
    </row>
    <row r="312">
      <c r="A312" s="125">
        <v>44277.60589626158</v>
      </c>
      <c r="B312" s="124" t="s">
        <v>113</v>
      </c>
      <c r="C312" s="124" t="s">
        <v>52</v>
      </c>
      <c r="D312" s="124" t="s">
        <v>1044</v>
      </c>
      <c r="E312" s="126" t="s">
        <v>1045</v>
      </c>
      <c r="F312" s="124" t="s">
        <v>1046</v>
      </c>
    </row>
    <row r="313">
      <c r="A313" s="125">
        <v>44277.60674844908</v>
      </c>
      <c r="B313" s="124" t="s">
        <v>113</v>
      </c>
      <c r="C313" s="124" t="s">
        <v>58</v>
      </c>
      <c r="D313" s="124" t="s">
        <v>1048</v>
      </c>
      <c r="E313" s="126" t="s">
        <v>1049</v>
      </c>
      <c r="F313" s="124" t="s">
        <v>1051</v>
      </c>
    </row>
    <row r="314">
      <c r="A314" s="125">
        <v>44277.61623826389</v>
      </c>
      <c r="B314" s="124" t="s">
        <v>113</v>
      </c>
      <c r="C314" s="124" t="s">
        <v>52</v>
      </c>
      <c r="D314" s="124" t="s">
        <v>1052</v>
      </c>
      <c r="E314" s="126" t="s">
        <v>1053</v>
      </c>
      <c r="F314" s="124" t="s">
        <v>1054</v>
      </c>
    </row>
    <row r="315">
      <c r="A315" s="125">
        <v>44277.62218818287</v>
      </c>
      <c r="B315" s="124" t="s">
        <v>113</v>
      </c>
      <c r="C315" s="124" t="s">
        <v>58</v>
      </c>
      <c r="D315" s="124" t="s">
        <v>1052</v>
      </c>
      <c r="E315" s="126" t="s">
        <v>1055</v>
      </c>
      <c r="F315" s="124" t="s">
        <v>1057</v>
      </c>
    </row>
    <row r="316">
      <c r="A316" s="125">
        <v>44277.63039114584</v>
      </c>
      <c r="B316" s="124" t="s">
        <v>113</v>
      </c>
      <c r="C316" s="124" t="s">
        <v>52</v>
      </c>
      <c r="D316" s="124" t="s">
        <v>1048</v>
      </c>
      <c r="E316" s="126" t="s">
        <v>1059</v>
      </c>
      <c r="F316" s="124" t="s">
        <v>1046</v>
      </c>
    </row>
    <row r="317">
      <c r="A317" s="125">
        <v>44278.33898630787</v>
      </c>
      <c r="B317" s="124" t="s">
        <v>113</v>
      </c>
      <c r="C317" s="124" t="s">
        <v>58</v>
      </c>
      <c r="D317" s="124" t="s">
        <v>1061</v>
      </c>
      <c r="E317" s="126" t="s">
        <v>1062</v>
      </c>
      <c r="F317" s="124" t="s">
        <v>1063</v>
      </c>
    </row>
    <row r="318">
      <c r="A318" s="125">
        <v>44278.43062422454</v>
      </c>
      <c r="B318" s="124" t="s">
        <v>113</v>
      </c>
      <c r="C318" s="124" t="s">
        <v>58</v>
      </c>
      <c r="D318" s="124" t="s">
        <v>1065</v>
      </c>
      <c r="E318" s="126" t="s">
        <v>1066</v>
      </c>
      <c r="F318" s="124" t="s">
        <v>1067</v>
      </c>
    </row>
    <row r="319">
      <c r="A319" s="125">
        <v>44278.435318738426</v>
      </c>
      <c r="B319" s="124" t="s">
        <v>113</v>
      </c>
      <c r="C319" s="124" t="s">
        <v>58</v>
      </c>
      <c r="D319" s="124" t="s">
        <v>1068</v>
      </c>
      <c r="E319" s="126" t="s">
        <v>1070</v>
      </c>
      <c r="F319" s="124" t="s">
        <v>1071</v>
      </c>
    </row>
    <row r="320">
      <c r="A320" s="125">
        <v>44278.46094099537</v>
      </c>
      <c r="B320" s="124" t="s">
        <v>113</v>
      </c>
      <c r="C320" s="124" t="s">
        <v>58</v>
      </c>
      <c r="D320" s="124" t="s">
        <v>543</v>
      </c>
      <c r="E320" s="126" t="s">
        <v>1073</v>
      </c>
      <c r="F320" s="124" t="s">
        <v>1074</v>
      </c>
    </row>
    <row r="321">
      <c r="A321" s="125">
        <v>44278.4622841088</v>
      </c>
      <c r="B321" s="124" t="s">
        <v>113</v>
      </c>
      <c r="C321" s="124" t="s">
        <v>58</v>
      </c>
      <c r="D321" s="124" t="s">
        <v>353</v>
      </c>
      <c r="E321" s="126" t="s">
        <v>1076</v>
      </c>
      <c r="F321" s="124" t="s">
        <v>1077</v>
      </c>
    </row>
    <row r="322">
      <c r="A322" s="125">
        <v>44278.46315899305</v>
      </c>
      <c r="B322" s="124" t="s">
        <v>113</v>
      </c>
      <c r="C322" s="124" t="s">
        <v>58</v>
      </c>
      <c r="D322" s="124" t="s">
        <v>494</v>
      </c>
      <c r="E322" s="126" t="s">
        <v>1079</v>
      </c>
      <c r="F322" s="124" t="s">
        <v>1080</v>
      </c>
    </row>
    <row r="323">
      <c r="A323" s="125">
        <v>44278.51076616898</v>
      </c>
      <c r="B323" s="124" t="s">
        <v>113</v>
      </c>
      <c r="C323" s="124" t="s">
        <v>58</v>
      </c>
      <c r="D323" s="124" t="s">
        <v>1082</v>
      </c>
      <c r="E323" s="126" t="s">
        <v>1083</v>
      </c>
      <c r="F323" s="124" t="s">
        <v>1085</v>
      </c>
    </row>
    <row r="324">
      <c r="A324" s="125">
        <v>44278.51170682871</v>
      </c>
      <c r="B324" s="124" t="s">
        <v>113</v>
      </c>
      <c r="C324" s="124" t="s">
        <v>58</v>
      </c>
      <c r="D324" s="124" t="s">
        <v>1086</v>
      </c>
      <c r="E324" s="126" t="s">
        <v>1087</v>
      </c>
      <c r="F324" s="124" t="s">
        <v>1089</v>
      </c>
    </row>
    <row r="325">
      <c r="A325" s="125">
        <v>44278.512087986106</v>
      </c>
      <c r="B325" s="124" t="s">
        <v>113</v>
      </c>
      <c r="C325" s="124" t="s">
        <v>58</v>
      </c>
      <c r="D325" s="124" t="s">
        <v>1090</v>
      </c>
      <c r="E325" s="126" t="s">
        <v>1091</v>
      </c>
      <c r="F325" s="124" t="s">
        <v>1093</v>
      </c>
    </row>
    <row r="326">
      <c r="A326" s="125">
        <v>44278.51229899305</v>
      </c>
      <c r="B326" s="124" t="s">
        <v>113</v>
      </c>
      <c r="C326" s="124" t="s">
        <v>58</v>
      </c>
      <c r="D326" s="124" t="s">
        <v>1090</v>
      </c>
      <c r="E326" s="126" t="s">
        <v>1094</v>
      </c>
      <c r="F326" s="124" t="s">
        <v>1093</v>
      </c>
    </row>
    <row r="327">
      <c r="A327" s="125">
        <v>44278.51628243056</v>
      </c>
      <c r="B327" s="124" t="s">
        <v>113</v>
      </c>
      <c r="C327" s="124" t="s">
        <v>58</v>
      </c>
      <c r="D327" s="124" t="s">
        <v>1096</v>
      </c>
      <c r="E327" s="126" t="s">
        <v>1097</v>
      </c>
      <c r="F327" s="124" t="s">
        <v>1099</v>
      </c>
    </row>
    <row r="328">
      <c r="A328" s="125">
        <v>44278.68823141204</v>
      </c>
      <c r="B328" s="124" t="s">
        <v>113</v>
      </c>
      <c r="C328" s="124" t="s">
        <v>58</v>
      </c>
      <c r="D328" s="124" t="s">
        <v>1100</v>
      </c>
      <c r="E328" s="126" t="s">
        <v>1101</v>
      </c>
      <c r="F328" s="124" t="s">
        <v>1103</v>
      </c>
    </row>
    <row r="329">
      <c r="A329" s="125">
        <v>44279.624420266206</v>
      </c>
      <c r="B329" s="124" t="s">
        <v>113</v>
      </c>
      <c r="C329" s="124" t="s">
        <v>58</v>
      </c>
      <c r="D329" s="124" t="s">
        <v>1104</v>
      </c>
      <c r="E329" s="126" t="s">
        <v>1105</v>
      </c>
      <c r="F329" s="124" t="s">
        <v>1107</v>
      </c>
    </row>
    <row r="330">
      <c r="A330" s="125">
        <v>44279.63754292824</v>
      </c>
      <c r="B330" s="124" t="s">
        <v>113</v>
      </c>
      <c r="C330" s="124" t="s">
        <v>58</v>
      </c>
      <c r="D330" s="124" t="s">
        <v>1108</v>
      </c>
      <c r="E330" s="126" t="s">
        <v>1109</v>
      </c>
      <c r="F330" s="124" t="s">
        <v>1111</v>
      </c>
    </row>
    <row r="331">
      <c r="A331" s="125">
        <v>44280.49309152778</v>
      </c>
      <c r="B331" s="124" t="s">
        <v>113</v>
      </c>
      <c r="C331" s="124" t="s">
        <v>58</v>
      </c>
      <c r="D331" s="124" t="s">
        <v>1112</v>
      </c>
      <c r="E331" s="126" t="s">
        <v>1113</v>
      </c>
      <c r="F331" s="124" t="s">
        <v>1115</v>
      </c>
    </row>
    <row r="332">
      <c r="A332" s="125">
        <v>44280.55807054398</v>
      </c>
      <c r="B332" s="124" t="s">
        <v>113</v>
      </c>
      <c r="C332" s="124" t="s">
        <v>58</v>
      </c>
      <c r="D332" s="124" t="s">
        <v>1116</v>
      </c>
      <c r="E332" s="126" t="s">
        <v>1117</v>
      </c>
      <c r="F332" s="124" t="s">
        <v>1119</v>
      </c>
    </row>
    <row r="333">
      <c r="A333" s="125">
        <v>44281.38883935185</v>
      </c>
      <c r="B333" s="124" t="s">
        <v>113</v>
      </c>
      <c r="C333" s="124" t="s">
        <v>58</v>
      </c>
      <c r="D333" s="124" t="s">
        <v>845</v>
      </c>
      <c r="E333" s="126" t="s">
        <v>1120</v>
      </c>
      <c r="F333" s="124" t="s">
        <v>1122</v>
      </c>
    </row>
    <row r="334">
      <c r="A334" s="125">
        <v>44281.759811805554</v>
      </c>
      <c r="B334" s="124" t="s">
        <v>113</v>
      </c>
      <c r="C334" s="124" t="s">
        <v>58</v>
      </c>
      <c r="D334" s="124" t="s">
        <v>1123</v>
      </c>
      <c r="E334" s="126" t="s">
        <v>1124</v>
      </c>
      <c r="F334" s="124" t="s">
        <v>1126</v>
      </c>
    </row>
    <row r="335">
      <c r="A335" s="125">
        <v>44284.43933787037</v>
      </c>
      <c r="B335" s="124" t="s">
        <v>113</v>
      </c>
      <c r="C335" s="124" t="s">
        <v>58</v>
      </c>
      <c r="D335" s="124" t="s">
        <v>1127</v>
      </c>
      <c r="E335" s="126" t="s">
        <v>1128</v>
      </c>
      <c r="F335" s="124" t="s">
        <v>1130</v>
      </c>
    </row>
    <row r="336">
      <c r="A336" s="125">
        <v>44285.60487631944</v>
      </c>
      <c r="B336" s="124" t="s">
        <v>113</v>
      </c>
      <c r="C336" s="124" t="s">
        <v>58</v>
      </c>
      <c r="D336" s="124" t="s">
        <v>1131</v>
      </c>
      <c r="E336" s="126" t="s">
        <v>1132</v>
      </c>
      <c r="F336" s="124" t="s">
        <v>1134</v>
      </c>
    </row>
    <row r="337">
      <c r="A337" s="125">
        <v>44285.64958056713</v>
      </c>
      <c r="B337" s="124" t="s">
        <v>113</v>
      </c>
      <c r="C337" s="124" t="s">
        <v>58</v>
      </c>
      <c r="D337" s="124" t="s">
        <v>800</v>
      </c>
      <c r="E337" s="126" t="s">
        <v>1135</v>
      </c>
      <c r="F337" s="124" t="s">
        <v>1137</v>
      </c>
    </row>
    <row r="338">
      <c r="A338" s="125">
        <v>44286.37404891204</v>
      </c>
      <c r="B338" s="124" t="s">
        <v>113</v>
      </c>
      <c r="C338" s="124" t="s">
        <v>58</v>
      </c>
      <c r="D338" s="124" t="s">
        <v>1138</v>
      </c>
      <c r="E338" s="126" t="s">
        <v>1139</v>
      </c>
      <c r="F338" s="124" t="s">
        <v>1141</v>
      </c>
    </row>
    <row r="339">
      <c r="A339" s="125">
        <v>44286.57144223379</v>
      </c>
      <c r="B339" s="124" t="s">
        <v>113</v>
      </c>
      <c r="C339" s="124" t="s">
        <v>58</v>
      </c>
      <c r="D339" s="124" t="s">
        <v>1142</v>
      </c>
      <c r="E339" s="126" t="s">
        <v>1143</v>
      </c>
      <c r="F339" s="124" t="s">
        <v>1145</v>
      </c>
    </row>
    <row r="340">
      <c r="A340" s="125">
        <v>44286.64595230324</v>
      </c>
      <c r="B340" s="124" t="s">
        <v>113</v>
      </c>
      <c r="C340" s="124" t="s">
        <v>58</v>
      </c>
      <c r="D340" s="124" t="s">
        <v>1146</v>
      </c>
      <c r="E340" s="126" t="s">
        <v>1147</v>
      </c>
      <c r="F340" s="124" t="s">
        <v>1149</v>
      </c>
    </row>
    <row r="341">
      <c r="A341" s="125">
        <v>44286.6548815625</v>
      </c>
      <c r="B341" s="124" t="s">
        <v>113</v>
      </c>
      <c r="C341" s="124" t="s">
        <v>58</v>
      </c>
      <c r="D341" s="124" t="s">
        <v>1151</v>
      </c>
      <c r="E341" s="126" t="s">
        <v>1152</v>
      </c>
      <c r="F341" s="124" t="s">
        <v>1154</v>
      </c>
    </row>
    <row r="342">
      <c r="A342" s="125">
        <v>44287.43154822917</v>
      </c>
      <c r="B342" s="124" t="s">
        <v>113</v>
      </c>
      <c r="C342" s="124" t="s">
        <v>58</v>
      </c>
      <c r="D342" s="124" t="s">
        <v>1011</v>
      </c>
      <c r="E342" s="126" t="s">
        <v>1155</v>
      </c>
      <c r="F342" s="124" t="s">
        <v>1157</v>
      </c>
    </row>
    <row r="343">
      <c r="A343" s="125">
        <v>44298.42565822917</v>
      </c>
      <c r="B343" s="124" t="s">
        <v>113</v>
      </c>
      <c r="C343" s="124" t="s">
        <v>63</v>
      </c>
      <c r="D343" s="124" t="s">
        <v>321</v>
      </c>
      <c r="E343" s="126" t="s">
        <v>1159</v>
      </c>
      <c r="F343" s="124" t="s">
        <v>1160</v>
      </c>
    </row>
    <row r="344">
      <c r="A344" s="125">
        <v>44300.41950142361</v>
      </c>
      <c r="B344" s="124" t="s">
        <v>113</v>
      </c>
      <c r="C344" s="124" t="s">
        <v>63</v>
      </c>
      <c r="D344" s="124" t="s">
        <v>316</v>
      </c>
      <c r="E344" s="126" t="s">
        <v>1162</v>
      </c>
      <c r="F344" s="124" t="s">
        <v>1164</v>
      </c>
    </row>
    <row r="345">
      <c r="A345" s="125">
        <v>44300.666467222225</v>
      </c>
      <c r="B345" s="124" t="s">
        <v>113</v>
      </c>
      <c r="C345" s="124" t="s">
        <v>63</v>
      </c>
      <c r="D345" s="124" t="s">
        <v>241</v>
      </c>
      <c r="E345" s="126" t="s">
        <v>1165</v>
      </c>
      <c r="F345" s="124" t="s">
        <v>1167</v>
      </c>
    </row>
    <row r="346">
      <c r="A346" s="125">
        <v>44301.64336141203</v>
      </c>
      <c r="B346" s="124" t="s">
        <v>113</v>
      </c>
      <c r="C346" s="124" t="s">
        <v>63</v>
      </c>
      <c r="D346" s="124" t="s">
        <v>631</v>
      </c>
      <c r="E346" s="126" t="s">
        <v>1168</v>
      </c>
      <c r="F346" s="124" t="s">
        <v>1170</v>
      </c>
    </row>
    <row r="347">
      <c r="A347" s="125">
        <v>44301.65977653935</v>
      </c>
      <c r="B347" s="124" t="s">
        <v>113</v>
      </c>
      <c r="C347" s="124" t="s">
        <v>1171</v>
      </c>
      <c r="D347" s="124" t="s">
        <v>241</v>
      </c>
      <c r="E347" s="126" t="s">
        <v>1172</v>
      </c>
      <c r="F347" s="124" t="s">
        <v>1173</v>
      </c>
    </row>
    <row r="348">
      <c r="A348" s="125">
        <v>44301.70541995371</v>
      </c>
      <c r="B348" s="124" t="s">
        <v>113</v>
      </c>
      <c r="C348" s="124" t="s">
        <v>1171</v>
      </c>
      <c r="D348" s="124" t="s">
        <v>321</v>
      </c>
      <c r="E348" s="126" t="s">
        <v>1175</v>
      </c>
      <c r="F348" s="124" t="s">
        <v>1177</v>
      </c>
    </row>
    <row r="349">
      <c r="A349" s="125">
        <v>44301.705699513885</v>
      </c>
      <c r="B349" s="124" t="s">
        <v>113</v>
      </c>
      <c r="C349" s="124" t="s">
        <v>1178</v>
      </c>
      <c r="D349" s="124" t="s">
        <v>321</v>
      </c>
      <c r="E349" s="126" t="s">
        <v>1179</v>
      </c>
      <c r="F349" s="124" t="s">
        <v>1181</v>
      </c>
    </row>
    <row r="350">
      <c r="A350" s="125">
        <v>44301.70669555556</v>
      </c>
      <c r="B350" s="124" t="s">
        <v>113</v>
      </c>
      <c r="C350" s="124" t="s">
        <v>63</v>
      </c>
      <c r="D350" s="124" t="s">
        <v>228</v>
      </c>
      <c r="E350" s="126" t="s">
        <v>1182</v>
      </c>
      <c r="F350" s="124" t="s">
        <v>1184</v>
      </c>
    </row>
    <row r="351">
      <c r="A351" s="125">
        <v>44301.707239027775</v>
      </c>
      <c r="B351" s="124" t="s">
        <v>113</v>
      </c>
      <c r="C351" s="124" t="s">
        <v>63</v>
      </c>
      <c r="D351" s="124" t="s">
        <v>1185</v>
      </c>
      <c r="E351" s="126" t="s">
        <v>1186</v>
      </c>
      <c r="F351" s="124" t="s">
        <v>1188</v>
      </c>
    </row>
    <row r="352">
      <c r="A352" s="125">
        <v>44301.70766579861</v>
      </c>
      <c r="B352" s="124" t="s">
        <v>113</v>
      </c>
      <c r="C352" s="124" t="s">
        <v>1171</v>
      </c>
      <c r="D352" s="124" t="s">
        <v>1185</v>
      </c>
      <c r="E352" s="126" t="s">
        <v>1189</v>
      </c>
      <c r="F352" s="124" t="s">
        <v>1191</v>
      </c>
    </row>
    <row r="353">
      <c r="A353" s="125">
        <v>44301.70767581019</v>
      </c>
      <c r="B353" s="124" t="s">
        <v>113</v>
      </c>
      <c r="C353" s="124" t="s">
        <v>1171</v>
      </c>
      <c r="D353" s="124" t="s">
        <v>228</v>
      </c>
      <c r="E353" s="126" t="s">
        <v>1193</v>
      </c>
      <c r="F353" s="124" t="s">
        <v>1194</v>
      </c>
    </row>
    <row r="354">
      <c r="A354" s="125">
        <v>44301.70784444445</v>
      </c>
      <c r="B354" s="124" t="s">
        <v>113</v>
      </c>
      <c r="C354" s="124" t="s">
        <v>1178</v>
      </c>
      <c r="D354" s="124" t="s">
        <v>1185</v>
      </c>
      <c r="E354" s="126" t="s">
        <v>1196</v>
      </c>
      <c r="F354" s="124" t="s">
        <v>1197</v>
      </c>
    </row>
    <row r="355">
      <c r="A355" s="125">
        <v>44301.70784822917</v>
      </c>
      <c r="B355" s="124" t="s">
        <v>113</v>
      </c>
      <c r="C355" s="124" t="s">
        <v>63</v>
      </c>
      <c r="D355" s="124" t="s">
        <v>1004</v>
      </c>
      <c r="E355" s="126" t="s">
        <v>1199</v>
      </c>
      <c r="F355" s="124" t="s">
        <v>1227</v>
      </c>
    </row>
    <row r="356">
      <c r="A356" s="125">
        <v>44301.70811284722</v>
      </c>
      <c r="B356" s="124" t="s">
        <v>113</v>
      </c>
      <c r="C356" s="124" t="s">
        <v>1171</v>
      </c>
      <c r="D356" s="124" t="s">
        <v>1004</v>
      </c>
      <c r="E356" s="126" t="s">
        <v>1228</v>
      </c>
      <c r="F356" s="124" t="s">
        <v>1230</v>
      </c>
    </row>
    <row r="357">
      <c r="A357" s="125">
        <v>44301.70831548611</v>
      </c>
      <c r="B357" s="124" t="s">
        <v>113</v>
      </c>
      <c r="C357" s="124" t="s">
        <v>1178</v>
      </c>
      <c r="D357" s="124" t="s">
        <v>1231</v>
      </c>
      <c r="E357" s="126" t="s">
        <v>1233</v>
      </c>
      <c r="F357" s="124" t="s">
        <v>1234</v>
      </c>
    </row>
    <row r="358">
      <c r="A358" s="125">
        <v>44301.70843760417</v>
      </c>
      <c r="B358" s="124" t="s">
        <v>113</v>
      </c>
      <c r="C358" s="124" t="s">
        <v>1178</v>
      </c>
      <c r="D358" s="124" t="s">
        <v>228</v>
      </c>
      <c r="E358" s="126" t="s">
        <v>1236</v>
      </c>
      <c r="F358" s="124" t="s">
        <v>1237</v>
      </c>
    </row>
    <row r="359">
      <c r="A359" s="125">
        <v>44301.70907726852</v>
      </c>
      <c r="B359" s="124" t="s">
        <v>113</v>
      </c>
      <c r="C359" s="124" t="s">
        <v>63</v>
      </c>
      <c r="D359" s="124" t="s">
        <v>1239</v>
      </c>
      <c r="E359" s="126" t="s">
        <v>1240</v>
      </c>
      <c r="F359" s="124" t="s">
        <v>1242</v>
      </c>
    </row>
    <row r="360">
      <c r="A360" s="125">
        <v>44301.709884282405</v>
      </c>
      <c r="B360" s="124" t="s">
        <v>113</v>
      </c>
      <c r="C360" s="124" t="s">
        <v>1171</v>
      </c>
      <c r="D360" s="124" t="s">
        <v>1239</v>
      </c>
      <c r="E360" s="126" t="s">
        <v>1243</v>
      </c>
      <c r="F360" s="124" t="s">
        <v>1245</v>
      </c>
    </row>
    <row r="361">
      <c r="A361" s="125">
        <v>44301.7102162963</v>
      </c>
      <c r="B361" s="124" t="s">
        <v>113</v>
      </c>
      <c r="C361" s="124" t="s">
        <v>1178</v>
      </c>
      <c r="D361" s="124" t="s">
        <v>1239</v>
      </c>
      <c r="E361" s="126" t="s">
        <v>1246</v>
      </c>
      <c r="F361" s="124" t="s">
        <v>1248</v>
      </c>
    </row>
    <row r="362">
      <c r="A362" s="125">
        <v>44301.71051019676</v>
      </c>
      <c r="B362" s="124" t="s">
        <v>113</v>
      </c>
      <c r="C362" s="124" t="s">
        <v>1178</v>
      </c>
      <c r="D362" s="124" t="s">
        <v>1020</v>
      </c>
      <c r="E362" s="126" t="s">
        <v>1249</v>
      </c>
      <c r="F362" s="124" t="s">
        <v>1251</v>
      </c>
    </row>
    <row r="363">
      <c r="A363" s="125">
        <v>44301.71093100694</v>
      </c>
      <c r="B363" s="124" t="s">
        <v>113</v>
      </c>
      <c r="C363" s="124" t="s">
        <v>63</v>
      </c>
      <c r="D363" s="124" t="s">
        <v>1252</v>
      </c>
      <c r="E363" s="126" t="s">
        <v>1253</v>
      </c>
      <c r="F363" s="124" t="s">
        <v>1255</v>
      </c>
    </row>
    <row r="364">
      <c r="A364" s="125">
        <v>44301.71140069445</v>
      </c>
      <c r="B364" s="124" t="s">
        <v>113</v>
      </c>
      <c r="C364" s="124" t="s">
        <v>1171</v>
      </c>
      <c r="D364" s="124" t="s">
        <v>1252</v>
      </c>
      <c r="E364" s="126" t="s">
        <v>1257</v>
      </c>
      <c r="F364" s="124" t="s">
        <v>1258</v>
      </c>
    </row>
    <row r="365">
      <c r="A365" s="125">
        <v>44301.713828437496</v>
      </c>
      <c r="B365" s="124" t="s">
        <v>113</v>
      </c>
      <c r="C365" s="124" t="s">
        <v>63</v>
      </c>
      <c r="D365" s="124" t="s">
        <v>138</v>
      </c>
      <c r="E365" s="126" t="s">
        <v>1260</v>
      </c>
      <c r="F365" s="124" t="s">
        <v>1262</v>
      </c>
    </row>
    <row r="366">
      <c r="A366" s="125">
        <v>44301.7141040625</v>
      </c>
      <c r="B366" s="124" t="s">
        <v>113</v>
      </c>
      <c r="C366" s="124" t="s">
        <v>1171</v>
      </c>
      <c r="D366" s="124" t="s">
        <v>138</v>
      </c>
      <c r="E366" s="126" t="s">
        <v>1263</v>
      </c>
      <c r="F366" s="124" t="s">
        <v>1265</v>
      </c>
    </row>
    <row r="367">
      <c r="A367" s="125">
        <v>44301.7143784838</v>
      </c>
      <c r="B367" s="124" t="s">
        <v>113</v>
      </c>
      <c r="C367" s="124" t="s">
        <v>1178</v>
      </c>
      <c r="D367" s="124" t="s">
        <v>138</v>
      </c>
      <c r="E367" s="126" t="s">
        <v>1266</v>
      </c>
      <c r="F367" s="124" t="s">
        <v>1268</v>
      </c>
    </row>
    <row r="368">
      <c r="A368" s="125">
        <v>44301.71619010417</v>
      </c>
      <c r="B368" s="124" t="s">
        <v>113</v>
      </c>
      <c r="C368" s="124" t="s">
        <v>63</v>
      </c>
      <c r="D368" s="124" t="s">
        <v>1269</v>
      </c>
      <c r="E368" s="126" t="s">
        <v>1270</v>
      </c>
      <c r="F368" s="124" t="s">
        <v>1272</v>
      </c>
    </row>
    <row r="369">
      <c r="A369" s="125">
        <v>44301.717001956014</v>
      </c>
      <c r="B369" s="124" t="s">
        <v>113</v>
      </c>
      <c r="C369" s="124" t="s">
        <v>63</v>
      </c>
      <c r="D369" s="124" t="s">
        <v>344</v>
      </c>
      <c r="E369" s="126" t="s">
        <v>1273</v>
      </c>
      <c r="F369" s="124" t="s">
        <v>1275</v>
      </c>
    </row>
    <row r="370">
      <c r="A370" s="125">
        <v>44301.7173724537</v>
      </c>
      <c r="B370" s="124" t="s">
        <v>113</v>
      </c>
      <c r="C370" s="124" t="s">
        <v>1171</v>
      </c>
      <c r="D370" s="124" t="s">
        <v>1269</v>
      </c>
      <c r="E370" s="126" t="s">
        <v>1276</v>
      </c>
      <c r="F370" s="124" t="s">
        <v>1278</v>
      </c>
    </row>
    <row r="371">
      <c r="A371" s="125">
        <v>44301.718315300925</v>
      </c>
      <c r="B371" s="124" t="s">
        <v>113</v>
      </c>
      <c r="C371" s="124" t="s">
        <v>1171</v>
      </c>
      <c r="D371" s="124" t="s">
        <v>344</v>
      </c>
      <c r="E371" s="126" t="s">
        <v>1279</v>
      </c>
      <c r="F371" s="124" t="s">
        <v>1280</v>
      </c>
    </row>
    <row r="372">
      <c r="A372" s="125">
        <v>44301.71873758102</v>
      </c>
      <c r="B372" s="124" t="s">
        <v>113</v>
      </c>
      <c r="C372" s="124" t="s">
        <v>1178</v>
      </c>
      <c r="D372" s="124" t="s">
        <v>1269</v>
      </c>
      <c r="E372" s="126" t="s">
        <v>1281</v>
      </c>
      <c r="F372" s="124" t="s">
        <v>1282</v>
      </c>
    </row>
    <row r="373">
      <c r="A373" s="125">
        <v>44301.7195932176</v>
      </c>
      <c r="B373" s="124" t="s">
        <v>113</v>
      </c>
      <c r="C373" s="124" t="s">
        <v>1178</v>
      </c>
      <c r="D373" s="124" t="s">
        <v>344</v>
      </c>
      <c r="E373" s="126" t="s">
        <v>1283</v>
      </c>
      <c r="F373" s="124" t="s">
        <v>1284</v>
      </c>
    </row>
    <row r="374">
      <c r="A374" s="125">
        <v>44301.719871712965</v>
      </c>
      <c r="B374" s="124" t="s">
        <v>113</v>
      </c>
      <c r="C374" s="124" t="s">
        <v>63</v>
      </c>
      <c r="D374" s="124" t="s">
        <v>1285</v>
      </c>
      <c r="E374" s="126" t="s">
        <v>1286</v>
      </c>
      <c r="F374" s="124" t="s">
        <v>1287</v>
      </c>
    </row>
    <row r="375">
      <c r="A375" s="125">
        <v>44301.721486863426</v>
      </c>
      <c r="B375" s="124" t="s">
        <v>113</v>
      </c>
      <c r="C375" s="124" t="s">
        <v>1171</v>
      </c>
      <c r="D375" s="124" t="s">
        <v>1285</v>
      </c>
      <c r="E375" s="126" t="s">
        <v>1288</v>
      </c>
      <c r="F375" s="124" t="s">
        <v>1289</v>
      </c>
    </row>
    <row r="376">
      <c r="A376" s="125">
        <v>44301.74570104167</v>
      </c>
      <c r="B376" s="124" t="s">
        <v>113</v>
      </c>
      <c r="C376" s="124" t="s">
        <v>63</v>
      </c>
      <c r="D376" s="124" t="s">
        <v>1290</v>
      </c>
      <c r="E376" s="126" t="s">
        <v>1291</v>
      </c>
      <c r="F376" s="124" t="s">
        <v>1293</v>
      </c>
    </row>
    <row r="377">
      <c r="A377" s="125">
        <v>44301.74683157407</v>
      </c>
      <c r="B377" s="124" t="s">
        <v>113</v>
      </c>
      <c r="C377" s="124" t="s">
        <v>1171</v>
      </c>
      <c r="D377" s="124" t="s">
        <v>269</v>
      </c>
      <c r="E377" s="126" t="s">
        <v>1294</v>
      </c>
      <c r="F377" s="124" t="s">
        <v>1296</v>
      </c>
    </row>
    <row r="378">
      <c r="A378" s="125">
        <v>44301.74733099537</v>
      </c>
      <c r="B378" s="124" t="s">
        <v>113</v>
      </c>
      <c r="C378" s="124" t="s">
        <v>63</v>
      </c>
      <c r="D378" s="124" t="s">
        <v>269</v>
      </c>
      <c r="E378" s="126" t="s">
        <v>1297</v>
      </c>
      <c r="F378" s="124" t="s">
        <v>1299</v>
      </c>
    </row>
    <row r="379">
      <c r="A379" s="125">
        <v>44301.74756596065</v>
      </c>
      <c r="B379" s="124" t="s">
        <v>113</v>
      </c>
      <c r="C379" s="124" t="s">
        <v>1178</v>
      </c>
      <c r="D379" s="124" t="s">
        <v>269</v>
      </c>
      <c r="E379" s="126" t="s">
        <v>1300</v>
      </c>
      <c r="F379" s="124" t="s">
        <v>1301</v>
      </c>
    </row>
    <row r="380">
      <c r="A380" s="125">
        <v>44301.74775730324</v>
      </c>
      <c r="B380" s="124" t="s">
        <v>113</v>
      </c>
      <c r="C380" s="124" t="s">
        <v>1178</v>
      </c>
      <c r="D380" s="124" t="s">
        <v>269</v>
      </c>
      <c r="E380" s="126" t="s">
        <v>1303</v>
      </c>
      <c r="F380" s="124" t="s">
        <v>1301</v>
      </c>
    </row>
    <row r="381">
      <c r="A381" s="125">
        <v>44301.756602152775</v>
      </c>
      <c r="B381" s="124" t="s">
        <v>113</v>
      </c>
      <c r="C381" s="124" t="s">
        <v>63</v>
      </c>
      <c r="D381" s="124" t="s">
        <v>530</v>
      </c>
      <c r="E381" s="126" t="s">
        <v>1305</v>
      </c>
      <c r="F381" s="124" t="s">
        <v>1306</v>
      </c>
    </row>
    <row r="382">
      <c r="A382" s="125">
        <v>44301.75711322916</v>
      </c>
      <c r="B382" s="124" t="s">
        <v>113</v>
      </c>
      <c r="C382" s="124" t="s">
        <v>1171</v>
      </c>
      <c r="D382" s="124" t="s">
        <v>530</v>
      </c>
      <c r="E382" s="126" t="s">
        <v>1308</v>
      </c>
      <c r="F382" s="124" t="s">
        <v>1309</v>
      </c>
    </row>
    <row r="383">
      <c r="A383" s="125">
        <v>44301.75765453704</v>
      </c>
      <c r="B383" s="124" t="s">
        <v>113</v>
      </c>
      <c r="C383" s="124" t="s">
        <v>1178</v>
      </c>
      <c r="D383" s="124" t="s">
        <v>530</v>
      </c>
      <c r="E383" s="126" t="s">
        <v>1310</v>
      </c>
      <c r="F383" s="124" t="s">
        <v>1312</v>
      </c>
    </row>
    <row r="384">
      <c r="A384" s="125">
        <v>44301.75931685185</v>
      </c>
      <c r="B384" s="124" t="s">
        <v>113</v>
      </c>
      <c r="C384" s="124" t="s">
        <v>63</v>
      </c>
      <c r="D384" s="124" t="s">
        <v>185</v>
      </c>
      <c r="E384" s="126" t="s">
        <v>1314</v>
      </c>
      <c r="F384" s="124" t="s">
        <v>1316</v>
      </c>
    </row>
    <row r="385">
      <c r="A385" s="125">
        <v>44301.759801875</v>
      </c>
      <c r="B385" s="124" t="s">
        <v>113</v>
      </c>
      <c r="C385" s="124" t="s">
        <v>1171</v>
      </c>
      <c r="D385" s="124" t="s">
        <v>185</v>
      </c>
      <c r="E385" s="126" t="s">
        <v>1317</v>
      </c>
      <c r="F385" s="124" t="s">
        <v>1319</v>
      </c>
    </row>
    <row r="386">
      <c r="A386" s="125">
        <v>44301.760242986114</v>
      </c>
      <c r="B386" s="124" t="s">
        <v>113</v>
      </c>
      <c r="C386" s="124" t="s">
        <v>1178</v>
      </c>
      <c r="D386" s="124" t="s">
        <v>185</v>
      </c>
      <c r="E386" s="126" t="s">
        <v>1320</v>
      </c>
      <c r="F386" s="124" t="s">
        <v>1323</v>
      </c>
    </row>
    <row r="387">
      <c r="A387" s="125">
        <v>44301.76086447916</v>
      </c>
      <c r="B387" s="124" t="s">
        <v>113</v>
      </c>
      <c r="C387" s="124" t="s">
        <v>63</v>
      </c>
      <c r="D387" s="124" t="s">
        <v>1324</v>
      </c>
      <c r="E387" s="126" t="s">
        <v>1325</v>
      </c>
      <c r="F387" s="124" t="s">
        <v>1327</v>
      </c>
    </row>
    <row r="388">
      <c r="A388" s="125">
        <v>44301.76237435185</v>
      </c>
      <c r="B388" s="124" t="s">
        <v>113</v>
      </c>
      <c r="C388" s="124" t="s">
        <v>1171</v>
      </c>
      <c r="D388" s="124" t="s">
        <v>1324</v>
      </c>
      <c r="E388" s="126" t="s">
        <v>1328</v>
      </c>
      <c r="F388" s="124" t="s">
        <v>1330</v>
      </c>
    </row>
    <row r="389">
      <c r="A389" s="125">
        <v>44301.76253871528</v>
      </c>
      <c r="B389" s="124" t="s">
        <v>113</v>
      </c>
      <c r="C389" s="124" t="s">
        <v>1178</v>
      </c>
      <c r="D389" s="124" t="s">
        <v>1324</v>
      </c>
      <c r="E389" s="126" t="s">
        <v>1331</v>
      </c>
      <c r="F389" s="124" t="s">
        <v>1333</v>
      </c>
    </row>
    <row r="390">
      <c r="A390" s="125">
        <v>44301.76795206018</v>
      </c>
      <c r="B390" s="124" t="s">
        <v>113</v>
      </c>
      <c r="C390" s="124" t="s">
        <v>63</v>
      </c>
      <c r="D390" s="124" t="s">
        <v>149</v>
      </c>
      <c r="E390" s="126" t="s">
        <v>1334</v>
      </c>
      <c r="F390" s="124" t="s">
        <v>1336</v>
      </c>
    </row>
    <row r="391">
      <c r="A391" s="125">
        <v>44301.76906085648</v>
      </c>
      <c r="B391" s="124" t="s">
        <v>113</v>
      </c>
      <c r="C391" s="124" t="s">
        <v>63</v>
      </c>
      <c r="D391" s="124" t="s">
        <v>1337</v>
      </c>
      <c r="E391" s="126" t="s">
        <v>1338</v>
      </c>
      <c r="F391" s="124" t="s">
        <v>1340</v>
      </c>
    </row>
    <row r="392">
      <c r="A392" s="125">
        <v>44301.76912734954</v>
      </c>
      <c r="B392" s="124" t="s">
        <v>113</v>
      </c>
      <c r="C392" s="124" t="s">
        <v>63</v>
      </c>
      <c r="D392" s="124" t="s">
        <v>554</v>
      </c>
      <c r="E392" s="126" t="s">
        <v>1341</v>
      </c>
      <c r="F392" s="124" t="s">
        <v>1343</v>
      </c>
    </row>
    <row r="393">
      <c r="A393" s="125">
        <v>44301.76956483796</v>
      </c>
      <c r="B393" s="124" t="s">
        <v>113</v>
      </c>
      <c r="C393" s="124" t="s">
        <v>1171</v>
      </c>
      <c r="D393" s="124" t="s">
        <v>554</v>
      </c>
      <c r="E393" s="126" t="s">
        <v>1344</v>
      </c>
      <c r="F393" s="124" t="s">
        <v>1346</v>
      </c>
    </row>
    <row r="394">
      <c r="A394" s="125">
        <v>44301.76969376157</v>
      </c>
      <c r="B394" s="124" t="s">
        <v>113</v>
      </c>
      <c r="C394" s="124" t="s">
        <v>1171</v>
      </c>
      <c r="D394" s="124" t="s">
        <v>1337</v>
      </c>
      <c r="E394" s="126" t="s">
        <v>1347</v>
      </c>
      <c r="F394" s="124" t="s">
        <v>1349</v>
      </c>
    </row>
    <row r="395">
      <c r="A395" s="125">
        <v>44301.77007060185</v>
      </c>
      <c r="B395" s="124" t="s">
        <v>113</v>
      </c>
      <c r="C395" s="124" t="s">
        <v>1178</v>
      </c>
      <c r="D395" s="124" t="s">
        <v>554</v>
      </c>
      <c r="E395" s="126" t="s">
        <v>1350</v>
      </c>
      <c r="F395" s="124" t="s">
        <v>1352</v>
      </c>
    </row>
    <row r="396">
      <c r="A396" s="125">
        <v>44301.77037388889</v>
      </c>
      <c r="B396" s="124" t="s">
        <v>113</v>
      </c>
      <c r="C396" s="124" t="s">
        <v>1178</v>
      </c>
      <c r="D396" s="124" t="s">
        <v>1337</v>
      </c>
      <c r="E396" s="126" t="s">
        <v>1353</v>
      </c>
      <c r="F396" s="124" t="s">
        <v>1355</v>
      </c>
    </row>
    <row r="397">
      <c r="A397" s="125">
        <v>44301.79407605324</v>
      </c>
      <c r="B397" s="124" t="s">
        <v>113</v>
      </c>
      <c r="C397" s="124" t="s">
        <v>63</v>
      </c>
      <c r="D397" s="124" t="s">
        <v>401</v>
      </c>
      <c r="E397" s="126" t="s">
        <v>1356</v>
      </c>
      <c r="F397" s="124" t="s">
        <v>1358</v>
      </c>
    </row>
    <row r="398">
      <c r="A398" s="125">
        <v>44301.79413945602</v>
      </c>
      <c r="B398" s="124" t="s">
        <v>113</v>
      </c>
      <c r="C398" s="124" t="s">
        <v>1171</v>
      </c>
      <c r="D398" s="124" t="s">
        <v>401</v>
      </c>
      <c r="E398" s="126" t="s">
        <v>1359</v>
      </c>
      <c r="F398" s="124" t="s">
        <v>1362</v>
      </c>
    </row>
    <row r="399">
      <c r="A399" s="125">
        <v>44301.794284999996</v>
      </c>
      <c r="B399" s="124" t="s">
        <v>113</v>
      </c>
      <c r="C399" s="124" t="s">
        <v>1178</v>
      </c>
      <c r="D399" s="124" t="s">
        <v>401</v>
      </c>
      <c r="E399" s="126" t="s">
        <v>1363</v>
      </c>
      <c r="F399" s="124" t="s">
        <v>1365</v>
      </c>
    </row>
    <row r="400">
      <c r="A400" s="125">
        <v>44301.81080905093</v>
      </c>
      <c r="B400" s="124" t="s">
        <v>113</v>
      </c>
      <c r="C400" s="124" t="s">
        <v>63</v>
      </c>
      <c r="D400" s="124" t="s">
        <v>220</v>
      </c>
      <c r="E400" s="126" t="s">
        <v>1366</v>
      </c>
      <c r="F400" s="124" t="s">
        <v>1367</v>
      </c>
    </row>
    <row r="401">
      <c r="A401" s="125">
        <v>44301.81130696759</v>
      </c>
      <c r="B401" s="124" t="s">
        <v>113</v>
      </c>
      <c r="C401" s="124" t="s">
        <v>1171</v>
      </c>
      <c r="D401" s="124" t="s">
        <v>220</v>
      </c>
      <c r="E401" s="126" t="s">
        <v>1369</v>
      </c>
      <c r="F401" s="124" t="s">
        <v>1370</v>
      </c>
    </row>
    <row r="402">
      <c r="A402" s="125">
        <v>44301.812101759264</v>
      </c>
      <c r="B402" s="124" t="s">
        <v>113</v>
      </c>
      <c r="C402" s="124" t="s">
        <v>1178</v>
      </c>
      <c r="D402" s="124" t="s">
        <v>220</v>
      </c>
      <c r="E402" s="126" t="s">
        <v>1372</v>
      </c>
      <c r="F402" s="124" t="s">
        <v>1373</v>
      </c>
    </row>
    <row r="403">
      <c r="A403" s="125">
        <v>44301.8279297338</v>
      </c>
      <c r="B403" s="124" t="s">
        <v>113</v>
      </c>
      <c r="C403" s="124" t="s">
        <v>1171</v>
      </c>
      <c r="D403" s="124" t="s">
        <v>1375</v>
      </c>
      <c r="E403" s="126" t="s">
        <v>1376</v>
      </c>
      <c r="F403" s="124" t="s">
        <v>1377</v>
      </c>
    </row>
    <row r="404">
      <c r="A404" s="125">
        <v>44301.84807412037</v>
      </c>
      <c r="B404" s="124" t="s">
        <v>113</v>
      </c>
      <c r="C404" s="124" t="s">
        <v>1171</v>
      </c>
      <c r="D404" s="124" t="s">
        <v>1379</v>
      </c>
      <c r="E404" s="126" t="s">
        <v>1380</v>
      </c>
      <c r="F404" s="124" t="s">
        <v>1381</v>
      </c>
    </row>
    <row r="405">
      <c r="A405" s="125">
        <v>44301.84812115741</v>
      </c>
      <c r="B405" s="124" t="s">
        <v>113</v>
      </c>
      <c r="C405" s="124" t="s">
        <v>63</v>
      </c>
      <c r="D405" s="124" t="s">
        <v>1382</v>
      </c>
      <c r="E405" s="126" t="s">
        <v>1384</v>
      </c>
      <c r="F405" s="124" t="s">
        <v>1385</v>
      </c>
    </row>
    <row r="406">
      <c r="A406" s="125">
        <v>44301.84835585648</v>
      </c>
      <c r="B406" s="124" t="s">
        <v>113</v>
      </c>
      <c r="C406" s="124" t="s">
        <v>1178</v>
      </c>
      <c r="D406" s="124" t="s">
        <v>1379</v>
      </c>
      <c r="E406" s="126" t="s">
        <v>1387</v>
      </c>
      <c r="F406" s="124" t="s">
        <v>1388</v>
      </c>
    </row>
    <row r="407">
      <c r="A407" s="125">
        <v>44301.84995921297</v>
      </c>
      <c r="B407" s="124" t="s">
        <v>113</v>
      </c>
      <c r="C407" s="124" t="s">
        <v>1171</v>
      </c>
      <c r="D407" s="124" t="s">
        <v>1382</v>
      </c>
      <c r="E407" s="126" t="s">
        <v>1389</v>
      </c>
      <c r="F407" s="124" t="s">
        <v>1391</v>
      </c>
    </row>
    <row r="408">
      <c r="A408" s="125">
        <v>44301.85311916667</v>
      </c>
      <c r="B408" s="124" t="s">
        <v>113</v>
      </c>
      <c r="C408" s="124" t="s">
        <v>63</v>
      </c>
      <c r="D408" s="124" t="s">
        <v>1392</v>
      </c>
      <c r="E408" s="126" t="s">
        <v>1393</v>
      </c>
      <c r="F408" s="124" t="s">
        <v>1395</v>
      </c>
    </row>
    <row r="409">
      <c r="A409" s="125">
        <v>44301.853242627316</v>
      </c>
      <c r="B409" s="124" t="s">
        <v>113</v>
      </c>
      <c r="C409" s="124" t="s">
        <v>1171</v>
      </c>
      <c r="D409" s="124" t="s">
        <v>1392</v>
      </c>
      <c r="E409" s="126" t="s">
        <v>1396</v>
      </c>
      <c r="F409" s="124" t="s">
        <v>1398</v>
      </c>
    </row>
    <row r="410">
      <c r="A410" s="125">
        <v>44301.8534675463</v>
      </c>
      <c r="B410" s="124" t="s">
        <v>113</v>
      </c>
      <c r="C410" s="124" t="s">
        <v>1178</v>
      </c>
      <c r="D410" s="124" t="s">
        <v>1392</v>
      </c>
      <c r="E410" s="126" t="s">
        <v>1399</v>
      </c>
      <c r="F410" s="124" t="s">
        <v>1401</v>
      </c>
    </row>
    <row r="411">
      <c r="A411" s="125">
        <v>44301.86108674768</v>
      </c>
      <c r="B411" s="124" t="s">
        <v>113</v>
      </c>
      <c r="C411" s="124" t="s">
        <v>1171</v>
      </c>
      <c r="D411" s="124" t="s">
        <v>1402</v>
      </c>
      <c r="E411" s="126" t="s">
        <v>1403</v>
      </c>
      <c r="F411" s="124" t="s">
        <v>1405</v>
      </c>
    </row>
    <row r="412">
      <c r="A412" s="125">
        <v>44301.86128549768</v>
      </c>
      <c r="B412" s="124" t="s">
        <v>113</v>
      </c>
      <c r="C412" s="124" t="s">
        <v>63</v>
      </c>
      <c r="D412" s="124" t="s">
        <v>1402</v>
      </c>
      <c r="E412" s="126" t="s">
        <v>1406</v>
      </c>
      <c r="F412" s="124" t="s">
        <v>1407</v>
      </c>
    </row>
    <row r="413">
      <c r="A413" s="125">
        <v>44301.86150303241</v>
      </c>
      <c r="B413" s="124" t="s">
        <v>113</v>
      </c>
      <c r="C413" s="124" t="s">
        <v>1178</v>
      </c>
      <c r="D413" s="124" t="s">
        <v>1402</v>
      </c>
      <c r="E413" s="126" t="s">
        <v>1409</v>
      </c>
      <c r="F413" s="124" t="s">
        <v>1410</v>
      </c>
    </row>
    <row r="414">
      <c r="A414" s="125">
        <v>44301.89130503472</v>
      </c>
      <c r="B414" s="124" t="s">
        <v>113</v>
      </c>
      <c r="C414" s="124" t="s">
        <v>1178</v>
      </c>
      <c r="D414" s="124" t="s">
        <v>1382</v>
      </c>
      <c r="E414" s="126" t="s">
        <v>1411</v>
      </c>
      <c r="F414" s="124" t="s">
        <v>1413</v>
      </c>
    </row>
    <row r="415">
      <c r="A415" s="125">
        <v>44301.93898475694</v>
      </c>
      <c r="B415" s="124" t="s">
        <v>113</v>
      </c>
      <c r="C415" s="124" t="s">
        <v>63</v>
      </c>
      <c r="D415" s="124" t="s">
        <v>941</v>
      </c>
      <c r="E415" s="126" t="s">
        <v>1414</v>
      </c>
      <c r="F415" s="124" t="s">
        <v>1416</v>
      </c>
    </row>
    <row r="416">
      <c r="A416" s="125">
        <v>44301.939259074075</v>
      </c>
      <c r="B416" s="124" t="s">
        <v>113</v>
      </c>
      <c r="C416" s="124" t="s">
        <v>1171</v>
      </c>
      <c r="D416" s="124" t="s">
        <v>941</v>
      </c>
      <c r="E416" s="126" t="s">
        <v>1417</v>
      </c>
      <c r="F416" s="124" t="s">
        <v>1419</v>
      </c>
    </row>
    <row r="417">
      <c r="A417" s="125">
        <v>44301.93945984954</v>
      </c>
      <c r="B417" s="124" t="s">
        <v>113</v>
      </c>
      <c r="C417" s="124" t="s">
        <v>1178</v>
      </c>
      <c r="D417" s="124" t="s">
        <v>941</v>
      </c>
      <c r="E417" s="126" t="s">
        <v>1420</v>
      </c>
      <c r="F417" s="124" t="s">
        <v>1422</v>
      </c>
    </row>
    <row r="418">
      <c r="A418" s="125">
        <v>44302.377128125</v>
      </c>
      <c r="B418" s="124" t="s">
        <v>113</v>
      </c>
      <c r="C418" s="124" t="s">
        <v>63</v>
      </c>
      <c r="D418" s="124" t="s">
        <v>918</v>
      </c>
      <c r="E418" s="126" t="s">
        <v>1423</v>
      </c>
      <c r="F418" s="124" t="s">
        <v>1425</v>
      </c>
    </row>
    <row r="419">
      <c r="A419" s="125">
        <v>44302.3771355787</v>
      </c>
      <c r="B419" s="124" t="s">
        <v>113</v>
      </c>
      <c r="C419" s="124" t="s">
        <v>63</v>
      </c>
      <c r="D419" s="124" t="s">
        <v>152</v>
      </c>
      <c r="E419" s="126" t="s">
        <v>1426</v>
      </c>
      <c r="F419" s="124" t="s">
        <v>1427</v>
      </c>
    </row>
    <row r="420">
      <c r="A420" s="125">
        <v>44302.38261859954</v>
      </c>
      <c r="B420" s="124" t="s">
        <v>113</v>
      </c>
      <c r="C420" s="124" t="s">
        <v>63</v>
      </c>
      <c r="D420" s="124" t="s">
        <v>577</v>
      </c>
      <c r="E420" s="126" t="s">
        <v>1428</v>
      </c>
      <c r="F420" s="124" t="s">
        <v>1429</v>
      </c>
    </row>
    <row r="421">
      <c r="A421" s="125">
        <v>44302.382922199075</v>
      </c>
      <c r="B421" s="124" t="s">
        <v>113</v>
      </c>
      <c r="C421" s="124" t="s">
        <v>1178</v>
      </c>
      <c r="D421" s="124" t="s">
        <v>577</v>
      </c>
      <c r="E421" s="126" t="s">
        <v>1430</v>
      </c>
      <c r="F421" s="124" t="s">
        <v>1431</v>
      </c>
    </row>
    <row r="422">
      <c r="A422" s="125">
        <v>44302.38299267361</v>
      </c>
      <c r="B422" s="124" t="s">
        <v>113</v>
      </c>
      <c r="C422" s="124" t="s">
        <v>1171</v>
      </c>
      <c r="D422" s="124" t="s">
        <v>577</v>
      </c>
      <c r="E422" s="126" t="s">
        <v>1432</v>
      </c>
      <c r="F422" s="124" t="s">
        <v>1433</v>
      </c>
    </row>
    <row r="423">
      <c r="A423" s="125">
        <v>44302.39670320602</v>
      </c>
      <c r="B423" s="124" t="s">
        <v>113</v>
      </c>
      <c r="C423" s="124" t="s">
        <v>1171</v>
      </c>
      <c r="D423" s="124" t="s">
        <v>206</v>
      </c>
      <c r="E423" s="126" t="s">
        <v>1434</v>
      </c>
      <c r="F423" s="124" t="s">
        <v>1435</v>
      </c>
    </row>
    <row r="424">
      <c r="A424" s="125">
        <v>44302.40091159722</v>
      </c>
      <c r="B424" s="124" t="s">
        <v>113</v>
      </c>
      <c r="C424" s="124" t="s">
        <v>63</v>
      </c>
      <c r="D424" s="124" t="s">
        <v>1436</v>
      </c>
      <c r="E424" s="126" t="s">
        <v>1437</v>
      </c>
      <c r="F424" s="124" t="s">
        <v>1438</v>
      </c>
    </row>
    <row r="425">
      <c r="A425" s="125">
        <v>44302.40120212963</v>
      </c>
      <c r="B425" s="124" t="s">
        <v>113</v>
      </c>
      <c r="C425" s="124" t="s">
        <v>1171</v>
      </c>
      <c r="D425" s="124" t="s">
        <v>1436</v>
      </c>
      <c r="E425" s="126" t="s">
        <v>1439</v>
      </c>
      <c r="F425" s="124" t="s">
        <v>1440</v>
      </c>
    </row>
    <row r="426">
      <c r="A426" s="125">
        <v>44302.401350995366</v>
      </c>
      <c r="B426" s="124" t="s">
        <v>113</v>
      </c>
      <c r="C426" s="124" t="s">
        <v>63</v>
      </c>
      <c r="D426" s="124" t="s">
        <v>1441</v>
      </c>
      <c r="E426" s="126" t="s">
        <v>1442</v>
      </c>
      <c r="F426" s="124" t="s">
        <v>1443</v>
      </c>
    </row>
    <row r="427">
      <c r="A427" s="125">
        <v>44302.40140737269</v>
      </c>
      <c r="B427" s="124" t="s">
        <v>113</v>
      </c>
      <c r="C427" s="124" t="s">
        <v>1178</v>
      </c>
      <c r="D427" s="124" t="s">
        <v>1436</v>
      </c>
      <c r="E427" s="126" t="s">
        <v>1444</v>
      </c>
      <c r="F427" s="124" t="s">
        <v>1445</v>
      </c>
    </row>
    <row r="428">
      <c r="A428" s="125">
        <v>44302.40152018519</v>
      </c>
      <c r="B428" s="124" t="s">
        <v>113</v>
      </c>
      <c r="C428" s="124" t="s">
        <v>1171</v>
      </c>
      <c r="D428" s="124" t="s">
        <v>1441</v>
      </c>
      <c r="E428" s="126" t="s">
        <v>1446</v>
      </c>
      <c r="F428" s="124" t="s">
        <v>1447</v>
      </c>
    </row>
    <row r="429">
      <c r="A429" s="125">
        <v>44302.40175072917</v>
      </c>
      <c r="B429" s="124" t="s">
        <v>113</v>
      </c>
      <c r="C429" s="124" t="s">
        <v>1178</v>
      </c>
      <c r="D429" s="124" t="s">
        <v>1441</v>
      </c>
      <c r="E429" s="126" t="s">
        <v>1448</v>
      </c>
      <c r="F429" s="124" t="s">
        <v>1449</v>
      </c>
    </row>
    <row r="430">
      <c r="A430" s="125">
        <v>44302.40969920139</v>
      </c>
      <c r="B430" s="124" t="s">
        <v>113</v>
      </c>
      <c r="C430" s="124" t="s">
        <v>1171</v>
      </c>
      <c r="D430" s="124" t="s">
        <v>434</v>
      </c>
      <c r="E430" s="126" t="s">
        <v>1450</v>
      </c>
      <c r="F430" s="124" t="s">
        <v>1451</v>
      </c>
    </row>
    <row r="431">
      <c r="A431" s="125">
        <v>44302.409822118054</v>
      </c>
      <c r="B431" s="124" t="s">
        <v>113</v>
      </c>
      <c r="C431" s="124" t="s">
        <v>1178</v>
      </c>
      <c r="D431" s="124" t="s">
        <v>434</v>
      </c>
      <c r="E431" s="126" t="s">
        <v>1452</v>
      </c>
      <c r="F431" s="124" t="s">
        <v>1453</v>
      </c>
    </row>
    <row r="432">
      <c r="A432" s="125">
        <v>44302.41429053241</v>
      </c>
      <c r="B432" s="124" t="s">
        <v>113</v>
      </c>
      <c r="C432" s="124" t="s">
        <v>1171</v>
      </c>
      <c r="D432" s="124" t="s">
        <v>421</v>
      </c>
      <c r="E432" s="126" t="s">
        <v>1454</v>
      </c>
      <c r="F432" s="124" t="s">
        <v>1455</v>
      </c>
    </row>
    <row r="433">
      <c r="A433" s="125">
        <v>44302.43699447917</v>
      </c>
      <c r="B433" s="124" t="s">
        <v>113</v>
      </c>
      <c r="C433" s="124" t="s">
        <v>63</v>
      </c>
      <c r="D433" s="124" t="s">
        <v>1456</v>
      </c>
      <c r="E433" s="126" t="s">
        <v>1457</v>
      </c>
      <c r="F433" s="124" t="s">
        <v>1458</v>
      </c>
    </row>
    <row r="434">
      <c r="A434" s="125">
        <v>44302.43739773148</v>
      </c>
      <c r="B434" s="124" t="s">
        <v>113</v>
      </c>
      <c r="C434" s="124" t="s">
        <v>1171</v>
      </c>
      <c r="D434" s="124" t="s">
        <v>1456</v>
      </c>
      <c r="E434" s="126" t="s">
        <v>1459</v>
      </c>
      <c r="F434" s="124" t="s">
        <v>1460</v>
      </c>
    </row>
    <row r="435">
      <c r="A435" s="125">
        <v>44302.43768523148</v>
      </c>
      <c r="B435" s="124" t="s">
        <v>113</v>
      </c>
      <c r="C435" s="124" t="s">
        <v>1178</v>
      </c>
      <c r="D435" s="124" t="s">
        <v>1456</v>
      </c>
      <c r="E435" s="126" t="s">
        <v>1461</v>
      </c>
      <c r="F435" s="124" t="s">
        <v>1462</v>
      </c>
    </row>
    <row r="436">
      <c r="A436" s="125">
        <v>44302.45012591435</v>
      </c>
      <c r="B436" s="124" t="s">
        <v>113</v>
      </c>
      <c r="C436" s="124" t="s">
        <v>63</v>
      </c>
      <c r="D436" s="124" t="s">
        <v>1015</v>
      </c>
      <c r="E436" s="126" t="s">
        <v>1463</v>
      </c>
      <c r="F436" s="124" t="s">
        <v>1464</v>
      </c>
    </row>
    <row r="437">
      <c r="A437" s="125">
        <v>44302.45082273148</v>
      </c>
      <c r="B437" s="124" t="s">
        <v>113</v>
      </c>
      <c r="C437" s="124" t="s">
        <v>1171</v>
      </c>
      <c r="D437" s="124" t="s">
        <v>1015</v>
      </c>
      <c r="E437" s="126" t="s">
        <v>1465</v>
      </c>
      <c r="F437" s="124" t="s">
        <v>1466</v>
      </c>
    </row>
    <row r="438">
      <c r="A438" s="125">
        <v>44302.45386349537</v>
      </c>
      <c r="B438" s="124" t="s">
        <v>113</v>
      </c>
      <c r="C438" s="124" t="s">
        <v>63</v>
      </c>
      <c r="D438" s="124" t="s">
        <v>1467</v>
      </c>
      <c r="E438" s="126" t="s">
        <v>1468</v>
      </c>
      <c r="F438" s="124" t="s">
        <v>1469</v>
      </c>
    </row>
    <row r="439">
      <c r="A439" s="125">
        <v>44302.46686443287</v>
      </c>
      <c r="B439" s="124" t="s">
        <v>113</v>
      </c>
      <c r="C439" s="124" t="s">
        <v>63</v>
      </c>
      <c r="D439" s="124" t="s">
        <v>520</v>
      </c>
      <c r="E439" s="126" t="s">
        <v>1470</v>
      </c>
      <c r="F439" s="124" t="s">
        <v>1471</v>
      </c>
    </row>
    <row r="440">
      <c r="A440" s="125">
        <v>44302.4669927662</v>
      </c>
      <c r="B440" s="124" t="s">
        <v>113</v>
      </c>
      <c r="C440" s="124" t="s">
        <v>1171</v>
      </c>
      <c r="D440" s="124" t="s">
        <v>520</v>
      </c>
      <c r="E440" s="126" t="s">
        <v>1472</v>
      </c>
      <c r="F440" s="124" t="s">
        <v>1473</v>
      </c>
    </row>
    <row r="441">
      <c r="A441" s="125">
        <v>44302.46722872685</v>
      </c>
      <c r="B441" s="124" t="s">
        <v>113</v>
      </c>
      <c r="C441" s="124" t="s">
        <v>1178</v>
      </c>
      <c r="D441" s="124" t="s">
        <v>520</v>
      </c>
      <c r="E441" s="126" t="s">
        <v>1474</v>
      </c>
      <c r="F441" s="124" t="s">
        <v>1475</v>
      </c>
    </row>
    <row r="442">
      <c r="A442" s="125">
        <v>44302.48303974537</v>
      </c>
      <c r="B442" s="124" t="s">
        <v>113</v>
      </c>
      <c r="C442" s="124" t="s">
        <v>63</v>
      </c>
      <c r="D442" s="124" t="s">
        <v>236</v>
      </c>
      <c r="E442" s="126" t="s">
        <v>1476</v>
      </c>
      <c r="F442" s="124" t="s">
        <v>1477</v>
      </c>
    </row>
    <row r="443">
      <c r="A443" s="125">
        <v>44302.48310793981</v>
      </c>
      <c r="B443" s="124" t="s">
        <v>113</v>
      </c>
      <c r="C443" s="124" t="s">
        <v>1171</v>
      </c>
      <c r="D443" s="124" t="s">
        <v>658</v>
      </c>
      <c r="E443" s="126" t="s">
        <v>1478</v>
      </c>
      <c r="F443" s="124" t="s">
        <v>1479</v>
      </c>
    </row>
    <row r="444">
      <c r="A444" s="125">
        <v>44302.48326199074</v>
      </c>
      <c r="B444" s="124" t="s">
        <v>113</v>
      </c>
      <c r="C444" s="124" t="s">
        <v>1178</v>
      </c>
      <c r="D444" s="124" t="s">
        <v>1480</v>
      </c>
      <c r="E444" s="126" t="s">
        <v>1481</v>
      </c>
      <c r="F444" s="124" t="s">
        <v>1482</v>
      </c>
    </row>
    <row r="445">
      <c r="A445" s="125">
        <v>44302.483414629634</v>
      </c>
      <c r="B445" s="124" t="s">
        <v>113</v>
      </c>
      <c r="C445" s="124" t="s">
        <v>1178</v>
      </c>
      <c r="D445" s="124" t="s">
        <v>658</v>
      </c>
      <c r="E445" s="126" t="s">
        <v>1483</v>
      </c>
      <c r="F445" s="124" t="s">
        <v>1484</v>
      </c>
    </row>
    <row r="446">
      <c r="A446" s="125">
        <v>44302.483816215274</v>
      </c>
      <c r="B446" s="124" t="s">
        <v>113</v>
      </c>
      <c r="C446" s="124" t="s">
        <v>63</v>
      </c>
      <c r="D446" s="124" t="s">
        <v>658</v>
      </c>
      <c r="E446" s="126" t="s">
        <v>1485</v>
      </c>
      <c r="F446" s="124" t="s">
        <v>1486</v>
      </c>
    </row>
    <row r="447">
      <c r="A447" s="125">
        <v>44302.48455138889</v>
      </c>
      <c r="B447" s="124" t="s">
        <v>113</v>
      </c>
      <c r="C447" s="124" t="s">
        <v>1178</v>
      </c>
      <c r="D447" s="124" t="s">
        <v>236</v>
      </c>
      <c r="E447" s="126" t="s">
        <v>1487</v>
      </c>
      <c r="F447" s="124" t="s">
        <v>1488</v>
      </c>
    </row>
    <row r="448">
      <c r="A448" s="125">
        <v>44302.4845937037</v>
      </c>
      <c r="B448" s="124" t="s">
        <v>113</v>
      </c>
      <c r="C448" s="124" t="s">
        <v>63</v>
      </c>
      <c r="D448" s="124" t="s">
        <v>1489</v>
      </c>
      <c r="E448" s="126" t="s">
        <v>1490</v>
      </c>
      <c r="F448" s="124" t="s">
        <v>1491</v>
      </c>
    </row>
    <row r="449">
      <c r="A449" s="125">
        <v>44302.48537079861</v>
      </c>
      <c r="B449" s="124" t="s">
        <v>113</v>
      </c>
      <c r="C449" s="124" t="s">
        <v>1171</v>
      </c>
      <c r="D449" s="124" t="s">
        <v>1492</v>
      </c>
      <c r="E449" s="126" t="s">
        <v>1493</v>
      </c>
      <c r="F449" s="124" t="s">
        <v>1494</v>
      </c>
    </row>
    <row r="450">
      <c r="A450" s="125">
        <v>44302.48630396991</v>
      </c>
      <c r="B450" s="124" t="s">
        <v>113</v>
      </c>
      <c r="C450" s="124" t="s">
        <v>1178</v>
      </c>
      <c r="D450" s="124" t="s">
        <v>1492</v>
      </c>
      <c r="E450" s="126" t="s">
        <v>1495</v>
      </c>
      <c r="F450" s="124" t="s">
        <v>1496</v>
      </c>
    </row>
    <row r="451">
      <c r="A451" s="125">
        <v>44302.492378599534</v>
      </c>
      <c r="B451" s="124" t="s">
        <v>113</v>
      </c>
      <c r="C451" s="124" t="s">
        <v>1171</v>
      </c>
      <c r="D451" s="124" t="s">
        <v>997</v>
      </c>
      <c r="E451" s="126" t="s">
        <v>1497</v>
      </c>
      <c r="F451" s="124" t="s">
        <v>1498</v>
      </c>
    </row>
    <row r="452">
      <c r="A452" s="125">
        <v>44302.49297572917</v>
      </c>
      <c r="B452" s="124" t="s">
        <v>113</v>
      </c>
      <c r="C452" s="124" t="s">
        <v>1178</v>
      </c>
      <c r="D452" s="124" t="s">
        <v>997</v>
      </c>
      <c r="E452" s="126" t="s">
        <v>1499</v>
      </c>
      <c r="F452" s="124" t="s">
        <v>1500</v>
      </c>
    </row>
    <row r="453">
      <c r="A453" s="125">
        <v>44302.50701862268</v>
      </c>
      <c r="B453" s="124" t="s">
        <v>113</v>
      </c>
      <c r="C453" s="124" t="s">
        <v>63</v>
      </c>
      <c r="D453" s="124" t="s">
        <v>1151</v>
      </c>
      <c r="E453" s="126" t="s">
        <v>1501</v>
      </c>
      <c r="F453" s="124" t="s">
        <v>1502</v>
      </c>
    </row>
    <row r="454">
      <c r="A454" s="125">
        <v>44302.50743038194</v>
      </c>
      <c r="B454" s="124" t="s">
        <v>113</v>
      </c>
      <c r="C454" s="124" t="s">
        <v>1171</v>
      </c>
      <c r="D454" s="124" t="s">
        <v>1151</v>
      </c>
      <c r="E454" s="126" t="s">
        <v>1503</v>
      </c>
      <c r="F454" s="124" t="s">
        <v>1505</v>
      </c>
    </row>
    <row r="455">
      <c r="A455" s="125">
        <v>44302.5075603125</v>
      </c>
      <c r="B455" s="124" t="s">
        <v>113</v>
      </c>
      <c r="C455" s="124" t="s">
        <v>1178</v>
      </c>
      <c r="D455" s="124" t="s">
        <v>1151</v>
      </c>
      <c r="E455" s="126" t="s">
        <v>1506</v>
      </c>
      <c r="F455" s="124" t="s">
        <v>1507</v>
      </c>
    </row>
    <row r="456">
      <c r="A456" s="125">
        <v>44302.55987094907</v>
      </c>
      <c r="B456" s="124" t="s">
        <v>113</v>
      </c>
      <c r="C456" s="124" t="s">
        <v>63</v>
      </c>
      <c r="D456" s="124" t="s">
        <v>195</v>
      </c>
      <c r="E456" s="126" t="s">
        <v>1508</v>
      </c>
      <c r="F456" s="124" t="s">
        <v>1510</v>
      </c>
    </row>
    <row r="457">
      <c r="A457" s="125">
        <v>44302.560196516206</v>
      </c>
      <c r="B457" s="124" t="s">
        <v>113</v>
      </c>
      <c r="C457" s="124" t="s">
        <v>63</v>
      </c>
      <c r="D457" s="124" t="s">
        <v>697</v>
      </c>
      <c r="E457" s="126" t="s">
        <v>1511</v>
      </c>
      <c r="F457" s="124" t="s">
        <v>1513</v>
      </c>
    </row>
    <row r="458">
      <c r="A458" s="125">
        <v>44302.579595069445</v>
      </c>
      <c r="B458" s="124" t="s">
        <v>113</v>
      </c>
      <c r="C458" s="124" t="s">
        <v>63</v>
      </c>
      <c r="D458" s="124" t="s">
        <v>538</v>
      </c>
      <c r="E458" s="126" t="s">
        <v>1514</v>
      </c>
      <c r="F458" s="124" t="s">
        <v>1516</v>
      </c>
    </row>
    <row r="459">
      <c r="A459" s="125">
        <v>44302.57984293981</v>
      </c>
      <c r="B459" s="124" t="s">
        <v>113</v>
      </c>
      <c r="C459" s="124" t="s">
        <v>1171</v>
      </c>
      <c r="D459" s="124" t="s">
        <v>538</v>
      </c>
      <c r="E459" s="126" t="s">
        <v>1517</v>
      </c>
      <c r="F459" s="124" t="s">
        <v>1519</v>
      </c>
    </row>
    <row r="460">
      <c r="A460" s="125">
        <v>44302.58018377315</v>
      </c>
      <c r="B460" s="124" t="s">
        <v>113</v>
      </c>
      <c r="C460" s="124" t="s">
        <v>1178</v>
      </c>
      <c r="D460" s="124" t="s">
        <v>538</v>
      </c>
      <c r="E460" s="126" t="s">
        <v>1520</v>
      </c>
      <c r="F460" s="124" t="s">
        <v>1521</v>
      </c>
    </row>
    <row r="461">
      <c r="A461" s="125">
        <v>44302.606715173606</v>
      </c>
      <c r="B461" s="124" t="s">
        <v>113</v>
      </c>
      <c r="C461" s="124" t="s">
        <v>63</v>
      </c>
      <c r="D461" s="124" t="s">
        <v>811</v>
      </c>
      <c r="E461" s="126" t="s">
        <v>1523</v>
      </c>
      <c r="F461" s="124" t="s">
        <v>1525</v>
      </c>
    </row>
    <row r="462">
      <c r="A462" s="125">
        <v>44302.606870972224</v>
      </c>
      <c r="B462" s="124" t="s">
        <v>113</v>
      </c>
      <c r="C462" s="124" t="s">
        <v>1171</v>
      </c>
      <c r="D462" s="124" t="s">
        <v>811</v>
      </c>
      <c r="E462" s="126" t="s">
        <v>1526</v>
      </c>
      <c r="F462" s="124" t="s">
        <v>1529</v>
      </c>
    </row>
    <row r="463">
      <c r="A463" s="125">
        <v>44302.607220659724</v>
      </c>
      <c r="B463" s="124" t="s">
        <v>113</v>
      </c>
      <c r="C463" s="124" t="s">
        <v>1178</v>
      </c>
      <c r="D463" s="124" t="s">
        <v>811</v>
      </c>
      <c r="E463" s="126" t="s">
        <v>1531</v>
      </c>
      <c r="F463" s="124" t="s">
        <v>1532</v>
      </c>
    </row>
    <row r="464">
      <c r="A464" s="125">
        <v>44302.61968521991</v>
      </c>
      <c r="B464" s="124" t="s">
        <v>113</v>
      </c>
      <c r="C464" s="124" t="s">
        <v>63</v>
      </c>
      <c r="D464" s="124" t="s">
        <v>360</v>
      </c>
      <c r="E464" s="126" t="s">
        <v>1534</v>
      </c>
      <c r="F464" s="124" t="s">
        <v>1535</v>
      </c>
    </row>
    <row r="465">
      <c r="A465" s="125">
        <v>44302.62003092593</v>
      </c>
      <c r="B465" s="124" t="s">
        <v>113</v>
      </c>
      <c r="C465" s="124" t="s">
        <v>1171</v>
      </c>
      <c r="D465" s="124" t="s">
        <v>360</v>
      </c>
      <c r="E465" s="126" t="s">
        <v>1537</v>
      </c>
      <c r="F465" s="124" t="s">
        <v>1539</v>
      </c>
    </row>
    <row r="466">
      <c r="A466" s="125">
        <v>44302.62020252315</v>
      </c>
      <c r="B466" s="124" t="s">
        <v>113</v>
      </c>
      <c r="C466" s="124" t="s">
        <v>1178</v>
      </c>
      <c r="D466" s="124" t="s">
        <v>360</v>
      </c>
      <c r="E466" s="126" t="s">
        <v>1540</v>
      </c>
      <c r="F466" s="124" t="s">
        <v>1542</v>
      </c>
    </row>
    <row r="467">
      <c r="A467" s="125">
        <v>44302.695330937495</v>
      </c>
      <c r="B467" s="124" t="s">
        <v>113</v>
      </c>
      <c r="C467" s="124" t="s">
        <v>1171</v>
      </c>
      <c r="D467" s="124" t="s">
        <v>1543</v>
      </c>
      <c r="E467" s="126" t="s">
        <v>1544</v>
      </c>
      <c r="F467" s="124" t="s">
        <v>1546</v>
      </c>
    </row>
    <row r="468">
      <c r="A468" s="125">
        <v>44302.77123388889</v>
      </c>
      <c r="B468" s="124" t="s">
        <v>113</v>
      </c>
      <c r="C468" s="124" t="s">
        <v>63</v>
      </c>
      <c r="D468" s="124" t="s">
        <v>164</v>
      </c>
      <c r="E468" s="126" t="s">
        <v>1547</v>
      </c>
      <c r="F468" s="124" t="s">
        <v>1549</v>
      </c>
    </row>
    <row r="469">
      <c r="A469" s="125">
        <v>44302.771790914354</v>
      </c>
      <c r="B469" s="124" t="s">
        <v>113</v>
      </c>
      <c r="C469" s="124" t="s">
        <v>1171</v>
      </c>
      <c r="D469" s="124" t="s">
        <v>164</v>
      </c>
      <c r="E469" s="126" t="s">
        <v>1550</v>
      </c>
      <c r="F469" s="124" t="s">
        <v>1552</v>
      </c>
    </row>
    <row r="470">
      <c r="A470" s="125">
        <v>44302.77289734954</v>
      </c>
      <c r="B470" s="124" t="s">
        <v>113</v>
      </c>
      <c r="C470" s="124" t="s">
        <v>1178</v>
      </c>
      <c r="D470" s="124" t="s">
        <v>164</v>
      </c>
      <c r="E470" s="126" t="s">
        <v>1554</v>
      </c>
      <c r="F470" s="124" t="s">
        <v>1555</v>
      </c>
    </row>
    <row r="471">
      <c r="A471" s="125">
        <v>44302.79389914352</v>
      </c>
      <c r="B471" s="124" t="s">
        <v>113</v>
      </c>
      <c r="C471" s="124" t="s">
        <v>63</v>
      </c>
      <c r="D471" s="124" t="s">
        <v>849</v>
      </c>
      <c r="E471" s="126" t="s">
        <v>1557</v>
      </c>
      <c r="F471" s="124" t="s">
        <v>1558</v>
      </c>
    </row>
    <row r="472">
      <c r="A472" s="125">
        <v>44302.79393565972</v>
      </c>
      <c r="B472" s="124" t="s">
        <v>113</v>
      </c>
      <c r="C472" s="124" t="s">
        <v>1171</v>
      </c>
      <c r="D472" s="124" t="s">
        <v>849</v>
      </c>
      <c r="E472" s="126" t="s">
        <v>1559</v>
      </c>
      <c r="F472" s="124" t="s">
        <v>1561</v>
      </c>
    </row>
    <row r="473">
      <c r="A473" s="125">
        <v>44302.794091828706</v>
      </c>
      <c r="B473" s="124" t="s">
        <v>113</v>
      </c>
      <c r="C473" s="124" t="s">
        <v>1178</v>
      </c>
      <c r="D473" s="124" t="s">
        <v>849</v>
      </c>
      <c r="E473" s="126" t="s">
        <v>1562</v>
      </c>
      <c r="F473" s="124" t="s">
        <v>1564</v>
      </c>
    </row>
    <row r="474">
      <c r="A474" s="125">
        <v>44303.3749296875</v>
      </c>
      <c r="B474" s="124" t="s">
        <v>113</v>
      </c>
      <c r="C474" s="124" t="s">
        <v>1171</v>
      </c>
      <c r="D474" s="124" t="s">
        <v>1565</v>
      </c>
      <c r="E474" s="126" t="s">
        <v>1566</v>
      </c>
      <c r="F474" s="124" t="s">
        <v>1568</v>
      </c>
    </row>
    <row r="475">
      <c r="A475" s="125">
        <v>44303.375182800926</v>
      </c>
      <c r="B475" s="124" t="s">
        <v>113</v>
      </c>
      <c r="C475" s="124" t="s">
        <v>1178</v>
      </c>
      <c r="D475" s="124" t="s">
        <v>1565</v>
      </c>
      <c r="E475" s="126" t="s">
        <v>1569</v>
      </c>
      <c r="F475" s="124" t="s">
        <v>1571</v>
      </c>
    </row>
    <row r="476">
      <c r="A476" s="125">
        <v>44303.456156388886</v>
      </c>
      <c r="B476" s="124" t="s">
        <v>113</v>
      </c>
      <c r="C476" s="124" t="s">
        <v>63</v>
      </c>
      <c r="D476" s="124" t="s">
        <v>1572</v>
      </c>
      <c r="E476" s="126" t="s">
        <v>1573</v>
      </c>
      <c r="F476" s="124" t="s">
        <v>1575</v>
      </c>
    </row>
    <row r="477">
      <c r="A477" s="125">
        <v>44303.45707635417</v>
      </c>
      <c r="B477" s="124" t="s">
        <v>113</v>
      </c>
      <c r="C477" s="124" t="s">
        <v>1171</v>
      </c>
      <c r="D477" s="124" t="s">
        <v>1572</v>
      </c>
      <c r="E477" s="126" t="s">
        <v>1576</v>
      </c>
      <c r="F477" s="124" t="s">
        <v>1577</v>
      </c>
    </row>
    <row r="478">
      <c r="A478" s="125">
        <v>44303.457177777775</v>
      </c>
      <c r="B478" s="124" t="s">
        <v>113</v>
      </c>
      <c r="C478" s="124" t="s">
        <v>1178</v>
      </c>
      <c r="D478" s="124" t="s">
        <v>1572</v>
      </c>
      <c r="E478" s="126" t="s">
        <v>1578</v>
      </c>
      <c r="F478" s="124" t="s">
        <v>1580</v>
      </c>
    </row>
    <row r="479">
      <c r="A479" s="125">
        <v>44305.35723879629</v>
      </c>
      <c r="B479" s="124" t="s">
        <v>113</v>
      </c>
      <c r="C479" s="124" t="s">
        <v>63</v>
      </c>
      <c r="D479" s="124" t="s">
        <v>549</v>
      </c>
      <c r="E479" s="126" t="s">
        <v>1581</v>
      </c>
      <c r="F479" s="124" t="s">
        <v>1583</v>
      </c>
    </row>
    <row r="480">
      <c r="A480" s="125">
        <v>44305.35762747686</v>
      </c>
      <c r="B480" s="124" t="s">
        <v>113</v>
      </c>
      <c r="C480" s="124" t="s">
        <v>1171</v>
      </c>
      <c r="D480" s="124" t="s">
        <v>549</v>
      </c>
      <c r="E480" s="126" t="s">
        <v>1584</v>
      </c>
      <c r="F480" s="124" t="s">
        <v>1586</v>
      </c>
    </row>
    <row r="481">
      <c r="A481" s="125">
        <v>44305.35797145833</v>
      </c>
      <c r="B481" s="124" t="s">
        <v>113</v>
      </c>
      <c r="C481" s="124" t="s">
        <v>1178</v>
      </c>
      <c r="D481" s="124" t="s">
        <v>549</v>
      </c>
      <c r="E481" s="126" t="s">
        <v>1587</v>
      </c>
      <c r="F481" s="124" t="s">
        <v>1588</v>
      </c>
    </row>
    <row r="482">
      <c r="A482" s="125">
        <v>44305.38252832176</v>
      </c>
      <c r="B482" s="124" t="s">
        <v>113</v>
      </c>
      <c r="C482" s="124" t="s">
        <v>63</v>
      </c>
      <c r="D482" s="124" t="s">
        <v>1589</v>
      </c>
      <c r="E482" s="126" t="s">
        <v>1590</v>
      </c>
      <c r="F482" s="124" t="s">
        <v>1592</v>
      </c>
    </row>
    <row r="483">
      <c r="A483" s="125">
        <v>44305.38273354167</v>
      </c>
      <c r="B483" s="124" t="s">
        <v>113</v>
      </c>
      <c r="C483" s="124" t="s">
        <v>1171</v>
      </c>
      <c r="D483" s="124" t="s">
        <v>1589</v>
      </c>
      <c r="E483" s="126" t="s">
        <v>1593</v>
      </c>
      <c r="F483" s="124" t="s">
        <v>1595</v>
      </c>
    </row>
    <row r="484">
      <c r="A484" s="125">
        <v>44305.38317075231</v>
      </c>
      <c r="B484" s="124" t="s">
        <v>113</v>
      </c>
      <c r="C484" s="124" t="s">
        <v>1178</v>
      </c>
      <c r="D484" s="124" t="s">
        <v>1589</v>
      </c>
      <c r="E484" s="126" t="s">
        <v>1596</v>
      </c>
      <c r="F484" s="124" t="s">
        <v>1598</v>
      </c>
    </row>
    <row r="485">
      <c r="A485" s="125">
        <v>44305.383562048606</v>
      </c>
      <c r="B485" s="124" t="s">
        <v>113</v>
      </c>
      <c r="C485" s="124" t="s">
        <v>1178</v>
      </c>
      <c r="D485" s="124" t="s">
        <v>1086</v>
      </c>
      <c r="E485" s="126" t="s">
        <v>1599</v>
      </c>
      <c r="F485" s="124" t="s">
        <v>1601</v>
      </c>
    </row>
    <row r="486">
      <c r="A486" s="125">
        <v>44305.3841090162</v>
      </c>
      <c r="B486" s="124" t="s">
        <v>113</v>
      </c>
      <c r="C486" s="124" t="s">
        <v>63</v>
      </c>
      <c r="D486" s="124" t="s">
        <v>1602</v>
      </c>
      <c r="E486" s="126" t="s">
        <v>1603</v>
      </c>
      <c r="F486" s="124" t="s">
        <v>1605</v>
      </c>
    </row>
    <row r="487">
      <c r="A487" s="125">
        <v>44305.39646945602</v>
      </c>
      <c r="B487" s="124" t="s">
        <v>113</v>
      </c>
      <c r="C487" s="124" t="s">
        <v>63</v>
      </c>
      <c r="D487" s="124" t="s">
        <v>1606</v>
      </c>
      <c r="E487" s="126" t="s">
        <v>1607</v>
      </c>
      <c r="F487" s="124" t="s">
        <v>1608</v>
      </c>
    </row>
    <row r="488">
      <c r="A488" s="125">
        <v>44305.39717923611</v>
      </c>
      <c r="B488" s="124" t="s">
        <v>113</v>
      </c>
      <c r="C488" s="124" t="s">
        <v>1178</v>
      </c>
      <c r="D488" s="124" t="s">
        <v>1606</v>
      </c>
      <c r="E488" s="126" t="s">
        <v>1609</v>
      </c>
      <c r="F488" s="124" t="s">
        <v>1610</v>
      </c>
    </row>
    <row r="489">
      <c r="A489" s="125">
        <v>44305.397364652774</v>
      </c>
      <c r="B489" s="124" t="s">
        <v>113</v>
      </c>
      <c r="C489" s="124" t="s">
        <v>63</v>
      </c>
      <c r="D489" s="124" t="s">
        <v>1612</v>
      </c>
      <c r="E489" s="126" t="s">
        <v>1613</v>
      </c>
      <c r="F489" s="124" t="s">
        <v>1614</v>
      </c>
    </row>
    <row r="490">
      <c r="A490" s="125">
        <v>44305.39768537037</v>
      </c>
      <c r="B490" s="124" t="s">
        <v>113</v>
      </c>
      <c r="C490" s="124" t="s">
        <v>1171</v>
      </c>
      <c r="D490" s="124" t="s">
        <v>1615</v>
      </c>
      <c r="E490" s="126" t="s">
        <v>1617</v>
      </c>
      <c r="F490" s="124" t="s">
        <v>1618</v>
      </c>
    </row>
    <row r="491">
      <c r="A491" s="125">
        <v>44305.39818225695</v>
      </c>
      <c r="B491" s="124" t="s">
        <v>113</v>
      </c>
      <c r="C491" s="124" t="s">
        <v>1178</v>
      </c>
      <c r="D491" s="124" t="s">
        <v>1612</v>
      </c>
      <c r="E491" s="126" t="s">
        <v>1620</v>
      </c>
      <c r="F491" s="124" t="s">
        <v>1621</v>
      </c>
    </row>
    <row r="492">
      <c r="A492" s="125">
        <v>44305.40015775463</v>
      </c>
      <c r="B492" s="124" t="s">
        <v>113</v>
      </c>
      <c r="C492" s="124" t="s">
        <v>63</v>
      </c>
      <c r="D492" s="124" t="s">
        <v>157</v>
      </c>
      <c r="E492" s="126" t="s">
        <v>1622</v>
      </c>
      <c r="F492" s="124" t="s">
        <v>1624</v>
      </c>
    </row>
    <row r="493">
      <c r="A493" s="125">
        <v>44305.40040084491</v>
      </c>
      <c r="B493" s="124" t="s">
        <v>113</v>
      </c>
      <c r="C493" s="124" t="s">
        <v>1171</v>
      </c>
      <c r="D493" s="124" t="s">
        <v>157</v>
      </c>
      <c r="E493" s="126" t="s">
        <v>1625</v>
      </c>
      <c r="F493" s="124" t="s">
        <v>1627</v>
      </c>
    </row>
    <row r="494">
      <c r="A494" s="125">
        <v>44305.4007246875</v>
      </c>
      <c r="B494" s="124" t="s">
        <v>113</v>
      </c>
      <c r="C494" s="124" t="s">
        <v>1178</v>
      </c>
      <c r="D494" s="124" t="s">
        <v>157</v>
      </c>
      <c r="E494" s="126" t="s">
        <v>1628</v>
      </c>
      <c r="F494" s="124" t="s">
        <v>1630</v>
      </c>
    </row>
    <row r="495">
      <c r="A495" s="125">
        <v>44305.40495696759</v>
      </c>
      <c r="B495" s="124" t="s">
        <v>113</v>
      </c>
      <c r="C495" s="124" t="s">
        <v>1171</v>
      </c>
      <c r="D495" s="124" t="s">
        <v>1612</v>
      </c>
      <c r="E495" s="126" t="s">
        <v>1631</v>
      </c>
      <c r="F495" s="124" t="s">
        <v>1618</v>
      </c>
    </row>
    <row r="496">
      <c r="A496" s="125">
        <v>44305.42100206019</v>
      </c>
      <c r="B496" s="124" t="s">
        <v>113</v>
      </c>
      <c r="C496" s="124" t="s">
        <v>63</v>
      </c>
      <c r="D496" s="124" t="s">
        <v>1633</v>
      </c>
      <c r="E496" s="126" t="s">
        <v>1634</v>
      </c>
      <c r="F496" s="124" t="s">
        <v>1635</v>
      </c>
    </row>
    <row r="497">
      <c r="A497" s="125">
        <v>44305.421386284725</v>
      </c>
      <c r="B497" s="124" t="s">
        <v>113</v>
      </c>
      <c r="C497" s="124" t="s">
        <v>1171</v>
      </c>
      <c r="D497" s="124" t="s">
        <v>1637</v>
      </c>
      <c r="E497" s="126" t="s">
        <v>1638</v>
      </c>
      <c r="F497" s="124" t="s">
        <v>1639</v>
      </c>
    </row>
    <row r="498">
      <c r="A498" s="125">
        <v>44305.42538943287</v>
      </c>
      <c r="B498" s="124" t="s">
        <v>113</v>
      </c>
      <c r="C498" s="124" t="s">
        <v>63</v>
      </c>
      <c r="D498" s="124" t="s">
        <v>1065</v>
      </c>
      <c r="E498" s="126" t="s">
        <v>1641</v>
      </c>
      <c r="F498" s="124" t="s">
        <v>1642</v>
      </c>
    </row>
    <row r="499">
      <c r="A499" s="125">
        <v>44305.42583087963</v>
      </c>
      <c r="B499" s="124" t="s">
        <v>113</v>
      </c>
      <c r="C499" s="124" t="s">
        <v>1171</v>
      </c>
      <c r="D499" s="124" t="s">
        <v>1065</v>
      </c>
      <c r="E499" s="126" t="s">
        <v>1644</v>
      </c>
      <c r="F499" s="124" t="s">
        <v>1645</v>
      </c>
    </row>
    <row r="500">
      <c r="A500" s="125">
        <v>44305.46275792824</v>
      </c>
      <c r="B500" s="124" t="s">
        <v>113</v>
      </c>
      <c r="C500" s="124" t="s">
        <v>63</v>
      </c>
      <c r="D500" s="124" t="s">
        <v>1646</v>
      </c>
      <c r="E500" s="126" t="s">
        <v>1647</v>
      </c>
      <c r="F500" s="124" t="s">
        <v>1649</v>
      </c>
    </row>
    <row r="501">
      <c r="A501" s="125">
        <v>44305.46394138889</v>
      </c>
      <c r="B501" s="124" t="s">
        <v>113</v>
      </c>
      <c r="C501" s="124" t="s">
        <v>1171</v>
      </c>
      <c r="D501" s="124" t="s">
        <v>1646</v>
      </c>
      <c r="E501" s="126" t="s">
        <v>1650</v>
      </c>
      <c r="F501" s="124" t="s">
        <v>1651</v>
      </c>
    </row>
    <row r="502">
      <c r="A502" s="125">
        <v>44305.47739141204</v>
      </c>
      <c r="B502" s="124" t="s">
        <v>113</v>
      </c>
      <c r="C502" s="124" t="s">
        <v>63</v>
      </c>
      <c r="D502" s="124" t="s">
        <v>901</v>
      </c>
      <c r="E502" s="126" t="s">
        <v>1653</v>
      </c>
      <c r="F502" s="124" t="s">
        <v>1654</v>
      </c>
    </row>
    <row r="503">
      <c r="A503" s="125">
        <v>44305.47764733796</v>
      </c>
      <c r="B503" s="124" t="s">
        <v>113</v>
      </c>
      <c r="C503" s="124" t="s">
        <v>1171</v>
      </c>
      <c r="D503" s="124" t="s">
        <v>901</v>
      </c>
      <c r="E503" s="126" t="s">
        <v>1656</v>
      </c>
      <c r="F503" s="124" t="s">
        <v>1657</v>
      </c>
    </row>
    <row r="504">
      <c r="A504" s="125">
        <v>44305.505562465274</v>
      </c>
      <c r="B504" s="124" t="s">
        <v>113</v>
      </c>
      <c r="C504" s="124" t="s">
        <v>1178</v>
      </c>
      <c r="D504" s="124" t="s">
        <v>476</v>
      </c>
      <c r="E504" s="126" t="s">
        <v>1658</v>
      </c>
      <c r="F504" s="124" t="s">
        <v>1659</v>
      </c>
    </row>
    <row r="505">
      <c r="A505" s="125">
        <v>44305.525159791665</v>
      </c>
      <c r="B505" s="124" t="s">
        <v>113</v>
      </c>
      <c r="C505" s="124" t="s">
        <v>63</v>
      </c>
      <c r="D505" s="124" t="s">
        <v>290</v>
      </c>
      <c r="E505" s="126" t="s">
        <v>1660</v>
      </c>
      <c r="F505" s="124" t="s">
        <v>1662</v>
      </c>
    </row>
    <row r="506">
      <c r="A506" s="125">
        <v>44305.52715513889</v>
      </c>
      <c r="B506" s="124" t="s">
        <v>113</v>
      </c>
      <c r="C506" s="124" t="s">
        <v>1171</v>
      </c>
      <c r="D506" s="124" t="s">
        <v>290</v>
      </c>
      <c r="E506" s="126" t="s">
        <v>1663</v>
      </c>
      <c r="F506" s="124" t="s">
        <v>1665</v>
      </c>
    </row>
    <row r="507">
      <c r="A507" s="125">
        <v>44305.52745140046</v>
      </c>
      <c r="B507" s="124" t="s">
        <v>113</v>
      </c>
      <c r="C507" s="124" t="s">
        <v>1178</v>
      </c>
      <c r="D507" s="124" t="s">
        <v>290</v>
      </c>
      <c r="E507" s="126" t="s">
        <v>1666</v>
      </c>
      <c r="F507" s="124" t="s">
        <v>1668</v>
      </c>
    </row>
    <row r="508">
      <c r="A508" s="125">
        <v>44305.54148511574</v>
      </c>
      <c r="B508" s="124" t="s">
        <v>113</v>
      </c>
      <c r="C508" s="124" t="s">
        <v>63</v>
      </c>
      <c r="D508" s="124" t="s">
        <v>251</v>
      </c>
      <c r="E508" s="126" t="s">
        <v>1669</v>
      </c>
      <c r="F508" s="124" t="s">
        <v>1671</v>
      </c>
    </row>
    <row r="509">
      <c r="A509" s="125">
        <v>44305.54195950231</v>
      </c>
      <c r="B509" s="124" t="s">
        <v>113</v>
      </c>
      <c r="C509" s="124" t="s">
        <v>1171</v>
      </c>
      <c r="D509" s="124" t="s">
        <v>251</v>
      </c>
      <c r="E509" s="126" t="s">
        <v>1672</v>
      </c>
      <c r="F509" s="124" t="s">
        <v>1673</v>
      </c>
    </row>
    <row r="510">
      <c r="A510" s="125">
        <v>44305.54250925926</v>
      </c>
      <c r="B510" s="124" t="s">
        <v>113</v>
      </c>
      <c r="C510" s="124" t="s">
        <v>1178</v>
      </c>
      <c r="D510" s="124" t="s">
        <v>251</v>
      </c>
      <c r="E510" s="126" t="s">
        <v>1675</v>
      </c>
      <c r="F510" s="124" t="s">
        <v>1676</v>
      </c>
    </row>
    <row r="511">
      <c r="A511" s="125">
        <v>44305.67400611111</v>
      </c>
      <c r="B511" s="124" t="s">
        <v>113</v>
      </c>
      <c r="C511" s="124" t="s">
        <v>63</v>
      </c>
      <c r="D511" s="124" t="s">
        <v>750</v>
      </c>
      <c r="E511" s="126" t="s">
        <v>1678</v>
      </c>
      <c r="F511" s="124" t="s">
        <v>1679</v>
      </c>
    </row>
    <row r="512">
      <c r="A512" s="125">
        <v>44305.674062060185</v>
      </c>
      <c r="B512" s="124" t="s">
        <v>113</v>
      </c>
      <c r="C512" s="124" t="s">
        <v>1171</v>
      </c>
      <c r="D512" s="124" t="s">
        <v>750</v>
      </c>
      <c r="E512" s="126" t="s">
        <v>1681</v>
      </c>
      <c r="F512" s="124" t="s">
        <v>1682</v>
      </c>
    </row>
    <row r="513">
      <c r="A513" s="125">
        <v>44305.67428575231</v>
      </c>
      <c r="B513" s="124" t="s">
        <v>113</v>
      </c>
      <c r="C513" s="124" t="s">
        <v>1178</v>
      </c>
      <c r="D513" s="124" t="s">
        <v>750</v>
      </c>
      <c r="E513" s="126" t="s">
        <v>1684</v>
      </c>
      <c r="F513" s="124" t="s">
        <v>1685</v>
      </c>
    </row>
    <row r="514">
      <c r="A514" s="125">
        <v>44305.6748753125</v>
      </c>
      <c r="B514" s="124" t="s">
        <v>113</v>
      </c>
      <c r="C514" s="124" t="s">
        <v>63</v>
      </c>
      <c r="D514" s="124" t="s">
        <v>334</v>
      </c>
      <c r="E514" s="126" t="s">
        <v>1687</v>
      </c>
      <c r="F514" s="124" t="s">
        <v>1688</v>
      </c>
    </row>
    <row r="515">
      <c r="A515" s="125">
        <v>44305.67489938658</v>
      </c>
      <c r="B515" s="124" t="s">
        <v>113</v>
      </c>
      <c r="C515" s="124" t="s">
        <v>1171</v>
      </c>
      <c r="D515" s="124" t="s">
        <v>334</v>
      </c>
      <c r="E515" s="126" t="s">
        <v>1689</v>
      </c>
      <c r="F515" s="124" t="s">
        <v>1691</v>
      </c>
    </row>
    <row r="516">
      <c r="A516" s="125">
        <v>44305.67501532407</v>
      </c>
      <c r="B516" s="124" t="s">
        <v>113</v>
      </c>
      <c r="C516" s="124" t="s">
        <v>1178</v>
      </c>
      <c r="D516" s="124" t="s">
        <v>334</v>
      </c>
      <c r="E516" s="126" t="s">
        <v>1692</v>
      </c>
      <c r="F516" s="124" t="s">
        <v>1694</v>
      </c>
    </row>
    <row r="517">
      <c r="A517" s="125">
        <v>44305.67543070602</v>
      </c>
      <c r="B517" s="124" t="s">
        <v>113</v>
      </c>
      <c r="C517" s="124" t="s">
        <v>63</v>
      </c>
      <c r="D517" s="124" t="s">
        <v>770</v>
      </c>
      <c r="E517" s="126" t="s">
        <v>1695</v>
      </c>
      <c r="F517" s="124" t="s">
        <v>1696</v>
      </c>
    </row>
    <row r="518">
      <c r="A518" s="125">
        <v>44305.67560170139</v>
      </c>
      <c r="B518" s="124" t="s">
        <v>113</v>
      </c>
      <c r="C518" s="124" t="s">
        <v>1171</v>
      </c>
      <c r="D518" s="124" t="s">
        <v>770</v>
      </c>
      <c r="E518" s="126" t="s">
        <v>1698</v>
      </c>
      <c r="F518" s="124" t="s">
        <v>1699</v>
      </c>
    </row>
    <row r="519">
      <c r="A519" s="125">
        <v>44305.675794814815</v>
      </c>
      <c r="B519" s="124" t="s">
        <v>113</v>
      </c>
      <c r="C519" s="124" t="s">
        <v>1178</v>
      </c>
      <c r="D519" s="124" t="s">
        <v>770</v>
      </c>
      <c r="E519" s="126" t="s">
        <v>1700</v>
      </c>
      <c r="F519" s="124" t="s">
        <v>1702</v>
      </c>
    </row>
    <row r="520">
      <c r="A520" s="125">
        <v>44305.81582164352</v>
      </c>
      <c r="B520" s="124" t="s">
        <v>113</v>
      </c>
      <c r="C520" s="124" t="s">
        <v>63</v>
      </c>
      <c r="D520" s="124" t="s">
        <v>201</v>
      </c>
      <c r="E520" s="126" t="s">
        <v>1703</v>
      </c>
      <c r="F520" s="124" t="s">
        <v>1705</v>
      </c>
    </row>
    <row r="521">
      <c r="A521" s="125">
        <v>44305.81606170139</v>
      </c>
      <c r="B521" s="124" t="s">
        <v>113</v>
      </c>
      <c r="C521" s="124" t="s">
        <v>1171</v>
      </c>
      <c r="D521" s="124" t="s">
        <v>201</v>
      </c>
      <c r="E521" s="126" t="s">
        <v>1706</v>
      </c>
      <c r="F521" s="124" t="s">
        <v>1708</v>
      </c>
    </row>
    <row r="522">
      <c r="A522" s="125">
        <v>44305.81664068287</v>
      </c>
      <c r="B522" s="124" t="s">
        <v>113</v>
      </c>
      <c r="C522" s="124" t="s">
        <v>1178</v>
      </c>
      <c r="D522" s="124" t="s">
        <v>201</v>
      </c>
      <c r="E522" s="126" t="s">
        <v>1709</v>
      </c>
      <c r="F522" s="124" t="s">
        <v>1711</v>
      </c>
    </row>
    <row r="523">
      <c r="A523" s="125">
        <v>44306.382931932865</v>
      </c>
      <c r="B523" s="124" t="s">
        <v>113</v>
      </c>
      <c r="C523" s="124" t="s">
        <v>63</v>
      </c>
      <c r="D523" s="124" t="s">
        <v>1712</v>
      </c>
      <c r="E523" s="126" t="s">
        <v>1713</v>
      </c>
      <c r="F523" s="124" t="s">
        <v>1715</v>
      </c>
    </row>
    <row r="524">
      <c r="A524" s="125">
        <v>44306.38333927083</v>
      </c>
      <c r="B524" s="124" t="s">
        <v>113</v>
      </c>
      <c r="C524" s="124" t="s">
        <v>1171</v>
      </c>
      <c r="D524" s="124" t="s">
        <v>1712</v>
      </c>
      <c r="E524" s="126" t="s">
        <v>1716</v>
      </c>
      <c r="F524" s="124" t="s">
        <v>1718</v>
      </c>
    </row>
    <row r="525">
      <c r="A525" s="125">
        <v>44306.38655350695</v>
      </c>
      <c r="B525" s="124" t="s">
        <v>113</v>
      </c>
      <c r="C525" s="124" t="s">
        <v>63</v>
      </c>
      <c r="D525" s="124" t="s">
        <v>1719</v>
      </c>
      <c r="E525" s="126" t="s">
        <v>1720</v>
      </c>
      <c r="F525" s="124" t="s">
        <v>1722</v>
      </c>
    </row>
    <row r="526">
      <c r="A526" s="125">
        <v>44306.44751711805</v>
      </c>
      <c r="B526" s="124" t="s">
        <v>113</v>
      </c>
      <c r="C526" s="124" t="s">
        <v>1178</v>
      </c>
      <c r="D526" s="124" t="s">
        <v>1723</v>
      </c>
      <c r="E526" s="126" t="s">
        <v>1724</v>
      </c>
      <c r="F526" s="124" t="s">
        <v>1725</v>
      </c>
    </row>
    <row r="527">
      <c r="A527" s="125">
        <v>44306.47428252315</v>
      </c>
      <c r="B527" s="124" t="s">
        <v>113</v>
      </c>
      <c r="C527" s="124" t="s">
        <v>63</v>
      </c>
      <c r="D527" s="124" t="s">
        <v>1727</v>
      </c>
      <c r="E527" s="126" t="s">
        <v>1728</v>
      </c>
      <c r="F527" s="124" t="s">
        <v>1729</v>
      </c>
    </row>
    <row r="528">
      <c r="A528" s="125">
        <v>44306.63507293981</v>
      </c>
      <c r="B528" s="124" t="s">
        <v>113</v>
      </c>
      <c r="C528" s="124" t="s">
        <v>63</v>
      </c>
      <c r="D528" s="124" t="s">
        <v>1123</v>
      </c>
      <c r="E528" s="126" t="s">
        <v>1730</v>
      </c>
      <c r="F528" s="124" t="s">
        <v>1732</v>
      </c>
    </row>
    <row r="529">
      <c r="A529" s="125">
        <v>44306.63513439815</v>
      </c>
      <c r="B529" s="124" t="s">
        <v>113</v>
      </c>
      <c r="C529" s="124" t="s">
        <v>1171</v>
      </c>
      <c r="D529" s="124" t="s">
        <v>1123</v>
      </c>
      <c r="E529" s="126" t="s">
        <v>1733</v>
      </c>
      <c r="F529" s="124" t="s">
        <v>1734</v>
      </c>
    </row>
    <row r="530">
      <c r="A530" s="125">
        <v>44306.635425636574</v>
      </c>
      <c r="B530" s="124" t="s">
        <v>113</v>
      </c>
      <c r="C530" s="124" t="s">
        <v>1178</v>
      </c>
      <c r="D530" s="124" t="s">
        <v>1123</v>
      </c>
      <c r="E530" s="126" t="s">
        <v>1736</v>
      </c>
      <c r="F530" s="124" t="s">
        <v>1737</v>
      </c>
    </row>
    <row r="531">
      <c r="A531" s="125">
        <v>44307.07070510417</v>
      </c>
      <c r="B531" s="124" t="s">
        <v>113</v>
      </c>
      <c r="C531" s="124" t="s">
        <v>63</v>
      </c>
      <c r="D531" s="124" t="s">
        <v>1739</v>
      </c>
      <c r="E531" s="126" t="s">
        <v>1740</v>
      </c>
      <c r="F531" s="124" t="s">
        <v>1741</v>
      </c>
    </row>
    <row r="532">
      <c r="A532" s="125">
        <v>44307.48080895834</v>
      </c>
      <c r="B532" s="124" t="s">
        <v>113</v>
      </c>
      <c r="C532" s="124" t="s">
        <v>63</v>
      </c>
      <c r="D532" s="124" t="s">
        <v>1742</v>
      </c>
      <c r="E532" s="126" t="s">
        <v>1743</v>
      </c>
      <c r="F532" s="124" t="s">
        <v>1745</v>
      </c>
    </row>
    <row r="533">
      <c r="A533" s="125">
        <v>44307.48096195602</v>
      </c>
      <c r="B533" s="124" t="s">
        <v>113</v>
      </c>
      <c r="C533" s="124" t="s">
        <v>1171</v>
      </c>
      <c r="D533" s="124" t="s">
        <v>1742</v>
      </c>
      <c r="E533" s="126" t="s">
        <v>1747</v>
      </c>
      <c r="F533" s="124" t="s">
        <v>1749</v>
      </c>
    </row>
    <row r="534">
      <c r="A534" s="125">
        <v>44307.4812555324</v>
      </c>
      <c r="B534" s="124" t="s">
        <v>113</v>
      </c>
      <c r="C534" s="124" t="s">
        <v>1178</v>
      </c>
      <c r="D534" s="124" t="s">
        <v>1742</v>
      </c>
      <c r="E534" s="126" t="s">
        <v>1750</v>
      </c>
      <c r="F534" s="124" t="s">
        <v>1752</v>
      </c>
    </row>
    <row r="535">
      <c r="A535" s="125">
        <v>44307.48405997685</v>
      </c>
      <c r="B535" s="124" t="s">
        <v>113</v>
      </c>
      <c r="C535" s="124" t="s">
        <v>1178</v>
      </c>
      <c r="D535" s="124" t="s">
        <v>648</v>
      </c>
      <c r="E535" s="126" t="s">
        <v>1754</v>
      </c>
      <c r="F535" s="124" t="s">
        <v>1755</v>
      </c>
    </row>
    <row r="536">
      <c r="A536" s="125">
        <v>44307.484267708336</v>
      </c>
      <c r="B536" s="124" t="s">
        <v>113</v>
      </c>
      <c r="C536" s="124" t="s">
        <v>1171</v>
      </c>
      <c r="D536" s="124" t="s">
        <v>648</v>
      </c>
      <c r="E536" s="126" t="s">
        <v>1757</v>
      </c>
      <c r="F536" s="124" t="s">
        <v>1759</v>
      </c>
    </row>
    <row r="537">
      <c r="A537" s="125">
        <v>44307.48441763889</v>
      </c>
      <c r="B537" s="124" t="s">
        <v>113</v>
      </c>
      <c r="C537" s="124" t="s">
        <v>63</v>
      </c>
      <c r="D537" s="124" t="s">
        <v>648</v>
      </c>
      <c r="E537" s="126" t="s">
        <v>1760</v>
      </c>
      <c r="F537" s="124" t="s">
        <v>1762</v>
      </c>
    </row>
    <row r="538">
      <c r="A538" s="125">
        <v>44307.51616380787</v>
      </c>
      <c r="B538" s="124" t="s">
        <v>113</v>
      </c>
      <c r="C538" s="124" t="s">
        <v>63</v>
      </c>
      <c r="D538" s="124" t="s">
        <v>448</v>
      </c>
      <c r="E538" s="126" t="s">
        <v>1763</v>
      </c>
      <c r="F538" s="124" t="s">
        <v>1765</v>
      </c>
    </row>
    <row r="539">
      <c r="A539" s="125">
        <v>44307.5164607176</v>
      </c>
      <c r="B539" s="124" t="s">
        <v>113</v>
      </c>
      <c r="C539" s="124" t="s">
        <v>1171</v>
      </c>
      <c r="D539" s="124" t="s">
        <v>448</v>
      </c>
      <c r="E539" s="126" t="s">
        <v>1767</v>
      </c>
      <c r="F539" s="124" t="s">
        <v>1769</v>
      </c>
    </row>
    <row r="540">
      <c r="A540" s="125">
        <v>44307.516656493055</v>
      </c>
      <c r="B540" s="124" t="s">
        <v>113</v>
      </c>
      <c r="C540" s="124" t="s">
        <v>1178</v>
      </c>
      <c r="D540" s="124" t="s">
        <v>448</v>
      </c>
      <c r="E540" s="126" t="s">
        <v>1770</v>
      </c>
      <c r="F540" s="124" t="s">
        <v>1772</v>
      </c>
    </row>
    <row r="541">
      <c r="A541" s="125">
        <v>44307.590203935186</v>
      </c>
      <c r="B541" s="124" t="s">
        <v>113</v>
      </c>
      <c r="C541" s="124" t="s">
        <v>63</v>
      </c>
      <c r="D541" s="124" t="s">
        <v>1773</v>
      </c>
      <c r="E541" s="126" t="s">
        <v>1774</v>
      </c>
      <c r="F541" s="124" t="s">
        <v>1776</v>
      </c>
    </row>
    <row r="542">
      <c r="A542" s="125">
        <v>44307.59021196759</v>
      </c>
      <c r="B542" s="124" t="s">
        <v>113</v>
      </c>
      <c r="C542" s="124" t="s">
        <v>63</v>
      </c>
      <c r="D542" s="124" t="s">
        <v>1773</v>
      </c>
      <c r="E542" s="126" t="s">
        <v>1777</v>
      </c>
      <c r="F542" s="124" t="s">
        <v>1776</v>
      </c>
    </row>
    <row r="543">
      <c r="A543" s="125">
        <v>44307.59030164352</v>
      </c>
      <c r="B543" s="124" t="s">
        <v>113</v>
      </c>
      <c r="C543" s="124" t="s">
        <v>1171</v>
      </c>
      <c r="D543" s="124" t="s">
        <v>1773</v>
      </c>
      <c r="E543" s="126" t="s">
        <v>1779</v>
      </c>
      <c r="F543" s="124" t="s">
        <v>1781</v>
      </c>
    </row>
    <row r="544">
      <c r="A544" s="125">
        <v>44307.59064616898</v>
      </c>
      <c r="B544" s="124" t="s">
        <v>113</v>
      </c>
      <c r="C544" s="124" t="s">
        <v>1178</v>
      </c>
      <c r="D544" s="124" t="s">
        <v>1773</v>
      </c>
      <c r="E544" s="126" t="s">
        <v>1782</v>
      </c>
      <c r="F544" s="124" t="s">
        <v>1784</v>
      </c>
    </row>
    <row r="545">
      <c r="A545" s="125">
        <v>44308.401493819445</v>
      </c>
      <c r="B545" s="124" t="s">
        <v>113</v>
      </c>
      <c r="C545" s="124" t="s">
        <v>1171</v>
      </c>
      <c r="D545" s="124" t="s">
        <v>316</v>
      </c>
      <c r="E545" s="126" t="s">
        <v>1785</v>
      </c>
      <c r="F545" s="124" t="s">
        <v>1787</v>
      </c>
    </row>
    <row r="546">
      <c r="A546" s="125">
        <v>44308.4015650463</v>
      </c>
      <c r="B546" s="124" t="s">
        <v>113</v>
      </c>
      <c r="C546" s="124" t="s">
        <v>1178</v>
      </c>
      <c r="D546" s="124" t="s">
        <v>316</v>
      </c>
      <c r="E546" s="126" t="s">
        <v>1789</v>
      </c>
      <c r="F546" s="124" t="s">
        <v>1791</v>
      </c>
    </row>
    <row r="547">
      <c r="A547" s="125">
        <v>44308.40917678241</v>
      </c>
      <c r="B547" s="124" t="s">
        <v>113</v>
      </c>
      <c r="C547" s="124" t="s">
        <v>63</v>
      </c>
      <c r="D547" s="124" t="s">
        <v>981</v>
      </c>
      <c r="E547" s="126" t="s">
        <v>1792</v>
      </c>
      <c r="F547" s="124" t="s">
        <v>1794</v>
      </c>
    </row>
    <row r="548">
      <c r="A548" s="125">
        <v>44308.409578506944</v>
      </c>
      <c r="B548" s="124" t="s">
        <v>113</v>
      </c>
      <c r="C548" s="124" t="s">
        <v>1171</v>
      </c>
      <c r="D548" s="124" t="s">
        <v>981</v>
      </c>
      <c r="E548" s="126" t="s">
        <v>1795</v>
      </c>
      <c r="F548" s="124" t="s">
        <v>1797</v>
      </c>
    </row>
    <row r="549">
      <c r="A549" s="125">
        <v>44308.70448755787</v>
      </c>
      <c r="B549" s="124" t="s">
        <v>113</v>
      </c>
      <c r="C549" s="124" t="s">
        <v>63</v>
      </c>
      <c r="D549" s="124" t="s">
        <v>559</v>
      </c>
      <c r="E549" s="126" t="s">
        <v>1798</v>
      </c>
      <c r="F549" s="124" t="s">
        <v>1800</v>
      </c>
    </row>
    <row r="550">
      <c r="A550" s="125">
        <v>44308.70496886574</v>
      </c>
      <c r="B550" s="124" t="s">
        <v>113</v>
      </c>
      <c r="C550" s="124" t="s">
        <v>1171</v>
      </c>
      <c r="D550" s="124" t="s">
        <v>559</v>
      </c>
      <c r="E550" s="126" t="s">
        <v>1801</v>
      </c>
      <c r="F550" s="124" t="s">
        <v>1803</v>
      </c>
    </row>
    <row r="551">
      <c r="A551" s="125">
        <v>44308.705240509255</v>
      </c>
      <c r="B551" s="124" t="s">
        <v>113</v>
      </c>
      <c r="C551" s="124" t="s">
        <v>1178</v>
      </c>
      <c r="D551" s="124" t="s">
        <v>559</v>
      </c>
      <c r="E551" s="126" t="s">
        <v>1804</v>
      </c>
      <c r="F551" s="124" t="s">
        <v>1805</v>
      </c>
    </row>
    <row r="552">
      <c r="A552" s="125">
        <v>44310.33864119213</v>
      </c>
      <c r="B552" s="124" t="s">
        <v>113</v>
      </c>
      <c r="C552" s="124" t="s">
        <v>63</v>
      </c>
      <c r="D552" s="124" t="s">
        <v>1806</v>
      </c>
      <c r="E552" s="126" t="s">
        <v>1807</v>
      </c>
      <c r="F552" s="124" t="s">
        <v>1809</v>
      </c>
    </row>
    <row r="553">
      <c r="A553" s="125">
        <v>44311.71061175926</v>
      </c>
      <c r="B553" s="124" t="s">
        <v>113</v>
      </c>
      <c r="C553" s="124" t="s">
        <v>1171</v>
      </c>
      <c r="D553" s="124" t="s">
        <v>1810</v>
      </c>
      <c r="E553" s="126" t="s">
        <v>1811</v>
      </c>
      <c r="F553" s="124" t="s">
        <v>1813</v>
      </c>
    </row>
    <row r="554">
      <c r="A554" s="125">
        <v>44311.711071875005</v>
      </c>
      <c r="B554" s="124" t="s">
        <v>113</v>
      </c>
      <c r="C554" s="124" t="s">
        <v>1178</v>
      </c>
      <c r="D554" s="124" t="s">
        <v>1810</v>
      </c>
      <c r="E554" s="126" t="s">
        <v>1814</v>
      </c>
      <c r="F554" s="124" t="s">
        <v>1816</v>
      </c>
    </row>
    <row r="555">
      <c r="A555" s="125">
        <v>44312.41275376157</v>
      </c>
      <c r="B555" s="124" t="s">
        <v>113</v>
      </c>
      <c r="C555" s="124" t="s">
        <v>63</v>
      </c>
      <c r="D555" s="124" t="s">
        <v>378</v>
      </c>
      <c r="E555" s="126" t="s">
        <v>1817</v>
      </c>
      <c r="F555" s="124" t="s">
        <v>1819</v>
      </c>
    </row>
    <row r="556">
      <c r="A556" s="125">
        <v>44312.456211701385</v>
      </c>
      <c r="B556" s="124" t="s">
        <v>113</v>
      </c>
      <c r="C556" s="124" t="s">
        <v>1171</v>
      </c>
      <c r="D556" s="124" t="s">
        <v>1820</v>
      </c>
      <c r="E556" s="126" t="s">
        <v>1821</v>
      </c>
      <c r="F556" s="124" t="s">
        <v>1823</v>
      </c>
    </row>
    <row r="557">
      <c r="A557" s="125">
        <v>44312.52377403935</v>
      </c>
      <c r="B557" s="124" t="s">
        <v>113</v>
      </c>
      <c r="C557" s="124" t="s">
        <v>63</v>
      </c>
      <c r="D557" s="124" t="s">
        <v>933</v>
      </c>
      <c r="E557" s="126" t="s">
        <v>1824</v>
      </c>
      <c r="F557" s="124" t="s">
        <v>1826</v>
      </c>
    </row>
    <row r="558">
      <c r="A558" s="125">
        <v>44312.52427010417</v>
      </c>
      <c r="B558" s="124" t="s">
        <v>113</v>
      </c>
      <c r="C558" s="124" t="s">
        <v>1171</v>
      </c>
      <c r="D558" s="124" t="s">
        <v>933</v>
      </c>
      <c r="E558" s="126" t="s">
        <v>1827</v>
      </c>
      <c r="F558" s="124" t="s">
        <v>1829</v>
      </c>
    </row>
    <row r="559">
      <c r="A559" s="125">
        <v>44312.52468555556</v>
      </c>
      <c r="B559" s="124" t="s">
        <v>113</v>
      </c>
      <c r="C559" s="124" t="s">
        <v>1178</v>
      </c>
      <c r="D559" s="124" t="s">
        <v>933</v>
      </c>
      <c r="E559" s="126" t="s">
        <v>1830</v>
      </c>
      <c r="F559" s="124" t="s">
        <v>1831</v>
      </c>
    </row>
    <row r="560">
      <c r="A560" s="125">
        <v>44312.72849814815</v>
      </c>
      <c r="B560" s="124" t="s">
        <v>113</v>
      </c>
      <c r="C560" s="124" t="s">
        <v>63</v>
      </c>
      <c r="D560" s="124" t="s">
        <v>1832</v>
      </c>
      <c r="E560" s="126" t="s">
        <v>1833</v>
      </c>
      <c r="F560" s="124" t="s">
        <v>1834</v>
      </c>
    </row>
    <row r="561">
      <c r="A561" s="125">
        <v>44312.728718240745</v>
      </c>
      <c r="B561" s="124" t="s">
        <v>113</v>
      </c>
      <c r="C561" s="124" t="s">
        <v>1171</v>
      </c>
      <c r="D561" s="124" t="s">
        <v>1832</v>
      </c>
      <c r="E561" s="126" t="s">
        <v>1835</v>
      </c>
      <c r="F561" s="124" t="s">
        <v>1837</v>
      </c>
    </row>
    <row r="562">
      <c r="A562" s="125">
        <v>44312.72909871528</v>
      </c>
      <c r="B562" s="124" t="s">
        <v>113</v>
      </c>
      <c r="C562" s="124" t="s">
        <v>1178</v>
      </c>
      <c r="D562" s="124" t="s">
        <v>1832</v>
      </c>
      <c r="E562" s="126" t="s">
        <v>1838</v>
      </c>
      <c r="F562" s="124" t="s">
        <v>1840</v>
      </c>
    </row>
    <row r="563">
      <c r="A563" s="125">
        <v>44313.35502563657</v>
      </c>
      <c r="B563" s="124" t="s">
        <v>113</v>
      </c>
      <c r="C563" s="124" t="s">
        <v>1178</v>
      </c>
      <c r="D563" s="124" t="s">
        <v>1841</v>
      </c>
      <c r="E563" s="126" t="s">
        <v>1842</v>
      </c>
      <c r="F563" s="124" t="s">
        <v>1844</v>
      </c>
    </row>
    <row r="564">
      <c r="A564" s="125">
        <v>44313.420358564814</v>
      </c>
      <c r="B564" s="124" t="s">
        <v>113</v>
      </c>
      <c r="C564" s="124" t="s">
        <v>1171</v>
      </c>
      <c r="D564" s="124" t="s">
        <v>1090</v>
      </c>
      <c r="E564" s="126" t="s">
        <v>1845</v>
      </c>
      <c r="F564" s="124" t="s">
        <v>1847</v>
      </c>
    </row>
    <row r="565">
      <c r="A565" s="125">
        <v>44313.42356834491</v>
      </c>
      <c r="B565" s="124" t="s">
        <v>113</v>
      </c>
      <c r="C565" s="124" t="s">
        <v>1171</v>
      </c>
      <c r="D565" s="124" t="s">
        <v>1848</v>
      </c>
      <c r="E565" s="126" t="s">
        <v>1849</v>
      </c>
      <c r="F565" s="124" t="s">
        <v>1851</v>
      </c>
    </row>
    <row r="566">
      <c r="A566" s="125">
        <v>44313.42377673611</v>
      </c>
      <c r="B566" s="124" t="s">
        <v>113</v>
      </c>
      <c r="C566" s="124" t="s">
        <v>1178</v>
      </c>
      <c r="D566" s="124" t="s">
        <v>1848</v>
      </c>
      <c r="E566" s="126" t="s">
        <v>1852</v>
      </c>
      <c r="F566" s="124" t="s">
        <v>1854</v>
      </c>
    </row>
    <row r="567">
      <c r="A567" s="125">
        <v>44313.44703836806</v>
      </c>
      <c r="B567" s="124" t="s">
        <v>113</v>
      </c>
      <c r="C567" s="124" t="s">
        <v>1171</v>
      </c>
      <c r="D567" s="124" t="s">
        <v>1855</v>
      </c>
      <c r="E567" s="126" t="s">
        <v>1856</v>
      </c>
      <c r="F567" s="124" t="s">
        <v>1857</v>
      </c>
    </row>
    <row r="568">
      <c r="A568" s="125">
        <v>44313.447200636576</v>
      </c>
      <c r="B568" s="124" t="s">
        <v>113</v>
      </c>
      <c r="C568" s="124" t="s">
        <v>1178</v>
      </c>
      <c r="D568" s="124" t="s">
        <v>1855</v>
      </c>
      <c r="E568" s="126" t="s">
        <v>1858</v>
      </c>
      <c r="F568" s="124" t="s">
        <v>1860</v>
      </c>
    </row>
    <row r="569">
      <c r="A569" s="125">
        <v>44313.44971554398</v>
      </c>
      <c r="B569" s="124" t="s">
        <v>113</v>
      </c>
      <c r="C569" s="124" t="s">
        <v>1171</v>
      </c>
      <c r="D569" s="124" t="s">
        <v>510</v>
      </c>
      <c r="E569" s="126" t="s">
        <v>1861</v>
      </c>
      <c r="F569" s="124" t="s">
        <v>1863</v>
      </c>
    </row>
    <row r="570">
      <c r="A570" s="125">
        <v>44313.450149930555</v>
      </c>
      <c r="B570" s="124" t="s">
        <v>113</v>
      </c>
      <c r="C570" s="124" t="s">
        <v>1171</v>
      </c>
      <c r="D570" s="124" t="s">
        <v>1864</v>
      </c>
      <c r="E570" s="126" t="s">
        <v>1865</v>
      </c>
      <c r="F570" s="124" t="s">
        <v>1866</v>
      </c>
    </row>
    <row r="571">
      <c r="A571" s="125">
        <v>44313.450391018516</v>
      </c>
      <c r="B571" s="124" t="s">
        <v>113</v>
      </c>
      <c r="C571" s="124" t="s">
        <v>1178</v>
      </c>
      <c r="D571" s="124" t="s">
        <v>1864</v>
      </c>
      <c r="E571" s="126" t="s">
        <v>1868</v>
      </c>
      <c r="F571" s="124" t="s">
        <v>1869</v>
      </c>
    </row>
    <row r="572">
      <c r="A572" s="125">
        <v>44313.451573425926</v>
      </c>
      <c r="B572" s="124" t="s">
        <v>113</v>
      </c>
      <c r="C572" s="124" t="s">
        <v>1171</v>
      </c>
      <c r="D572" s="124" t="s">
        <v>709</v>
      </c>
      <c r="E572" s="126" t="s">
        <v>1871</v>
      </c>
      <c r="F572" s="124" t="s">
        <v>1872</v>
      </c>
    </row>
    <row r="573">
      <c r="A573" s="125">
        <v>44313.451577245374</v>
      </c>
      <c r="B573" s="124" t="s">
        <v>113</v>
      </c>
      <c r="C573" s="124" t="s">
        <v>1171</v>
      </c>
      <c r="D573" s="124" t="s">
        <v>689</v>
      </c>
      <c r="E573" s="126" t="s">
        <v>1874</v>
      </c>
      <c r="F573" s="124" t="s">
        <v>1876</v>
      </c>
    </row>
    <row r="574">
      <c r="A574" s="125">
        <v>44313.45181204861</v>
      </c>
      <c r="B574" s="124" t="s">
        <v>113</v>
      </c>
      <c r="C574" s="124" t="s">
        <v>1178</v>
      </c>
      <c r="D574" s="124" t="s">
        <v>689</v>
      </c>
      <c r="E574" s="126" t="s">
        <v>1877</v>
      </c>
      <c r="F574" s="124" t="s">
        <v>1878</v>
      </c>
    </row>
    <row r="575">
      <c r="A575" s="125">
        <v>44313.45187957176</v>
      </c>
      <c r="B575" s="124" t="s">
        <v>113</v>
      </c>
      <c r="C575" s="124" t="s">
        <v>1178</v>
      </c>
      <c r="D575" s="124" t="s">
        <v>709</v>
      </c>
      <c r="E575" s="126" t="s">
        <v>1880</v>
      </c>
      <c r="F575" s="124" t="s">
        <v>1881</v>
      </c>
    </row>
    <row r="576">
      <c r="A576" s="125">
        <v>44313.454791192125</v>
      </c>
      <c r="B576" s="124" t="s">
        <v>113</v>
      </c>
      <c r="C576" s="124" t="s">
        <v>1171</v>
      </c>
      <c r="D576" s="124" t="s">
        <v>867</v>
      </c>
      <c r="E576" s="126" t="s">
        <v>1883</v>
      </c>
      <c r="F576" s="124" t="s">
        <v>1884</v>
      </c>
    </row>
    <row r="577">
      <c r="A577" s="125">
        <v>44313.45511630787</v>
      </c>
      <c r="B577" s="124" t="s">
        <v>113</v>
      </c>
      <c r="C577" s="124" t="s">
        <v>1178</v>
      </c>
      <c r="D577" s="124" t="s">
        <v>867</v>
      </c>
      <c r="E577" s="126" t="s">
        <v>1886</v>
      </c>
      <c r="F577" s="124" t="s">
        <v>1888</v>
      </c>
    </row>
    <row r="578">
      <c r="A578" s="125">
        <v>44313.45797232639</v>
      </c>
      <c r="B578" s="124" t="s">
        <v>113</v>
      </c>
      <c r="C578" s="124" t="s">
        <v>1171</v>
      </c>
      <c r="D578" s="124" t="s">
        <v>473</v>
      </c>
      <c r="E578" s="126" t="s">
        <v>1889</v>
      </c>
      <c r="F578" s="124" t="s">
        <v>1891</v>
      </c>
    </row>
    <row r="579">
      <c r="A579" s="125">
        <v>44313.458448668986</v>
      </c>
      <c r="B579" s="124" t="s">
        <v>113</v>
      </c>
      <c r="C579" s="124" t="s">
        <v>1178</v>
      </c>
      <c r="D579" s="124" t="s">
        <v>473</v>
      </c>
      <c r="E579" s="126" t="s">
        <v>1892</v>
      </c>
      <c r="F579" s="124" t="s">
        <v>1894</v>
      </c>
    </row>
    <row r="580">
      <c r="A580" s="125">
        <v>44313.460439131944</v>
      </c>
      <c r="B580" s="124" t="s">
        <v>113</v>
      </c>
      <c r="C580" s="124" t="s">
        <v>1171</v>
      </c>
      <c r="D580" s="124" t="s">
        <v>1895</v>
      </c>
      <c r="E580" s="126" t="s">
        <v>1896</v>
      </c>
      <c r="F580" s="124" t="s">
        <v>1898</v>
      </c>
    </row>
    <row r="581">
      <c r="A581" s="125">
        <v>44313.46118445601</v>
      </c>
      <c r="B581" s="124" t="s">
        <v>113</v>
      </c>
      <c r="C581" s="124" t="s">
        <v>1178</v>
      </c>
      <c r="D581" s="124" t="s">
        <v>1895</v>
      </c>
      <c r="E581" s="126" t="s">
        <v>1899</v>
      </c>
      <c r="F581" s="124" t="s">
        <v>1901</v>
      </c>
    </row>
    <row r="582">
      <c r="A582" s="125">
        <v>44313.46971793981</v>
      </c>
      <c r="B582" s="124" t="s">
        <v>113</v>
      </c>
      <c r="C582" s="124" t="s">
        <v>1171</v>
      </c>
      <c r="D582" s="124" t="s">
        <v>1902</v>
      </c>
      <c r="E582" s="126" t="s">
        <v>1903</v>
      </c>
      <c r="F582" s="124" t="s">
        <v>1905</v>
      </c>
    </row>
    <row r="583">
      <c r="A583" s="125">
        <v>44313.46972738426</v>
      </c>
      <c r="B583" s="124" t="s">
        <v>113</v>
      </c>
      <c r="C583" s="124" t="s">
        <v>1171</v>
      </c>
      <c r="D583" s="124" t="s">
        <v>1906</v>
      </c>
      <c r="E583" s="126" t="s">
        <v>1907</v>
      </c>
      <c r="F583" s="124" t="s">
        <v>1909</v>
      </c>
    </row>
    <row r="584">
      <c r="A584" s="125">
        <v>44313.46987114583</v>
      </c>
      <c r="B584" s="124" t="s">
        <v>113</v>
      </c>
      <c r="C584" s="124" t="s">
        <v>1178</v>
      </c>
      <c r="D584" s="124" t="s">
        <v>1906</v>
      </c>
      <c r="E584" s="126" t="s">
        <v>1910</v>
      </c>
      <c r="F584" s="124" t="s">
        <v>1912</v>
      </c>
    </row>
    <row r="585">
      <c r="A585" s="125">
        <v>44313.46993320602</v>
      </c>
      <c r="B585" s="124" t="s">
        <v>113</v>
      </c>
      <c r="C585" s="124" t="s">
        <v>1178</v>
      </c>
      <c r="D585" s="124" t="s">
        <v>1902</v>
      </c>
      <c r="E585" s="126" t="s">
        <v>1913</v>
      </c>
      <c r="F585" s="124" t="s">
        <v>1915</v>
      </c>
    </row>
    <row r="586">
      <c r="A586" s="125">
        <v>44313.47081724537</v>
      </c>
      <c r="B586" s="124" t="s">
        <v>113</v>
      </c>
      <c r="C586" s="124" t="s">
        <v>1171</v>
      </c>
      <c r="D586" s="124" t="s">
        <v>876</v>
      </c>
      <c r="E586" s="126" t="s">
        <v>1916</v>
      </c>
      <c r="F586" s="124" t="s">
        <v>1918</v>
      </c>
    </row>
    <row r="587">
      <c r="A587" s="125">
        <v>44313.474632453705</v>
      </c>
      <c r="B587" s="124" t="s">
        <v>113</v>
      </c>
      <c r="C587" s="124" t="s">
        <v>1171</v>
      </c>
      <c r="D587" s="124" t="s">
        <v>1723</v>
      </c>
      <c r="E587" s="126" t="s">
        <v>1919</v>
      </c>
      <c r="F587" s="124" t="s">
        <v>1921</v>
      </c>
    </row>
    <row r="588">
      <c r="A588" s="125">
        <v>44313.48957900463</v>
      </c>
      <c r="B588" s="124" t="s">
        <v>113</v>
      </c>
      <c r="C588" s="124" t="s">
        <v>1171</v>
      </c>
      <c r="D588" s="124" t="s">
        <v>1922</v>
      </c>
      <c r="E588" s="126" t="s">
        <v>1923</v>
      </c>
      <c r="F588" s="124" t="s">
        <v>1925</v>
      </c>
    </row>
    <row r="589">
      <c r="A589" s="125">
        <v>44313.49113311342</v>
      </c>
      <c r="B589" s="124" t="s">
        <v>113</v>
      </c>
      <c r="C589" s="124" t="s">
        <v>1178</v>
      </c>
      <c r="D589" s="124" t="s">
        <v>1926</v>
      </c>
      <c r="E589" s="126" t="s">
        <v>1927</v>
      </c>
      <c r="F589" s="124" t="s">
        <v>1929</v>
      </c>
    </row>
    <row r="590">
      <c r="A590" s="125">
        <v>44313.49526946759</v>
      </c>
      <c r="B590" s="124" t="s">
        <v>113</v>
      </c>
      <c r="C590" s="124" t="s">
        <v>1178</v>
      </c>
      <c r="D590" s="124" t="s">
        <v>1922</v>
      </c>
      <c r="E590" s="126" t="s">
        <v>1930</v>
      </c>
      <c r="F590" s="124" t="s">
        <v>1929</v>
      </c>
    </row>
    <row r="591">
      <c r="A591" s="125">
        <v>44313.51033563657</v>
      </c>
      <c r="B591" s="124" t="s">
        <v>113</v>
      </c>
      <c r="C591" s="124" t="s">
        <v>1171</v>
      </c>
      <c r="D591" s="124" t="s">
        <v>1086</v>
      </c>
      <c r="E591" s="126" t="s">
        <v>1932</v>
      </c>
      <c r="F591" s="124" t="s">
        <v>1933</v>
      </c>
    </row>
    <row r="592">
      <c r="A592" s="125">
        <v>44313.52107851852</v>
      </c>
      <c r="B592" s="124" t="s">
        <v>113</v>
      </c>
      <c r="C592" s="124" t="s">
        <v>1171</v>
      </c>
      <c r="D592" s="124" t="s">
        <v>190</v>
      </c>
      <c r="E592" s="126" t="s">
        <v>1935</v>
      </c>
      <c r="F592" s="124" t="s">
        <v>1936</v>
      </c>
    </row>
    <row r="593">
      <c r="A593" s="125">
        <v>44313.52173150463</v>
      </c>
      <c r="B593" s="124" t="s">
        <v>113</v>
      </c>
      <c r="C593" s="124" t="s">
        <v>1178</v>
      </c>
      <c r="D593" s="124" t="s">
        <v>190</v>
      </c>
      <c r="E593" s="126" t="s">
        <v>1938</v>
      </c>
      <c r="F593" s="124" t="s">
        <v>1939</v>
      </c>
    </row>
    <row r="594">
      <c r="A594" s="125">
        <v>44313.532536203704</v>
      </c>
      <c r="B594" s="124" t="s">
        <v>113</v>
      </c>
      <c r="C594" s="124" t="s">
        <v>1171</v>
      </c>
      <c r="D594" s="124" t="s">
        <v>1941</v>
      </c>
      <c r="E594" s="126" t="s">
        <v>1942</v>
      </c>
      <c r="F594" s="124" t="s">
        <v>1943</v>
      </c>
    </row>
    <row r="595">
      <c r="A595" s="125">
        <v>44313.53256245371</v>
      </c>
      <c r="B595" s="124" t="s">
        <v>113</v>
      </c>
      <c r="C595" s="124" t="s">
        <v>1171</v>
      </c>
      <c r="D595" s="124" t="s">
        <v>1941</v>
      </c>
      <c r="E595" s="126" t="s">
        <v>1945</v>
      </c>
      <c r="F595" s="124" t="s">
        <v>1943</v>
      </c>
    </row>
    <row r="596">
      <c r="A596" s="125">
        <v>44313.53274126157</v>
      </c>
      <c r="B596" s="124" t="s">
        <v>113</v>
      </c>
      <c r="C596" s="124" t="s">
        <v>1171</v>
      </c>
      <c r="D596" s="124" t="s">
        <v>1941</v>
      </c>
      <c r="E596" s="126" t="s">
        <v>1947</v>
      </c>
      <c r="F596" s="124" t="s">
        <v>1943</v>
      </c>
    </row>
    <row r="597">
      <c r="A597" s="125">
        <v>44313.54489276621</v>
      </c>
      <c r="B597" s="124" t="s">
        <v>113</v>
      </c>
      <c r="C597" s="124" t="s">
        <v>1171</v>
      </c>
      <c r="D597" s="124" t="s">
        <v>1949</v>
      </c>
      <c r="E597" s="126" t="s">
        <v>1950</v>
      </c>
      <c r="F597" s="124" t="s">
        <v>1952</v>
      </c>
    </row>
    <row r="598">
      <c r="A598" s="125">
        <v>44313.570086527776</v>
      </c>
      <c r="B598" s="124" t="s">
        <v>113</v>
      </c>
      <c r="C598" s="124" t="s">
        <v>1178</v>
      </c>
      <c r="D598" s="124" t="s">
        <v>198</v>
      </c>
      <c r="E598" s="126" t="s">
        <v>1953</v>
      </c>
      <c r="F598" s="124" t="s">
        <v>1955</v>
      </c>
    </row>
    <row r="599">
      <c r="A599" s="125">
        <v>44313.58658164352</v>
      </c>
      <c r="B599" s="124" t="s">
        <v>113</v>
      </c>
      <c r="C599" s="124" t="s">
        <v>1171</v>
      </c>
      <c r="D599" s="124" t="s">
        <v>494</v>
      </c>
      <c r="E599" s="126" t="s">
        <v>1956</v>
      </c>
      <c r="F599" s="124" t="s">
        <v>1958</v>
      </c>
    </row>
    <row r="600">
      <c r="A600" s="125">
        <v>44313.58848194445</v>
      </c>
      <c r="B600" s="124" t="s">
        <v>113</v>
      </c>
      <c r="C600" s="124" t="s">
        <v>1171</v>
      </c>
      <c r="D600" s="124" t="s">
        <v>1959</v>
      </c>
      <c r="E600" s="126" t="s">
        <v>1960</v>
      </c>
      <c r="F600" s="124" t="s">
        <v>1962</v>
      </c>
    </row>
    <row r="601">
      <c r="A601" s="125">
        <v>44313.588689212964</v>
      </c>
      <c r="B601" s="124" t="s">
        <v>113</v>
      </c>
      <c r="C601" s="124" t="s">
        <v>1178</v>
      </c>
      <c r="D601" s="124" t="s">
        <v>1959</v>
      </c>
      <c r="E601" s="126" t="s">
        <v>1963</v>
      </c>
      <c r="F601" s="124" t="s">
        <v>1965</v>
      </c>
    </row>
    <row r="602">
      <c r="A602" s="125">
        <v>44313.59526041667</v>
      </c>
      <c r="B602" s="124" t="s">
        <v>113</v>
      </c>
      <c r="C602" s="124" t="s">
        <v>1171</v>
      </c>
      <c r="D602" s="124" t="s">
        <v>256</v>
      </c>
      <c r="E602" s="126" t="s">
        <v>1966</v>
      </c>
      <c r="F602" s="124" t="s">
        <v>1968</v>
      </c>
    </row>
    <row r="603">
      <c r="A603" s="125">
        <v>44313.59593011574</v>
      </c>
      <c r="B603" s="124" t="s">
        <v>113</v>
      </c>
      <c r="C603" s="124" t="s">
        <v>1178</v>
      </c>
      <c r="D603" s="124" t="s">
        <v>256</v>
      </c>
      <c r="E603" s="126" t="s">
        <v>1970</v>
      </c>
      <c r="F603" s="124" t="s">
        <v>1972</v>
      </c>
    </row>
    <row r="604">
      <c r="A604" s="125">
        <v>44313.596115810185</v>
      </c>
      <c r="B604" s="124" t="s">
        <v>113</v>
      </c>
      <c r="C604" s="124" t="s">
        <v>1171</v>
      </c>
      <c r="D604" s="124" t="s">
        <v>985</v>
      </c>
      <c r="E604" s="126" t="s">
        <v>1973</v>
      </c>
      <c r="F604" s="124" t="s">
        <v>1976</v>
      </c>
    </row>
    <row r="605">
      <c r="A605" s="125">
        <v>44313.596531550924</v>
      </c>
      <c r="B605" s="124" t="s">
        <v>113</v>
      </c>
      <c r="C605" s="124" t="s">
        <v>1178</v>
      </c>
      <c r="D605" s="124" t="s">
        <v>985</v>
      </c>
      <c r="E605" s="126" t="s">
        <v>1977</v>
      </c>
      <c r="F605" s="124" t="s">
        <v>1979</v>
      </c>
    </row>
    <row r="606">
      <c r="A606" s="125">
        <v>44313.64800785879</v>
      </c>
      <c r="B606" s="124" t="s">
        <v>113</v>
      </c>
      <c r="C606" s="124" t="s">
        <v>1171</v>
      </c>
      <c r="D606" s="124" t="s">
        <v>1146</v>
      </c>
      <c r="E606" s="126" t="s">
        <v>1980</v>
      </c>
      <c r="F606" s="124" t="s">
        <v>1983</v>
      </c>
    </row>
    <row r="607">
      <c r="A607" s="125">
        <v>44313.648604699076</v>
      </c>
      <c r="B607" s="124" t="s">
        <v>113</v>
      </c>
      <c r="C607" s="124" t="s">
        <v>1178</v>
      </c>
      <c r="D607" s="124" t="s">
        <v>1146</v>
      </c>
      <c r="E607" s="126" t="s">
        <v>1984</v>
      </c>
      <c r="F607" s="124" t="s">
        <v>1986</v>
      </c>
    </row>
    <row r="608">
      <c r="A608" s="125">
        <v>44313.65494743055</v>
      </c>
      <c r="B608" s="124" t="s">
        <v>113</v>
      </c>
      <c r="C608" s="124" t="s">
        <v>1171</v>
      </c>
      <c r="D608" s="124" t="s">
        <v>795</v>
      </c>
      <c r="E608" s="126" t="s">
        <v>1987</v>
      </c>
      <c r="F608" s="124" t="s">
        <v>1989</v>
      </c>
    </row>
    <row r="609">
      <c r="A609" s="125">
        <v>44313.655208310185</v>
      </c>
      <c r="B609" s="124" t="s">
        <v>113</v>
      </c>
      <c r="C609" s="124" t="s">
        <v>1178</v>
      </c>
      <c r="D609" s="124" t="s">
        <v>795</v>
      </c>
      <c r="E609" s="126" t="s">
        <v>1991</v>
      </c>
      <c r="F609" s="124" t="s">
        <v>1992</v>
      </c>
    </row>
    <row r="610">
      <c r="A610" s="125">
        <v>44313.667042719906</v>
      </c>
      <c r="B610" s="124" t="s">
        <v>113</v>
      </c>
      <c r="C610" s="124" t="s">
        <v>1171</v>
      </c>
      <c r="D610" s="124" t="s">
        <v>1993</v>
      </c>
      <c r="E610" s="126" t="s">
        <v>1994</v>
      </c>
      <c r="F610" s="124" t="s">
        <v>1996</v>
      </c>
    </row>
    <row r="611">
      <c r="A611" s="125">
        <v>44313.66957590278</v>
      </c>
      <c r="B611" s="124" t="s">
        <v>113</v>
      </c>
      <c r="C611" s="124" t="s">
        <v>1171</v>
      </c>
      <c r="D611" s="124" t="s">
        <v>1998</v>
      </c>
      <c r="E611" s="126" t="s">
        <v>1999</v>
      </c>
      <c r="F611" s="124" t="s">
        <v>2001</v>
      </c>
    </row>
    <row r="612">
      <c r="A612" s="125">
        <v>44313.671801435186</v>
      </c>
      <c r="B612" s="124" t="s">
        <v>113</v>
      </c>
      <c r="C612" s="124" t="s">
        <v>1171</v>
      </c>
      <c r="D612" s="124" t="s">
        <v>2002</v>
      </c>
      <c r="E612" s="126" t="s">
        <v>2003</v>
      </c>
      <c r="F612" s="124" t="s">
        <v>2005</v>
      </c>
    </row>
    <row r="613">
      <c r="A613" s="125">
        <v>44313.67219063657</v>
      </c>
      <c r="B613" s="124" t="s">
        <v>113</v>
      </c>
      <c r="C613" s="124" t="s">
        <v>1178</v>
      </c>
      <c r="D613" s="124" t="s">
        <v>2002</v>
      </c>
      <c r="E613" s="126" t="s">
        <v>2006</v>
      </c>
      <c r="F613" s="124" t="s">
        <v>2008</v>
      </c>
    </row>
    <row r="614">
      <c r="A614" s="125">
        <v>44313.673928344906</v>
      </c>
      <c r="B614" s="124" t="s">
        <v>113</v>
      </c>
      <c r="C614" s="124" t="s">
        <v>1171</v>
      </c>
      <c r="D614" s="124" t="s">
        <v>2009</v>
      </c>
      <c r="E614" s="126" t="s">
        <v>2010</v>
      </c>
      <c r="F614" s="124" t="s">
        <v>2012</v>
      </c>
    </row>
    <row r="615">
      <c r="A615" s="125">
        <v>44313.67414857639</v>
      </c>
      <c r="B615" s="124" t="s">
        <v>113</v>
      </c>
      <c r="C615" s="124" t="s">
        <v>1178</v>
      </c>
      <c r="D615" s="124" t="s">
        <v>2009</v>
      </c>
      <c r="E615" s="126" t="s">
        <v>2013</v>
      </c>
      <c r="F615" s="124" t="s">
        <v>2015</v>
      </c>
    </row>
    <row r="616">
      <c r="A616" s="125">
        <v>44313.682089560185</v>
      </c>
      <c r="B616" s="124" t="s">
        <v>113</v>
      </c>
      <c r="C616" s="124" t="s">
        <v>1178</v>
      </c>
      <c r="D616" s="124" t="s">
        <v>1998</v>
      </c>
      <c r="E616" s="126" t="s">
        <v>2016</v>
      </c>
      <c r="F616" s="124" t="s">
        <v>2018</v>
      </c>
    </row>
    <row r="617">
      <c r="A617" s="125">
        <v>44313.74195326389</v>
      </c>
      <c r="B617" s="124" t="s">
        <v>113</v>
      </c>
      <c r="C617" s="124" t="s">
        <v>1171</v>
      </c>
      <c r="D617" s="124" t="s">
        <v>2019</v>
      </c>
      <c r="E617" s="126" t="s">
        <v>2020</v>
      </c>
      <c r="F617" s="124" t="s">
        <v>2022</v>
      </c>
    </row>
    <row r="618">
      <c r="A618" s="125">
        <v>44313.74232638889</v>
      </c>
      <c r="B618" s="124" t="s">
        <v>113</v>
      </c>
      <c r="C618" s="124" t="s">
        <v>1178</v>
      </c>
      <c r="D618" s="124" t="s">
        <v>2019</v>
      </c>
      <c r="E618" s="126" t="s">
        <v>2024</v>
      </c>
      <c r="F618" s="124" t="s">
        <v>2025</v>
      </c>
    </row>
    <row r="619">
      <c r="A619" s="125">
        <v>44313.753772592594</v>
      </c>
      <c r="B619" s="124" t="s">
        <v>113</v>
      </c>
      <c r="C619" s="124" t="s">
        <v>1171</v>
      </c>
      <c r="D619" s="124" t="s">
        <v>2027</v>
      </c>
      <c r="E619" s="126" t="s">
        <v>2028</v>
      </c>
      <c r="F619" s="124" t="s">
        <v>2029</v>
      </c>
    </row>
    <row r="620">
      <c r="A620" s="125">
        <v>44313.75490460648</v>
      </c>
      <c r="B620" s="124" t="s">
        <v>113</v>
      </c>
      <c r="C620" s="124" t="s">
        <v>1178</v>
      </c>
      <c r="D620" s="124" t="s">
        <v>2027</v>
      </c>
      <c r="E620" s="126" t="s">
        <v>2031</v>
      </c>
      <c r="F620" s="124" t="s">
        <v>2033</v>
      </c>
    </row>
    <row r="621">
      <c r="A621" s="125">
        <v>44313.82859510416</v>
      </c>
      <c r="B621" s="124" t="s">
        <v>113</v>
      </c>
      <c r="C621" s="124" t="s">
        <v>1171</v>
      </c>
      <c r="D621" s="124" t="s">
        <v>2034</v>
      </c>
      <c r="E621" s="126" t="s">
        <v>2035</v>
      </c>
      <c r="F621" s="124" t="s">
        <v>2037</v>
      </c>
    </row>
    <row r="622">
      <c r="A622" s="125">
        <v>44313.92433570602</v>
      </c>
      <c r="B622" s="124" t="s">
        <v>113</v>
      </c>
      <c r="C622" s="124" t="s">
        <v>1178</v>
      </c>
      <c r="D622" s="124" t="s">
        <v>2038</v>
      </c>
      <c r="E622" s="126" t="s">
        <v>2039</v>
      </c>
      <c r="F622" s="124" t="s">
        <v>2041</v>
      </c>
    </row>
    <row r="623">
      <c r="A623" s="125">
        <v>44314.58071734954</v>
      </c>
      <c r="B623" s="124" t="s">
        <v>113</v>
      </c>
      <c r="C623" s="124" t="s">
        <v>2043</v>
      </c>
      <c r="D623" s="124" t="s">
        <v>105</v>
      </c>
      <c r="E623" s="126" t="s">
        <v>2044</v>
      </c>
      <c r="F623" s="124" t="s">
        <v>2046</v>
      </c>
    </row>
    <row r="624">
      <c r="A624" s="125">
        <v>44314.631535810186</v>
      </c>
      <c r="B624" s="124" t="s">
        <v>113</v>
      </c>
      <c r="C624" s="124" t="s">
        <v>1171</v>
      </c>
      <c r="D624" s="124" t="s">
        <v>2047</v>
      </c>
      <c r="E624" s="126" t="s">
        <v>2048</v>
      </c>
      <c r="F624" s="124" t="s">
        <v>2050</v>
      </c>
    </row>
    <row r="625">
      <c r="A625" s="125">
        <v>44314.63226480324</v>
      </c>
      <c r="B625" s="124" t="s">
        <v>113</v>
      </c>
      <c r="C625" s="124" t="s">
        <v>1178</v>
      </c>
      <c r="D625" s="124" t="s">
        <v>2047</v>
      </c>
      <c r="E625" s="126" t="s">
        <v>2051</v>
      </c>
      <c r="F625" s="124" t="s">
        <v>2053</v>
      </c>
    </row>
    <row r="626">
      <c r="A626" s="125">
        <v>44314.72325113426</v>
      </c>
      <c r="B626" s="124" t="s">
        <v>113</v>
      </c>
      <c r="C626" s="124" t="s">
        <v>1171</v>
      </c>
      <c r="D626" s="124" t="s">
        <v>2054</v>
      </c>
      <c r="E626" s="126" t="s">
        <v>2055</v>
      </c>
      <c r="F626" s="124" t="s">
        <v>2057</v>
      </c>
    </row>
    <row r="627">
      <c r="A627" s="125">
        <v>44314.91945621528</v>
      </c>
      <c r="B627" s="124" t="s">
        <v>113</v>
      </c>
      <c r="C627" s="124" t="s">
        <v>2058</v>
      </c>
      <c r="D627" s="124" t="s">
        <v>97</v>
      </c>
      <c r="E627" s="126" t="s">
        <v>2059</v>
      </c>
      <c r="F627" s="124" t="s">
        <v>2061</v>
      </c>
    </row>
    <row r="628">
      <c r="A628" s="125">
        <v>44314.919585104166</v>
      </c>
      <c r="B628" s="124" t="s">
        <v>113</v>
      </c>
      <c r="C628" s="124" t="s">
        <v>2058</v>
      </c>
      <c r="D628" s="124" t="s">
        <v>105</v>
      </c>
      <c r="E628" s="126" t="s">
        <v>2062</v>
      </c>
      <c r="F628" s="124" t="s">
        <v>2063</v>
      </c>
    </row>
    <row r="629">
      <c r="A629" s="125">
        <v>44315.37777902778</v>
      </c>
      <c r="B629" s="124" t="s">
        <v>113</v>
      </c>
      <c r="C629" s="124" t="s">
        <v>1171</v>
      </c>
      <c r="D629" s="124" t="s">
        <v>2064</v>
      </c>
      <c r="E629" s="126" t="s">
        <v>2065</v>
      </c>
      <c r="F629" s="124" t="s">
        <v>2066</v>
      </c>
    </row>
    <row r="630">
      <c r="A630" s="125">
        <v>44315.470605925926</v>
      </c>
      <c r="B630" s="124" t="s">
        <v>113</v>
      </c>
      <c r="C630" s="124" t="s">
        <v>1171</v>
      </c>
      <c r="D630" s="124" t="s">
        <v>2067</v>
      </c>
      <c r="E630" s="126" t="s">
        <v>2068</v>
      </c>
      <c r="F630" s="124" t="s">
        <v>2069</v>
      </c>
    </row>
    <row r="631">
      <c r="A631" s="125">
        <v>44316.40203395834</v>
      </c>
      <c r="B631" s="124" t="s">
        <v>113</v>
      </c>
      <c r="C631" s="124" t="s">
        <v>2043</v>
      </c>
      <c r="D631" s="124" t="s">
        <v>7</v>
      </c>
      <c r="E631" s="126" t="s">
        <v>2070</v>
      </c>
      <c r="F631" s="124" t="s">
        <v>2071</v>
      </c>
    </row>
    <row r="632">
      <c r="A632" s="125">
        <v>44317.474284895834</v>
      </c>
      <c r="B632" s="124" t="s">
        <v>113</v>
      </c>
      <c r="C632" s="124" t="s">
        <v>2072</v>
      </c>
      <c r="D632" s="124" t="s">
        <v>353</v>
      </c>
      <c r="E632" s="126" t="s">
        <v>2073</v>
      </c>
      <c r="F632" s="124" t="s">
        <v>2074</v>
      </c>
    </row>
    <row r="633">
      <c r="A633" s="125">
        <v>44317.558489629635</v>
      </c>
      <c r="B633" s="124" t="s">
        <v>113</v>
      </c>
      <c r="C633" s="124" t="s">
        <v>2075</v>
      </c>
      <c r="D633" s="124" t="s">
        <v>353</v>
      </c>
      <c r="E633" s="126" t="s">
        <v>2076</v>
      </c>
      <c r="F633" s="124" t="s">
        <v>2077</v>
      </c>
    </row>
    <row r="634">
      <c r="A634" s="125">
        <v>44318.7309581713</v>
      </c>
      <c r="B634" s="124" t="s">
        <v>113</v>
      </c>
      <c r="C634" s="124" t="s">
        <v>1171</v>
      </c>
      <c r="D634" s="124" t="s">
        <v>918</v>
      </c>
      <c r="E634" s="126" t="s">
        <v>2078</v>
      </c>
      <c r="F634" s="124" t="s">
        <v>2079</v>
      </c>
    </row>
    <row r="635">
      <c r="A635" s="125">
        <v>44319.39779567129</v>
      </c>
      <c r="B635" s="124" t="s">
        <v>113</v>
      </c>
      <c r="C635" s="124" t="s">
        <v>1171</v>
      </c>
      <c r="D635" s="124" t="s">
        <v>2080</v>
      </c>
      <c r="E635" s="126" t="s">
        <v>2081</v>
      </c>
      <c r="F635" s="124" t="s">
        <v>2082</v>
      </c>
    </row>
    <row r="636">
      <c r="A636" s="125">
        <v>44319.46413489583</v>
      </c>
      <c r="B636" s="124" t="s">
        <v>113</v>
      </c>
      <c r="C636" s="124" t="s">
        <v>2043</v>
      </c>
      <c r="D636" s="124" t="s">
        <v>2083</v>
      </c>
      <c r="E636" s="126" t="s">
        <v>2084</v>
      </c>
      <c r="F636" s="124" t="s">
        <v>2085</v>
      </c>
    </row>
    <row r="637">
      <c r="A637" s="125">
        <v>44319.46418787037</v>
      </c>
      <c r="B637" s="124" t="s">
        <v>113</v>
      </c>
      <c r="C637" s="124" t="s">
        <v>1171</v>
      </c>
      <c r="D637" s="124" t="s">
        <v>2083</v>
      </c>
      <c r="E637" s="126" t="s">
        <v>2086</v>
      </c>
      <c r="F637" s="124" t="s">
        <v>2087</v>
      </c>
    </row>
    <row r="638">
      <c r="A638" s="125">
        <v>44319.46447744213</v>
      </c>
      <c r="B638" s="124" t="s">
        <v>113</v>
      </c>
      <c r="C638" s="124" t="s">
        <v>2043</v>
      </c>
      <c r="D638" s="124" t="s">
        <v>2088</v>
      </c>
      <c r="E638" s="126" t="s">
        <v>2089</v>
      </c>
      <c r="F638" s="124" t="s">
        <v>2090</v>
      </c>
    </row>
    <row r="639">
      <c r="A639" s="125">
        <v>44319.466410486115</v>
      </c>
      <c r="B639" s="124" t="s">
        <v>113</v>
      </c>
      <c r="C639" s="124" t="s">
        <v>2091</v>
      </c>
      <c r="D639" s="124" t="s">
        <v>1020</v>
      </c>
      <c r="E639" s="126" t="s">
        <v>2092</v>
      </c>
      <c r="F639" s="124" t="s">
        <v>2093</v>
      </c>
    </row>
    <row r="640">
      <c r="A640" s="125">
        <v>44319.46743069444</v>
      </c>
      <c r="B640" s="124" t="s">
        <v>113</v>
      </c>
      <c r="C640" s="124" t="s">
        <v>2094</v>
      </c>
      <c r="D640" s="124" t="s">
        <v>554</v>
      </c>
      <c r="E640" s="126" t="s">
        <v>2095</v>
      </c>
      <c r="F640" s="124" t="s">
        <v>2096</v>
      </c>
    </row>
    <row r="641">
      <c r="A641" s="125">
        <v>44319.46768553241</v>
      </c>
      <c r="B641" s="124" t="s">
        <v>113</v>
      </c>
      <c r="C641" s="124" t="s">
        <v>2097</v>
      </c>
      <c r="D641" s="124" t="s">
        <v>1906</v>
      </c>
      <c r="E641" s="126" t="s">
        <v>2098</v>
      </c>
      <c r="F641" s="124" t="s">
        <v>2100</v>
      </c>
    </row>
    <row r="642">
      <c r="A642" s="125">
        <v>44319.46955444444</v>
      </c>
      <c r="B642" s="124" t="s">
        <v>113</v>
      </c>
      <c r="C642" s="124" t="s">
        <v>2097</v>
      </c>
      <c r="D642" s="124" t="s">
        <v>554</v>
      </c>
      <c r="E642" s="126" t="s">
        <v>2101</v>
      </c>
      <c r="F642" s="124" t="s">
        <v>2103</v>
      </c>
    </row>
    <row r="643">
      <c r="A643" s="125">
        <v>44319.472191990746</v>
      </c>
      <c r="B643" s="124" t="s">
        <v>113</v>
      </c>
      <c r="C643" s="124" t="s">
        <v>2104</v>
      </c>
      <c r="D643" s="124" t="s">
        <v>554</v>
      </c>
      <c r="E643" s="126" t="s">
        <v>2105</v>
      </c>
      <c r="F643" s="124" t="s">
        <v>2106</v>
      </c>
    </row>
    <row r="644">
      <c r="A644" s="125">
        <v>44319.47332697916</v>
      </c>
      <c r="B644" s="124" t="s">
        <v>113</v>
      </c>
      <c r="C644" s="124" t="s">
        <v>2043</v>
      </c>
      <c r="D644" s="124" t="s">
        <v>2108</v>
      </c>
      <c r="E644" s="126" t="s">
        <v>2109</v>
      </c>
      <c r="F644" s="124" t="s">
        <v>2110</v>
      </c>
    </row>
    <row r="645">
      <c r="A645" s="125">
        <v>44319.474917280095</v>
      </c>
      <c r="B645" s="124" t="s">
        <v>113</v>
      </c>
      <c r="C645" s="124" t="s">
        <v>2112</v>
      </c>
      <c r="D645" s="124" t="s">
        <v>2108</v>
      </c>
      <c r="E645" s="126" t="s">
        <v>2113</v>
      </c>
      <c r="F645" s="124" t="s">
        <v>2114</v>
      </c>
    </row>
    <row r="646">
      <c r="A646" s="125">
        <v>44319.47670605324</v>
      </c>
      <c r="B646" s="124" t="s">
        <v>113</v>
      </c>
      <c r="C646" s="124" t="s">
        <v>1171</v>
      </c>
      <c r="D646" s="124" t="s">
        <v>2108</v>
      </c>
      <c r="E646" s="126" t="s">
        <v>2116</v>
      </c>
      <c r="F646" s="124" t="s">
        <v>2117</v>
      </c>
    </row>
    <row r="647">
      <c r="A647" s="125">
        <v>44319.47689997686</v>
      </c>
      <c r="B647" s="124" t="s">
        <v>113</v>
      </c>
      <c r="C647" s="124" t="s">
        <v>2094</v>
      </c>
      <c r="D647" s="124" t="s">
        <v>1086</v>
      </c>
      <c r="E647" s="126" t="s">
        <v>2118</v>
      </c>
      <c r="F647" s="124" t="s">
        <v>2121</v>
      </c>
    </row>
    <row r="648">
      <c r="A648" s="125">
        <v>44319.476984583336</v>
      </c>
      <c r="B648" s="124" t="s">
        <v>113</v>
      </c>
      <c r="C648" s="124" t="s">
        <v>2122</v>
      </c>
      <c r="D648" s="124" t="s">
        <v>1086</v>
      </c>
      <c r="E648" s="126" t="s">
        <v>2123</v>
      </c>
      <c r="F648" s="124" t="s">
        <v>2125</v>
      </c>
    </row>
    <row r="649">
      <c r="A649" s="125">
        <v>44319.47750262731</v>
      </c>
      <c r="B649" s="124" t="s">
        <v>113</v>
      </c>
      <c r="C649" s="124" t="s">
        <v>2126</v>
      </c>
      <c r="D649" s="124" t="s">
        <v>1086</v>
      </c>
      <c r="E649" s="126" t="s">
        <v>2127</v>
      </c>
      <c r="F649" s="124" t="s">
        <v>2129</v>
      </c>
    </row>
    <row r="650">
      <c r="A650" s="125">
        <v>44319.47753791667</v>
      </c>
      <c r="B650" s="124" t="s">
        <v>113</v>
      </c>
      <c r="C650" s="124" t="s">
        <v>2075</v>
      </c>
      <c r="D650" s="124" t="s">
        <v>1086</v>
      </c>
      <c r="E650" s="126" t="s">
        <v>2130</v>
      </c>
      <c r="F650" s="124" t="s">
        <v>2132</v>
      </c>
    </row>
    <row r="651">
      <c r="A651" s="125">
        <v>44319.47797787037</v>
      </c>
      <c r="B651" s="124" t="s">
        <v>113</v>
      </c>
      <c r="C651" s="124" t="s">
        <v>2043</v>
      </c>
      <c r="D651" s="124" t="s">
        <v>554</v>
      </c>
      <c r="E651" s="126" t="s">
        <v>2133</v>
      </c>
      <c r="F651" s="124" t="s">
        <v>2135</v>
      </c>
    </row>
    <row r="652">
      <c r="A652" s="125">
        <v>44319.4795753588</v>
      </c>
      <c r="B652" s="124" t="s">
        <v>113</v>
      </c>
      <c r="C652" s="124" t="s">
        <v>2072</v>
      </c>
      <c r="D652" s="124" t="s">
        <v>554</v>
      </c>
      <c r="E652" s="126" t="s">
        <v>2136</v>
      </c>
      <c r="F652" s="124" t="s">
        <v>2138</v>
      </c>
    </row>
    <row r="653">
      <c r="A653" s="125">
        <v>44319.48029796296</v>
      </c>
      <c r="B653" s="124" t="s">
        <v>113</v>
      </c>
      <c r="C653" s="124" t="s">
        <v>2043</v>
      </c>
      <c r="D653" s="124" t="s">
        <v>2038</v>
      </c>
      <c r="E653" s="126" t="s">
        <v>2139</v>
      </c>
      <c r="F653" s="124" t="s">
        <v>2141</v>
      </c>
    </row>
    <row r="654">
      <c r="A654" s="125">
        <v>44319.48078457176</v>
      </c>
      <c r="B654" s="124" t="s">
        <v>113</v>
      </c>
      <c r="C654" s="124" t="s">
        <v>2097</v>
      </c>
      <c r="D654" s="124" t="s">
        <v>2108</v>
      </c>
      <c r="E654" s="126" t="s">
        <v>2142</v>
      </c>
      <c r="F654" s="124" t="s">
        <v>2144</v>
      </c>
    </row>
    <row r="655">
      <c r="A655" s="125">
        <v>44319.48128184028</v>
      </c>
      <c r="B655" s="124" t="s">
        <v>113</v>
      </c>
      <c r="C655" s="124" t="s">
        <v>2075</v>
      </c>
      <c r="D655" s="124" t="s">
        <v>554</v>
      </c>
      <c r="E655" s="126" t="s">
        <v>2145</v>
      </c>
      <c r="F655" s="124" t="s">
        <v>2147</v>
      </c>
    </row>
    <row r="656">
      <c r="A656" s="125">
        <v>44319.48220592593</v>
      </c>
      <c r="B656" s="124" t="s">
        <v>113</v>
      </c>
      <c r="C656" s="124" t="s">
        <v>2148</v>
      </c>
      <c r="D656" s="124" t="s">
        <v>554</v>
      </c>
      <c r="E656" s="126" t="s">
        <v>2150</v>
      </c>
      <c r="F656" s="124" t="s">
        <v>2151</v>
      </c>
    </row>
    <row r="657">
      <c r="A657" s="125">
        <v>44319.482775439814</v>
      </c>
      <c r="B657" s="124" t="s">
        <v>113</v>
      </c>
      <c r="C657" s="124" t="s">
        <v>1178</v>
      </c>
      <c r="D657" s="124" t="s">
        <v>2108</v>
      </c>
      <c r="E657" s="126" t="s">
        <v>2153</v>
      </c>
      <c r="F657" s="124" t="s">
        <v>2154</v>
      </c>
    </row>
    <row r="658">
      <c r="A658" s="125">
        <v>44319.4842464699</v>
      </c>
      <c r="B658" s="124" t="s">
        <v>113</v>
      </c>
      <c r="C658" s="124" t="s">
        <v>2072</v>
      </c>
      <c r="D658" s="124" t="s">
        <v>2108</v>
      </c>
      <c r="E658" s="126" t="s">
        <v>2156</v>
      </c>
      <c r="F658" s="124" t="s">
        <v>2157</v>
      </c>
    </row>
    <row r="659">
      <c r="A659" s="125">
        <v>44319.485184641206</v>
      </c>
      <c r="B659" s="124" t="s">
        <v>113</v>
      </c>
      <c r="C659" s="124" t="s">
        <v>2159</v>
      </c>
      <c r="D659" s="124" t="s">
        <v>1086</v>
      </c>
      <c r="E659" s="126" t="s">
        <v>2160</v>
      </c>
      <c r="F659" s="124" t="s">
        <v>2161</v>
      </c>
    </row>
    <row r="660">
      <c r="A660" s="125">
        <v>44319.48577861111</v>
      </c>
      <c r="B660" s="124" t="s">
        <v>113</v>
      </c>
      <c r="C660" s="124" t="s">
        <v>2163</v>
      </c>
      <c r="D660" s="124" t="s">
        <v>2164</v>
      </c>
      <c r="E660" s="126" t="s">
        <v>2165</v>
      </c>
      <c r="F660" s="124" t="s">
        <v>2166</v>
      </c>
    </row>
    <row r="661">
      <c r="A661" s="125">
        <v>44319.48583505787</v>
      </c>
      <c r="B661" s="124" t="s">
        <v>113</v>
      </c>
      <c r="C661" s="124" t="s">
        <v>2148</v>
      </c>
      <c r="D661" s="124" t="s">
        <v>2108</v>
      </c>
      <c r="E661" s="126" t="s">
        <v>2168</v>
      </c>
      <c r="F661" s="124" t="s">
        <v>2170</v>
      </c>
    </row>
    <row r="662">
      <c r="A662" s="125">
        <v>44319.4859333912</v>
      </c>
      <c r="B662" s="124" t="s">
        <v>113</v>
      </c>
      <c r="C662" s="124" t="s">
        <v>2171</v>
      </c>
      <c r="D662" s="124" t="s">
        <v>554</v>
      </c>
      <c r="E662" s="126" t="s">
        <v>2172</v>
      </c>
      <c r="F662" s="124" t="s">
        <v>2174</v>
      </c>
    </row>
    <row r="663">
      <c r="A663" s="125">
        <v>44319.49608091435</v>
      </c>
      <c r="B663" s="124" t="s">
        <v>113</v>
      </c>
      <c r="C663" s="124" t="s">
        <v>2104</v>
      </c>
      <c r="D663" s="124" t="s">
        <v>2175</v>
      </c>
      <c r="E663" s="126" t="s">
        <v>2176</v>
      </c>
      <c r="F663" s="124" t="s">
        <v>2178</v>
      </c>
    </row>
    <row r="664">
      <c r="A664" s="125">
        <v>44319.51054084491</v>
      </c>
      <c r="B664" s="124" t="s">
        <v>113</v>
      </c>
      <c r="C664" s="124" t="s">
        <v>2075</v>
      </c>
      <c r="D664" s="124" t="s">
        <v>981</v>
      </c>
      <c r="E664" s="126" t="s">
        <v>2179</v>
      </c>
      <c r="F664" s="124" t="s">
        <v>2181</v>
      </c>
    </row>
    <row r="665">
      <c r="A665" s="125">
        <v>44319.51252019676</v>
      </c>
      <c r="B665" s="124" t="s">
        <v>113</v>
      </c>
      <c r="C665" s="124" t="s">
        <v>2097</v>
      </c>
      <c r="D665" s="124" t="s">
        <v>981</v>
      </c>
      <c r="E665" s="126" t="s">
        <v>2182</v>
      </c>
      <c r="F665" s="124" t="s">
        <v>2184</v>
      </c>
    </row>
    <row r="666">
      <c r="A666" s="125">
        <v>44319.534158888884</v>
      </c>
      <c r="B666" s="124" t="s">
        <v>113</v>
      </c>
      <c r="C666" s="124" t="s">
        <v>1171</v>
      </c>
      <c r="D666" s="124" t="s">
        <v>1100</v>
      </c>
      <c r="E666" s="126" t="s">
        <v>2185</v>
      </c>
      <c r="F666" s="124" t="s">
        <v>2187</v>
      </c>
    </row>
    <row r="667">
      <c r="A667" s="125">
        <v>44319.53476663194</v>
      </c>
      <c r="B667" s="124" t="s">
        <v>113</v>
      </c>
      <c r="C667" s="124" t="s">
        <v>2094</v>
      </c>
      <c r="D667" s="124" t="s">
        <v>1100</v>
      </c>
      <c r="E667" s="126" t="s">
        <v>2188</v>
      </c>
      <c r="F667" s="124" t="s">
        <v>2190</v>
      </c>
    </row>
    <row r="668">
      <c r="A668" s="125">
        <v>44319.53556146991</v>
      </c>
      <c r="B668" s="124" t="s">
        <v>113</v>
      </c>
      <c r="C668" s="124" t="s">
        <v>2097</v>
      </c>
      <c r="D668" s="124" t="s">
        <v>1100</v>
      </c>
      <c r="E668" s="126" t="s">
        <v>2191</v>
      </c>
      <c r="F668" s="124" t="s">
        <v>2193</v>
      </c>
    </row>
    <row r="669">
      <c r="A669" s="125">
        <v>44319.5370796412</v>
      </c>
      <c r="B669" s="124" t="s">
        <v>113</v>
      </c>
      <c r="C669" s="124" t="s">
        <v>2094</v>
      </c>
      <c r="D669" s="124" t="s">
        <v>1252</v>
      </c>
      <c r="E669" s="126" t="s">
        <v>2194</v>
      </c>
      <c r="F669" s="124" t="s">
        <v>2196</v>
      </c>
    </row>
    <row r="670">
      <c r="A670" s="125">
        <v>44319.53754846065</v>
      </c>
      <c r="B670" s="124" t="s">
        <v>113</v>
      </c>
      <c r="C670" s="124" t="s">
        <v>2112</v>
      </c>
      <c r="D670" s="124" t="s">
        <v>1112</v>
      </c>
      <c r="E670" s="126" t="s">
        <v>2197</v>
      </c>
      <c r="F670" s="124" t="s">
        <v>2199</v>
      </c>
    </row>
    <row r="671">
      <c r="A671" s="125">
        <v>44319.537700092595</v>
      </c>
      <c r="B671" s="124" t="s">
        <v>113</v>
      </c>
      <c r="C671" s="124" t="s">
        <v>2097</v>
      </c>
      <c r="D671" s="124" t="s">
        <v>1252</v>
      </c>
      <c r="E671" s="126" t="s">
        <v>2200</v>
      </c>
      <c r="F671" s="124" t="s">
        <v>2202</v>
      </c>
    </row>
    <row r="672">
      <c r="A672" s="125">
        <v>44319.53820159722</v>
      </c>
      <c r="B672" s="124" t="s">
        <v>113</v>
      </c>
      <c r="C672" s="124" t="s">
        <v>2122</v>
      </c>
      <c r="D672" s="124" t="s">
        <v>1112</v>
      </c>
      <c r="E672" s="126" t="s">
        <v>2203</v>
      </c>
      <c r="F672" s="124" t="s">
        <v>2205</v>
      </c>
    </row>
    <row r="673">
      <c r="A673" s="125">
        <v>44319.53864967593</v>
      </c>
      <c r="B673" s="124" t="s">
        <v>113</v>
      </c>
      <c r="C673" s="124" t="s">
        <v>2206</v>
      </c>
      <c r="D673" s="124" t="s">
        <v>1112</v>
      </c>
      <c r="E673" s="126" t="s">
        <v>2207</v>
      </c>
      <c r="F673" s="124" t="s">
        <v>2208</v>
      </c>
    </row>
    <row r="674">
      <c r="A674" s="125">
        <v>44319.53878159722</v>
      </c>
      <c r="B674" s="124" t="s">
        <v>113</v>
      </c>
      <c r="C674" s="124" t="s">
        <v>2126</v>
      </c>
      <c r="D674" s="124" t="s">
        <v>1252</v>
      </c>
      <c r="E674" s="126" t="s">
        <v>2210</v>
      </c>
      <c r="F674" s="124" t="s">
        <v>2211</v>
      </c>
    </row>
    <row r="675">
      <c r="A675" s="125">
        <v>44319.53892899306</v>
      </c>
      <c r="B675" s="124" t="s">
        <v>113</v>
      </c>
      <c r="C675" s="124" t="s">
        <v>2091</v>
      </c>
      <c r="D675" s="124" t="s">
        <v>1112</v>
      </c>
      <c r="E675" s="126" t="s">
        <v>2213</v>
      </c>
      <c r="F675" s="124" t="s">
        <v>2214</v>
      </c>
    </row>
    <row r="676">
      <c r="A676" s="125">
        <v>44319.53938164352</v>
      </c>
      <c r="B676" s="124" t="s">
        <v>113</v>
      </c>
      <c r="C676" s="124" t="s">
        <v>2072</v>
      </c>
      <c r="D676" s="124" t="s">
        <v>1112</v>
      </c>
      <c r="E676" s="126" t="s">
        <v>2216</v>
      </c>
      <c r="F676" s="124" t="s">
        <v>2217</v>
      </c>
    </row>
    <row r="677">
      <c r="A677" s="125">
        <v>44319.53961144676</v>
      </c>
      <c r="B677" s="124" t="s">
        <v>113</v>
      </c>
      <c r="C677" s="124" t="s">
        <v>2075</v>
      </c>
      <c r="D677" s="124" t="s">
        <v>1112</v>
      </c>
      <c r="E677" s="126" t="s">
        <v>2219</v>
      </c>
      <c r="F677" s="124" t="s">
        <v>2220</v>
      </c>
    </row>
    <row r="678">
      <c r="A678" s="125">
        <v>44319.540035555554</v>
      </c>
      <c r="B678" s="124" t="s">
        <v>113</v>
      </c>
      <c r="C678" s="124" t="s">
        <v>2075</v>
      </c>
      <c r="D678" s="124" t="s">
        <v>1252</v>
      </c>
      <c r="E678" s="126" t="s">
        <v>2222</v>
      </c>
      <c r="F678" s="124" t="s">
        <v>2223</v>
      </c>
    </row>
    <row r="679">
      <c r="A679" s="125">
        <v>44319.54022313657</v>
      </c>
      <c r="B679" s="124" t="s">
        <v>113</v>
      </c>
      <c r="C679" s="124" t="s">
        <v>2206</v>
      </c>
      <c r="D679" s="124" t="s">
        <v>1252</v>
      </c>
      <c r="E679" s="126" t="s">
        <v>2225</v>
      </c>
      <c r="F679" s="124" t="s">
        <v>2226</v>
      </c>
    </row>
    <row r="680">
      <c r="A680" s="125">
        <v>44319.541909039355</v>
      </c>
      <c r="B680" s="124" t="s">
        <v>113</v>
      </c>
      <c r="C680" s="124" t="s">
        <v>2097</v>
      </c>
      <c r="D680" s="124" t="s">
        <v>334</v>
      </c>
      <c r="E680" s="126" t="s">
        <v>2228</v>
      </c>
      <c r="F680" s="124" t="s">
        <v>2229</v>
      </c>
    </row>
    <row r="681">
      <c r="A681" s="125">
        <v>44319.54276023148</v>
      </c>
      <c r="B681" s="124" t="s">
        <v>113</v>
      </c>
      <c r="C681" s="124" t="s">
        <v>2043</v>
      </c>
      <c r="D681" s="124" t="s">
        <v>2233</v>
      </c>
      <c r="E681" s="126" t="s">
        <v>2234</v>
      </c>
      <c r="F681" s="124" t="s">
        <v>2236</v>
      </c>
    </row>
    <row r="682">
      <c r="A682" s="125">
        <v>44319.544980949075</v>
      </c>
      <c r="B682" s="124" t="s">
        <v>113</v>
      </c>
      <c r="C682" s="124" t="s">
        <v>1178</v>
      </c>
      <c r="D682" s="124" t="s">
        <v>2233</v>
      </c>
      <c r="E682" s="126" t="s">
        <v>2238</v>
      </c>
      <c r="F682" s="124" t="s">
        <v>2240</v>
      </c>
    </row>
    <row r="683">
      <c r="A683" s="125">
        <v>44319.54512890046</v>
      </c>
      <c r="B683" s="124" t="s">
        <v>113</v>
      </c>
      <c r="C683" s="124" t="s">
        <v>2163</v>
      </c>
      <c r="D683" s="124" t="s">
        <v>334</v>
      </c>
      <c r="E683" s="126" t="s">
        <v>2241</v>
      </c>
      <c r="F683" s="124" t="s">
        <v>2243</v>
      </c>
    </row>
    <row r="684">
      <c r="A684" s="125">
        <v>44319.54886810185</v>
      </c>
      <c r="B684" s="124" t="s">
        <v>113</v>
      </c>
      <c r="C684" s="124" t="s">
        <v>2094</v>
      </c>
      <c r="D684" s="124" t="s">
        <v>2244</v>
      </c>
      <c r="E684" s="126" t="s">
        <v>2245</v>
      </c>
      <c r="F684" s="124" t="s">
        <v>2246</v>
      </c>
    </row>
    <row r="685">
      <c r="A685" s="125">
        <v>44319.55044399305</v>
      </c>
      <c r="B685" s="124" t="s">
        <v>113</v>
      </c>
      <c r="C685" s="124" t="s">
        <v>2097</v>
      </c>
      <c r="D685" s="124" t="s">
        <v>2244</v>
      </c>
      <c r="E685" s="126" t="s">
        <v>2248</v>
      </c>
      <c r="F685" s="124" t="s">
        <v>2249</v>
      </c>
    </row>
    <row r="686">
      <c r="A686" s="125">
        <v>44319.55147752315</v>
      </c>
      <c r="B686" s="124" t="s">
        <v>113</v>
      </c>
      <c r="C686" s="124" t="s">
        <v>2122</v>
      </c>
      <c r="D686" s="124" t="s">
        <v>525</v>
      </c>
      <c r="E686" s="126" t="s">
        <v>2251</v>
      </c>
      <c r="F686" s="124" t="s">
        <v>2254</v>
      </c>
    </row>
    <row r="687">
      <c r="A687" s="125">
        <v>44319.554530127316</v>
      </c>
      <c r="B687" s="124" t="s">
        <v>113</v>
      </c>
      <c r="C687" s="124" t="s">
        <v>2091</v>
      </c>
      <c r="D687" s="124" t="s">
        <v>525</v>
      </c>
      <c r="E687" s="126" t="s">
        <v>2256</v>
      </c>
      <c r="F687" s="124" t="s">
        <v>2257</v>
      </c>
    </row>
    <row r="688">
      <c r="A688" s="125">
        <v>44319.55697721065</v>
      </c>
      <c r="B688" s="124" t="s">
        <v>113</v>
      </c>
      <c r="C688" s="124" t="s">
        <v>1171</v>
      </c>
      <c r="D688" s="124" t="s">
        <v>486</v>
      </c>
      <c r="E688" s="126" t="s">
        <v>2259</v>
      </c>
      <c r="F688" s="124" t="s">
        <v>2260</v>
      </c>
    </row>
    <row r="689">
      <c r="A689" s="125">
        <v>44319.55784622685</v>
      </c>
      <c r="B689" s="124" t="s">
        <v>113</v>
      </c>
      <c r="C689" s="124" t="s">
        <v>1178</v>
      </c>
      <c r="D689" s="124" t="s">
        <v>486</v>
      </c>
      <c r="E689" s="126" t="s">
        <v>2262</v>
      </c>
      <c r="F689" s="124" t="s">
        <v>2263</v>
      </c>
    </row>
    <row r="690">
      <c r="A690" s="125">
        <v>44319.5601006713</v>
      </c>
      <c r="B690" s="124" t="s">
        <v>113</v>
      </c>
      <c r="C690" s="124" t="s">
        <v>2072</v>
      </c>
      <c r="D690" s="124" t="s">
        <v>525</v>
      </c>
      <c r="E690" s="126" t="s">
        <v>2265</v>
      </c>
      <c r="F690" s="124" t="s">
        <v>2267</v>
      </c>
    </row>
    <row r="691">
      <c r="A691" s="125">
        <v>44319.56325803241</v>
      </c>
      <c r="B691" s="124" t="s">
        <v>113</v>
      </c>
      <c r="C691" s="124" t="s">
        <v>2094</v>
      </c>
      <c r="D691" s="124" t="s">
        <v>525</v>
      </c>
      <c r="E691" s="126" t="s">
        <v>2268</v>
      </c>
      <c r="F691" s="124" t="s">
        <v>2246</v>
      </c>
    </row>
    <row r="692">
      <c r="A692" s="125">
        <v>44319.56375755787</v>
      </c>
      <c r="B692" s="124" t="s">
        <v>113</v>
      </c>
      <c r="C692" s="124" t="s">
        <v>2097</v>
      </c>
      <c r="D692" s="124" t="s">
        <v>525</v>
      </c>
      <c r="E692" s="126" t="s">
        <v>2270</v>
      </c>
      <c r="F692" s="124" t="s">
        <v>2249</v>
      </c>
    </row>
    <row r="693">
      <c r="A693" s="125">
        <v>44319.60467748843</v>
      </c>
      <c r="B693" s="124" t="s">
        <v>113</v>
      </c>
      <c r="C693" s="124" t="s">
        <v>2094</v>
      </c>
      <c r="D693" s="124" t="s">
        <v>434</v>
      </c>
      <c r="E693" s="126" t="s">
        <v>2272</v>
      </c>
      <c r="F693" s="124" t="s">
        <v>2273</v>
      </c>
    </row>
    <row r="694">
      <c r="A694" s="125">
        <v>44319.60521917824</v>
      </c>
      <c r="B694" s="124" t="s">
        <v>113</v>
      </c>
      <c r="C694" s="124" t="s">
        <v>2097</v>
      </c>
      <c r="D694" s="124" t="s">
        <v>434</v>
      </c>
      <c r="E694" s="126" t="s">
        <v>2275</v>
      </c>
      <c r="F694" s="124" t="s">
        <v>2276</v>
      </c>
    </row>
    <row r="695">
      <c r="A695" s="125">
        <v>44319.60550689815</v>
      </c>
      <c r="B695" s="124" t="s">
        <v>113</v>
      </c>
      <c r="C695" s="124" t="s">
        <v>2097</v>
      </c>
      <c r="D695" s="124" t="s">
        <v>434</v>
      </c>
      <c r="E695" s="126" t="s">
        <v>2277</v>
      </c>
      <c r="F695" s="124" t="s">
        <v>2276</v>
      </c>
    </row>
    <row r="696">
      <c r="A696" s="125">
        <v>44319.60587991898</v>
      </c>
      <c r="B696" s="124" t="s">
        <v>113</v>
      </c>
      <c r="C696" s="124" t="s">
        <v>2097</v>
      </c>
      <c r="D696" s="124" t="s">
        <v>434</v>
      </c>
      <c r="E696" s="126" t="s">
        <v>2279</v>
      </c>
      <c r="F696" s="124" t="s">
        <v>2276</v>
      </c>
    </row>
    <row r="697">
      <c r="A697" s="125">
        <v>44319.62128895833</v>
      </c>
      <c r="B697" s="124" t="s">
        <v>113</v>
      </c>
      <c r="C697" s="124" t="s">
        <v>2112</v>
      </c>
      <c r="D697" s="124" t="s">
        <v>1116</v>
      </c>
      <c r="E697" s="126" t="s">
        <v>2281</v>
      </c>
      <c r="F697" s="124" t="s">
        <v>2283</v>
      </c>
    </row>
    <row r="698">
      <c r="A698" s="125">
        <v>44319.622236145835</v>
      </c>
      <c r="B698" s="124" t="s">
        <v>113</v>
      </c>
      <c r="C698" s="124" t="s">
        <v>2097</v>
      </c>
      <c r="D698" s="124" t="s">
        <v>2284</v>
      </c>
      <c r="E698" s="126" t="s">
        <v>2285</v>
      </c>
      <c r="F698" s="124" t="s">
        <v>2287</v>
      </c>
    </row>
    <row r="699">
      <c r="A699" s="125">
        <v>44319.63007329861</v>
      </c>
      <c r="B699" s="124" t="s">
        <v>113</v>
      </c>
      <c r="C699" s="124" t="s">
        <v>2097</v>
      </c>
      <c r="D699" s="124" t="s">
        <v>811</v>
      </c>
      <c r="E699" s="126" t="s">
        <v>2288</v>
      </c>
      <c r="F699" s="124" t="s">
        <v>2290</v>
      </c>
    </row>
    <row r="700">
      <c r="A700" s="125">
        <v>44319.63188295139</v>
      </c>
      <c r="B700" s="124" t="s">
        <v>113</v>
      </c>
      <c r="C700" s="124" t="s">
        <v>2075</v>
      </c>
      <c r="D700" s="124" t="s">
        <v>811</v>
      </c>
      <c r="E700" s="126" t="s">
        <v>2292</v>
      </c>
      <c r="F700" s="124" t="s">
        <v>2293</v>
      </c>
    </row>
    <row r="701">
      <c r="A701" s="125">
        <v>44319.6723644213</v>
      </c>
      <c r="B701" s="124" t="s">
        <v>113</v>
      </c>
      <c r="C701" s="124" t="s">
        <v>2163</v>
      </c>
      <c r="D701" s="124" t="s">
        <v>233</v>
      </c>
      <c r="E701" s="126" t="s">
        <v>2295</v>
      </c>
      <c r="F701" s="124" t="s">
        <v>2296</v>
      </c>
    </row>
    <row r="702">
      <c r="A702" s="125">
        <v>44319.672575358796</v>
      </c>
      <c r="B702" s="124" t="s">
        <v>113</v>
      </c>
      <c r="C702" s="124" t="s">
        <v>2043</v>
      </c>
      <c r="D702" s="124" t="s">
        <v>138</v>
      </c>
      <c r="E702" s="126" t="s">
        <v>2298</v>
      </c>
      <c r="F702" s="124" t="s">
        <v>2299</v>
      </c>
    </row>
    <row r="703">
      <c r="A703" s="125">
        <v>44319.67393744213</v>
      </c>
      <c r="B703" s="124" t="s">
        <v>113</v>
      </c>
      <c r="C703" s="124" t="s">
        <v>2094</v>
      </c>
      <c r="D703" s="124" t="s">
        <v>138</v>
      </c>
      <c r="E703" s="126" t="s">
        <v>2301</v>
      </c>
      <c r="F703" s="124" t="s">
        <v>2303</v>
      </c>
    </row>
    <row r="704">
      <c r="A704" s="125">
        <v>44319.71165532408</v>
      </c>
      <c r="B704" s="124" t="s">
        <v>113</v>
      </c>
      <c r="C704" s="124" t="s">
        <v>2163</v>
      </c>
      <c r="D704" s="124" t="s">
        <v>321</v>
      </c>
      <c r="E704" s="126" t="s">
        <v>2304</v>
      </c>
      <c r="F704" s="124" t="s">
        <v>2306</v>
      </c>
    </row>
    <row r="705">
      <c r="A705" s="125">
        <v>44319.971955416666</v>
      </c>
      <c r="B705" s="124" t="s">
        <v>113</v>
      </c>
      <c r="C705" s="124" t="s">
        <v>2112</v>
      </c>
      <c r="D705" s="124" t="s">
        <v>1382</v>
      </c>
      <c r="E705" s="126" t="s">
        <v>2307</v>
      </c>
      <c r="F705" s="124" t="s">
        <v>2308</v>
      </c>
    </row>
    <row r="706">
      <c r="A706" s="125">
        <v>44319.9744347338</v>
      </c>
      <c r="B706" s="124" t="s">
        <v>113</v>
      </c>
      <c r="C706" s="124" t="s">
        <v>2206</v>
      </c>
      <c r="D706" s="124" t="s">
        <v>1382</v>
      </c>
      <c r="E706" s="126" t="s">
        <v>2310</v>
      </c>
      <c r="F706" s="124" t="s">
        <v>2311</v>
      </c>
    </row>
    <row r="707">
      <c r="A707" s="125">
        <v>44319.98404550926</v>
      </c>
      <c r="B707" s="124" t="s">
        <v>113</v>
      </c>
      <c r="C707" s="124" t="s">
        <v>2091</v>
      </c>
      <c r="D707" s="124" t="s">
        <v>1382</v>
      </c>
      <c r="E707" s="126" t="s">
        <v>2312</v>
      </c>
      <c r="F707" s="124" t="s">
        <v>2314</v>
      </c>
    </row>
    <row r="708">
      <c r="A708" s="125">
        <v>44320.40922736111</v>
      </c>
      <c r="B708" s="124" t="s">
        <v>113</v>
      </c>
      <c r="C708" s="124" t="s">
        <v>2163</v>
      </c>
      <c r="D708" s="124" t="s">
        <v>2315</v>
      </c>
      <c r="E708" s="126" t="s">
        <v>2316</v>
      </c>
      <c r="F708" s="124" t="s">
        <v>2318</v>
      </c>
    </row>
    <row r="709">
      <c r="A709" s="125">
        <v>44320.462079641205</v>
      </c>
      <c r="B709" s="124" t="s">
        <v>113</v>
      </c>
      <c r="C709" s="124" t="s">
        <v>1171</v>
      </c>
      <c r="D709" s="124" t="s">
        <v>2319</v>
      </c>
      <c r="E709" s="126" t="s">
        <v>2320</v>
      </c>
      <c r="F709" s="124" t="s">
        <v>2322</v>
      </c>
    </row>
    <row r="710">
      <c r="A710" s="125">
        <v>44320.623633854164</v>
      </c>
      <c r="B710" s="124" t="s">
        <v>113</v>
      </c>
      <c r="C710" s="124" t="s">
        <v>2094</v>
      </c>
      <c r="D710" s="124" t="s">
        <v>1382</v>
      </c>
      <c r="E710" s="126" t="s">
        <v>2323</v>
      </c>
      <c r="F710" s="124" t="s">
        <v>2325</v>
      </c>
    </row>
    <row r="711">
      <c r="A711" s="125">
        <v>44320.62460519676</v>
      </c>
      <c r="B711" s="124" t="s">
        <v>113</v>
      </c>
      <c r="C711" s="124" t="s">
        <v>2097</v>
      </c>
      <c r="D711" s="124" t="s">
        <v>1382</v>
      </c>
      <c r="E711" s="126" t="s">
        <v>2326</v>
      </c>
      <c r="F711" s="124" t="s">
        <v>2328</v>
      </c>
    </row>
    <row r="712">
      <c r="A712" s="125">
        <v>44320.62631865741</v>
      </c>
      <c r="B712" s="124" t="s">
        <v>113</v>
      </c>
      <c r="C712" s="124" t="s">
        <v>2122</v>
      </c>
      <c r="D712" s="124" t="s">
        <v>1382</v>
      </c>
      <c r="E712" s="126" t="s">
        <v>2329</v>
      </c>
      <c r="F712" s="124" t="s">
        <v>2331</v>
      </c>
    </row>
    <row r="713">
      <c r="A713" s="125">
        <v>44320.629949027774</v>
      </c>
      <c r="B713" s="124" t="s">
        <v>113</v>
      </c>
      <c r="C713" s="124" t="s">
        <v>2072</v>
      </c>
      <c r="D713" s="124" t="s">
        <v>1382</v>
      </c>
      <c r="E713" s="126" t="s">
        <v>2332</v>
      </c>
      <c r="F713" s="124" t="s">
        <v>2334</v>
      </c>
    </row>
    <row r="714">
      <c r="A714" s="125">
        <v>44320.63232152778</v>
      </c>
      <c r="B714" s="124" t="s">
        <v>113</v>
      </c>
      <c r="C714" s="124" t="s">
        <v>2075</v>
      </c>
      <c r="D714" s="124" t="s">
        <v>1382</v>
      </c>
      <c r="E714" s="126" t="s">
        <v>2335</v>
      </c>
      <c r="F714" s="124" t="s">
        <v>2337</v>
      </c>
    </row>
    <row r="715">
      <c r="A715" s="125">
        <v>44320.634487511576</v>
      </c>
      <c r="B715" s="124" t="s">
        <v>113</v>
      </c>
      <c r="C715" s="124" t="s">
        <v>2148</v>
      </c>
      <c r="D715" s="124" t="s">
        <v>1382</v>
      </c>
      <c r="E715" s="126" t="s">
        <v>2339</v>
      </c>
      <c r="F715" s="124" t="s">
        <v>2340</v>
      </c>
    </row>
    <row r="716">
      <c r="A716" s="125">
        <v>44320.652841874995</v>
      </c>
      <c r="B716" s="124" t="s">
        <v>113</v>
      </c>
      <c r="C716" s="124" t="s">
        <v>2043</v>
      </c>
      <c r="D716" s="124" t="s">
        <v>2342</v>
      </c>
      <c r="E716" s="126" t="s">
        <v>2343</v>
      </c>
      <c r="F716" s="124" t="s">
        <v>2344</v>
      </c>
    </row>
    <row r="717">
      <c r="A717" s="125">
        <v>44320.655590069444</v>
      </c>
      <c r="B717" s="124" t="s">
        <v>113</v>
      </c>
      <c r="C717" s="124" t="s">
        <v>2122</v>
      </c>
      <c r="D717" s="124" t="s">
        <v>554</v>
      </c>
      <c r="E717" s="126" t="s">
        <v>2346</v>
      </c>
      <c r="F717" s="124" t="s">
        <v>2347</v>
      </c>
    </row>
    <row r="718">
      <c r="A718" s="125">
        <v>44320.664169131946</v>
      </c>
      <c r="B718" s="124" t="s">
        <v>113</v>
      </c>
      <c r="C718" s="124" t="s">
        <v>2091</v>
      </c>
      <c r="D718" s="124" t="s">
        <v>554</v>
      </c>
      <c r="E718" s="126" t="s">
        <v>2349</v>
      </c>
      <c r="F718" s="124" t="s">
        <v>2350</v>
      </c>
    </row>
    <row r="719">
      <c r="A719" s="125">
        <v>44320.69206274305</v>
      </c>
      <c r="B719" s="124" t="s">
        <v>113</v>
      </c>
      <c r="C719" s="124" t="s">
        <v>2043</v>
      </c>
      <c r="D719" s="124" t="s">
        <v>2352</v>
      </c>
      <c r="E719" s="126" t="s">
        <v>2353</v>
      </c>
      <c r="F719" s="124" t="s">
        <v>2354</v>
      </c>
    </row>
    <row r="720">
      <c r="A720" s="125">
        <v>44320.692914178246</v>
      </c>
      <c r="B720" s="124" t="s">
        <v>113</v>
      </c>
      <c r="C720" s="124" t="s">
        <v>1171</v>
      </c>
      <c r="D720" s="124" t="s">
        <v>2352</v>
      </c>
      <c r="E720" s="126" t="s">
        <v>2356</v>
      </c>
      <c r="F720" s="124" t="s">
        <v>2357</v>
      </c>
    </row>
    <row r="721">
      <c r="A721" s="125">
        <v>44320.695099282406</v>
      </c>
      <c r="B721" s="124" t="s">
        <v>113</v>
      </c>
      <c r="C721" s="124" t="s">
        <v>2094</v>
      </c>
      <c r="D721" s="124" t="s">
        <v>2352</v>
      </c>
      <c r="E721" s="126" t="s">
        <v>2359</v>
      </c>
      <c r="F721" s="124" t="s">
        <v>2361</v>
      </c>
    </row>
    <row r="722">
      <c r="A722" s="125">
        <v>44320.69603008102</v>
      </c>
      <c r="B722" s="124" t="s">
        <v>113</v>
      </c>
      <c r="C722" s="124" t="s">
        <v>2097</v>
      </c>
      <c r="D722" s="124" t="s">
        <v>2352</v>
      </c>
      <c r="E722" s="126" t="s">
        <v>2362</v>
      </c>
      <c r="F722" s="124" t="s">
        <v>2364</v>
      </c>
    </row>
    <row r="723">
      <c r="A723" s="125">
        <v>44320.69710467593</v>
      </c>
      <c r="B723" s="124" t="s">
        <v>113</v>
      </c>
      <c r="C723" s="124" t="s">
        <v>2112</v>
      </c>
      <c r="D723" s="124" t="s">
        <v>2352</v>
      </c>
      <c r="E723" s="126" t="s">
        <v>2365</v>
      </c>
      <c r="F723" s="124" t="s">
        <v>2367</v>
      </c>
    </row>
    <row r="724">
      <c r="A724" s="125">
        <v>44320.69801332176</v>
      </c>
      <c r="B724" s="124" t="s">
        <v>113</v>
      </c>
      <c r="C724" s="124" t="s">
        <v>2122</v>
      </c>
      <c r="D724" s="124" t="s">
        <v>2352</v>
      </c>
      <c r="E724" s="126" t="s">
        <v>2368</v>
      </c>
      <c r="F724" s="124" t="s">
        <v>2369</v>
      </c>
    </row>
    <row r="725">
      <c r="A725" s="125">
        <v>44320.69980475694</v>
      </c>
      <c r="B725" s="124" t="s">
        <v>113</v>
      </c>
      <c r="C725" s="124" t="s">
        <v>2206</v>
      </c>
      <c r="D725" s="124" t="s">
        <v>2352</v>
      </c>
      <c r="E725" s="126" t="s">
        <v>2370</v>
      </c>
      <c r="F725" s="124" t="s">
        <v>2372</v>
      </c>
    </row>
    <row r="726">
      <c r="A726" s="125">
        <v>44320.701098749996</v>
      </c>
      <c r="B726" s="124" t="s">
        <v>113</v>
      </c>
      <c r="C726" s="124" t="s">
        <v>2091</v>
      </c>
      <c r="D726" s="124" t="s">
        <v>2352</v>
      </c>
      <c r="E726" s="126" t="s">
        <v>2373</v>
      </c>
      <c r="F726" s="124" t="s">
        <v>2375</v>
      </c>
    </row>
    <row r="727">
      <c r="A727" s="125">
        <v>44320.70234335648</v>
      </c>
      <c r="B727" s="124" t="s">
        <v>113</v>
      </c>
      <c r="C727" s="124" t="s">
        <v>1178</v>
      </c>
      <c r="D727" s="124" t="s">
        <v>2352</v>
      </c>
      <c r="E727" s="126" t="s">
        <v>2376</v>
      </c>
      <c r="F727" s="124" t="s">
        <v>2378</v>
      </c>
    </row>
    <row r="728">
      <c r="A728" s="125">
        <v>44321.31541631944</v>
      </c>
      <c r="B728" s="124" t="s">
        <v>113</v>
      </c>
      <c r="C728" s="124" t="s">
        <v>2091</v>
      </c>
      <c r="D728" s="124" t="s">
        <v>795</v>
      </c>
      <c r="E728" s="126" t="s">
        <v>2379</v>
      </c>
      <c r="F728" s="124" t="s">
        <v>2381</v>
      </c>
    </row>
    <row r="729">
      <c r="A729" s="125">
        <v>44321.458467881945</v>
      </c>
      <c r="B729" s="124" t="s">
        <v>113</v>
      </c>
      <c r="C729" s="124" t="s">
        <v>2159</v>
      </c>
      <c r="D729" s="124" t="s">
        <v>520</v>
      </c>
      <c r="E729" s="126" t="s">
        <v>2382</v>
      </c>
      <c r="F729" s="124" t="s">
        <v>2384</v>
      </c>
    </row>
    <row r="730">
      <c r="A730" s="125">
        <v>44321.464383321756</v>
      </c>
      <c r="B730" s="124" t="s">
        <v>113</v>
      </c>
      <c r="C730" s="124" t="s">
        <v>2163</v>
      </c>
      <c r="D730" s="124" t="s">
        <v>520</v>
      </c>
      <c r="E730" s="126" t="s">
        <v>2385</v>
      </c>
      <c r="F730" s="124" t="s">
        <v>2387</v>
      </c>
    </row>
    <row r="731">
      <c r="A731" s="125">
        <v>44321.493990567134</v>
      </c>
      <c r="B731" s="124" t="s">
        <v>113</v>
      </c>
      <c r="C731" s="124" t="s">
        <v>2075</v>
      </c>
      <c r="D731" s="124" t="s">
        <v>2388</v>
      </c>
      <c r="E731" s="126" t="s">
        <v>2389</v>
      </c>
      <c r="F731" s="124" t="s">
        <v>2391</v>
      </c>
    </row>
    <row r="732">
      <c r="A732" s="125">
        <v>44321.49789640046</v>
      </c>
      <c r="B732" s="124" t="s">
        <v>113</v>
      </c>
      <c r="C732" s="124" t="s">
        <v>1178</v>
      </c>
      <c r="D732" s="124" t="s">
        <v>2388</v>
      </c>
      <c r="E732" s="126" t="s">
        <v>2392</v>
      </c>
      <c r="F732" s="124" t="s">
        <v>2394</v>
      </c>
    </row>
    <row r="733">
      <c r="A733" s="125">
        <v>44321.62143612269</v>
      </c>
      <c r="B733" s="124" t="s">
        <v>113</v>
      </c>
      <c r="C733" s="124" t="s">
        <v>2043</v>
      </c>
      <c r="D733" s="124" t="s">
        <v>2395</v>
      </c>
      <c r="E733" s="126" t="s">
        <v>2396</v>
      </c>
      <c r="F733" s="124" t="s">
        <v>2398</v>
      </c>
    </row>
    <row r="734">
      <c r="A734" s="125">
        <v>44321.71288361111</v>
      </c>
      <c r="B734" s="124" t="s">
        <v>113</v>
      </c>
      <c r="C734" s="124" t="s">
        <v>2091</v>
      </c>
      <c r="D734" s="124" t="s">
        <v>2399</v>
      </c>
      <c r="E734" s="126" t="s">
        <v>2400</v>
      </c>
      <c r="F734" s="124" t="s">
        <v>2402</v>
      </c>
    </row>
    <row r="735">
      <c r="A735" s="125">
        <v>44321.71377040509</v>
      </c>
      <c r="B735" s="124" t="s">
        <v>113</v>
      </c>
      <c r="C735" s="124" t="s">
        <v>1178</v>
      </c>
      <c r="D735" s="124" t="s">
        <v>2399</v>
      </c>
      <c r="E735" s="126" t="s">
        <v>2403</v>
      </c>
      <c r="F735" s="124" t="s">
        <v>2405</v>
      </c>
    </row>
    <row r="736">
      <c r="A736" s="125">
        <v>44321.71392275463</v>
      </c>
      <c r="B736" s="124" t="s">
        <v>113</v>
      </c>
      <c r="C736" s="124" t="s">
        <v>2159</v>
      </c>
      <c r="D736" s="124" t="s">
        <v>2399</v>
      </c>
      <c r="E736" s="126" t="s">
        <v>2407</v>
      </c>
      <c r="F736" s="124" t="s">
        <v>2408</v>
      </c>
    </row>
    <row r="737">
      <c r="A737" s="125">
        <v>44321.71418289352</v>
      </c>
      <c r="B737" s="124" t="s">
        <v>113</v>
      </c>
      <c r="C737" s="124" t="s">
        <v>2072</v>
      </c>
      <c r="D737" s="124" t="s">
        <v>2399</v>
      </c>
      <c r="E737" s="126" t="s">
        <v>2410</v>
      </c>
      <c r="F737" s="124" t="s">
        <v>2412</v>
      </c>
    </row>
    <row r="738">
      <c r="A738" s="125">
        <v>44321.71488018519</v>
      </c>
      <c r="B738" s="124" t="s">
        <v>113</v>
      </c>
      <c r="C738" s="124" t="s">
        <v>2163</v>
      </c>
      <c r="D738" s="124" t="s">
        <v>2399</v>
      </c>
      <c r="E738" s="126" t="s">
        <v>2413</v>
      </c>
      <c r="F738" s="124" t="s">
        <v>2415</v>
      </c>
    </row>
    <row r="739">
      <c r="A739" s="125">
        <v>44321.71527690972</v>
      </c>
      <c r="B739" s="124" t="s">
        <v>113</v>
      </c>
      <c r="C739" s="124" t="s">
        <v>2171</v>
      </c>
      <c r="D739" s="124" t="s">
        <v>2399</v>
      </c>
      <c r="E739" s="126" t="s">
        <v>2416</v>
      </c>
      <c r="F739" s="124" t="s">
        <v>2423</v>
      </c>
    </row>
    <row r="740">
      <c r="A740" s="125">
        <v>44321.71571091435</v>
      </c>
      <c r="B740" s="124" t="s">
        <v>113</v>
      </c>
      <c r="C740" s="124" t="s">
        <v>2148</v>
      </c>
      <c r="D740" s="124" t="s">
        <v>2399</v>
      </c>
      <c r="E740" s="126" t="s">
        <v>2424</v>
      </c>
      <c r="F740" s="124" t="s">
        <v>2426</v>
      </c>
    </row>
    <row r="741">
      <c r="A741" s="125">
        <v>44321.71922732639</v>
      </c>
      <c r="B741" s="124" t="s">
        <v>113</v>
      </c>
      <c r="C741" s="124" t="s">
        <v>1171</v>
      </c>
      <c r="D741" s="124" t="s">
        <v>2399</v>
      </c>
      <c r="E741" s="126" t="s">
        <v>2427</v>
      </c>
      <c r="F741" s="124" t="s">
        <v>2429</v>
      </c>
    </row>
    <row r="742">
      <c r="A742" s="125">
        <v>44321.719350127314</v>
      </c>
      <c r="B742" s="124" t="s">
        <v>113</v>
      </c>
      <c r="C742" s="124" t="s">
        <v>2043</v>
      </c>
      <c r="D742" s="124" t="s">
        <v>2399</v>
      </c>
      <c r="E742" s="126" t="s">
        <v>2430</v>
      </c>
      <c r="F742" s="124" t="s">
        <v>2432</v>
      </c>
    </row>
    <row r="743">
      <c r="A743" s="125">
        <v>44322.46585143519</v>
      </c>
      <c r="B743" s="124" t="s">
        <v>113</v>
      </c>
      <c r="C743" s="124" t="s">
        <v>2104</v>
      </c>
      <c r="D743" s="124" t="s">
        <v>2433</v>
      </c>
      <c r="E743" s="126" t="s">
        <v>2434</v>
      </c>
      <c r="F743" s="124" t="s">
        <v>2436</v>
      </c>
    </row>
    <row r="744">
      <c r="A744" s="125">
        <v>44322.55273703704</v>
      </c>
      <c r="B744" s="124" t="s">
        <v>113</v>
      </c>
      <c r="C744" s="124" t="s">
        <v>1171</v>
      </c>
      <c r="D744" s="124" t="s">
        <v>2342</v>
      </c>
      <c r="E744" s="126" t="s">
        <v>2437</v>
      </c>
      <c r="F744" s="124" t="s">
        <v>2439</v>
      </c>
    </row>
    <row r="745">
      <c r="A745" s="125">
        <v>44322.55415333333</v>
      </c>
      <c r="B745" s="124" t="s">
        <v>113</v>
      </c>
      <c r="C745" s="124" t="s">
        <v>2094</v>
      </c>
      <c r="D745" s="124" t="s">
        <v>2342</v>
      </c>
      <c r="E745" s="126" t="s">
        <v>2440</v>
      </c>
      <c r="F745" s="124" t="s">
        <v>2442</v>
      </c>
    </row>
    <row r="746">
      <c r="A746" s="125">
        <v>44322.555527916666</v>
      </c>
      <c r="B746" s="124" t="s">
        <v>113</v>
      </c>
      <c r="C746" s="124" t="s">
        <v>2112</v>
      </c>
      <c r="D746" s="124" t="s">
        <v>2342</v>
      </c>
      <c r="E746" s="126" t="s">
        <v>2443</v>
      </c>
      <c r="F746" s="124" t="s">
        <v>2445</v>
      </c>
    </row>
    <row r="747">
      <c r="A747" s="125">
        <v>44322.55790543981</v>
      </c>
      <c r="B747" s="124" t="s">
        <v>113</v>
      </c>
      <c r="C747" s="124" t="s">
        <v>2206</v>
      </c>
      <c r="D747" s="124" t="s">
        <v>2342</v>
      </c>
      <c r="E747" s="126" t="s">
        <v>2446</v>
      </c>
      <c r="F747" s="124" t="s">
        <v>2448</v>
      </c>
    </row>
    <row r="748">
      <c r="A748" s="125">
        <v>44322.55933703703</v>
      </c>
      <c r="B748" s="124" t="s">
        <v>113</v>
      </c>
      <c r="C748" s="124" t="s">
        <v>2091</v>
      </c>
      <c r="D748" s="124" t="s">
        <v>2342</v>
      </c>
      <c r="E748" s="126" t="s">
        <v>2449</v>
      </c>
      <c r="F748" s="124" t="s">
        <v>2451</v>
      </c>
    </row>
    <row r="749">
      <c r="A749" s="125">
        <v>44322.562321307865</v>
      </c>
      <c r="B749" s="124" t="s">
        <v>113</v>
      </c>
      <c r="C749" s="124" t="s">
        <v>1178</v>
      </c>
      <c r="D749" s="124" t="s">
        <v>2342</v>
      </c>
      <c r="E749" s="126" t="s">
        <v>2452</v>
      </c>
      <c r="F749" s="124" t="s">
        <v>2454</v>
      </c>
    </row>
    <row r="750">
      <c r="A750" s="125">
        <v>44322.56591635417</v>
      </c>
      <c r="B750" s="124" t="s">
        <v>113</v>
      </c>
      <c r="C750" s="124" t="s">
        <v>2104</v>
      </c>
      <c r="D750" s="124" t="s">
        <v>2342</v>
      </c>
      <c r="E750" s="126" t="s">
        <v>2455</v>
      </c>
      <c r="F750" s="124" t="s">
        <v>2457</v>
      </c>
    </row>
    <row r="751">
      <c r="A751" s="125">
        <v>44322.56754708334</v>
      </c>
      <c r="B751" s="124" t="s">
        <v>113</v>
      </c>
      <c r="C751" s="124" t="s">
        <v>2159</v>
      </c>
      <c r="D751" s="124" t="s">
        <v>2342</v>
      </c>
      <c r="E751" s="126" t="s">
        <v>2458</v>
      </c>
      <c r="F751" s="124" t="s">
        <v>2460</v>
      </c>
    </row>
    <row r="752">
      <c r="A752" s="125">
        <v>44322.56897912037</v>
      </c>
      <c r="B752" s="124" t="s">
        <v>113</v>
      </c>
      <c r="C752" s="124" t="s">
        <v>2072</v>
      </c>
      <c r="D752" s="124" t="s">
        <v>2342</v>
      </c>
      <c r="E752" s="126" t="s">
        <v>2461</v>
      </c>
      <c r="F752" s="124" t="s">
        <v>2463</v>
      </c>
    </row>
    <row r="753">
      <c r="A753" s="125">
        <v>44322.570146122685</v>
      </c>
      <c r="B753" s="124" t="s">
        <v>113</v>
      </c>
      <c r="C753" s="124" t="s">
        <v>2126</v>
      </c>
      <c r="D753" s="124" t="s">
        <v>2342</v>
      </c>
      <c r="E753" s="126" t="s">
        <v>2464</v>
      </c>
      <c r="F753" s="124" t="s">
        <v>2466</v>
      </c>
    </row>
    <row r="754">
      <c r="A754" s="125">
        <v>44324.04387234953</v>
      </c>
      <c r="B754" s="124" t="s">
        <v>113</v>
      </c>
      <c r="C754" s="124" t="s">
        <v>2043</v>
      </c>
      <c r="D754" s="124" t="s">
        <v>2467</v>
      </c>
      <c r="E754" s="126" t="s">
        <v>2468</v>
      </c>
      <c r="F754" s="124" t="s">
        <v>2473</v>
      </c>
    </row>
    <row r="755">
      <c r="A755" s="125">
        <v>44324.04635900463</v>
      </c>
      <c r="B755" s="124" t="s">
        <v>113</v>
      </c>
      <c r="C755" s="124" t="s">
        <v>1178</v>
      </c>
      <c r="D755" s="124" t="s">
        <v>2467</v>
      </c>
      <c r="E755" s="126" t="s">
        <v>2474</v>
      </c>
      <c r="F755" s="124" t="s">
        <v>2476</v>
      </c>
    </row>
    <row r="756">
      <c r="A756" s="125">
        <v>44324.53201940972</v>
      </c>
      <c r="B756" s="124" t="s">
        <v>113</v>
      </c>
      <c r="C756" s="124" t="s">
        <v>1171</v>
      </c>
      <c r="D756" s="124" t="s">
        <v>2477</v>
      </c>
      <c r="E756" s="126" t="s">
        <v>2478</v>
      </c>
      <c r="F756" s="124" t="s">
        <v>2480</v>
      </c>
    </row>
    <row r="757">
      <c r="A757" s="125">
        <v>44324.532559583335</v>
      </c>
      <c r="B757" s="124" t="s">
        <v>113</v>
      </c>
      <c r="C757" s="124" t="s">
        <v>2206</v>
      </c>
      <c r="D757" s="124" t="s">
        <v>2477</v>
      </c>
      <c r="E757" s="126" t="s">
        <v>2481</v>
      </c>
      <c r="F757" s="124" t="s">
        <v>2483</v>
      </c>
    </row>
    <row r="758">
      <c r="A758" s="125">
        <v>44324.53359230324</v>
      </c>
      <c r="B758" s="124" t="s">
        <v>113</v>
      </c>
      <c r="C758" s="124" t="s">
        <v>2091</v>
      </c>
      <c r="D758" s="124" t="s">
        <v>2477</v>
      </c>
      <c r="E758" s="126" t="s">
        <v>2484</v>
      </c>
      <c r="F758" s="124" t="s">
        <v>2486</v>
      </c>
    </row>
    <row r="759">
      <c r="A759" s="125">
        <v>44324.53457458333</v>
      </c>
      <c r="B759" s="124" t="s">
        <v>113</v>
      </c>
      <c r="C759" s="124" t="s">
        <v>2072</v>
      </c>
      <c r="D759" s="124" t="s">
        <v>2477</v>
      </c>
      <c r="E759" s="126" t="s">
        <v>2487</v>
      </c>
      <c r="F759" s="124" t="s">
        <v>2490</v>
      </c>
    </row>
    <row r="760">
      <c r="A760" s="125">
        <v>44325.84691949074</v>
      </c>
      <c r="B760" s="124" t="s">
        <v>113</v>
      </c>
      <c r="C760" s="124" t="s">
        <v>2206</v>
      </c>
      <c r="D760" s="124" t="s">
        <v>2108</v>
      </c>
      <c r="E760" s="126" t="s">
        <v>2491</v>
      </c>
      <c r="F760" s="124" t="s">
        <v>2493</v>
      </c>
    </row>
    <row r="761">
      <c r="A761" s="125">
        <v>44325.878891597225</v>
      </c>
      <c r="B761" s="124" t="s">
        <v>113</v>
      </c>
      <c r="C761" s="124" t="s">
        <v>2075</v>
      </c>
      <c r="D761" s="124" t="s">
        <v>2108</v>
      </c>
      <c r="E761" s="126" t="s">
        <v>2494</v>
      </c>
      <c r="F761" s="124" t="s">
        <v>2496</v>
      </c>
    </row>
    <row r="762">
      <c r="A762" s="125">
        <v>44325.88124440973</v>
      </c>
      <c r="B762" s="124" t="s">
        <v>113</v>
      </c>
      <c r="C762" s="124" t="s">
        <v>2171</v>
      </c>
      <c r="D762" s="124" t="s">
        <v>2108</v>
      </c>
      <c r="E762" s="126" t="s">
        <v>2497</v>
      </c>
      <c r="F762" s="124" t="s">
        <v>2499</v>
      </c>
    </row>
    <row r="763">
      <c r="A763" s="125">
        <v>44326.42211774306</v>
      </c>
      <c r="B763" s="124" t="s">
        <v>113</v>
      </c>
      <c r="C763" s="124" t="s">
        <v>2163</v>
      </c>
      <c r="D763" s="124" t="s">
        <v>624</v>
      </c>
      <c r="E763" s="126" t="s">
        <v>2501</v>
      </c>
      <c r="F763" s="124" t="s">
        <v>2508</v>
      </c>
    </row>
    <row r="764">
      <c r="A764" s="125">
        <v>44326.42273373842</v>
      </c>
      <c r="B764" s="124" t="s">
        <v>113</v>
      </c>
      <c r="C764" s="124" t="s">
        <v>2148</v>
      </c>
      <c r="D764" s="124" t="s">
        <v>1612</v>
      </c>
      <c r="E764" s="126" t="s">
        <v>2511</v>
      </c>
      <c r="F764" s="124" t="s">
        <v>2513</v>
      </c>
    </row>
    <row r="765">
      <c r="A765" s="125">
        <v>44326.42348515046</v>
      </c>
      <c r="B765" s="124" t="s">
        <v>113</v>
      </c>
      <c r="C765" s="124" t="s">
        <v>2075</v>
      </c>
      <c r="D765" s="124" t="s">
        <v>624</v>
      </c>
      <c r="E765" s="126" t="s">
        <v>2514</v>
      </c>
      <c r="F765" s="124" t="s">
        <v>2516</v>
      </c>
    </row>
    <row r="766">
      <c r="A766" s="125">
        <v>44326.42532042824</v>
      </c>
      <c r="B766" s="124" t="s">
        <v>113</v>
      </c>
      <c r="C766" s="124" t="s">
        <v>2072</v>
      </c>
      <c r="D766" s="124" t="s">
        <v>624</v>
      </c>
      <c r="E766" s="126" t="s">
        <v>2517</v>
      </c>
      <c r="F766" s="124" t="s">
        <v>2519</v>
      </c>
    </row>
    <row r="767">
      <c r="A767" s="125">
        <v>44326.43398002315</v>
      </c>
      <c r="B767" s="124" t="s">
        <v>113</v>
      </c>
      <c r="C767" s="124" t="s">
        <v>1171</v>
      </c>
      <c r="D767" s="124" t="s">
        <v>2520</v>
      </c>
      <c r="E767" s="126" t="s">
        <v>2521</v>
      </c>
      <c r="F767" s="124" t="s">
        <v>2523</v>
      </c>
    </row>
    <row r="768">
      <c r="A768" s="125">
        <v>44326.435431631944</v>
      </c>
      <c r="B768" s="124" t="s">
        <v>113</v>
      </c>
      <c r="C768" s="124" t="s">
        <v>2094</v>
      </c>
      <c r="D768" s="124" t="s">
        <v>2520</v>
      </c>
      <c r="E768" s="126" t="s">
        <v>2524</v>
      </c>
      <c r="F768" s="124" t="s">
        <v>2526</v>
      </c>
    </row>
    <row r="769">
      <c r="A769" s="125">
        <v>44326.69805923611</v>
      </c>
      <c r="B769" s="124" t="s">
        <v>113</v>
      </c>
      <c r="C769" s="124" t="s">
        <v>2126</v>
      </c>
      <c r="D769" s="124" t="s">
        <v>2527</v>
      </c>
      <c r="E769" s="126" t="s">
        <v>2528</v>
      </c>
      <c r="F769" s="124" t="s">
        <v>2529</v>
      </c>
    </row>
    <row r="770">
      <c r="A770" s="125">
        <v>44326.789743726855</v>
      </c>
      <c r="B770" s="124" t="s">
        <v>113</v>
      </c>
      <c r="C770" s="124" t="s">
        <v>1171</v>
      </c>
      <c r="D770" s="124" t="s">
        <v>2530</v>
      </c>
      <c r="E770" s="126" t="s">
        <v>2531</v>
      </c>
      <c r="F770" s="124" t="s">
        <v>2534</v>
      </c>
    </row>
    <row r="771">
      <c r="A771" s="125">
        <v>44326.838783796295</v>
      </c>
      <c r="B771" s="124" t="s">
        <v>113</v>
      </c>
      <c r="C771" s="124" t="s">
        <v>2171</v>
      </c>
      <c r="D771" s="124" t="s">
        <v>525</v>
      </c>
      <c r="E771" s="126" t="s">
        <v>2535</v>
      </c>
      <c r="F771" s="124" t="s">
        <v>2538</v>
      </c>
    </row>
    <row r="772">
      <c r="A772" s="125">
        <v>44327.42882028935</v>
      </c>
      <c r="B772" s="124" t="s">
        <v>113</v>
      </c>
      <c r="C772" s="124" t="s">
        <v>2122</v>
      </c>
      <c r="D772" s="124" t="s">
        <v>530</v>
      </c>
      <c r="E772" s="126" t="s">
        <v>2539</v>
      </c>
      <c r="F772" s="124" t="s">
        <v>2541</v>
      </c>
    </row>
    <row r="773">
      <c r="A773" s="125">
        <v>44327.429541261576</v>
      </c>
      <c r="B773" s="124" t="s">
        <v>113</v>
      </c>
      <c r="C773" s="124" t="s">
        <v>2206</v>
      </c>
      <c r="D773" s="124" t="s">
        <v>530</v>
      </c>
      <c r="E773" s="126" t="s">
        <v>2542</v>
      </c>
      <c r="F773" s="124" t="s">
        <v>2544</v>
      </c>
    </row>
    <row r="774">
      <c r="A774" s="125">
        <v>44327.43013300926</v>
      </c>
      <c r="B774" s="124" t="s">
        <v>113</v>
      </c>
      <c r="C774" s="124" t="s">
        <v>2091</v>
      </c>
      <c r="D774" s="124" t="s">
        <v>530</v>
      </c>
      <c r="E774" s="126" t="s">
        <v>2545</v>
      </c>
      <c r="F774" s="124" t="s">
        <v>2547</v>
      </c>
    </row>
    <row r="775">
      <c r="A775" s="125">
        <v>44327.431325150465</v>
      </c>
      <c r="B775" s="124" t="s">
        <v>113</v>
      </c>
      <c r="C775" s="124" t="s">
        <v>2075</v>
      </c>
      <c r="D775" s="124" t="s">
        <v>530</v>
      </c>
      <c r="E775" s="126" t="s">
        <v>2548</v>
      </c>
      <c r="F775" s="124" t="s">
        <v>2550</v>
      </c>
    </row>
    <row r="776">
      <c r="A776" s="125">
        <v>44327.43274341435</v>
      </c>
      <c r="B776" s="124" t="s">
        <v>113</v>
      </c>
      <c r="C776" s="124" t="s">
        <v>2072</v>
      </c>
      <c r="D776" s="124" t="s">
        <v>530</v>
      </c>
      <c r="E776" s="126" t="s">
        <v>2551</v>
      </c>
      <c r="F776" s="124" t="s">
        <v>2553</v>
      </c>
    </row>
    <row r="777">
      <c r="A777" s="125">
        <v>44327.43516219908</v>
      </c>
      <c r="B777" s="124" t="s">
        <v>113</v>
      </c>
      <c r="C777" s="124" t="s">
        <v>2126</v>
      </c>
      <c r="D777" s="124" t="s">
        <v>530</v>
      </c>
      <c r="E777" s="126" t="s">
        <v>2554</v>
      </c>
      <c r="F777" s="124" t="s">
        <v>2556</v>
      </c>
    </row>
    <row r="778">
      <c r="A778" s="125">
        <v>44327.45840592592</v>
      </c>
      <c r="B778" s="124" t="s">
        <v>113</v>
      </c>
      <c r="C778" s="124" t="s">
        <v>2206</v>
      </c>
      <c r="D778" s="124" t="s">
        <v>201</v>
      </c>
      <c r="E778" s="126" t="s">
        <v>2557</v>
      </c>
      <c r="F778" s="124" t="s">
        <v>2559</v>
      </c>
    </row>
    <row r="779">
      <c r="A779" s="125">
        <v>44327.45957802083</v>
      </c>
      <c r="B779" s="124" t="s">
        <v>113</v>
      </c>
      <c r="C779" s="124" t="s">
        <v>2163</v>
      </c>
      <c r="D779" s="124" t="s">
        <v>201</v>
      </c>
      <c r="E779" s="126" t="s">
        <v>2560</v>
      </c>
      <c r="F779" s="124" t="s">
        <v>2562</v>
      </c>
    </row>
    <row r="780">
      <c r="A780" s="125">
        <v>44327.46608222222</v>
      </c>
      <c r="B780" s="124" t="s">
        <v>113</v>
      </c>
      <c r="C780" s="124" t="s">
        <v>2163</v>
      </c>
      <c r="D780" s="124" t="s">
        <v>1719</v>
      </c>
      <c r="E780" s="126" t="s">
        <v>2563</v>
      </c>
      <c r="F780" s="124" t="s">
        <v>2565</v>
      </c>
    </row>
    <row r="781">
      <c r="A781" s="125">
        <v>44327.466140335644</v>
      </c>
      <c r="B781" s="124" t="s">
        <v>113</v>
      </c>
      <c r="C781" s="124" t="s">
        <v>2171</v>
      </c>
      <c r="D781" s="124" t="s">
        <v>1565</v>
      </c>
      <c r="E781" s="126" t="s">
        <v>2566</v>
      </c>
      <c r="F781" s="124" t="s">
        <v>2568</v>
      </c>
    </row>
    <row r="782">
      <c r="A782" s="125">
        <v>44327.46660060185</v>
      </c>
      <c r="B782" s="124" t="s">
        <v>113</v>
      </c>
      <c r="C782" s="124" t="s">
        <v>2112</v>
      </c>
      <c r="D782" s="124" t="s">
        <v>1832</v>
      </c>
      <c r="E782" s="126" t="s">
        <v>2569</v>
      </c>
      <c r="F782" s="124" t="s">
        <v>2571</v>
      </c>
    </row>
    <row r="783">
      <c r="A783" s="125">
        <v>44327.467132881946</v>
      </c>
      <c r="B783" s="124" t="s">
        <v>113</v>
      </c>
      <c r="C783" s="124" t="s">
        <v>2206</v>
      </c>
      <c r="D783" s="124" t="s">
        <v>1742</v>
      </c>
      <c r="E783" s="126" t="s">
        <v>2572</v>
      </c>
      <c r="F783" s="124" t="s">
        <v>2574</v>
      </c>
    </row>
    <row r="784">
      <c r="A784" s="125">
        <v>44327.46751043982</v>
      </c>
      <c r="B784" s="124" t="s">
        <v>113</v>
      </c>
      <c r="C784" s="124" t="s">
        <v>2104</v>
      </c>
      <c r="D784" s="124" t="s">
        <v>1565</v>
      </c>
      <c r="E784" s="126" t="s">
        <v>2575</v>
      </c>
      <c r="F784" s="124" t="s">
        <v>2577</v>
      </c>
    </row>
    <row r="785">
      <c r="A785" s="125">
        <v>44327.46756142361</v>
      </c>
      <c r="B785" s="124" t="s">
        <v>113</v>
      </c>
      <c r="C785" s="124" t="s">
        <v>2206</v>
      </c>
      <c r="D785" s="124" t="s">
        <v>1832</v>
      </c>
      <c r="E785" s="126" t="s">
        <v>2578</v>
      </c>
      <c r="F785" s="124" t="s">
        <v>2580</v>
      </c>
    </row>
    <row r="786">
      <c r="A786" s="125">
        <v>44327.467910011575</v>
      </c>
      <c r="B786" s="124" t="s">
        <v>113</v>
      </c>
      <c r="C786" s="124" t="s">
        <v>2091</v>
      </c>
      <c r="D786" s="124" t="s">
        <v>1742</v>
      </c>
      <c r="E786" s="126" t="s">
        <v>2581</v>
      </c>
      <c r="F786" s="124" t="s">
        <v>2583</v>
      </c>
    </row>
    <row r="787">
      <c r="A787" s="125">
        <v>44327.468174988426</v>
      </c>
      <c r="B787" s="124" t="s">
        <v>113</v>
      </c>
      <c r="C787" s="124" t="s">
        <v>2122</v>
      </c>
      <c r="D787" s="124" t="s">
        <v>1832</v>
      </c>
      <c r="E787" s="126" t="s">
        <v>2584</v>
      </c>
      <c r="F787" s="124" t="s">
        <v>2586</v>
      </c>
    </row>
    <row r="788">
      <c r="A788" s="125">
        <v>44327.468367442125</v>
      </c>
      <c r="B788" s="124" t="s">
        <v>113</v>
      </c>
      <c r="C788" s="124" t="s">
        <v>2091</v>
      </c>
      <c r="D788" s="124" t="s">
        <v>1832</v>
      </c>
      <c r="E788" s="126" t="s">
        <v>2587</v>
      </c>
      <c r="F788" s="124" t="s">
        <v>2589</v>
      </c>
    </row>
    <row r="789">
      <c r="A789" s="125">
        <v>44327.46940472222</v>
      </c>
      <c r="B789" s="124" t="s">
        <v>113</v>
      </c>
      <c r="C789" s="124" t="s">
        <v>2072</v>
      </c>
      <c r="D789" s="124" t="s">
        <v>1832</v>
      </c>
      <c r="E789" s="126" t="s">
        <v>2591</v>
      </c>
      <c r="F789" s="124" t="s">
        <v>2593</v>
      </c>
    </row>
    <row r="790">
      <c r="A790" s="125">
        <v>44327.469743344904</v>
      </c>
      <c r="B790" s="124" t="s">
        <v>113</v>
      </c>
      <c r="C790" s="124" t="s">
        <v>2163</v>
      </c>
      <c r="D790" s="124" t="s">
        <v>1832</v>
      </c>
      <c r="E790" s="126" t="s">
        <v>2595</v>
      </c>
      <c r="F790" s="124" t="s">
        <v>2597</v>
      </c>
    </row>
    <row r="791">
      <c r="A791" s="125">
        <v>44327.470177083334</v>
      </c>
      <c r="B791" s="124" t="s">
        <v>113</v>
      </c>
      <c r="C791" s="124" t="s">
        <v>2075</v>
      </c>
      <c r="D791" s="124" t="s">
        <v>1832</v>
      </c>
      <c r="E791" s="126" t="s">
        <v>2598</v>
      </c>
      <c r="F791" s="124" t="s">
        <v>2600</v>
      </c>
    </row>
    <row r="792">
      <c r="A792" s="125">
        <v>44327.473240879626</v>
      </c>
      <c r="B792" s="124" t="s">
        <v>113</v>
      </c>
      <c r="C792" s="124" t="s">
        <v>2148</v>
      </c>
      <c r="D792" s="124" t="s">
        <v>1832</v>
      </c>
      <c r="E792" s="126" t="s">
        <v>2601</v>
      </c>
      <c r="F792" s="124" t="s">
        <v>2603</v>
      </c>
    </row>
    <row r="793">
      <c r="A793" s="125">
        <v>44327.50150428241</v>
      </c>
      <c r="B793" s="124" t="s">
        <v>113</v>
      </c>
      <c r="C793" s="124" t="s">
        <v>2159</v>
      </c>
      <c r="D793" s="124" t="s">
        <v>1456</v>
      </c>
      <c r="E793" s="126" t="s">
        <v>2605</v>
      </c>
      <c r="F793" s="124" t="s">
        <v>2607</v>
      </c>
    </row>
    <row r="794">
      <c r="A794" s="125">
        <v>44327.502335717596</v>
      </c>
      <c r="B794" s="124" t="s">
        <v>113</v>
      </c>
      <c r="C794" s="124" t="s">
        <v>2112</v>
      </c>
      <c r="D794" s="124" t="s">
        <v>1922</v>
      </c>
      <c r="E794" s="126" t="s">
        <v>2608</v>
      </c>
      <c r="F794" s="124" t="s">
        <v>2610</v>
      </c>
    </row>
    <row r="795">
      <c r="A795" s="125">
        <v>44327.503097256944</v>
      </c>
      <c r="B795" s="124" t="s">
        <v>113</v>
      </c>
      <c r="C795" s="124" t="s">
        <v>2122</v>
      </c>
      <c r="D795" s="124" t="s">
        <v>2611</v>
      </c>
      <c r="E795" s="126" t="s">
        <v>2612</v>
      </c>
      <c r="F795" s="124" t="s">
        <v>2614</v>
      </c>
    </row>
    <row r="796">
      <c r="A796" s="125">
        <v>44327.50377924769</v>
      </c>
      <c r="B796" s="124" t="s">
        <v>113</v>
      </c>
      <c r="C796" s="124" t="s">
        <v>2072</v>
      </c>
      <c r="D796" s="124" t="s">
        <v>1456</v>
      </c>
      <c r="E796" s="126" t="s">
        <v>2615</v>
      </c>
      <c r="F796" s="124" t="s">
        <v>2617</v>
      </c>
    </row>
    <row r="797">
      <c r="A797" s="125">
        <v>44327.50381887732</v>
      </c>
      <c r="B797" s="124" t="s">
        <v>113</v>
      </c>
      <c r="C797" s="124" t="s">
        <v>2072</v>
      </c>
      <c r="D797" s="124" t="s">
        <v>1922</v>
      </c>
      <c r="E797" s="126" t="s">
        <v>2619</v>
      </c>
      <c r="F797" s="124" t="s">
        <v>2621</v>
      </c>
    </row>
    <row r="798">
      <c r="A798" s="125">
        <v>44327.50537856482</v>
      </c>
      <c r="B798" s="124" t="s">
        <v>113</v>
      </c>
      <c r="C798" s="124" t="s">
        <v>2091</v>
      </c>
      <c r="D798" s="124" t="s">
        <v>1922</v>
      </c>
      <c r="E798" s="126" t="s">
        <v>2622</v>
      </c>
      <c r="F798" s="124" t="s">
        <v>2624</v>
      </c>
    </row>
    <row r="799">
      <c r="A799" s="125">
        <v>44327.50607403935</v>
      </c>
      <c r="B799" s="124" t="s">
        <v>113</v>
      </c>
      <c r="C799" s="124" t="s">
        <v>2104</v>
      </c>
      <c r="D799" s="124" t="s">
        <v>1456</v>
      </c>
      <c r="E799" s="126" t="s">
        <v>2625</v>
      </c>
      <c r="F799" s="124" t="s">
        <v>2627</v>
      </c>
    </row>
    <row r="800">
      <c r="A800" s="125">
        <v>44327.50740599537</v>
      </c>
      <c r="B800" s="124" t="s">
        <v>113</v>
      </c>
      <c r="C800" s="124" t="s">
        <v>2122</v>
      </c>
      <c r="D800" s="124" t="s">
        <v>1742</v>
      </c>
      <c r="E800" s="126" t="s">
        <v>2628</v>
      </c>
      <c r="F800" s="124" t="s">
        <v>2630</v>
      </c>
    </row>
    <row r="801">
      <c r="A801" s="125">
        <v>44327.52737777778</v>
      </c>
      <c r="B801" s="124" t="s">
        <v>113</v>
      </c>
      <c r="C801" s="124" t="s">
        <v>2112</v>
      </c>
      <c r="D801" s="124" t="s">
        <v>2631</v>
      </c>
      <c r="E801" s="126" t="s">
        <v>2632</v>
      </c>
      <c r="F801" s="124" t="s">
        <v>2634</v>
      </c>
    </row>
    <row r="802">
      <c r="A802" s="125">
        <v>44327.57325123843</v>
      </c>
      <c r="B802" s="124" t="s">
        <v>113</v>
      </c>
      <c r="C802" s="124" t="s">
        <v>2159</v>
      </c>
      <c r="D802" s="124" t="s">
        <v>1441</v>
      </c>
      <c r="E802" s="126" t="s">
        <v>2635</v>
      </c>
      <c r="F802" s="124" t="s">
        <v>2637</v>
      </c>
    </row>
    <row r="803">
      <c r="A803" s="125">
        <v>44327.5767921875</v>
      </c>
      <c r="B803" s="124" t="s">
        <v>113</v>
      </c>
      <c r="C803" s="124" t="s">
        <v>2122</v>
      </c>
      <c r="D803" s="124" t="s">
        <v>1392</v>
      </c>
      <c r="E803" s="126" t="s">
        <v>2639</v>
      </c>
      <c r="F803" s="124" t="s">
        <v>2640</v>
      </c>
    </row>
    <row r="804">
      <c r="A804" s="125">
        <v>44327.578208900464</v>
      </c>
      <c r="B804" s="124" t="s">
        <v>113</v>
      </c>
      <c r="C804" s="124" t="s">
        <v>2148</v>
      </c>
      <c r="D804" s="124" t="s">
        <v>1392</v>
      </c>
      <c r="E804" s="126" t="s">
        <v>2642</v>
      </c>
      <c r="F804" s="124" t="s">
        <v>2643</v>
      </c>
    </row>
    <row r="805">
      <c r="A805" s="125">
        <v>44328.45660668981</v>
      </c>
      <c r="B805" s="124" t="s">
        <v>113</v>
      </c>
      <c r="C805" s="124" t="s">
        <v>2163</v>
      </c>
      <c r="D805" s="124" t="s">
        <v>2644</v>
      </c>
      <c r="E805" s="126" t="s">
        <v>2645</v>
      </c>
      <c r="F805" s="124" t="s">
        <v>2647</v>
      </c>
    </row>
    <row r="806">
      <c r="A806" s="125">
        <v>44328.473273807875</v>
      </c>
      <c r="B806" s="124" t="s">
        <v>113</v>
      </c>
      <c r="C806" s="124" t="s">
        <v>2112</v>
      </c>
      <c r="D806" s="124" t="s">
        <v>901</v>
      </c>
      <c r="E806" s="126" t="s">
        <v>2648</v>
      </c>
      <c r="F806" s="124" t="s">
        <v>2650</v>
      </c>
    </row>
    <row r="807">
      <c r="A807" s="125">
        <v>44328.47812078704</v>
      </c>
      <c r="B807" s="124" t="s">
        <v>113</v>
      </c>
      <c r="C807" s="124" t="s">
        <v>2104</v>
      </c>
      <c r="D807" s="124" t="s">
        <v>164</v>
      </c>
      <c r="E807" s="126" t="s">
        <v>2652</v>
      </c>
      <c r="F807" s="124" t="s">
        <v>2653</v>
      </c>
    </row>
    <row r="808">
      <c r="A808" s="125">
        <v>44328.48185010417</v>
      </c>
      <c r="B808" s="124" t="s">
        <v>113</v>
      </c>
      <c r="C808" s="124" t="s">
        <v>2159</v>
      </c>
      <c r="D808" s="124" t="s">
        <v>2654</v>
      </c>
      <c r="E808" s="126" t="s">
        <v>2656</v>
      </c>
      <c r="F808" s="124" t="s">
        <v>2657</v>
      </c>
    </row>
    <row r="809">
      <c r="A809" s="125">
        <v>44328.48317854167</v>
      </c>
      <c r="B809" s="124" t="s">
        <v>113</v>
      </c>
      <c r="C809" s="124" t="s">
        <v>2104</v>
      </c>
      <c r="D809" s="124" t="s">
        <v>2658</v>
      </c>
      <c r="E809" s="126" t="s">
        <v>2659</v>
      </c>
      <c r="F809" s="124" t="s">
        <v>2662</v>
      </c>
    </row>
    <row r="810">
      <c r="A810" s="125">
        <v>44328.48330325232</v>
      </c>
      <c r="B810" s="124" t="s">
        <v>113</v>
      </c>
      <c r="C810" s="124" t="s">
        <v>2148</v>
      </c>
      <c r="D810" s="124" t="s">
        <v>2663</v>
      </c>
      <c r="E810" s="126" t="s">
        <v>2664</v>
      </c>
      <c r="F810" s="124" t="s">
        <v>2666</v>
      </c>
    </row>
    <row r="811">
      <c r="A811" s="125">
        <v>44328.48434634259</v>
      </c>
      <c r="B811" s="124" t="s">
        <v>113</v>
      </c>
      <c r="C811" s="124" t="s">
        <v>2163</v>
      </c>
      <c r="D811" s="124" t="s">
        <v>2663</v>
      </c>
      <c r="E811" s="126" t="s">
        <v>2667</v>
      </c>
      <c r="F811" s="124" t="s">
        <v>2669</v>
      </c>
    </row>
    <row r="812">
      <c r="A812" s="125">
        <v>44328.484513206015</v>
      </c>
      <c r="B812" s="124" t="s">
        <v>113</v>
      </c>
      <c r="C812" s="124" t="s">
        <v>1178</v>
      </c>
      <c r="D812" s="124" t="s">
        <v>406</v>
      </c>
      <c r="E812" s="126" t="s">
        <v>2670</v>
      </c>
      <c r="F812" s="124" t="s">
        <v>2672</v>
      </c>
    </row>
    <row r="813">
      <c r="A813" s="125">
        <v>44328.48533722222</v>
      </c>
      <c r="B813" s="124" t="s">
        <v>113</v>
      </c>
      <c r="C813" s="124" t="s">
        <v>2163</v>
      </c>
      <c r="D813" s="124" t="s">
        <v>2658</v>
      </c>
      <c r="E813" s="126" t="s">
        <v>2673</v>
      </c>
      <c r="F813" s="124" t="s">
        <v>2675</v>
      </c>
    </row>
    <row r="814">
      <c r="A814" s="125">
        <v>44328.48546989584</v>
      </c>
      <c r="B814" s="124" t="s">
        <v>113</v>
      </c>
      <c r="C814" s="124" t="s">
        <v>2206</v>
      </c>
      <c r="D814" s="124" t="s">
        <v>2676</v>
      </c>
      <c r="E814" s="126" t="s">
        <v>2677</v>
      </c>
      <c r="F814" s="124" t="s">
        <v>2679</v>
      </c>
    </row>
    <row r="815">
      <c r="A815" s="125">
        <v>44328.48621337963</v>
      </c>
      <c r="B815" s="124" t="s">
        <v>113</v>
      </c>
      <c r="C815" s="124" t="s">
        <v>2171</v>
      </c>
      <c r="D815" s="124" t="s">
        <v>2663</v>
      </c>
      <c r="E815" s="126" t="s">
        <v>2680</v>
      </c>
      <c r="F815" s="124" t="s">
        <v>2682</v>
      </c>
    </row>
    <row r="816">
      <c r="A816" s="125">
        <v>44328.48622180556</v>
      </c>
      <c r="B816" s="124" t="s">
        <v>113</v>
      </c>
      <c r="C816" s="124" t="s">
        <v>2159</v>
      </c>
      <c r="D816" s="124" t="s">
        <v>406</v>
      </c>
      <c r="E816" s="126" t="s">
        <v>2683</v>
      </c>
      <c r="F816" s="124" t="s">
        <v>2685</v>
      </c>
    </row>
    <row r="817">
      <c r="A817" s="125">
        <v>44328.492986620375</v>
      </c>
      <c r="B817" s="124" t="s">
        <v>113</v>
      </c>
      <c r="C817" s="124" t="s">
        <v>2126</v>
      </c>
      <c r="D817" s="124" t="s">
        <v>2686</v>
      </c>
      <c r="E817" s="126" t="s">
        <v>2687</v>
      </c>
      <c r="F817" s="124" t="s">
        <v>2689</v>
      </c>
    </row>
    <row r="818">
      <c r="A818" s="125">
        <v>44328.493176284726</v>
      </c>
      <c r="B818" s="124" t="s">
        <v>113</v>
      </c>
      <c r="C818" s="124" t="s">
        <v>2206</v>
      </c>
      <c r="D818" s="124" t="s">
        <v>406</v>
      </c>
      <c r="E818" s="126" t="s">
        <v>2690</v>
      </c>
      <c r="F818" s="124" t="s">
        <v>2692</v>
      </c>
    </row>
    <row r="819">
      <c r="A819" s="125">
        <v>44328.49583033565</v>
      </c>
      <c r="B819" s="124" t="s">
        <v>113</v>
      </c>
      <c r="C819" s="124" t="s">
        <v>2126</v>
      </c>
      <c r="D819" s="124" t="s">
        <v>2693</v>
      </c>
      <c r="E819" s="126" t="s">
        <v>2694</v>
      </c>
      <c r="F819" s="124" t="s">
        <v>2696</v>
      </c>
    </row>
    <row r="820">
      <c r="A820" s="125">
        <v>44328.57646439815</v>
      </c>
      <c r="B820" s="124" t="s">
        <v>113</v>
      </c>
      <c r="C820" s="124" t="s">
        <v>2159</v>
      </c>
      <c r="D820" s="124" t="s">
        <v>1185</v>
      </c>
      <c r="E820" s="126" t="s">
        <v>2697</v>
      </c>
      <c r="F820" s="124" t="s">
        <v>2699</v>
      </c>
    </row>
    <row r="821">
      <c r="A821" s="125">
        <v>44328.576607106486</v>
      </c>
      <c r="B821" s="124" t="s">
        <v>113</v>
      </c>
      <c r="C821" s="124" t="s">
        <v>2126</v>
      </c>
      <c r="D821" s="124" t="s">
        <v>1185</v>
      </c>
      <c r="E821" s="126" t="s">
        <v>2700</v>
      </c>
      <c r="F821" s="124" t="s">
        <v>2702</v>
      </c>
    </row>
    <row r="822">
      <c r="A822" s="125">
        <v>44328.57738973379</v>
      </c>
      <c r="B822" s="124" t="s">
        <v>113</v>
      </c>
      <c r="C822" s="124" t="s">
        <v>2112</v>
      </c>
      <c r="D822" s="124" t="s">
        <v>1185</v>
      </c>
      <c r="E822" s="126" t="s">
        <v>2704</v>
      </c>
      <c r="F822" s="124" t="s">
        <v>2705</v>
      </c>
    </row>
    <row r="823">
      <c r="A823" s="125">
        <v>44328.6060713426</v>
      </c>
      <c r="B823" s="124" t="s">
        <v>113</v>
      </c>
      <c r="C823" s="124" t="s">
        <v>2126</v>
      </c>
      <c r="D823" s="124" t="s">
        <v>2706</v>
      </c>
      <c r="E823" s="126" t="s">
        <v>2707</v>
      </c>
      <c r="F823" s="124" t="s">
        <v>2709</v>
      </c>
    </row>
    <row r="824">
      <c r="A824" s="125">
        <v>44328.615961539355</v>
      </c>
      <c r="B824" s="124" t="s">
        <v>113</v>
      </c>
      <c r="C824" s="124" t="s">
        <v>2122</v>
      </c>
      <c r="D824" s="124" t="s">
        <v>2108</v>
      </c>
      <c r="E824" s="126" t="s">
        <v>2711</v>
      </c>
      <c r="F824" s="124" t="s">
        <v>2713</v>
      </c>
    </row>
    <row r="825">
      <c r="A825" s="125">
        <v>44328.62014726852</v>
      </c>
      <c r="B825" s="124" t="s">
        <v>113</v>
      </c>
      <c r="C825" s="124" t="s">
        <v>2104</v>
      </c>
      <c r="D825" s="124" t="s">
        <v>2108</v>
      </c>
      <c r="E825" s="126" t="s">
        <v>2714</v>
      </c>
      <c r="F825" s="124" t="s">
        <v>2716</v>
      </c>
    </row>
    <row r="826">
      <c r="A826" s="125">
        <v>44328.654356493054</v>
      </c>
      <c r="B826" s="124" t="s">
        <v>113</v>
      </c>
      <c r="C826" s="124" t="s">
        <v>2126</v>
      </c>
      <c r="D826" s="124" t="s">
        <v>157</v>
      </c>
      <c r="E826" s="126" t="s">
        <v>2717</v>
      </c>
      <c r="F826" s="124" t="s">
        <v>2719</v>
      </c>
    </row>
    <row r="827">
      <c r="A827" s="125">
        <v>44328.65473520833</v>
      </c>
      <c r="B827" s="124" t="s">
        <v>113</v>
      </c>
      <c r="C827" s="124" t="s">
        <v>2159</v>
      </c>
      <c r="D827" s="124" t="s">
        <v>157</v>
      </c>
      <c r="E827" s="126" t="s">
        <v>2720</v>
      </c>
      <c r="F827" s="124" t="s">
        <v>2722</v>
      </c>
    </row>
    <row r="828">
      <c r="A828" s="125">
        <v>44328.68469650463</v>
      </c>
      <c r="B828" s="124" t="s">
        <v>113</v>
      </c>
      <c r="C828" s="124" t="s">
        <v>2104</v>
      </c>
      <c r="D828" s="124" t="s">
        <v>800</v>
      </c>
      <c r="E828" s="126" t="s">
        <v>2723</v>
      </c>
      <c r="F828" s="124" t="s">
        <v>2725</v>
      </c>
    </row>
    <row r="829">
      <c r="A829" s="125">
        <v>44329.626588969906</v>
      </c>
      <c r="B829" s="124" t="s">
        <v>113</v>
      </c>
      <c r="C829" s="124" t="s">
        <v>2148</v>
      </c>
      <c r="D829" s="124" t="s">
        <v>658</v>
      </c>
      <c r="E829" s="126" t="s">
        <v>2727</v>
      </c>
      <c r="F829" s="124" t="s">
        <v>2729</v>
      </c>
    </row>
    <row r="830">
      <c r="A830" s="125">
        <v>44329.75547318287</v>
      </c>
      <c r="B830" s="124" t="s">
        <v>113</v>
      </c>
      <c r="C830" s="124" t="s">
        <v>1178</v>
      </c>
      <c r="D830" s="124" t="s">
        <v>2730</v>
      </c>
      <c r="E830" s="126" t="s">
        <v>2731</v>
      </c>
      <c r="F830" s="124" t="s">
        <v>2733</v>
      </c>
    </row>
    <row r="831">
      <c r="A831" s="125">
        <v>44329.75584465278</v>
      </c>
      <c r="B831" s="124" t="s">
        <v>113</v>
      </c>
      <c r="C831" s="124" t="s">
        <v>2159</v>
      </c>
      <c r="D831" s="124" t="s">
        <v>2730</v>
      </c>
      <c r="E831" s="126" t="s">
        <v>2734</v>
      </c>
      <c r="F831" s="124" t="s">
        <v>2736</v>
      </c>
    </row>
    <row r="832">
      <c r="A832" s="125">
        <v>44330.43920258102</v>
      </c>
      <c r="B832" s="124" t="s">
        <v>113</v>
      </c>
      <c r="C832" s="124" t="s">
        <v>2112</v>
      </c>
      <c r="D832" s="124" t="s">
        <v>2737</v>
      </c>
      <c r="E832" s="126" t="s">
        <v>2738</v>
      </c>
      <c r="F832" s="124" t="s">
        <v>2740</v>
      </c>
    </row>
    <row r="833">
      <c r="A833" s="125">
        <v>44330.439539756946</v>
      </c>
      <c r="B833" s="124" t="s">
        <v>113</v>
      </c>
      <c r="C833" s="124" t="s">
        <v>2122</v>
      </c>
      <c r="D833" s="124" t="s">
        <v>2737</v>
      </c>
      <c r="E833" s="126" t="s">
        <v>2741</v>
      </c>
      <c r="F833" s="124" t="s">
        <v>2743</v>
      </c>
    </row>
    <row r="834">
      <c r="A834" s="125">
        <v>44330.44011472222</v>
      </c>
      <c r="B834" s="124" t="s">
        <v>113</v>
      </c>
      <c r="C834" s="124" t="s">
        <v>2104</v>
      </c>
      <c r="D834" s="124" t="s">
        <v>2737</v>
      </c>
      <c r="E834" s="126" t="s">
        <v>2744</v>
      </c>
      <c r="F834" s="124" t="s">
        <v>2746</v>
      </c>
    </row>
    <row r="835">
      <c r="A835" s="125">
        <v>44330.44065307871</v>
      </c>
      <c r="B835" s="124" t="s">
        <v>113</v>
      </c>
      <c r="C835" s="124" t="s">
        <v>2159</v>
      </c>
      <c r="D835" s="124" t="s">
        <v>2737</v>
      </c>
      <c r="E835" s="126" t="s">
        <v>2748</v>
      </c>
      <c r="F835" s="124" t="s">
        <v>2750</v>
      </c>
    </row>
    <row r="836">
      <c r="A836" s="125">
        <v>44330.44106978009</v>
      </c>
      <c r="B836" s="124" t="s">
        <v>113</v>
      </c>
      <c r="C836" s="124" t="s">
        <v>2126</v>
      </c>
      <c r="D836" s="124" t="s">
        <v>2737</v>
      </c>
      <c r="E836" s="126" t="s">
        <v>2751</v>
      </c>
      <c r="F836" s="124" t="s">
        <v>2753</v>
      </c>
    </row>
    <row r="837">
      <c r="A837" s="125">
        <v>44330.44280694444</v>
      </c>
      <c r="B837" s="124" t="s">
        <v>113</v>
      </c>
      <c r="C837" s="124" t="s">
        <v>2171</v>
      </c>
      <c r="D837" s="124" t="s">
        <v>2737</v>
      </c>
      <c r="E837" s="126" t="s">
        <v>2754</v>
      </c>
      <c r="F837" s="124" t="s">
        <v>2756</v>
      </c>
    </row>
    <row r="838">
      <c r="A838" s="125">
        <v>44330.471741319445</v>
      </c>
      <c r="B838" s="124" t="s">
        <v>113</v>
      </c>
      <c r="C838" s="124" t="s">
        <v>2122</v>
      </c>
      <c r="D838" s="124" t="s">
        <v>2757</v>
      </c>
      <c r="E838" s="126" t="s">
        <v>2758</v>
      </c>
      <c r="F838" s="124" t="s">
        <v>2760</v>
      </c>
    </row>
    <row r="839">
      <c r="A839" s="125">
        <v>44330.47768686342</v>
      </c>
      <c r="B839" s="124" t="s">
        <v>113</v>
      </c>
      <c r="C839" s="124" t="s">
        <v>2159</v>
      </c>
      <c r="D839" s="124" t="s">
        <v>2757</v>
      </c>
      <c r="E839" s="126" t="s">
        <v>2761</v>
      </c>
      <c r="F839" s="124" t="s">
        <v>2763</v>
      </c>
    </row>
    <row r="840">
      <c r="A840" s="125">
        <v>44330.47815210648</v>
      </c>
      <c r="B840" s="124" t="s">
        <v>113</v>
      </c>
      <c r="C840" s="124" t="s">
        <v>2126</v>
      </c>
      <c r="D840" s="124" t="s">
        <v>2757</v>
      </c>
      <c r="E840" s="126" t="s">
        <v>2764</v>
      </c>
      <c r="F840" s="124" t="s">
        <v>2766</v>
      </c>
    </row>
    <row r="841">
      <c r="A841" s="125">
        <v>44330.73235150463</v>
      </c>
      <c r="B841" s="124" t="s">
        <v>113</v>
      </c>
      <c r="C841" s="124" t="s">
        <v>2171</v>
      </c>
      <c r="D841" s="124" t="s">
        <v>2767</v>
      </c>
      <c r="E841" s="126" t="s">
        <v>2768</v>
      </c>
      <c r="F841" s="124" t="s">
        <v>2770</v>
      </c>
    </row>
    <row r="842">
      <c r="A842" s="125">
        <v>44330.74293262731</v>
      </c>
      <c r="B842" s="124" t="s">
        <v>113</v>
      </c>
      <c r="C842" s="124" t="s">
        <v>2159</v>
      </c>
      <c r="D842" s="124" t="s">
        <v>2771</v>
      </c>
      <c r="E842" s="126" t="s">
        <v>2772</v>
      </c>
      <c r="F842" s="124" t="s">
        <v>2774</v>
      </c>
    </row>
    <row r="843">
      <c r="A843" s="125">
        <v>44330.74412390046</v>
      </c>
      <c r="B843" s="124" t="s">
        <v>113</v>
      </c>
      <c r="C843" s="124" t="s">
        <v>2126</v>
      </c>
      <c r="D843" s="124" t="s">
        <v>2771</v>
      </c>
      <c r="E843" s="126" t="s">
        <v>2775</v>
      </c>
      <c r="F843" s="124" t="s">
        <v>2777</v>
      </c>
    </row>
    <row r="844">
      <c r="A844" s="125">
        <v>44330.7504540625</v>
      </c>
      <c r="B844" s="124" t="s">
        <v>113</v>
      </c>
      <c r="C844" s="124" t="s">
        <v>2148</v>
      </c>
      <c r="D844" s="124" t="s">
        <v>2771</v>
      </c>
      <c r="E844" s="126" t="s">
        <v>2778</v>
      </c>
      <c r="F844" s="124" t="s">
        <v>2780</v>
      </c>
    </row>
    <row r="845">
      <c r="A845" s="125">
        <v>44330.75168452546</v>
      </c>
      <c r="B845" s="124" t="s">
        <v>113</v>
      </c>
      <c r="C845" s="124" t="s">
        <v>2112</v>
      </c>
      <c r="D845" s="124" t="s">
        <v>2771</v>
      </c>
      <c r="E845" s="126" t="s">
        <v>2781</v>
      </c>
      <c r="F845" s="124" t="s">
        <v>2783</v>
      </c>
    </row>
    <row r="846">
      <c r="A846" s="125">
        <v>44330.762282696756</v>
      </c>
      <c r="B846" s="124" t="s">
        <v>113</v>
      </c>
      <c r="C846" s="124" t="s">
        <v>2104</v>
      </c>
      <c r="D846" s="124" t="s">
        <v>2771</v>
      </c>
      <c r="E846" s="126" t="s">
        <v>2784</v>
      </c>
      <c r="F846" s="124" t="s">
        <v>2786</v>
      </c>
    </row>
    <row r="847">
      <c r="A847" s="125">
        <v>44330.76454577546</v>
      </c>
      <c r="B847" s="124" t="s">
        <v>113</v>
      </c>
      <c r="C847" s="124" t="s">
        <v>2171</v>
      </c>
      <c r="D847" s="124" t="s">
        <v>2771</v>
      </c>
      <c r="E847" s="126" t="s">
        <v>2787</v>
      </c>
      <c r="F847" s="124" t="s">
        <v>2789</v>
      </c>
    </row>
    <row r="848">
      <c r="A848" s="125">
        <v>44331.480479571765</v>
      </c>
      <c r="B848" s="124" t="s">
        <v>113</v>
      </c>
      <c r="C848" s="124" t="s">
        <v>2112</v>
      </c>
      <c r="D848" s="124" t="s">
        <v>2790</v>
      </c>
      <c r="E848" s="126" t="s">
        <v>2791</v>
      </c>
      <c r="F848" s="124" t="s">
        <v>2793</v>
      </c>
    </row>
    <row r="849">
      <c r="A849" s="125">
        <v>44331.48111738426</v>
      </c>
      <c r="B849" s="124" t="s">
        <v>113</v>
      </c>
      <c r="C849" s="124" t="s">
        <v>2104</v>
      </c>
      <c r="D849" s="124" t="s">
        <v>2790</v>
      </c>
      <c r="E849" s="126" t="s">
        <v>2794</v>
      </c>
      <c r="F849" s="124" t="s">
        <v>2796</v>
      </c>
    </row>
    <row r="850">
      <c r="A850" s="125">
        <v>44331.48402336806</v>
      </c>
      <c r="B850" s="124" t="s">
        <v>113</v>
      </c>
      <c r="C850" s="124" t="s">
        <v>2159</v>
      </c>
      <c r="D850" s="124" t="s">
        <v>2790</v>
      </c>
      <c r="E850" s="126" t="s">
        <v>2797</v>
      </c>
      <c r="F850" s="124" t="s">
        <v>2799</v>
      </c>
    </row>
    <row r="851">
      <c r="A851" s="125">
        <v>44331.50394123842</v>
      </c>
      <c r="B851" s="124" t="s">
        <v>113</v>
      </c>
      <c r="C851" s="124" t="s">
        <v>2112</v>
      </c>
      <c r="D851" s="124" t="s">
        <v>549</v>
      </c>
      <c r="E851" s="126" t="s">
        <v>2800</v>
      </c>
      <c r="F851" s="124" t="s">
        <v>2802</v>
      </c>
    </row>
    <row r="852">
      <c r="A852" s="125">
        <v>44331.50514494213</v>
      </c>
      <c r="B852" s="124" t="s">
        <v>113</v>
      </c>
      <c r="C852" s="124" t="s">
        <v>2104</v>
      </c>
      <c r="D852" s="124" t="s">
        <v>549</v>
      </c>
      <c r="E852" s="126" t="s">
        <v>2803</v>
      </c>
      <c r="F852" s="124" t="s">
        <v>2805</v>
      </c>
    </row>
    <row r="853">
      <c r="A853" s="125">
        <v>44331.50568818287</v>
      </c>
      <c r="B853" s="124" t="s">
        <v>113</v>
      </c>
      <c r="C853" s="124" t="s">
        <v>2126</v>
      </c>
      <c r="D853" s="124" t="s">
        <v>549</v>
      </c>
      <c r="E853" s="126" t="s">
        <v>2806</v>
      </c>
      <c r="F853" s="124" t="s">
        <v>2808</v>
      </c>
    </row>
    <row r="854">
      <c r="A854" s="125">
        <v>44331.50612131944</v>
      </c>
      <c r="B854" s="124" t="s">
        <v>113</v>
      </c>
      <c r="C854" s="124" t="s">
        <v>2148</v>
      </c>
      <c r="D854" s="124" t="s">
        <v>549</v>
      </c>
      <c r="E854" s="126" t="s">
        <v>2809</v>
      </c>
      <c r="F854" s="124" t="s">
        <v>2811</v>
      </c>
    </row>
    <row r="855">
      <c r="A855" s="125">
        <v>44331.506637743056</v>
      </c>
      <c r="B855" s="124" t="s">
        <v>113</v>
      </c>
      <c r="C855" s="124" t="s">
        <v>2171</v>
      </c>
      <c r="D855" s="124" t="s">
        <v>549</v>
      </c>
      <c r="E855" s="126" t="s">
        <v>2812</v>
      </c>
      <c r="F855" s="124" t="s">
        <v>2814</v>
      </c>
    </row>
    <row r="856">
      <c r="A856" s="125">
        <v>44331.511877094905</v>
      </c>
      <c r="B856" s="124" t="s">
        <v>113</v>
      </c>
      <c r="C856" s="124" t="s">
        <v>2112</v>
      </c>
      <c r="D856" s="124" t="s">
        <v>141</v>
      </c>
      <c r="E856" s="126" t="s">
        <v>2815</v>
      </c>
      <c r="F856" s="124" t="s">
        <v>2817</v>
      </c>
    </row>
    <row r="857">
      <c r="A857" s="125">
        <v>44333.694988483796</v>
      </c>
      <c r="B857" s="124" t="s">
        <v>113</v>
      </c>
      <c r="C857" s="124" t="s">
        <v>2112</v>
      </c>
      <c r="D857" s="124" t="s">
        <v>2819</v>
      </c>
      <c r="E857" s="126" t="s">
        <v>2820</v>
      </c>
      <c r="F857" s="124" t="s">
        <v>2821</v>
      </c>
    </row>
    <row r="858">
      <c r="A858" s="125">
        <v>44333.69689211805</v>
      </c>
      <c r="B858" s="124" t="s">
        <v>113</v>
      </c>
      <c r="C858" s="124" t="s">
        <v>2148</v>
      </c>
      <c r="D858" s="124" t="s">
        <v>2822</v>
      </c>
      <c r="E858" s="126" t="s">
        <v>2823</v>
      </c>
      <c r="F858" s="124" t="s">
        <v>2824</v>
      </c>
    </row>
    <row r="859">
      <c r="A859" s="125">
        <v>44333.69778649305</v>
      </c>
      <c r="B859" s="124" t="s">
        <v>113</v>
      </c>
      <c r="C859" s="124" t="s">
        <v>2148</v>
      </c>
      <c r="D859" s="124" t="s">
        <v>2822</v>
      </c>
      <c r="E859" s="126" t="s">
        <v>2825</v>
      </c>
      <c r="F859" s="124" t="s">
        <v>2824</v>
      </c>
    </row>
    <row r="860">
      <c r="A860" s="125">
        <v>44334.72510520833</v>
      </c>
      <c r="B860" s="124" t="s">
        <v>113</v>
      </c>
      <c r="C860" s="124" t="s">
        <v>2159</v>
      </c>
      <c r="D860" s="124" t="s">
        <v>1252</v>
      </c>
      <c r="E860" s="126" t="s">
        <v>2827</v>
      </c>
      <c r="F860" s="124" t="s">
        <v>2829</v>
      </c>
    </row>
    <row r="861">
      <c r="A861" s="125">
        <v>44334.75326055556</v>
      </c>
      <c r="B861" s="124" t="s">
        <v>113</v>
      </c>
      <c r="C861" s="124" t="s">
        <v>2104</v>
      </c>
      <c r="D861" s="124" t="s">
        <v>525</v>
      </c>
      <c r="E861" s="126" t="s">
        <v>2831</v>
      </c>
      <c r="F861" s="124" t="s">
        <v>2833</v>
      </c>
    </row>
    <row r="862">
      <c r="A862" s="125">
        <v>44335.45585633102</v>
      </c>
      <c r="B862" s="124" t="s">
        <v>113</v>
      </c>
      <c r="C862" s="124" t="s">
        <v>2126</v>
      </c>
      <c r="D862" s="124" t="s">
        <v>1922</v>
      </c>
      <c r="E862" s="126" t="s">
        <v>2834</v>
      </c>
      <c r="F862" s="124" t="s">
        <v>2836</v>
      </c>
    </row>
    <row r="863">
      <c r="A863" s="125">
        <v>44335.45592003472</v>
      </c>
      <c r="B863" s="124" t="s">
        <v>113</v>
      </c>
      <c r="C863" s="124" t="s">
        <v>2126</v>
      </c>
      <c r="D863" s="124" t="s">
        <v>1922</v>
      </c>
      <c r="E863" s="126" t="s">
        <v>2837</v>
      </c>
      <c r="F863" s="124" t="s">
        <v>2836</v>
      </c>
    </row>
    <row r="864">
      <c r="A864" s="125">
        <v>44335.456042881946</v>
      </c>
      <c r="B864" s="124" t="s">
        <v>113</v>
      </c>
      <c r="C864" s="124" t="s">
        <v>2171</v>
      </c>
      <c r="D864" s="124" t="s">
        <v>1922</v>
      </c>
      <c r="E864" s="126" t="s">
        <v>2839</v>
      </c>
      <c r="F864" s="124" t="s">
        <v>2841</v>
      </c>
    </row>
    <row r="865">
      <c r="A865" s="125">
        <v>44335.61484034722</v>
      </c>
      <c r="B865" s="124" t="s">
        <v>113</v>
      </c>
      <c r="C865" s="124" t="s">
        <v>2122</v>
      </c>
      <c r="D865" s="124" t="s">
        <v>2054</v>
      </c>
      <c r="E865" s="126" t="s">
        <v>2842</v>
      </c>
      <c r="F865" s="124" t="s">
        <v>2844</v>
      </c>
    </row>
    <row r="866">
      <c r="A866" s="125">
        <v>44335.61539107639</v>
      </c>
      <c r="B866" s="124" t="s">
        <v>113</v>
      </c>
      <c r="C866" s="124" t="s">
        <v>1178</v>
      </c>
      <c r="D866" s="124" t="s">
        <v>2054</v>
      </c>
      <c r="E866" s="126" t="s">
        <v>2845</v>
      </c>
      <c r="F866" s="124" t="s">
        <v>2847</v>
      </c>
    </row>
    <row r="867">
      <c r="A867" s="125">
        <v>44335.69703759259</v>
      </c>
      <c r="B867" s="124" t="s">
        <v>113</v>
      </c>
      <c r="C867" s="124" t="s">
        <v>2072</v>
      </c>
      <c r="D867" s="124" t="s">
        <v>2848</v>
      </c>
      <c r="E867" s="126" t="s">
        <v>2849</v>
      </c>
      <c r="F867" s="124" t="s">
        <v>2850</v>
      </c>
    </row>
    <row r="868">
      <c r="A868" s="125">
        <v>44335.697383032406</v>
      </c>
      <c r="B868" s="124" t="s">
        <v>113</v>
      </c>
      <c r="C868" s="124" t="s">
        <v>2126</v>
      </c>
      <c r="D868" s="124" t="s">
        <v>2848</v>
      </c>
      <c r="E868" s="126" t="s">
        <v>2852</v>
      </c>
      <c r="F868" s="124" t="s">
        <v>2853</v>
      </c>
    </row>
    <row r="869">
      <c r="A869" s="125">
        <v>44335.69809644676</v>
      </c>
      <c r="B869" s="124" t="s">
        <v>113</v>
      </c>
      <c r="C869" s="124" t="s">
        <v>2072</v>
      </c>
      <c r="D869" s="124" t="s">
        <v>2848</v>
      </c>
      <c r="E869" s="126" t="s">
        <v>2854</v>
      </c>
      <c r="F869" s="124" t="s">
        <v>2850</v>
      </c>
    </row>
    <row r="870">
      <c r="A870" s="125">
        <v>44335.978677060186</v>
      </c>
      <c r="B870" s="124" t="s">
        <v>113</v>
      </c>
      <c r="C870" s="124" t="s">
        <v>1178</v>
      </c>
      <c r="D870" s="124" t="s">
        <v>105</v>
      </c>
      <c r="E870" s="126" t="s">
        <v>2856</v>
      </c>
      <c r="F870" s="124" t="s">
        <v>2858</v>
      </c>
    </row>
    <row r="871">
      <c r="A871" s="125">
        <v>44336.37972334491</v>
      </c>
      <c r="B871" s="124" t="s">
        <v>113</v>
      </c>
      <c r="C871" s="124" t="s">
        <v>2104</v>
      </c>
      <c r="D871" s="124" t="s">
        <v>2859</v>
      </c>
      <c r="E871" s="126" t="s">
        <v>2860</v>
      </c>
      <c r="F871" s="124" t="s">
        <v>2862</v>
      </c>
    </row>
    <row r="872">
      <c r="A872" s="125">
        <v>44336.38455466436</v>
      </c>
      <c r="B872" s="124" t="s">
        <v>113</v>
      </c>
      <c r="C872" s="124" t="s">
        <v>2126</v>
      </c>
      <c r="D872" s="124" t="s">
        <v>2859</v>
      </c>
      <c r="E872" s="126" t="s">
        <v>2863</v>
      </c>
      <c r="F872" s="124" t="s">
        <v>2864</v>
      </c>
    </row>
    <row r="873">
      <c r="A873" s="125">
        <v>44336.38863158565</v>
      </c>
      <c r="B873" s="124" t="s">
        <v>113</v>
      </c>
      <c r="C873" s="124" t="s">
        <v>2171</v>
      </c>
      <c r="D873" s="124" t="s">
        <v>1112</v>
      </c>
      <c r="E873" s="126" t="s">
        <v>2865</v>
      </c>
      <c r="F873" s="124" t="s">
        <v>2867</v>
      </c>
    </row>
    <row r="874">
      <c r="A874" s="125">
        <v>44336.6665269213</v>
      </c>
      <c r="B874" s="124" t="s">
        <v>113</v>
      </c>
      <c r="C874" s="124" t="s">
        <v>1178</v>
      </c>
      <c r="D874" s="124" t="s">
        <v>1112</v>
      </c>
      <c r="E874" s="126" t="s">
        <v>2868</v>
      </c>
      <c r="F874" s="124" t="s">
        <v>2870</v>
      </c>
    </row>
    <row r="875">
      <c r="A875" s="125">
        <v>44336.74400038194</v>
      </c>
      <c r="B875" s="124" t="s">
        <v>113</v>
      </c>
      <c r="C875" s="124" t="s">
        <v>2072</v>
      </c>
      <c r="D875" s="124" t="s">
        <v>2871</v>
      </c>
      <c r="E875" s="126" t="s">
        <v>2872</v>
      </c>
      <c r="F875" s="124" t="s">
        <v>2874</v>
      </c>
    </row>
    <row r="876">
      <c r="A876" s="125">
        <v>44337.37134429398</v>
      </c>
      <c r="B876" s="124" t="s">
        <v>113</v>
      </c>
      <c r="C876" s="124" t="s">
        <v>2104</v>
      </c>
      <c r="D876" s="124" t="s">
        <v>1020</v>
      </c>
      <c r="E876" s="126" t="s">
        <v>2875</v>
      </c>
      <c r="F876" s="124" t="s">
        <v>2877</v>
      </c>
    </row>
    <row r="877">
      <c r="A877" s="125">
        <v>44341.459944745366</v>
      </c>
      <c r="B877" s="124" t="s">
        <v>113</v>
      </c>
      <c r="C877" s="124" t="s">
        <v>2878</v>
      </c>
      <c r="D877" s="124" t="s">
        <v>502</v>
      </c>
      <c r="E877" s="126" t="s">
        <v>2879</v>
      </c>
      <c r="F877" s="124" t="s">
        <v>2880</v>
      </c>
    </row>
    <row r="878">
      <c r="A878" s="125">
        <v>44341.464042418986</v>
      </c>
      <c r="B878" s="124" t="s">
        <v>113</v>
      </c>
      <c r="C878" s="124" t="s">
        <v>2881</v>
      </c>
      <c r="D878" s="124" t="s">
        <v>1382</v>
      </c>
      <c r="E878" s="126" t="s">
        <v>2883</v>
      </c>
      <c r="F878" s="124" t="s">
        <v>2884</v>
      </c>
    </row>
    <row r="879">
      <c r="A879" s="125">
        <v>44341.46515636574</v>
      </c>
      <c r="B879" s="124" t="s">
        <v>113</v>
      </c>
      <c r="C879" s="124" t="s">
        <v>2885</v>
      </c>
      <c r="D879" s="124" t="s">
        <v>1382</v>
      </c>
      <c r="E879" s="126" t="s">
        <v>2886</v>
      </c>
      <c r="F879" s="124" t="s">
        <v>2888</v>
      </c>
    </row>
    <row r="880">
      <c r="A880" s="125">
        <v>44341.46552945602</v>
      </c>
      <c r="B880" s="124" t="s">
        <v>113</v>
      </c>
      <c r="C880" s="124" t="s">
        <v>2885</v>
      </c>
      <c r="D880" s="124" t="s">
        <v>624</v>
      </c>
      <c r="E880" s="126" t="s">
        <v>2889</v>
      </c>
      <c r="F880" s="124" t="s">
        <v>2891</v>
      </c>
    </row>
    <row r="881">
      <c r="A881" s="125">
        <v>44341.465705995375</v>
      </c>
      <c r="B881" s="124" t="s">
        <v>113</v>
      </c>
      <c r="C881" s="124" t="s">
        <v>2892</v>
      </c>
      <c r="D881" s="124" t="s">
        <v>228</v>
      </c>
      <c r="E881" s="126" t="s">
        <v>2893</v>
      </c>
      <c r="F881" s="124" t="s">
        <v>2894</v>
      </c>
    </row>
    <row r="882">
      <c r="A882" s="125">
        <v>44341.46993907407</v>
      </c>
      <c r="B882" s="124" t="s">
        <v>113</v>
      </c>
      <c r="C882" s="124" t="s">
        <v>2878</v>
      </c>
      <c r="D882" s="124" t="s">
        <v>190</v>
      </c>
      <c r="E882" s="126" t="s">
        <v>2896</v>
      </c>
      <c r="F882" s="124" t="s">
        <v>2897</v>
      </c>
    </row>
    <row r="883">
      <c r="A883" s="125">
        <v>44341.47153248843</v>
      </c>
      <c r="B883" s="124" t="s">
        <v>113</v>
      </c>
      <c r="C883" s="124" t="s">
        <v>2898</v>
      </c>
      <c r="D883" s="124" t="s">
        <v>190</v>
      </c>
      <c r="E883" s="126" t="s">
        <v>2899</v>
      </c>
      <c r="F883" s="124" t="s">
        <v>2901</v>
      </c>
    </row>
    <row r="884">
      <c r="A884" s="125">
        <v>44341.50480597222</v>
      </c>
      <c r="B884" s="124" t="s">
        <v>113</v>
      </c>
      <c r="C884" s="124" t="s">
        <v>2171</v>
      </c>
      <c r="D884" s="124" t="s">
        <v>1382</v>
      </c>
      <c r="E884" s="126" t="s">
        <v>2902</v>
      </c>
      <c r="F884" s="124" t="s">
        <v>2904</v>
      </c>
    </row>
    <row r="885">
      <c r="A885" s="125">
        <v>44341.51614166667</v>
      </c>
      <c r="B885" s="124" t="s">
        <v>113</v>
      </c>
      <c r="C885" s="124" t="s">
        <v>2881</v>
      </c>
      <c r="D885" s="124" t="s">
        <v>228</v>
      </c>
      <c r="E885" s="126" t="s">
        <v>2905</v>
      </c>
      <c r="F885" s="124" t="s">
        <v>2907</v>
      </c>
    </row>
    <row r="886">
      <c r="A886" s="125">
        <v>44341.51705900463</v>
      </c>
      <c r="B886" s="124" t="s">
        <v>113</v>
      </c>
      <c r="C886" s="124" t="s">
        <v>2885</v>
      </c>
      <c r="D886" s="124" t="s">
        <v>228</v>
      </c>
      <c r="E886" s="126" t="s">
        <v>2908</v>
      </c>
      <c r="F886" s="124" t="s">
        <v>2910</v>
      </c>
    </row>
    <row r="887">
      <c r="A887" s="125">
        <v>44341.54125282407</v>
      </c>
      <c r="B887" s="124" t="s">
        <v>113</v>
      </c>
      <c r="C887" s="124" t="s">
        <v>2885</v>
      </c>
      <c r="D887" s="124" t="s">
        <v>554</v>
      </c>
      <c r="E887" s="126" t="s">
        <v>2911</v>
      </c>
      <c r="F887" s="124" t="s">
        <v>2912</v>
      </c>
    </row>
    <row r="888">
      <c r="A888" s="125">
        <v>44341.57529166667</v>
      </c>
      <c r="B888" s="124" t="s">
        <v>113</v>
      </c>
      <c r="C888" s="124" t="s">
        <v>2126</v>
      </c>
      <c r="D888" s="124" t="s">
        <v>2914</v>
      </c>
      <c r="E888" s="126" t="s">
        <v>2915</v>
      </c>
      <c r="F888" s="124" t="s">
        <v>2916</v>
      </c>
    </row>
    <row r="889">
      <c r="A889" s="125">
        <v>44342.61979607639</v>
      </c>
      <c r="B889" s="124" t="s">
        <v>113</v>
      </c>
      <c r="C889" s="124" t="s">
        <v>2159</v>
      </c>
      <c r="D889" s="124" t="s">
        <v>1112</v>
      </c>
      <c r="E889" s="126" t="s">
        <v>2917</v>
      </c>
      <c r="F889" s="124" t="s">
        <v>2919</v>
      </c>
    </row>
    <row r="890">
      <c r="A890" s="125">
        <v>44344.44151449074</v>
      </c>
      <c r="B890" s="124" t="s">
        <v>113</v>
      </c>
      <c r="C890" s="124" t="s">
        <v>2878</v>
      </c>
      <c r="D890" s="124" t="s">
        <v>631</v>
      </c>
      <c r="E890" s="126" t="s">
        <v>2920</v>
      </c>
      <c r="F890" s="124" t="s">
        <v>2922</v>
      </c>
    </row>
    <row r="891">
      <c r="A891" s="125">
        <v>44344.44209349537</v>
      </c>
      <c r="B891" s="124" t="s">
        <v>113</v>
      </c>
      <c r="C891" s="124" t="s">
        <v>2898</v>
      </c>
      <c r="D891" s="124" t="s">
        <v>631</v>
      </c>
      <c r="E891" s="126" t="s">
        <v>2923</v>
      </c>
      <c r="F891" s="124" t="s">
        <v>2925</v>
      </c>
    </row>
    <row r="892">
      <c r="A892" s="125">
        <v>44344.4430144213</v>
      </c>
      <c r="B892" s="124" t="s">
        <v>113</v>
      </c>
      <c r="C892" s="124" t="s">
        <v>2926</v>
      </c>
      <c r="D892" s="124" t="s">
        <v>631</v>
      </c>
      <c r="E892" s="126" t="s">
        <v>2927</v>
      </c>
      <c r="F892" s="124" t="s">
        <v>2929</v>
      </c>
    </row>
    <row r="893">
      <c r="A893" s="125">
        <v>44344.445080405094</v>
      </c>
      <c r="B893" s="124" t="s">
        <v>113</v>
      </c>
      <c r="C893" s="124" t="s">
        <v>2881</v>
      </c>
      <c r="D893" s="124" t="s">
        <v>631</v>
      </c>
      <c r="E893" s="126" t="s">
        <v>2930</v>
      </c>
      <c r="F893" s="124" t="s">
        <v>2931</v>
      </c>
    </row>
    <row r="894">
      <c r="A894" s="125">
        <v>44347.536400729165</v>
      </c>
      <c r="B894" s="124" t="s">
        <v>113</v>
      </c>
      <c r="C894" s="124" t="s">
        <v>2892</v>
      </c>
      <c r="D894" s="124" t="s">
        <v>406</v>
      </c>
      <c r="E894" s="126" t="s">
        <v>2933</v>
      </c>
      <c r="F894" s="124" t="s">
        <v>2934</v>
      </c>
    </row>
    <row r="895">
      <c r="A895" s="125">
        <v>44348.60611547454</v>
      </c>
      <c r="B895" s="124" t="s">
        <v>113</v>
      </c>
      <c r="C895" s="124" t="s">
        <v>2878</v>
      </c>
      <c r="D895" s="124" t="s">
        <v>2935</v>
      </c>
      <c r="E895" s="126" t="s">
        <v>2936</v>
      </c>
      <c r="F895" s="124" t="s">
        <v>2938</v>
      </c>
    </row>
    <row r="896">
      <c r="A896" s="125">
        <v>44348.60865486111</v>
      </c>
      <c r="B896" s="124" t="s">
        <v>113</v>
      </c>
      <c r="C896" s="124" t="s">
        <v>2898</v>
      </c>
      <c r="D896" s="124" t="s">
        <v>2939</v>
      </c>
      <c r="E896" s="126" t="s">
        <v>2940</v>
      </c>
      <c r="F896" s="124" t="s">
        <v>2942</v>
      </c>
    </row>
    <row r="897">
      <c r="A897" s="125">
        <v>44348.60870431713</v>
      </c>
      <c r="B897" s="124" t="s">
        <v>113</v>
      </c>
      <c r="C897" s="124" t="s">
        <v>2878</v>
      </c>
      <c r="D897" s="124" t="s">
        <v>2943</v>
      </c>
      <c r="E897" s="126" t="s">
        <v>2944</v>
      </c>
      <c r="F897" s="124" t="s">
        <v>2946</v>
      </c>
    </row>
    <row r="898">
      <c r="A898" s="125">
        <v>44348.60951854166</v>
      </c>
      <c r="B898" s="124" t="s">
        <v>113</v>
      </c>
      <c r="C898" s="124" t="s">
        <v>2898</v>
      </c>
      <c r="D898" s="124" t="s">
        <v>2947</v>
      </c>
      <c r="E898" s="126" t="s">
        <v>2948</v>
      </c>
      <c r="F898" s="124" t="s">
        <v>2950</v>
      </c>
    </row>
    <row r="899">
      <c r="A899" s="125">
        <v>44348.61042493056</v>
      </c>
      <c r="B899" s="124" t="s">
        <v>113</v>
      </c>
      <c r="C899" s="124" t="s">
        <v>2898</v>
      </c>
      <c r="D899" s="124" t="s">
        <v>2951</v>
      </c>
      <c r="E899" s="126" t="s">
        <v>2952</v>
      </c>
      <c r="F899" s="124" t="s">
        <v>2953</v>
      </c>
    </row>
    <row r="900">
      <c r="A900" s="125">
        <v>44348.610450671295</v>
      </c>
      <c r="B900" s="124" t="s">
        <v>113</v>
      </c>
      <c r="C900" s="124" t="s">
        <v>2885</v>
      </c>
      <c r="D900" s="124" t="s">
        <v>2947</v>
      </c>
      <c r="E900" s="126" t="s">
        <v>2955</v>
      </c>
      <c r="F900" s="124" t="s">
        <v>2956</v>
      </c>
    </row>
    <row r="901">
      <c r="A901" s="125">
        <v>44348.61224815973</v>
      </c>
      <c r="B901" s="124" t="s">
        <v>113</v>
      </c>
      <c r="C901" s="124" t="s">
        <v>2957</v>
      </c>
      <c r="D901" s="124" t="s">
        <v>1441</v>
      </c>
      <c r="E901" s="126" t="s">
        <v>2958</v>
      </c>
      <c r="F901" s="124" t="s">
        <v>2960</v>
      </c>
    </row>
    <row r="902">
      <c r="A902" s="125">
        <v>44348.61355283565</v>
      </c>
      <c r="B902" s="124" t="s">
        <v>113</v>
      </c>
      <c r="C902" s="124" t="s">
        <v>2881</v>
      </c>
      <c r="D902" s="124" t="s">
        <v>2951</v>
      </c>
      <c r="E902" s="126" t="s">
        <v>2961</v>
      </c>
      <c r="F902" s="124" t="s">
        <v>2963</v>
      </c>
    </row>
    <row r="903">
      <c r="A903" s="125">
        <v>44348.62126377315</v>
      </c>
      <c r="B903" s="124" t="s">
        <v>113</v>
      </c>
      <c r="C903" s="124" t="s">
        <v>2898</v>
      </c>
      <c r="D903" s="124" t="s">
        <v>2964</v>
      </c>
      <c r="E903" s="126" t="s">
        <v>2965</v>
      </c>
      <c r="F903" s="124" t="s">
        <v>2967</v>
      </c>
    </row>
    <row r="904">
      <c r="A904" s="125">
        <v>44348.628380636575</v>
      </c>
      <c r="B904" s="124" t="s">
        <v>113</v>
      </c>
      <c r="C904" s="124" t="s">
        <v>2898</v>
      </c>
      <c r="D904" s="124" t="s">
        <v>2968</v>
      </c>
      <c r="E904" s="126" t="s">
        <v>2969</v>
      </c>
      <c r="F904" s="124" t="s">
        <v>2971</v>
      </c>
    </row>
    <row r="905">
      <c r="A905" s="125">
        <v>44348.63423657407</v>
      </c>
      <c r="B905" s="124" t="s">
        <v>113</v>
      </c>
      <c r="C905" s="124" t="s">
        <v>2171</v>
      </c>
      <c r="D905" s="124" t="s">
        <v>251</v>
      </c>
      <c r="E905" s="126" t="s">
        <v>2972</v>
      </c>
      <c r="F905" s="124" t="s">
        <v>2973</v>
      </c>
    </row>
    <row r="906">
      <c r="A906" s="125">
        <v>44348.63641773148</v>
      </c>
      <c r="B906" s="124" t="s">
        <v>113</v>
      </c>
      <c r="C906" s="124" t="s">
        <v>2898</v>
      </c>
      <c r="D906" s="124" t="s">
        <v>2975</v>
      </c>
      <c r="E906" s="126" t="s">
        <v>2976</v>
      </c>
      <c r="F906" s="124" t="s">
        <v>2977</v>
      </c>
    </row>
    <row r="907">
      <c r="A907" s="125">
        <v>44348.63812512731</v>
      </c>
      <c r="B907" s="124" t="s">
        <v>113</v>
      </c>
      <c r="C907" s="124" t="s">
        <v>2898</v>
      </c>
      <c r="D907" s="124" t="s">
        <v>2978</v>
      </c>
      <c r="E907" s="126" t="s">
        <v>2980</v>
      </c>
      <c r="F907" s="124" t="s">
        <v>2981</v>
      </c>
    </row>
    <row r="908">
      <c r="A908" s="125">
        <v>44348.64147688657</v>
      </c>
      <c r="B908" s="124" t="s">
        <v>113</v>
      </c>
      <c r="C908" s="124" t="s">
        <v>2957</v>
      </c>
      <c r="D908" s="124" t="s">
        <v>2982</v>
      </c>
      <c r="E908" s="126" t="s">
        <v>2983</v>
      </c>
      <c r="F908" s="124" t="s">
        <v>2985</v>
      </c>
    </row>
    <row r="909">
      <c r="A909" s="125">
        <v>44348.64210145833</v>
      </c>
      <c r="B909" s="124" t="s">
        <v>113</v>
      </c>
      <c r="C909" s="124" t="s">
        <v>2898</v>
      </c>
      <c r="D909" s="124" t="s">
        <v>2982</v>
      </c>
      <c r="E909" s="126" t="s">
        <v>2986</v>
      </c>
      <c r="F909" s="124" t="s">
        <v>2988</v>
      </c>
    </row>
    <row r="910">
      <c r="A910" s="125">
        <v>44348.65260149306</v>
      </c>
      <c r="B910" s="124" t="s">
        <v>113</v>
      </c>
      <c r="C910" s="124" t="s">
        <v>2898</v>
      </c>
      <c r="D910" s="124" t="s">
        <v>1543</v>
      </c>
      <c r="E910" s="126" t="s">
        <v>2989</v>
      </c>
      <c r="F910" s="124" t="s">
        <v>2991</v>
      </c>
    </row>
    <row r="911">
      <c r="A911" s="125">
        <v>44348.65852474537</v>
      </c>
      <c r="B911" s="124" t="s">
        <v>113</v>
      </c>
      <c r="C911" s="124" t="s">
        <v>2957</v>
      </c>
      <c r="D911" s="124" t="s">
        <v>2992</v>
      </c>
      <c r="E911" s="126" t="s">
        <v>2993</v>
      </c>
      <c r="F911" s="124" t="s">
        <v>2994</v>
      </c>
    </row>
    <row r="912">
      <c r="A912" s="125">
        <v>44348.65961800926</v>
      </c>
      <c r="B912" s="124" t="s">
        <v>113</v>
      </c>
      <c r="C912" s="124" t="s">
        <v>2892</v>
      </c>
      <c r="D912" s="124" t="s">
        <v>2992</v>
      </c>
      <c r="E912" s="126" t="s">
        <v>2996</v>
      </c>
      <c r="F912" s="124" t="s">
        <v>2997</v>
      </c>
    </row>
    <row r="913">
      <c r="A913" s="125">
        <v>44348.6603118287</v>
      </c>
      <c r="B913" s="124" t="s">
        <v>113</v>
      </c>
      <c r="C913" s="124" t="s">
        <v>2898</v>
      </c>
      <c r="D913" s="124" t="s">
        <v>2992</v>
      </c>
      <c r="E913" s="126" t="s">
        <v>2999</v>
      </c>
      <c r="F913" s="124" t="s">
        <v>3000</v>
      </c>
    </row>
    <row r="914">
      <c r="A914" s="125">
        <v>44348.6615938426</v>
      </c>
      <c r="B914" s="124" t="s">
        <v>113</v>
      </c>
      <c r="C914" s="124" t="s">
        <v>2881</v>
      </c>
      <c r="D914" s="124" t="s">
        <v>2992</v>
      </c>
      <c r="E914" s="126" t="s">
        <v>3001</v>
      </c>
      <c r="F914" s="124" t="s">
        <v>3003</v>
      </c>
    </row>
    <row r="915">
      <c r="A915" s="125">
        <v>44348.66264072916</v>
      </c>
      <c r="B915" s="124" t="s">
        <v>113</v>
      </c>
      <c r="C915" s="124" t="s">
        <v>2898</v>
      </c>
      <c r="D915" s="124" t="s">
        <v>473</v>
      </c>
      <c r="E915" s="126" t="s">
        <v>3004</v>
      </c>
      <c r="F915" s="124" t="s">
        <v>3006</v>
      </c>
    </row>
    <row r="916">
      <c r="A916" s="125">
        <v>44348.6636877662</v>
      </c>
      <c r="B916" s="124" t="s">
        <v>113</v>
      </c>
      <c r="C916" s="124" t="s">
        <v>2926</v>
      </c>
      <c r="D916" s="124" t="s">
        <v>473</v>
      </c>
      <c r="E916" s="126" t="s">
        <v>3007</v>
      </c>
      <c r="F916" s="124" t="s">
        <v>3009</v>
      </c>
    </row>
    <row r="917">
      <c r="A917" s="125">
        <v>44348.67048958333</v>
      </c>
      <c r="B917" s="124" t="s">
        <v>113</v>
      </c>
      <c r="C917" s="124" t="s">
        <v>2885</v>
      </c>
      <c r="D917" s="124" t="s">
        <v>473</v>
      </c>
      <c r="E917" s="126" t="s">
        <v>3010</v>
      </c>
      <c r="F917" s="124" t="s">
        <v>3012</v>
      </c>
    </row>
    <row r="918">
      <c r="A918" s="125">
        <v>44348.672134849534</v>
      </c>
      <c r="B918" s="124" t="s">
        <v>113</v>
      </c>
      <c r="C918" s="124" t="s">
        <v>2892</v>
      </c>
      <c r="D918" s="124" t="s">
        <v>3013</v>
      </c>
      <c r="E918" s="126" t="s">
        <v>3014</v>
      </c>
      <c r="F918" s="124" t="s">
        <v>3015</v>
      </c>
    </row>
    <row r="919">
      <c r="A919" s="125">
        <v>44348.679334699074</v>
      </c>
      <c r="B919" s="124" t="s">
        <v>113</v>
      </c>
      <c r="C919" s="124" t="s">
        <v>2892</v>
      </c>
      <c r="D919" s="124" t="s">
        <v>3017</v>
      </c>
      <c r="E919" s="126" t="s">
        <v>3018</v>
      </c>
      <c r="F919" s="124" t="s">
        <v>3019</v>
      </c>
    </row>
    <row r="920">
      <c r="A920" s="125">
        <v>44348.68230222222</v>
      </c>
      <c r="B920" s="124" t="s">
        <v>113</v>
      </c>
      <c r="C920" s="124" t="s">
        <v>2878</v>
      </c>
      <c r="D920" s="124" t="s">
        <v>3020</v>
      </c>
      <c r="E920" s="126" t="s">
        <v>3021</v>
      </c>
      <c r="F920" s="124" t="s">
        <v>3023</v>
      </c>
    </row>
    <row r="921">
      <c r="A921" s="125">
        <v>44348.68624935186</v>
      </c>
      <c r="B921" s="124" t="s">
        <v>113</v>
      </c>
      <c r="C921" s="124" t="s">
        <v>2171</v>
      </c>
      <c r="D921" s="124" t="s">
        <v>3024</v>
      </c>
      <c r="E921" s="126" t="s">
        <v>3025</v>
      </c>
      <c r="F921" s="124" t="s">
        <v>3027</v>
      </c>
    </row>
    <row r="922">
      <c r="A922" s="125">
        <v>44348.69276938657</v>
      </c>
      <c r="B922" s="124" t="s">
        <v>113</v>
      </c>
      <c r="C922" s="124" t="s">
        <v>2957</v>
      </c>
      <c r="D922" s="124" t="s">
        <v>3028</v>
      </c>
      <c r="E922" s="126" t="s">
        <v>3029</v>
      </c>
      <c r="F922" s="124" t="s">
        <v>3031</v>
      </c>
    </row>
    <row r="923">
      <c r="A923" s="125">
        <v>44348.69368619213</v>
      </c>
      <c r="B923" s="124" t="s">
        <v>113</v>
      </c>
      <c r="C923" s="124" t="s">
        <v>2892</v>
      </c>
      <c r="D923" s="124" t="s">
        <v>3028</v>
      </c>
      <c r="E923" s="126" t="s">
        <v>3032</v>
      </c>
      <c r="F923" s="124" t="s">
        <v>3034</v>
      </c>
    </row>
    <row r="924">
      <c r="A924" s="125">
        <v>44348.707355798615</v>
      </c>
      <c r="B924" s="124" t="s">
        <v>113</v>
      </c>
      <c r="C924" s="124" t="s">
        <v>2878</v>
      </c>
      <c r="D924" s="124" t="s">
        <v>3024</v>
      </c>
      <c r="E924" s="126" t="s">
        <v>3035</v>
      </c>
      <c r="F924" s="124" t="s">
        <v>3036</v>
      </c>
    </row>
    <row r="925">
      <c r="A925" s="125">
        <v>44348.715034293986</v>
      </c>
      <c r="B925" s="124" t="s">
        <v>113</v>
      </c>
      <c r="C925" s="124" t="s">
        <v>2878</v>
      </c>
      <c r="D925" s="124" t="s">
        <v>3038</v>
      </c>
      <c r="E925" s="126" t="s">
        <v>3039</v>
      </c>
      <c r="F925" s="124" t="s">
        <v>3040</v>
      </c>
    </row>
    <row r="926">
      <c r="A926" s="125">
        <v>44348.717043807876</v>
      </c>
      <c r="B926" s="124" t="s">
        <v>113</v>
      </c>
      <c r="C926" s="124" t="s">
        <v>2171</v>
      </c>
      <c r="D926" s="124" t="s">
        <v>3041</v>
      </c>
      <c r="E926" s="126" t="s">
        <v>3042</v>
      </c>
      <c r="F926" s="124" t="s">
        <v>3044</v>
      </c>
    </row>
    <row r="927">
      <c r="A927" s="125">
        <v>44348.71822652778</v>
      </c>
      <c r="B927" s="124" t="s">
        <v>113</v>
      </c>
      <c r="C927" s="124" t="s">
        <v>2957</v>
      </c>
      <c r="D927" s="124" t="s">
        <v>3041</v>
      </c>
      <c r="E927" s="126" t="s">
        <v>3045</v>
      </c>
      <c r="F927" s="124" t="s">
        <v>3047</v>
      </c>
    </row>
    <row r="928">
      <c r="A928" s="125">
        <v>44348.72467181713</v>
      </c>
      <c r="B928" s="124" t="s">
        <v>113</v>
      </c>
      <c r="C928" s="124" t="s">
        <v>2881</v>
      </c>
      <c r="D928" s="124" t="s">
        <v>3024</v>
      </c>
      <c r="E928" s="126" t="s">
        <v>3048</v>
      </c>
      <c r="F928" s="124" t="s">
        <v>3050</v>
      </c>
    </row>
    <row r="929">
      <c r="A929" s="125">
        <v>44348.72633943287</v>
      </c>
      <c r="B929" s="124" t="s">
        <v>113</v>
      </c>
      <c r="C929" s="124" t="s">
        <v>2881</v>
      </c>
      <c r="D929" s="124" t="s">
        <v>3038</v>
      </c>
      <c r="E929" s="126" t="s">
        <v>3051</v>
      </c>
      <c r="F929" s="124" t="s">
        <v>3053</v>
      </c>
    </row>
    <row r="930">
      <c r="A930" s="125">
        <v>44348.73446467593</v>
      </c>
      <c r="B930" s="124" t="s">
        <v>113</v>
      </c>
      <c r="C930" s="124" t="s">
        <v>3054</v>
      </c>
      <c r="D930" s="124" t="s">
        <v>473</v>
      </c>
      <c r="E930" s="126" t="s">
        <v>3055</v>
      </c>
      <c r="F930" s="124" t="s">
        <v>3057</v>
      </c>
    </row>
    <row r="931">
      <c r="A931" s="125">
        <v>44348.73992396991</v>
      </c>
      <c r="B931" s="124" t="s">
        <v>113</v>
      </c>
      <c r="C931" s="124" t="s">
        <v>2878</v>
      </c>
      <c r="D931" s="124" t="s">
        <v>3058</v>
      </c>
      <c r="E931" s="126" t="s">
        <v>3059</v>
      </c>
      <c r="F931" s="124" t="s">
        <v>3060</v>
      </c>
    </row>
    <row r="932">
      <c r="A932" s="125">
        <v>44348.74764427083</v>
      </c>
      <c r="B932" s="124" t="s">
        <v>113</v>
      </c>
      <c r="C932" s="124" t="s">
        <v>2171</v>
      </c>
      <c r="D932" s="124" t="s">
        <v>3061</v>
      </c>
      <c r="E932" s="126" t="s">
        <v>3062</v>
      </c>
      <c r="F932" s="124" t="s">
        <v>3064</v>
      </c>
    </row>
    <row r="933">
      <c r="A933" s="125">
        <v>44348.748798506946</v>
      </c>
      <c r="B933" s="124" t="s">
        <v>113</v>
      </c>
      <c r="C933" s="124" t="s">
        <v>2878</v>
      </c>
      <c r="D933" s="124" t="s">
        <v>3061</v>
      </c>
      <c r="E933" s="126" t="s">
        <v>3065</v>
      </c>
      <c r="F933" s="124" t="s">
        <v>3067</v>
      </c>
    </row>
    <row r="934">
      <c r="A934" s="125">
        <v>44348.7501272338</v>
      </c>
      <c r="B934" s="124" t="s">
        <v>113</v>
      </c>
      <c r="C934" s="124" t="s">
        <v>2892</v>
      </c>
      <c r="D934" s="124" t="s">
        <v>3061</v>
      </c>
      <c r="E934" s="126" t="s">
        <v>3068</v>
      </c>
      <c r="F934" s="124" t="s">
        <v>3070</v>
      </c>
    </row>
    <row r="935">
      <c r="A935" s="125">
        <v>44348.751561400466</v>
      </c>
      <c r="B935" s="124" t="s">
        <v>113</v>
      </c>
      <c r="C935" s="124" t="s">
        <v>2926</v>
      </c>
      <c r="D935" s="124" t="s">
        <v>3061</v>
      </c>
      <c r="E935" s="126" t="s">
        <v>3071</v>
      </c>
      <c r="F935" s="124" t="s">
        <v>3073</v>
      </c>
    </row>
    <row r="936">
      <c r="A936" s="125">
        <v>44348.752591701385</v>
      </c>
      <c r="B936" s="124" t="s">
        <v>113</v>
      </c>
      <c r="C936" s="124" t="s">
        <v>2885</v>
      </c>
      <c r="D936" s="124" t="s">
        <v>3061</v>
      </c>
      <c r="E936" s="126" t="s">
        <v>3074</v>
      </c>
      <c r="F936" s="124" t="s">
        <v>3076</v>
      </c>
    </row>
    <row r="937">
      <c r="A937" s="125">
        <v>44349.3075141088</v>
      </c>
      <c r="B937" s="124" t="s">
        <v>113</v>
      </c>
      <c r="C937" s="124" t="s">
        <v>2926</v>
      </c>
      <c r="D937" s="124" t="s">
        <v>549</v>
      </c>
      <c r="E937" s="126" t="s">
        <v>3077</v>
      </c>
      <c r="F937" s="124" t="s">
        <v>3079</v>
      </c>
    </row>
    <row r="938">
      <c r="A938" s="125">
        <v>44349.30807413194</v>
      </c>
      <c r="B938" s="124" t="s">
        <v>113</v>
      </c>
      <c r="C938" s="124" t="s">
        <v>2885</v>
      </c>
      <c r="D938" s="124" t="s">
        <v>549</v>
      </c>
      <c r="E938" s="126" t="s">
        <v>3080</v>
      </c>
      <c r="F938" s="124" t="s">
        <v>3082</v>
      </c>
    </row>
    <row r="939">
      <c r="A939" s="125">
        <v>44349.30852090278</v>
      </c>
      <c r="B939" s="124" t="s">
        <v>113</v>
      </c>
      <c r="C939" s="124" t="s">
        <v>2881</v>
      </c>
      <c r="D939" s="124" t="s">
        <v>549</v>
      </c>
      <c r="E939" s="126" t="s">
        <v>3083</v>
      </c>
      <c r="F939" s="124" t="s">
        <v>3085</v>
      </c>
    </row>
    <row r="940">
      <c r="A940" s="125">
        <v>44349.32262255787</v>
      </c>
      <c r="B940" s="124" t="s">
        <v>113</v>
      </c>
      <c r="C940" s="124" t="s">
        <v>2926</v>
      </c>
      <c r="D940" s="124" t="s">
        <v>172</v>
      </c>
      <c r="E940" s="126" t="s">
        <v>3086</v>
      </c>
      <c r="F940" s="124" t="s">
        <v>3088</v>
      </c>
    </row>
    <row r="941">
      <c r="A941" s="125">
        <v>44349.37419501157</v>
      </c>
      <c r="B941" s="124" t="s">
        <v>113</v>
      </c>
      <c r="C941" s="124" t="s">
        <v>2171</v>
      </c>
      <c r="D941" s="124" t="s">
        <v>3089</v>
      </c>
      <c r="E941" s="126" t="s">
        <v>3090</v>
      </c>
      <c r="F941" s="124" t="s">
        <v>3092</v>
      </c>
    </row>
    <row r="942">
      <c r="A942" s="125">
        <v>44349.40896261574</v>
      </c>
      <c r="B942" s="124" t="s">
        <v>113</v>
      </c>
      <c r="C942" s="124" t="s">
        <v>2892</v>
      </c>
      <c r="D942" s="124" t="s">
        <v>2693</v>
      </c>
      <c r="E942" s="126" t="s">
        <v>3093</v>
      </c>
      <c r="F942" s="124" t="s">
        <v>3095</v>
      </c>
    </row>
    <row r="943">
      <c r="A943" s="125">
        <v>44349.41021259259</v>
      </c>
      <c r="B943" s="124" t="s">
        <v>113</v>
      </c>
      <c r="C943" s="124" t="s">
        <v>2881</v>
      </c>
      <c r="D943" s="124" t="s">
        <v>2693</v>
      </c>
      <c r="E943" s="126" t="s">
        <v>3096</v>
      </c>
      <c r="F943" s="124" t="s">
        <v>3098</v>
      </c>
    </row>
    <row r="944">
      <c r="A944" s="125">
        <v>44349.41151153935</v>
      </c>
      <c r="B944" s="124" t="s">
        <v>113</v>
      </c>
      <c r="C944" s="124" t="s">
        <v>2885</v>
      </c>
      <c r="D944" s="124" t="s">
        <v>2676</v>
      </c>
      <c r="E944" s="126" t="s">
        <v>3099</v>
      </c>
      <c r="F944" s="124" t="s">
        <v>3100</v>
      </c>
    </row>
    <row r="945">
      <c r="A945" s="125">
        <v>44349.4326984838</v>
      </c>
      <c r="B945" s="124" t="s">
        <v>113</v>
      </c>
      <c r="C945" s="124" t="s">
        <v>2957</v>
      </c>
      <c r="D945" s="124" t="s">
        <v>3101</v>
      </c>
      <c r="E945" s="126" t="s">
        <v>3102</v>
      </c>
      <c r="F945" s="124" t="s">
        <v>3103</v>
      </c>
    </row>
    <row r="946">
      <c r="A946" s="125">
        <v>44349.43388496528</v>
      </c>
      <c r="B946" s="124" t="s">
        <v>113</v>
      </c>
      <c r="C946" s="124" t="s">
        <v>3054</v>
      </c>
      <c r="D946" s="124" t="s">
        <v>3101</v>
      </c>
      <c r="E946" s="126" t="s">
        <v>3104</v>
      </c>
      <c r="F946" s="124" t="s">
        <v>3106</v>
      </c>
    </row>
    <row r="947">
      <c r="A947" s="125">
        <v>44349.434921747685</v>
      </c>
      <c r="B947" s="124" t="s">
        <v>113</v>
      </c>
      <c r="C947" s="124" t="s">
        <v>2926</v>
      </c>
      <c r="D947" s="124" t="s">
        <v>3101</v>
      </c>
      <c r="E947" s="126" t="s">
        <v>3107</v>
      </c>
      <c r="F947" s="124" t="s">
        <v>3109</v>
      </c>
    </row>
    <row r="948">
      <c r="A948" s="125">
        <v>44349.436059687505</v>
      </c>
      <c r="B948" s="124" t="s">
        <v>113</v>
      </c>
      <c r="C948" s="124" t="s">
        <v>2881</v>
      </c>
      <c r="D948" s="124" t="s">
        <v>3101</v>
      </c>
      <c r="E948" s="126" t="s">
        <v>3110</v>
      </c>
      <c r="F948" s="124" t="s">
        <v>3112</v>
      </c>
    </row>
    <row r="949">
      <c r="A949" s="125">
        <v>44349.43666584491</v>
      </c>
      <c r="B949" s="124" t="s">
        <v>113</v>
      </c>
      <c r="C949" s="124" t="s">
        <v>2885</v>
      </c>
      <c r="D949" s="124" t="s">
        <v>3101</v>
      </c>
      <c r="E949" s="126" t="s">
        <v>3113</v>
      </c>
      <c r="F949" s="124" t="s">
        <v>3115</v>
      </c>
    </row>
    <row r="950">
      <c r="A950" s="125">
        <v>44349.46841327546</v>
      </c>
      <c r="B950" s="124" t="s">
        <v>113</v>
      </c>
      <c r="C950" s="124" t="s">
        <v>2881</v>
      </c>
      <c r="D950" s="124" t="s">
        <v>3116</v>
      </c>
      <c r="E950" s="126" t="s">
        <v>3117</v>
      </c>
      <c r="F950" s="124" t="s">
        <v>3119</v>
      </c>
    </row>
    <row r="951">
      <c r="A951" s="125">
        <v>44349.522968206016</v>
      </c>
      <c r="B951" s="124" t="s">
        <v>113</v>
      </c>
      <c r="C951" s="124" t="s">
        <v>2957</v>
      </c>
      <c r="D951" s="124" t="s">
        <v>3013</v>
      </c>
      <c r="E951" s="126" t="s">
        <v>3120</v>
      </c>
      <c r="F951" s="124" t="s">
        <v>3122</v>
      </c>
    </row>
    <row r="952">
      <c r="A952" s="125">
        <v>44349.55691979166</v>
      </c>
      <c r="B952" s="124" t="s">
        <v>113</v>
      </c>
      <c r="C952" s="124" t="s">
        <v>2885</v>
      </c>
      <c r="D952" s="124" t="s">
        <v>3124</v>
      </c>
      <c r="E952" s="126" t="s">
        <v>3125</v>
      </c>
      <c r="F952" s="124" t="s">
        <v>3126</v>
      </c>
    </row>
    <row r="953">
      <c r="A953" s="125">
        <v>44349.6116574537</v>
      </c>
      <c r="B953" s="124" t="s">
        <v>113</v>
      </c>
      <c r="C953" s="124" t="s">
        <v>2878</v>
      </c>
      <c r="D953" s="124" t="s">
        <v>1185</v>
      </c>
      <c r="E953" s="126" t="s">
        <v>3128</v>
      </c>
      <c r="F953" s="124" t="s">
        <v>3129</v>
      </c>
    </row>
    <row r="954">
      <c r="A954" s="125">
        <v>44349.612278622684</v>
      </c>
      <c r="B954" s="124" t="s">
        <v>113</v>
      </c>
      <c r="C954" s="124" t="s">
        <v>3054</v>
      </c>
      <c r="D954" s="124" t="s">
        <v>1185</v>
      </c>
      <c r="E954" s="126" t="s">
        <v>3131</v>
      </c>
      <c r="F954" s="124" t="s">
        <v>3132</v>
      </c>
    </row>
    <row r="955">
      <c r="A955" s="125">
        <v>44349.61285766204</v>
      </c>
      <c r="B955" s="124" t="s">
        <v>113</v>
      </c>
      <c r="C955" s="124" t="s">
        <v>2885</v>
      </c>
      <c r="D955" s="124" t="s">
        <v>1185</v>
      </c>
      <c r="E955" s="126" t="s">
        <v>3133</v>
      </c>
      <c r="F955" s="124" t="s">
        <v>3135</v>
      </c>
    </row>
    <row r="956">
      <c r="A956" s="125">
        <v>44349.74751482639</v>
      </c>
      <c r="B956" s="124" t="s">
        <v>113</v>
      </c>
      <c r="C956" s="124" t="s">
        <v>2878</v>
      </c>
      <c r="D956" s="124" t="s">
        <v>241</v>
      </c>
      <c r="E956" s="126" t="s">
        <v>3137</v>
      </c>
      <c r="F956" s="124" t="s">
        <v>3138</v>
      </c>
    </row>
    <row r="957">
      <c r="A957" s="125">
        <v>44349.74900333333</v>
      </c>
      <c r="B957" s="124" t="s">
        <v>113</v>
      </c>
      <c r="C957" s="124" t="s">
        <v>2881</v>
      </c>
      <c r="D957" s="124" t="s">
        <v>241</v>
      </c>
      <c r="E957" s="126" t="s">
        <v>3140</v>
      </c>
      <c r="F957" s="124" t="s">
        <v>3141</v>
      </c>
    </row>
    <row r="958">
      <c r="A958" s="125">
        <v>44350.47142071759</v>
      </c>
      <c r="B958" s="124" t="s">
        <v>113</v>
      </c>
      <c r="C958" s="124" t="s">
        <v>2957</v>
      </c>
      <c r="D958" s="124" t="s">
        <v>3116</v>
      </c>
      <c r="E958" s="126" t="s">
        <v>3143</v>
      </c>
      <c r="F958" s="124" t="s">
        <v>3144</v>
      </c>
    </row>
    <row r="959">
      <c r="A959" s="125">
        <v>44350.47336417824</v>
      </c>
      <c r="B959" s="124" t="s">
        <v>113</v>
      </c>
      <c r="C959" s="124" t="s">
        <v>2878</v>
      </c>
      <c r="D959" s="124" t="s">
        <v>3146</v>
      </c>
      <c r="E959" s="126" t="s">
        <v>3147</v>
      </c>
      <c r="F959" s="124" t="s">
        <v>3149</v>
      </c>
    </row>
    <row r="960">
      <c r="A960" s="125">
        <v>44350.502991180554</v>
      </c>
      <c r="B960" s="124" t="s">
        <v>113</v>
      </c>
      <c r="C960" s="124" t="s">
        <v>2885</v>
      </c>
      <c r="D960" s="124" t="s">
        <v>1392</v>
      </c>
      <c r="E960" s="126" t="s">
        <v>3150</v>
      </c>
      <c r="F960" s="124" t="s">
        <v>3152</v>
      </c>
    </row>
    <row r="961">
      <c r="A961" s="125">
        <v>44350.56186789351</v>
      </c>
      <c r="B961" s="124" t="s">
        <v>113</v>
      </c>
      <c r="C961" s="124" t="s">
        <v>2881</v>
      </c>
      <c r="D961" s="124" t="s">
        <v>3153</v>
      </c>
      <c r="E961" s="126" t="s">
        <v>3154</v>
      </c>
      <c r="F961" s="124" t="s">
        <v>3156</v>
      </c>
    </row>
    <row r="962">
      <c r="A962" s="125">
        <v>44350.592645324075</v>
      </c>
      <c r="B962" s="124" t="s">
        <v>113</v>
      </c>
      <c r="C962" s="124" t="s">
        <v>2957</v>
      </c>
      <c r="D962" s="124" t="s">
        <v>2947</v>
      </c>
      <c r="E962" s="126" t="s">
        <v>3157</v>
      </c>
      <c r="F962" s="124" t="s">
        <v>3159</v>
      </c>
    </row>
    <row r="963">
      <c r="A963" s="125">
        <v>44354.64721174768</v>
      </c>
      <c r="B963" s="124" t="s">
        <v>113</v>
      </c>
      <c r="C963" s="124" t="s">
        <v>2892</v>
      </c>
      <c r="D963" s="124" t="s">
        <v>985</v>
      </c>
      <c r="E963" s="126" t="s">
        <v>3160</v>
      </c>
      <c r="F963" s="124" t="s">
        <v>3162</v>
      </c>
    </row>
    <row r="964">
      <c r="A964" s="125">
        <v>44355.38874297454</v>
      </c>
      <c r="B964" s="124" t="s">
        <v>113</v>
      </c>
      <c r="C964" s="124" t="s">
        <v>2957</v>
      </c>
      <c r="D964" s="124" t="s">
        <v>867</v>
      </c>
      <c r="E964" s="126" t="s">
        <v>3163</v>
      </c>
      <c r="F964" s="124" t="s">
        <v>3165</v>
      </c>
    </row>
    <row r="965">
      <c r="A965" s="125">
        <v>44355.389310659724</v>
      </c>
      <c r="B965" s="124" t="s">
        <v>113</v>
      </c>
      <c r="C965" s="124" t="s">
        <v>3054</v>
      </c>
      <c r="D965" s="124" t="s">
        <v>867</v>
      </c>
      <c r="E965" s="126" t="s">
        <v>3166</v>
      </c>
      <c r="F965" s="124" t="s">
        <v>3168</v>
      </c>
    </row>
    <row r="966">
      <c r="A966" s="125">
        <v>44355.39027398148</v>
      </c>
      <c r="B966" s="124" t="s">
        <v>113</v>
      </c>
      <c r="C966" s="124" t="s">
        <v>2926</v>
      </c>
      <c r="D966" s="124" t="s">
        <v>3169</v>
      </c>
      <c r="E966" s="126" t="s">
        <v>3170</v>
      </c>
      <c r="F966" s="124" t="s">
        <v>3172</v>
      </c>
    </row>
    <row r="967">
      <c r="A967" s="125">
        <v>44355.661558321764</v>
      </c>
      <c r="B967" s="124" t="s">
        <v>113</v>
      </c>
      <c r="C967" s="124" t="s">
        <v>2898</v>
      </c>
      <c r="D967" s="124" t="s">
        <v>1030</v>
      </c>
      <c r="E967" s="126" t="s">
        <v>3174</v>
      </c>
      <c r="F967" s="124" t="s">
        <v>3176</v>
      </c>
    </row>
    <row r="968">
      <c r="A968" s="125">
        <v>44355.743047303244</v>
      </c>
      <c r="B968" s="124" t="s">
        <v>113</v>
      </c>
      <c r="C968" s="124" t="s">
        <v>3177</v>
      </c>
      <c r="D968" s="124" t="s">
        <v>668</v>
      </c>
      <c r="E968" s="126" t="s">
        <v>3178</v>
      </c>
      <c r="F968" s="124" t="s">
        <v>3180</v>
      </c>
    </row>
    <row r="969">
      <c r="A969" s="125">
        <v>44355.743639444445</v>
      </c>
      <c r="B969" s="124" t="s">
        <v>113</v>
      </c>
      <c r="C969" s="124" t="s">
        <v>2885</v>
      </c>
      <c r="D969" s="124" t="s">
        <v>668</v>
      </c>
      <c r="E969" s="126" t="s">
        <v>3181</v>
      </c>
      <c r="F969" s="124" t="s">
        <v>3183</v>
      </c>
    </row>
    <row r="970">
      <c r="A970" s="125">
        <v>44356.238643819444</v>
      </c>
      <c r="B970" s="124" t="s">
        <v>113</v>
      </c>
      <c r="C970" s="124" t="s">
        <v>2926</v>
      </c>
      <c r="D970" s="124" t="s">
        <v>956</v>
      </c>
      <c r="E970" s="126" t="s">
        <v>3184</v>
      </c>
      <c r="F970" s="124" t="s">
        <v>3186</v>
      </c>
    </row>
    <row r="971">
      <c r="A971" s="125">
        <v>44356.3397025</v>
      </c>
      <c r="B971" s="124" t="s">
        <v>113</v>
      </c>
      <c r="C971" s="124" t="s">
        <v>2892</v>
      </c>
      <c r="D971" s="124" t="s">
        <v>856</v>
      </c>
      <c r="E971" s="126" t="s">
        <v>3187</v>
      </c>
      <c r="F971" s="124" t="s">
        <v>3189</v>
      </c>
    </row>
    <row r="972">
      <c r="A972" s="125">
        <v>44356.50428908565</v>
      </c>
      <c r="B972" s="124" t="s">
        <v>113</v>
      </c>
      <c r="C972" s="124" t="s">
        <v>2926</v>
      </c>
      <c r="D972" s="124" t="s">
        <v>867</v>
      </c>
      <c r="E972" s="126" t="s">
        <v>3190</v>
      </c>
      <c r="F972" s="124" t="s">
        <v>3192</v>
      </c>
    </row>
    <row r="973">
      <c r="A973" s="125">
        <v>44356.507538819445</v>
      </c>
      <c r="B973" s="124" t="s">
        <v>113</v>
      </c>
      <c r="C973" s="124" t="s">
        <v>3177</v>
      </c>
      <c r="D973" s="124" t="s">
        <v>3116</v>
      </c>
      <c r="E973" s="126" t="s">
        <v>3193</v>
      </c>
      <c r="F973" s="124" t="s">
        <v>3194</v>
      </c>
    </row>
    <row r="974">
      <c r="A974" s="125">
        <v>44356.581676180554</v>
      </c>
      <c r="B974" s="124" t="s">
        <v>113</v>
      </c>
      <c r="C974" s="124" t="s">
        <v>2892</v>
      </c>
      <c r="D974" s="124" t="s">
        <v>1727</v>
      </c>
      <c r="E974" s="126" t="s">
        <v>3196</v>
      </c>
      <c r="F974" s="124" t="s">
        <v>3197</v>
      </c>
    </row>
    <row r="975">
      <c r="A975" s="125">
        <v>44357.77642872685</v>
      </c>
      <c r="B975" s="124" t="s">
        <v>113</v>
      </c>
      <c r="C975" s="124" t="s">
        <v>2898</v>
      </c>
      <c r="D975" s="124" t="s">
        <v>241</v>
      </c>
      <c r="E975" s="126" t="s">
        <v>3198</v>
      </c>
      <c r="F975" s="124" t="s">
        <v>3200</v>
      </c>
    </row>
    <row r="976">
      <c r="A976" s="125">
        <v>44358.38803155093</v>
      </c>
      <c r="B976" s="124" t="s">
        <v>113</v>
      </c>
      <c r="C976" s="124" t="s">
        <v>2926</v>
      </c>
      <c r="D976" s="124" t="s">
        <v>135</v>
      </c>
      <c r="E976" s="126" t="s">
        <v>3201</v>
      </c>
      <c r="F976" s="124" t="s">
        <v>3203</v>
      </c>
    </row>
    <row r="977">
      <c r="A977" s="125">
        <v>44359.890958958335</v>
      </c>
      <c r="B977" s="124" t="s">
        <v>113</v>
      </c>
      <c r="C977" s="124" t="s">
        <v>2926</v>
      </c>
      <c r="D977" s="124" t="s">
        <v>2790</v>
      </c>
      <c r="E977" s="126" t="s">
        <v>3204</v>
      </c>
      <c r="F977" s="124" t="s">
        <v>3206</v>
      </c>
    </row>
    <row r="978">
      <c r="A978" s="125">
        <v>44359.89182002315</v>
      </c>
      <c r="B978" s="124" t="s">
        <v>113</v>
      </c>
      <c r="C978" s="124" t="s">
        <v>2885</v>
      </c>
      <c r="D978" s="124" t="s">
        <v>2790</v>
      </c>
      <c r="E978" s="126" t="s">
        <v>3207</v>
      </c>
      <c r="F978" s="124" t="s">
        <v>3209</v>
      </c>
    </row>
    <row r="979">
      <c r="A979" s="125">
        <v>44360.8953787963</v>
      </c>
      <c r="B979" s="124" t="s">
        <v>113</v>
      </c>
      <c r="C979" s="124" t="s">
        <v>2881</v>
      </c>
      <c r="D979" s="124" t="s">
        <v>956</v>
      </c>
      <c r="E979" s="126" t="s">
        <v>3210</v>
      </c>
      <c r="F979" s="124" t="s">
        <v>3212</v>
      </c>
    </row>
    <row r="980">
      <c r="A980" s="125">
        <v>44361.597824212964</v>
      </c>
      <c r="B980" s="124" t="s">
        <v>113</v>
      </c>
      <c r="C980" s="124" t="s">
        <v>3177</v>
      </c>
      <c r="D980" s="124" t="s">
        <v>228</v>
      </c>
      <c r="E980" s="126" t="s">
        <v>3213</v>
      </c>
      <c r="F980" s="124" t="s">
        <v>3214</v>
      </c>
    </row>
    <row r="981">
      <c r="A981" s="125">
        <v>44361.80848238426</v>
      </c>
      <c r="B981" s="124" t="s">
        <v>113</v>
      </c>
      <c r="C981" s="124" t="s">
        <v>2878</v>
      </c>
      <c r="D981" s="124" t="s">
        <v>3216</v>
      </c>
      <c r="E981" s="126" t="s">
        <v>3217</v>
      </c>
      <c r="F981" s="124" t="s">
        <v>3218</v>
      </c>
    </row>
    <row r="982">
      <c r="A982" s="125">
        <v>44362.58314711806</v>
      </c>
      <c r="B982" s="124" t="s">
        <v>113</v>
      </c>
      <c r="C982" s="124" t="s">
        <v>3177</v>
      </c>
      <c r="D982" s="124" t="s">
        <v>631</v>
      </c>
      <c r="E982" s="126" t="s">
        <v>3219</v>
      </c>
      <c r="F982" s="124" t="s">
        <v>3221</v>
      </c>
    </row>
    <row r="983">
      <c r="A983" s="125">
        <v>44362.99740113426</v>
      </c>
      <c r="B983" s="124" t="s">
        <v>113</v>
      </c>
      <c r="C983" s="124" t="s">
        <v>2885</v>
      </c>
      <c r="D983" s="124" t="s">
        <v>251</v>
      </c>
      <c r="E983" s="126" t="s">
        <v>3222</v>
      </c>
      <c r="F983" s="124" t="s">
        <v>3224</v>
      </c>
    </row>
    <row r="984">
      <c r="A984" s="125">
        <v>44363.431738113424</v>
      </c>
      <c r="B984" s="124" t="s">
        <v>113</v>
      </c>
      <c r="C984" s="124" t="s">
        <v>3177</v>
      </c>
      <c r="D984" s="124" t="s">
        <v>321</v>
      </c>
      <c r="E984" s="126" t="s">
        <v>3225</v>
      </c>
      <c r="F984" s="124" t="s">
        <v>3227</v>
      </c>
    </row>
    <row r="985">
      <c r="A985" s="125">
        <v>44364.444756701385</v>
      </c>
      <c r="B985" s="124" t="s">
        <v>113</v>
      </c>
      <c r="C985" s="124" t="s">
        <v>3177</v>
      </c>
      <c r="D985" s="124" t="s">
        <v>2968</v>
      </c>
      <c r="E985" s="126" t="s">
        <v>3228</v>
      </c>
      <c r="F985" s="124" t="s">
        <v>3230</v>
      </c>
    </row>
    <row r="986">
      <c r="A986" s="125">
        <v>44364.44710789352</v>
      </c>
      <c r="B986" s="124" t="s">
        <v>113</v>
      </c>
      <c r="C986" s="124" t="s">
        <v>3177</v>
      </c>
      <c r="D986" s="124" t="s">
        <v>3231</v>
      </c>
      <c r="E986" s="126" t="s">
        <v>3232</v>
      </c>
      <c r="F986" s="124" t="s">
        <v>3234</v>
      </c>
    </row>
    <row r="987">
      <c r="A987" s="125">
        <v>44364.522501423606</v>
      </c>
      <c r="B987" s="124" t="s">
        <v>113</v>
      </c>
      <c r="C987" s="124" t="s">
        <v>3177</v>
      </c>
      <c r="D987" s="124" t="s">
        <v>3235</v>
      </c>
      <c r="E987" s="126" t="s">
        <v>3236</v>
      </c>
      <c r="F987" s="124" t="s">
        <v>3237</v>
      </c>
    </row>
    <row r="988">
      <c r="A988" s="125">
        <v>44369.69819023148</v>
      </c>
      <c r="B988" s="124" t="s">
        <v>113</v>
      </c>
      <c r="C988" s="124" t="s">
        <v>3177</v>
      </c>
      <c r="D988" s="124" t="s">
        <v>1565</v>
      </c>
      <c r="E988" s="126" t="s">
        <v>3239</v>
      </c>
      <c r="F988" s="124" t="s">
        <v>3241</v>
      </c>
    </row>
    <row r="989">
      <c r="A989" s="125">
        <v>44375.46180456018</v>
      </c>
      <c r="B989" s="124" t="s">
        <v>113</v>
      </c>
      <c r="C989" s="124" t="s">
        <v>3177</v>
      </c>
      <c r="D989" s="124" t="s">
        <v>3242</v>
      </c>
      <c r="E989" s="126" t="s">
        <v>3243</v>
      </c>
      <c r="F989" s="124" t="s">
        <v>3245</v>
      </c>
    </row>
    <row r="990">
      <c r="A990" s="125">
        <v>44459.64474726852</v>
      </c>
      <c r="B990" s="124" t="s">
        <v>113</v>
      </c>
      <c r="C990" s="124" t="s">
        <v>3246</v>
      </c>
      <c r="D990" s="124" t="s">
        <v>867</v>
      </c>
      <c r="E990" s="126" t="s">
        <v>3247</v>
      </c>
      <c r="F990" s="124" t="s">
        <v>3249</v>
      </c>
    </row>
    <row r="991">
      <c r="A991" s="125">
        <v>44459.645254375</v>
      </c>
      <c r="B991" s="124" t="s">
        <v>113</v>
      </c>
      <c r="C991" s="124" t="s">
        <v>3250</v>
      </c>
      <c r="D991" s="124" t="s">
        <v>867</v>
      </c>
      <c r="E991" s="126" t="s">
        <v>3251</v>
      </c>
      <c r="F991" s="124" t="s">
        <v>3253</v>
      </c>
    </row>
    <row r="992">
      <c r="A992" s="125">
        <v>44459.645918738424</v>
      </c>
      <c r="B992" s="124" t="s">
        <v>113</v>
      </c>
      <c r="C992" s="124" t="s">
        <v>3254</v>
      </c>
      <c r="D992" s="124" t="s">
        <v>867</v>
      </c>
      <c r="E992" s="126" t="s">
        <v>3255</v>
      </c>
      <c r="F992" s="124" t="s">
        <v>3257</v>
      </c>
    </row>
    <row r="993">
      <c r="A993" s="125">
        <v>44459.64626460648</v>
      </c>
      <c r="B993" s="124" t="s">
        <v>113</v>
      </c>
      <c r="C993" s="124" t="s">
        <v>3258</v>
      </c>
      <c r="D993" s="124" t="s">
        <v>135</v>
      </c>
      <c r="E993" s="126" t="s">
        <v>3259</v>
      </c>
      <c r="F993" s="124" t="s">
        <v>3261</v>
      </c>
    </row>
    <row r="994">
      <c r="A994" s="125">
        <v>44459.64682126157</v>
      </c>
      <c r="B994" s="124" t="s">
        <v>113</v>
      </c>
      <c r="C994" s="124" t="s">
        <v>3262</v>
      </c>
      <c r="D994" s="124" t="s">
        <v>867</v>
      </c>
      <c r="E994" s="126" t="s">
        <v>3263</v>
      </c>
      <c r="F994" s="124" t="s">
        <v>3265</v>
      </c>
    </row>
    <row r="995">
      <c r="A995" s="125">
        <v>44459.64894608797</v>
      </c>
      <c r="B995" s="124" t="s">
        <v>113</v>
      </c>
      <c r="C995" s="124" t="s">
        <v>3246</v>
      </c>
      <c r="D995" s="124" t="s">
        <v>135</v>
      </c>
      <c r="E995" s="126" t="s">
        <v>3266</v>
      </c>
      <c r="F995" s="124" t="s">
        <v>3268</v>
      </c>
    </row>
    <row r="996">
      <c r="A996" s="125">
        <v>44463.51035332176</v>
      </c>
      <c r="B996" s="124" t="s">
        <v>113</v>
      </c>
      <c r="C996" s="124" t="s">
        <v>3269</v>
      </c>
      <c r="D996" s="124" t="s">
        <v>3270</v>
      </c>
      <c r="E996" s="126" t="s">
        <v>3271</v>
      </c>
      <c r="F996" s="124" t="s">
        <v>3272</v>
      </c>
    </row>
    <row r="997">
      <c r="A997" s="125">
        <v>44463.51183579861</v>
      </c>
      <c r="B997" s="124" t="s">
        <v>113</v>
      </c>
      <c r="C997" s="124" t="s">
        <v>3262</v>
      </c>
      <c r="D997" s="124" t="s">
        <v>3270</v>
      </c>
      <c r="E997" s="126" t="s">
        <v>3273</v>
      </c>
      <c r="F997" s="124" t="s">
        <v>3275</v>
      </c>
    </row>
    <row r="998">
      <c r="A998" s="125">
        <v>44463.51317481481</v>
      </c>
      <c r="B998" s="124" t="s">
        <v>113</v>
      </c>
      <c r="C998" s="124" t="s">
        <v>3276</v>
      </c>
      <c r="D998" s="124" t="s">
        <v>3270</v>
      </c>
      <c r="E998" s="126" t="s">
        <v>3278</v>
      </c>
      <c r="F998" s="124" t="s">
        <v>3280</v>
      </c>
    </row>
    <row r="999">
      <c r="A999" s="125">
        <v>44463.51412142361</v>
      </c>
      <c r="B999" s="124" t="s">
        <v>113</v>
      </c>
      <c r="C999" s="124" t="s">
        <v>3281</v>
      </c>
      <c r="D999" s="124" t="s">
        <v>3270</v>
      </c>
      <c r="E999" s="126" t="s">
        <v>3282</v>
      </c>
      <c r="F999" s="124" t="s">
        <v>3284</v>
      </c>
    </row>
    <row r="1000">
      <c r="A1000" s="125">
        <v>44467.702952164356</v>
      </c>
      <c r="B1000" s="124" t="s">
        <v>113</v>
      </c>
      <c r="C1000" s="124" t="s">
        <v>3269</v>
      </c>
      <c r="D1000" s="124" t="s">
        <v>3285</v>
      </c>
      <c r="E1000" s="126" t="s">
        <v>3286</v>
      </c>
      <c r="F1000" s="124" t="s">
        <v>3287</v>
      </c>
    </row>
    <row r="1001">
      <c r="A1001" s="125">
        <v>44467.72847429398</v>
      </c>
      <c r="B1001" s="124" t="s">
        <v>113</v>
      </c>
      <c r="C1001" s="124" t="s">
        <v>3289</v>
      </c>
      <c r="D1001" s="124" t="s">
        <v>2968</v>
      </c>
      <c r="E1001" s="126" t="s">
        <v>3290</v>
      </c>
      <c r="F1001" s="124" t="s">
        <v>3291</v>
      </c>
    </row>
    <row r="1002">
      <c r="A1002" s="125">
        <v>44467.733245069445</v>
      </c>
      <c r="B1002" s="124" t="s">
        <v>113</v>
      </c>
      <c r="C1002" s="124" t="s">
        <v>3293</v>
      </c>
      <c r="D1002" s="124" t="s">
        <v>3294</v>
      </c>
      <c r="E1002" s="126" t="s">
        <v>3295</v>
      </c>
      <c r="F1002" s="124" t="s">
        <v>3296</v>
      </c>
    </row>
    <row r="1003">
      <c r="A1003" s="125">
        <v>44467.749539027776</v>
      </c>
      <c r="B1003" s="124" t="s">
        <v>113</v>
      </c>
      <c r="C1003" s="124" t="s">
        <v>3298</v>
      </c>
      <c r="D1003" s="124" t="s">
        <v>3299</v>
      </c>
      <c r="E1003" s="126" t="s">
        <v>3300</v>
      </c>
      <c r="F1003" s="124" t="s">
        <v>3301</v>
      </c>
    </row>
    <row r="1004">
      <c r="A1004" s="125">
        <v>44467.757451365746</v>
      </c>
      <c r="B1004" s="124" t="s">
        <v>113</v>
      </c>
      <c r="C1004" s="124" t="s">
        <v>3246</v>
      </c>
      <c r="D1004" s="124" t="s">
        <v>3303</v>
      </c>
      <c r="E1004" s="126" t="s">
        <v>3304</v>
      </c>
      <c r="F1004" s="124" t="s">
        <v>3306</v>
      </c>
    </row>
    <row r="1005">
      <c r="A1005" s="125">
        <v>44467.78410237269</v>
      </c>
      <c r="B1005" s="124" t="s">
        <v>113</v>
      </c>
      <c r="C1005" s="124" t="s">
        <v>3308</v>
      </c>
      <c r="D1005" s="124" t="s">
        <v>3309</v>
      </c>
      <c r="E1005" s="126" t="s">
        <v>3310</v>
      </c>
      <c r="F1005" s="124" t="s">
        <v>3311</v>
      </c>
    </row>
    <row r="1006">
      <c r="A1006" s="125">
        <v>44468.38557027778</v>
      </c>
      <c r="B1006" s="124" t="s">
        <v>113</v>
      </c>
      <c r="C1006" s="124" t="s">
        <v>3312</v>
      </c>
      <c r="D1006" s="124" t="s">
        <v>3314</v>
      </c>
      <c r="E1006" s="126" t="s">
        <v>3315</v>
      </c>
      <c r="F1006" s="124" t="s">
        <v>3316</v>
      </c>
    </row>
    <row r="1007">
      <c r="A1007" s="125">
        <v>44468.44275393519</v>
      </c>
      <c r="B1007" s="124" t="s">
        <v>113</v>
      </c>
      <c r="C1007" s="124" t="s">
        <v>3318</v>
      </c>
      <c r="D1007" s="124" t="s">
        <v>3319</v>
      </c>
      <c r="E1007" s="126" t="s">
        <v>3320</v>
      </c>
      <c r="F1007" s="124" t="s">
        <v>3321</v>
      </c>
    </row>
    <row r="1008">
      <c r="A1008" s="125">
        <v>44468.45107199074</v>
      </c>
      <c r="B1008" s="124" t="s">
        <v>113</v>
      </c>
      <c r="C1008" s="124" t="s">
        <v>3323</v>
      </c>
      <c r="D1008" s="124" t="s">
        <v>3324</v>
      </c>
      <c r="E1008" s="126" t="s">
        <v>3325</v>
      </c>
      <c r="F1008" s="124" t="s">
        <v>3326</v>
      </c>
    </row>
    <row r="1009">
      <c r="A1009" s="125">
        <v>44468.451211458334</v>
      </c>
      <c r="B1009" s="124" t="s">
        <v>113</v>
      </c>
      <c r="C1009" s="124" t="s">
        <v>3327</v>
      </c>
      <c r="D1009" s="124" t="s">
        <v>3324</v>
      </c>
      <c r="E1009" s="126" t="s">
        <v>3329</v>
      </c>
      <c r="F1009" s="124" t="s">
        <v>3330</v>
      </c>
    </row>
    <row r="1010">
      <c r="A1010" s="125">
        <v>44468.452134548614</v>
      </c>
      <c r="B1010" s="124" t="s">
        <v>113</v>
      </c>
      <c r="C1010" s="124" t="s">
        <v>3331</v>
      </c>
      <c r="D1010" s="124" t="s">
        <v>3332</v>
      </c>
      <c r="E1010" s="126" t="s">
        <v>3333</v>
      </c>
      <c r="F1010" s="124" t="s">
        <v>3335</v>
      </c>
    </row>
    <row r="1011">
      <c r="A1011" s="125">
        <v>44468.452697581015</v>
      </c>
      <c r="B1011" s="124" t="s">
        <v>113</v>
      </c>
      <c r="C1011" s="124" t="s">
        <v>3318</v>
      </c>
      <c r="D1011" s="124" t="s">
        <v>2939</v>
      </c>
      <c r="E1011" s="126" t="s">
        <v>3337</v>
      </c>
      <c r="F1011" s="124" t="s">
        <v>3338</v>
      </c>
    </row>
    <row r="1012">
      <c r="A1012" s="125">
        <v>44468.45275070602</v>
      </c>
      <c r="B1012" s="124" t="s">
        <v>113</v>
      </c>
      <c r="C1012" s="124" t="s">
        <v>3293</v>
      </c>
      <c r="D1012" s="124" t="s">
        <v>3332</v>
      </c>
      <c r="E1012" s="126" t="s">
        <v>3339</v>
      </c>
      <c r="F1012" s="124" t="s">
        <v>3341</v>
      </c>
    </row>
    <row r="1013">
      <c r="A1013" s="125">
        <v>44468.45295873843</v>
      </c>
      <c r="B1013" s="124" t="s">
        <v>113</v>
      </c>
      <c r="C1013" s="124" t="s">
        <v>3342</v>
      </c>
      <c r="D1013" s="124" t="s">
        <v>3332</v>
      </c>
      <c r="E1013" s="126" t="s">
        <v>3344</v>
      </c>
      <c r="F1013" s="124" t="s">
        <v>3345</v>
      </c>
    </row>
    <row r="1014">
      <c r="A1014" s="125">
        <v>44468.45481040509</v>
      </c>
      <c r="B1014" s="124" t="s">
        <v>113</v>
      </c>
      <c r="C1014" s="124" t="s">
        <v>3342</v>
      </c>
      <c r="D1014" s="124" t="s">
        <v>3346</v>
      </c>
      <c r="E1014" s="126" t="s">
        <v>3347</v>
      </c>
      <c r="F1014" s="124" t="s">
        <v>3349</v>
      </c>
    </row>
    <row r="1015">
      <c r="A1015" s="125">
        <v>44468.47545048611</v>
      </c>
      <c r="B1015" s="124" t="s">
        <v>113</v>
      </c>
      <c r="C1015" s="124" t="s">
        <v>3342</v>
      </c>
      <c r="D1015" s="124" t="s">
        <v>1375</v>
      </c>
      <c r="E1015" s="126" t="s">
        <v>3350</v>
      </c>
      <c r="F1015" s="124" t="s">
        <v>3352</v>
      </c>
    </row>
    <row r="1016">
      <c r="A1016" s="125">
        <v>44468.480596759255</v>
      </c>
      <c r="B1016" s="124" t="s">
        <v>113</v>
      </c>
      <c r="C1016" s="124" t="s">
        <v>3331</v>
      </c>
      <c r="D1016" s="124" t="s">
        <v>3353</v>
      </c>
      <c r="E1016" s="126" t="s">
        <v>3354</v>
      </c>
      <c r="F1016" s="124" t="s">
        <v>3356</v>
      </c>
    </row>
    <row r="1017">
      <c r="A1017" s="125">
        <v>44468.48793341435</v>
      </c>
      <c r="B1017" s="124" t="s">
        <v>113</v>
      </c>
      <c r="C1017" s="124" t="s">
        <v>3318</v>
      </c>
      <c r="D1017" s="124" t="s">
        <v>316</v>
      </c>
      <c r="E1017" s="126" t="s">
        <v>3357</v>
      </c>
      <c r="F1017" s="124" t="s">
        <v>3359</v>
      </c>
    </row>
    <row r="1018">
      <c r="A1018" s="125">
        <v>44468.48851023148</v>
      </c>
      <c r="B1018" s="124" t="s">
        <v>113</v>
      </c>
      <c r="C1018" s="124" t="s">
        <v>3327</v>
      </c>
      <c r="D1018" s="124" t="s">
        <v>316</v>
      </c>
      <c r="E1018" s="126" t="s">
        <v>3360</v>
      </c>
      <c r="F1018" s="124" t="s">
        <v>3362</v>
      </c>
    </row>
    <row r="1019">
      <c r="A1019" s="125">
        <v>44468.51611655093</v>
      </c>
      <c r="B1019" s="124" t="s">
        <v>113</v>
      </c>
      <c r="C1019" s="124" t="s">
        <v>3298</v>
      </c>
      <c r="D1019" s="124" t="s">
        <v>3363</v>
      </c>
      <c r="E1019" s="126" t="s">
        <v>3364</v>
      </c>
      <c r="F1019" s="124" t="s">
        <v>3366</v>
      </c>
    </row>
    <row r="1020">
      <c r="A1020" s="125">
        <v>44468.518665625</v>
      </c>
      <c r="B1020" s="124" t="s">
        <v>113</v>
      </c>
      <c r="C1020" s="124" t="s">
        <v>3367</v>
      </c>
      <c r="D1020" s="124" t="s">
        <v>3363</v>
      </c>
      <c r="E1020" s="126" t="s">
        <v>3368</v>
      </c>
      <c r="F1020" s="124" t="s">
        <v>3370</v>
      </c>
    </row>
    <row r="1021">
      <c r="A1021" s="125">
        <v>44468.52033024306</v>
      </c>
      <c r="B1021" s="124" t="s">
        <v>113</v>
      </c>
      <c r="C1021" s="124" t="s">
        <v>3281</v>
      </c>
      <c r="D1021" s="124" t="s">
        <v>3363</v>
      </c>
      <c r="E1021" s="126" t="s">
        <v>3371</v>
      </c>
      <c r="F1021" s="124" t="s">
        <v>3373</v>
      </c>
    </row>
    <row r="1022">
      <c r="A1022" s="125">
        <v>44468.5324616088</v>
      </c>
      <c r="B1022" s="124" t="s">
        <v>113</v>
      </c>
      <c r="C1022" s="124" t="s">
        <v>3318</v>
      </c>
      <c r="D1022" s="124" t="s">
        <v>3374</v>
      </c>
      <c r="E1022" s="126" t="s">
        <v>3375</v>
      </c>
      <c r="F1022" s="124" t="s">
        <v>3377</v>
      </c>
    </row>
    <row r="1023">
      <c r="A1023" s="125">
        <v>44468.53355099537</v>
      </c>
      <c r="B1023" s="124" t="s">
        <v>113</v>
      </c>
      <c r="C1023" s="124" t="s">
        <v>3327</v>
      </c>
      <c r="D1023" s="124" t="s">
        <v>3374</v>
      </c>
      <c r="E1023" s="126" t="s">
        <v>3378</v>
      </c>
      <c r="F1023" s="124" t="s">
        <v>3379</v>
      </c>
    </row>
    <row r="1024">
      <c r="A1024" s="125">
        <v>44468.53362346065</v>
      </c>
      <c r="B1024" s="124" t="s">
        <v>113</v>
      </c>
      <c r="C1024" s="124" t="s">
        <v>3250</v>
      </c>
      <c r="D1024" s="124" t="s">
        <v>3374</v>
      </c>
      <c r="E1024" s="126" t="s">
        <v>3381</v>
      </c>
      <c r="F1024" s="124" t="s">
        <v>3382</v>
      </c>
    </row>
    <row r="1025">
      <c r="A1025" s="125">
        <v>44468.53386072916</v>
      </c>
      <c r="B1025" s="124" t="s">
        <v>113</v>
      </c>
      <c r="C1025" s="124" t="s">
        <v>3323</v>
      </c>
      <c r="D1025" s="124" t="s">
        <v>3374</v>
      </c>
      <c r="E1025" s="126" t="s">
        <v>3383</v>
      </c>
      <c r="F1025" s="124" t="s">
        <v>3385</v>
      </c>
    </row>
    <row r="1026">
      <c r="A1026" s="125">
        <v>44468.58444140047</v>
      </c>
      <c r="B1026" s="124" t="s">
        <v>113</v>
      </c>
      <c r="C1026" s="124" t="s">
        <v>3262</v>
      </c>
      <c r="D1026" s="124" t="s">
        <v>3363</v>
      </c>
      <c r="E1026" s="126" t="s">
        <v>3386</v>
      </c>
      <c r="F1026" s="124" t="s">
        <v>3387</v>
      </c>
    </row>
    <row r="1027">
      <c r="A1027" s="125">
        <v>44468.64274585649</v>
      </c>
      <c r="B1027" s="124" t="s">
        <v>113</v>
      </c>
      <c r="C1027" s="124" t="s">
        <v>3262</v>
      </c>
      <c r="D1027" s="124" t="s">
        <v>2951</v>
      </c>
      <c r="E1027" s="126" t="s">
        <v>3388</v>
      </c>
      <c r="F1027" s="124" t="s">
        <v>3390</v>
      </c>
    </row>
    <row r="1028">
      <c r="A1028" s="125">
        <v>44468.64693785879</v>
      </c>
      <c r="B1028" s="124" t="s">
        <v>113</v>
      </c>
      <c r="C1028" s="124" t="s">
        <v>3269</v>
      </c>
      <c r="D1028" s="124" t="s">
        <v>269</v>
      </c>
      <c r="E1028" s="126" t="s">
        <v>3391</v>
      </c>
      <c r="F1028" s="124" t="s">
        <v>3393</v>
      </c>
    </row>
    <row r="1029">
      <c r="A1029" s="125">
        <v>44468.648476030095</v>
      </c>
      <c r="B1029" s="124" t="s">
        <v>113</v>
      </c>
      <c r="C1029" s="124" t="s">
        <v>3298</v>
      </c>
      <c r="D1029" s="124" t="s">
        <v>956</v>
      </c>
      <c r="E1029" s="126" t="s">
        <v>3394</v>
      </c>
      <c r="F1029" s="124" t="s">
        <v>3396</v>
      </c>
    </row>
    <row r="1030">
      <c r="A1030" s="125">
        <v>44468.651248298615</v>
      </c>
      <c r="B1030" s="124" t="s">
        <v>113</v>
      </c>
      <c r="C1030" s="124" t="s">
        <v>3250</v>
      </c>
      <c r="D1030" s="124" t="s">
        <v>269</v>
      </c>
      <c r="E1030" s="126" t="s">
        <v>3397</v>
      </c>
      <c r="F1030" s="124" t="s">
        <v>3398</v>
      </c>
    </row>
    <row r="1031">
      <c r="A1031" s="125">
        <v>44468.677473715274</v>
      </c>
      <c r="B1031" s="124" t="s">
        <v>113</v>
      </c>
      <c r="C1031" s="124" t="s">
        <v>3400</v>
      </c>
      <c r="D1031" s="124" t="s">
        <v>3401</v>
      </c>
      <c r="E1031" s="126" t="s">
        <v>3402</v>
      </c>
      <c r="F1031" s="124" t="s">
        <v>3403</v>
      </c>
    </row>
    <row r="1032">
      <c r="A1032" s="125">
        <v>44469.42564084491</v>
      </c>
      <c r="B1032" s="124" t="s">
        <v>113</v>
      </c>
      <c r="C1032" s="124" t="s">
        <v>3400</v>
      </c>
      <c r="D1032" s="124" t="s">
        <v>228</v>
      </c>
      <c r="E1032" s="126" t="s">
        <v>3405</v>
      </c>
      <c r="F1032" s="124" t="s">
        <v>3407</v>
      </c>
    </row>
    <row r="1033">
      <c r="A1033" s="125">
        <v>44469.42623503473</v>
      </c>
      <c r="B1033" s="124" t="s">
        <v>113</v>
      </c>
      <c r="C1033" s="124" t="s">
        <v>3318</v>
      </c>
      <c r="D1033" s="124" t="s">
        <v>228</v>
      </c>
      <c r="E1033" s="126" t="s">
        <v>3408</v>
      </c>
      <c r="F1033" s="124" t="s">
        <v>3410</v>
      </c>
    </row>
    <row r="1034">
      <c r="A1034" s="125">
        <v>44469.4274134838</v>
      </c>
      <c r="B1034" s="124" t="s">
        <v>113</v>
      </c>
      <c r="C1034" s="124" t="s">
        <v>3254</v>
      </c>
      <c r="D1034" s="124" t="s">
        <v>228</v>
      </c>
      <c r="E1034" s="126" t="s">
        <v>3411</v>
      </c>
      <c r="F1034" s="124" t="s">
        <v>3413</v>
      </c>
    </row>
    <row r="1035">
      <c r="A1035" s="125">
        <v>44469.428031331016</v>
      </c>
      <c r="B1035" s="124" t="s">
        <v>113</v>
      </c>
      <c r="C1035" s="124" t="s">
        <v>3327</v>
      </c>
      <c r="D1035" s="124" t="s">
        <v>228</v>
      </c>
      <c r="E1035" s="126" t="s">
        <v>3414</v>
      </c>
      <c r="F1035" s="124" t="s">
        <v>3415</v>
      </c>
    </row>
    <row r="1036">
      <c r="A1036" s="125">
        <v>44469.43135809028</v>
      </c>
      <c r="B1036" s="124" t="s">
        <v>113</v>
      </c>
      <c r="C1036" s="124" t="s">
        <v>3323</v>
      </c>
      <c r="D1036" s="124" t="s">
        <v>228</v>
      </c>
      <c r="E1036" s="126" t="s">
        <v>3416</v>
      </c>
      <c r="F1036" s="124" t="s">
        <v>3417</v>
      </c>
    </row>
    <row r="1037">
      <c r="A1037" s="125">
        <v>44469.55575555556</v>
      </c>
      <c r="B1037" s="124" t="s">
        <v>113</v>
      </c>
      <c r="C1037" s="124" t="s">
        <v>3400</v>
      </c>
      <c r="D1037" s="124" t="s">
        <v>577</v>
      </c>
      <c r="E1037" s="126" t="s">
        <v>3418</v>
      </c>
      <c r="F1037" s="124" t="s">
        <v>3420</v>
      </c>
    </row>
    <row r="1038">
      <c r="A1038" s="125">
        <v>44469.557925925925</v>
      </c>
      <c r="B1038" s="124" t="s">
        <v>113</v>
      </c>
      <c r="C1038" s="124" t="s">
        <v>3254</v>
      </c>
      <c r="D1038" s="124" t="s">
        <v>577</v>
      </c>
      <c r="E1038" s="126" t="s">
        <v>3421</v>
      </c>
      <c r="F1038" s="124" t="s">
        <v>3423</v>
      </c>
    </row>
    <row r="1039">
      <c r="A1039" s="125">
        <v>44469.64767144676</v>
      </c>
      <c r="B1039" s="124" t="s">
        <v>113</v>
      </c>
      <c r="C1039" s="124" t="s">
        <v>3318</v>
      </c>
      <c r="D1039" s="124" t="s">
        <v>375</v>
      </c>
      <c r="E1039" s="126" t="s">
        <v>3424</v>
      </c>
      <c r="F1039" s="124" t="s">
        <v>3425</v>
      </c>
    </row>
    <row r="1040">
      <c r="A1040" s="125">
        <v>44469.64865113426</v>
      </c>
      <c r="B1040" s="124" t="s">
        <v>113</v>
      </c>
      <c r="C1040" s="124" t="s">
        <v>3400</v>
      </c>
      <c r="D1040" s="124" t="s">
        <v>2757</v>
      </c>
      <c r="E1040" s="126" t="s">
        <v>3426</v>
      </c>
      <c r="F1040" s="124" t="s">
        <v>3427</v>
      </c>
    </row>
    <row r="1041">
      <c r="A1041" s="125">
        <v>44469.701691423616</v>
      </c>
      <c r="B1041" s="124" t="s">
        <v>113</v>
      </c>
      <c r="C1041" s="124" t="s">
        <v>3254</v>
      </c>
      <c r="D1041" s="124" t="s">
        <v>3429</v>
      </c>
      <c r="E1041" s="126" t="s">
        <v>3430</v>
      </c>
      <c r="F1041" s="124" t="s">
        <v>3431</v>
      </c>
    </row>
    <row r="1042">
      <c r="A1042" s="125">
        <v>44469.703882905094</v>
      </c>
      <c r="B1042" s="124" t="s">
        <v>113</v>
      </c>
      <c r="C1042" s="124" t="s">
        <v>3400</v>
      </c>
      <c r="D1042" s="124" t="s">
        <v>3432</v>
      </c>
      <c r="E1042" s="126" t="s">
        <v>3433</v>
      </c>
      <c r="F1042" s="124" t="s">
        <v>3434</v>
      </c>
    </row>
    <row r="1043">
      <c r="A1043" s="125">
        <v>44469.70435339121</v>
      </c>
      <c r="B1043" s="124" t="s">
        <v>113</v>
      </c>
      <c r="C1043" s="124" t="s">
        <v>3435</v>
      </c>
      <c r="D1043" s="124" t="s">
        <v>3432</v>
      </c>
      <c r="E1043" s="126" t="s">
        <v>3436</v>
      </c>
      <c r="F1043" s="124" t="s">
        <v>3437</v>
      </c>
    </row>
    <row r="1044">
      <c r="A1044" s="125">
        <v>44469.705774560185</v>
      </c>
      <c r="B1044" s="124" t="s">
        <v>113</v>
      </c>
      <c r="C1044" s="124" t="s">
        <v>3262</v>
      </c>
      <c r="D1044" s="124" t="s">
        <v>3432</v>
      </c>
      <c r="E1044" s="126" t="s">
        <v>3439</v>
      </c>
      <c r="F1044" s="124" t="s">
        <v>3440</v>
      </c>
    </row>
    <row r="1045">
      <c r="A1045" s="125">
        <v>44470.51405587963</v>
      </c>
      <c r="B1045" s="124" t="s">
        <v>113</v>
      </c>
      <c r="C1045" s="124" t="s">
        <v>3281</v>
      </c>
      <c r="D1045" s="124" t="s">
        <v>867</v>
      </c>
      <c r="E1045" s="126" t="s">
        <v>3442</v>
      </c>
      <c r="F1045" s="124" t="s">
        <v>3443</v>
      </c>
    </row>
    <row r="1046">
      <c r="A1046" s="125">
        <v>44470.514228622684</v>
      </c>
      <c r="B1046" s="124" t="s">
        <v>113</v>
      </c>
      <c r="C1046" s="124" t="s">
        <v>3367</v>
      </c>
      <c r="D1046" s="124" t="s">
        <v>135</v>
      </c>
      <c r="E1046" s="126" t="s">
        <v>3445</v>
      </c>
      <c r="F1046" s="124" t="s">
        <v>3446</v>
      </c>
    </row>
    <row r="1047">
      <c r="A1047" s="125">
        <v>44470.51439837963</v>
      </c>
      <c r="B1047" s="124" t="s">
        <v>113</v>
      </c>
      <c r="C1047" s="124" t="s">
        <v>3269</v>
      </c>
      <c r="D1047" s="124" t="s">
        <v>135</v>
      </c>
      <c r="E1047" s="126" t="s">
        <v>3447</v>
      </c>
      <c r="F1047" s="124" t="s">
        <v>3448</v>
      </c>
    </row>
    <row r="1048">
      <c r="A1048" s="125">
        <v>44470.51454804398</v>
      </c>
      <c r="B1048" s="124" t="s">
        <v>113</v>
      </c>
      <c r="C1048" s="124" t="s">
        <v>3293</v>
      </c>
      <c r="D1048" s="124" t="s">
        <v>135</v>
      </c>
      <c r="E1048" s="126" t="s">
        <v>3449</v>
      </c>
      <c r="F1048" s="124" t="s">
        <v>3451</v>
      </c>
    </row>
    <row r="1049">
      <c r="A1049" s="125">
        <v>44470.51471318287</v>
      </c>
      <c r="B1049" s="124" t="s">
        <v>113</v>
      </c>
      <c r="C1049" s="124" t="s">
        <v>3312</v>
      </c>
      <c r="D1049" s="124" t="s">
        <v>520</v>
      </c>
      <c r="E1049" s="126" t="s">
        <v>3452</v>
      </c>
      <c r="F1049" s="124" t="s">
        <v>3454</v>
      </c>
    </row>
    <row r="1050">
      <c r="A1050" s="125">
        <v>44470.5148695949</v>
      </c>
      <c r="B1050" s="124" t="s">
        <v>113</v>
      </c>
      <c r="C1050" s="124" t="s">
        <v>3331</v>
      </c>
      <c r="D1050" s="124" t="s">
        <v>3455</v>
      </c>
      <c r="E1050" s="126" t="s">
        <v>3456</v>
      </c>
      <c r="F1050" s="124" t="s">
        <v>3457</v>
      </c>
    </row>
    <row r="1051">
      <c r="A1051" s="125">
        <v>44470.5150237037</v>
      </c>
      <c r="B1051" s="124" t="s">
        <v>113</v>
      </c>
      <c r="C1051" s="124" t="s">
        <v>3367</v>
      </c>
      <c r="D1051" s="124" t="s">
        <v>3455</v>
      </c>
      <c r="E1051" s="126" t="s">
        <v>3459</v>
      </c>
      <c r="F1051" s="124" t="s">
        <v>3460</v>
      </c>
    </row>
    <row r="1052">
      <c r="A1052" s="125">
        <v>44470.51517221065</v>
      </c>
      <c r="B1052" s="124" t="s">
        <v>113</v>
      </c>
      <c r="C1052" s="124" t="s">
        <v>3246</v>
      </c>
      <c r="D1052" s="124" t="s">
        <v>3455</v>
      </c>
      <c r="E1052" s="126" t="s">
        <v>3461</v>
      </c>
      <c r="F1052" s="124" t="s">
        <v>3463</v>
      </c>
    </row>
    <row r="1053">
      <c r="A1053" s="125">
        <v>44470.515324733795</v>
      </c>
      <c r="B1053" s="124" t="s">
        <v>113</v>
      </c>
      <c r="C1053" s="124" t="s">
        <v>3254</v>
      </c>
      <c r="D1053" s="124" t="s">
        <v>3455</v>
      </c>
      <c r="E1053" s="126" t="s">
        <v>3464</v>
      </c>
      <c r="F1053" s="124" t="s">
        <v>3466</v>
      </c>
    </row>
    <row r="1054">
      <c r="A1054" s="125">
        <v>44470.51546922454</v>
      </c>
      <c r="B1054" s="124" t="s">
        <v>113</v>
      </c>
      <c r="C1054" s="124" t="s">
        <v>3367</v>
      </c>
      <c r="D1054" s="124" t="s">
        <v>1392</v>
      </c>
      <c r="E1054" s="126" t="s">
        <v>3467</v>
      </c>
      <c r="F1054" s="124" t="s">
        <v>3468</v>
      </c>
    </row>
    <row r="1055">
      <c r="A1055" s="125">
        <v>44470.515648009256</v>
      </c>
      <c r="B1055" s="124" t="s">
        <v>113</v>
      </c>
      <c r="C1055" s="124" t="s">
        <v>3250</v>
      </c>
      <c r="D1055" s="124" t="s">
        <v>1392</v>
      </c>
      <c r="E1055" s="126" t="s">
        <v>3469</v>
      </c>
      <c r="F1055" s="124" t="s">
        <v>3471</v>
      </c>
    </row>
    <row r="1056">
      <c r="A1056" s="125">
        <v>44470.51579908565</v>
      </c>
      <c r="B1056" s="124" t="s">
        <v>113</v>
      </c>
      <c r="C1056" s="124" t="s">
        <v>3308</v>
      </c>
      <c r="D1056" s="124" t="s">
        <v>3472</v>
      </c>
      <c r="E1056" s="126" t="s">
        <v>3473</v>
      </c>
      <c r="F1056" s="124" t="s">
        <v>3475</v>
      </c>
    </row>
    <row r="1057">
      <c r="A1057" s="125">
        <v>44470.515961701385</v>
      </c>
      <c r="B1057" s="124" t="s">
        <v>113</v>
      </c>
      <c r="C1057" s="124" t="s">
        <v>3312</v>
      </c>
      <c r="D1057" s="124" t="s">
        <v>3285</v>
      </c>
      <c r="E1057" s="126" t="s">
        <v>3476</v>
      </c>
      <c r="F1057" s="124" t="s">
        <v>3478</v>
      </c>
    </row>
    <row r="1058">
      <c r="A1058" s="125">
        <v>44470.51611913195</v>
      </c>
      <c r="B1058" s="124" t="s">
        <v>113</v>
      </c>
      <c r="C1058" s="124" t="s">
        <v>3323</v>
      </c>
      <c r="D1058" s="124" t="s">
        <v>3285</v>
      </c>
      <c r="E1058" s="126" t="s">
        <v>3479</v>
      </c>
      <c r="F1058" s="124" t="s">
        <v>3480</v>
      </c>
    </row>
    <row r="1059">
      <c r="A1059" s="125">
        <v>44470.51628200231</v>
      </c>
      <c r="B1059" s="124" t="s">
        <v>113</v>
      </c>
      <c r="C1059" s="124" t="s">
        <v>3289</v>
      </c>
      <c r="D1059" s="124" t="s">
        <v>3285</v>
      </c>
      <c r="E1059" s="126" t="s">
        <v>3482</v>
      </c>
      <c r="F1059" s="124" t="s">
        <v>3483</v>
      </c>
    </row>
    <row r="1060">
      <c r="A1060" s="125">
        <v>44470.51642760416</v>
      </c>
      <c r="B1060" s="124" t="s">
        <v>113</v>
      </c>
      <c r="C1060" s="124" t="s">
        <v>3331</v>
      </c>
      <c r="D1060" s="124" t="s">
        <v>3485</v>
      </c>
      <c r="E1060" s="126" t="s">
        <v>3486</v>
      </c>
      <c r="F1060" s="124" t="s">
        <v>3487</v>
      </c>
    </row>
    <row r="1061">
      <c r="A1061" s="125">
        <v>44470.51658625</v>
      </c>
      <c r="B1061" s="124" t="s">
        <v>113</v>
      </c>
      <c r="C1061" s="124" t="s">
        <v>3246</v>
      </c>
      <c r="D1061" s="124" t="s">
        <v>3374</v>
      </c>
      <c r="E1061" s="126" t="s">
        <v>3489</v>
      </c>
      <c r="F1061" s="124" t="s">
        <v>3490</v>
      </c>
    </row>
    <row r="1062">
      <c r="A1062" s="125">
        <v>44470.516736192134</v>
      </c>
      <c r="B1062" s="124" t="s">
        <v>113</v>
      </c>
      <c r="C1062" s="124" t="s">
        <v>3312</v>
      </c>
      <c r="D1062" s="124" t="s">
        <v>3492</v>
      </c>
      <c r="E1062" s="126" t="s">
        <v>3493</v>
      </c>
      <c r="F1062" s="124" t="s">
        <v>3494</v>
      </c>
    </row>
    <row r="1063">
      <c r="A1063" s="125">
        <v>44470.51690246528</v>
      </c>
      <c r="B1063" s="124" t="s">
        <v>113</v>
      </c>
      <c r="C1063" s="124" t="s">
        <v>3312</v>
      </c>
      <c r="D1063" s="124" t="s">
        <v>3485</v>
      </c>
      <c r="E1063" s="126" t="s">
        <v>3496</v>
      </c>
      <c r="F1063" s="124" t="s">
        <v>3497</v>
      </c>
    </row>
    <row r="1064">
      <c r="A1064" s="125">
        <v>44470.51704679398</v>
      </c>
      <c r="B1064" s="124" t="s">
        <v>113</v>
      </c>
      <c r="C1064" s="124" t="s">
        <v>3246</v>
      </c>
      <c r="D1064" s="124" t="s">
        <v>2935</v>
      </c>
      <c r="E1064" s="126" t="s">
        <v>3499</v>
      </c>
      <c r="F1064" s="124" t="s">
        <v>3500</v>
      </c>
    </row>
    <row r="1065">
      <c r="A1065" s="125">
        <v>44470.51719157408</v>
      </c>
      <c r="B1065" s="124" t="s">
        <v>113</v>
      </c>
      <c r="C1065" s="124" t="s">
        <v>3293</v>
      </c>
      <c r="D1065" s="124" t="s">
        <v>2935</v>
      </c>
      <c r="E1065" s="126" t="s">
        <v>3502</v>
      </c>
      <c r="F1065" s="124" t="s">
        <v>3504</v>
      </c>
    </row>
    <row r="1066">
      <c r="A1066" s="125">
        <v>44470.51735541667</v>
      </c>
      <c r="B1066" s="124" t="s">
        <v>113</v>
      </c>
      <c r="C1066" s="124" t="s">
        <v>3246</v>
      </c>
      <c r="D1066" s="124" t="s">
        <v>1864</v>
      </c>
      <c r="E1066" s="126" t="s">
        <v>3505</v>
      </c>
      <c r="F1066" s="124" t="s">
        <v>3506</v>
      </c>
    </row>
    <row r="1067">
      <c r="A1067" s="125">
        <v>44470.51749810185</v>
      </c>
      <c r="B1067" s="124" t="s">
        <v>113</v>
      </c>
      <c r="C1067" s="124" t="s">
        <v>3254</v>
      </c>
      <c r="D1067" s="124" t="s">
        <v>2968</v>
      </c>
      <c r="E1067" s="126" t="s">
        <v>3508</v>
      </c>
      <c r="F1067" s="124" t="s">
        <v>3509</v>
      </c>
    </row>
    <row r="1068">
      <c r="A1068" s="125">
        <v>44470.51764373842</v>
      </c>
      <c r="B1068" s="124" t="s">
        <v>113</v>
      </c>
      <c r="C1068" s="124" t="s">
        <v>3298</v>
      </c>
      <c r="D1068" s="124" t="s">
        <v>228</v>
      </c>
      <c r="E1068" s="126" t="s">
        <v>3510</v>
      </c>
      <c r="F1068" s="124" t="s">
        <v>3512</v>
      </c>
    </row>
    <row r="1069">
      <c r="A1069" s="125">
        <v>44470.51779540509</v>
      </c>
      <c r="B1069" s="124" t="s">
        <v>113</v>
      </c>
      <c r="C1069" s="124" t="s">
        <v>3269</v>
      </c>
      <c r="D1069" s="124" t="s">
        <v>1864</v>
      </c>
      <c r="E1069" s="126" t="s">
        <v>3513</v>
      </c>
      <c r="F1069" s="124" t="s">
        <v>3515</v>
      </c>
    </row>
    <row r="1070">
      <c r="A1070" s="125">
        <v>44470.51793516203</v>
      </c>
      <c r="B1070" s="124" t="s">
        <v>113</v>
      </c>
      <c r="C1070" s="124" t="s">
        <v>3281</v>
      </c>
      <c r="D1070" s="124" t="s">
        <v>2968</v>
      </c>
      <c r="E1070" s="126" t="s">
        <v>3516</v>
      </c>
      <c r="F1070" s="124" t="s">
        <v>3518</v>
      </c>
    </row>
    <row r="1071">
      <c r="A1071" s="125">
        <v>44470.51809997685</v>
      </c>
      <c r="B1071" s="124" t="s">
        <v>113</v>
      </c>
      <c r="C1071" s="124" t="s">
        <v>3318</v>
      </c>
      <c r="D1071" s="124" t="s">
        <v>1864</v>
      </c>
      <c r="E1071" s="126" t="s">
        <v>3519</v>
      </c>
      <c r="F1071" s="124" t="s">
        <v>3521</v>
      </c>
    </row>
    <row r="1072">
      <c r="A1072" s="125">
        <v>44470.51824675926</v>
      </c>
      <c r="B1072" s="124" t="s">
        <v>113</v>
      </c>
      <c r="C1072" s="124" t="s">
        <v>3435</v>
      </c>
      <c r="D1072" s="124" t="s">
        <v>228</v>
      </c>
      <c r="E1072" s="126" t="s">
        <v>3522</v>
      </c>
      <c r="F1072" s="124" t="s">
        <v>3524</v>
      </c>
    </row>
    <row r="1073">
      <c r="A1073" s="125">
        <v>44470.51845369213</v>
      </c>
      <c r="B1073" s="124" t="s">
        <v>113</v>
      </c>
      <c r="C1073" s="124" t="s">
        <v>3293</v>
      </c>
      <c r="D1073" s="124" t="s">
        <v>2968</v>
      </c>
      <c r="E1073" s="126" t="s">
        <v>3525</v>
      </c>
      <c r="F1073" s="124" t="s">
        <v>3527</v>
      </c>
    </row>
    <row r="1074">
      <c r="A1074" s="125">
        <v>44470.51859953704</v>
      </c>
      <c r="B1074" s="124" t="s">
        <v>113</v>
      </c>
      <c r="C1074" s="124" t="s">
        <v>3293</v>
      </c>
      <c r="D1074" s="124" t="s">
        <v>269</v>
      </c>
      <c r="E1074" s="126" t="s">
        <v>3529</v>
      </c>
      <c r="F1074" s="124" t="s">
        <v>3530</v>
      </c>
    </row>
    <row r="1075">
      <c r="A1075" s="125">
        <v>44470.518749490744</v>
      </c>
      <c r="B1075" s="124" t="s">
        <v>113</v>
      </c>
      <c r="C1075" s="124" t="s">
        <v>3298</v>
      </c>
      <c r="D1075" s="124" t="s">
        <v>3532</v>
      </c>
      <c r="E1075" s="126" t="s">
        <v>3533</v>
      </c>
      <c r="F1075" s="124" t="s">
        <v>3535</v>
      </c>
    </row>
    <row r="1076">
      <c r="A1076" s="125">
        <v>44470.51889127315</v>
      </c>
      <c r="B1076" s="124" t="s">
        <v>113</v>
      </c>
      <c r="C1076" s="124" t="s">
        <v>3342</v>
      </c>
      <c r="D1076" s="124" t="s">
        <v>269</v>
      </c>
      <c r="E1076" s="126" t="s">
        <v>3536</v>
      </c>
      <c r="F1076" s="124" t="s">
        <v>3537</v>
      </c>
    </row>
    <row r="1077">
      <c r="A1077" s="125">
        <v>44470.51904601852</v>
      </c>
      <c r="B1077" s="124" t="s">
        <v>113</v>
      </c>
      <c r="C1077" s="124" t="s">
        <v>3327</v>
      </c>
      <c r="D1077" s="124" t="s">
        <v>3485</v>
      </c>
      <c r="E1077" s="126" t="s">
        <v>3539</v>
      </c>
      <c r="F1077" s="124" t="s">
        <v>3540</v>
      </c>
    </row>
    <row r="1078">
      <c r="A1078" s="125">
        <v>44470.519192418986</v>
      </c>
      <c r="B1078" s="124" t="s">
        <v>113</v>
      </c>
      <c r="C1078" s="124" t="s">
        <v>3289</v>
      </c>
      <c r="D1078" s="124" t="s">
        <v>228</v>
      </c>
      <c r="E1078" s="126" t="s">
        <v>3541</v>
      </c>
      <c r="F1078" s="124" t="s">
        <v>3543</v>
      </c>
    </row>
    <row r="1079">
      <c r="A1079" s="125">
        <v>44470.51935082176</v>
      </c>
      <c r="B1079" s="124" t="s">
        <v>113</v>
      </c>
      <c r="C1079" s="124" t="s">
        <v>3327</v>
      </c>
      <c r="D1079" s="124" t="s">
        <v>2964</v>
      </c>
      <c r="E1079" s="126" t="s">
        <v>3544</v>
      </c>
      <c r="F1079" s="124" t="s">
        <v>3546</v>
      </c>
    </row>
    <row r="1080">
      <c r="A1080" s="125">
        <v>44470.519524675925</v>
      </c>
      <c r="B1080" s="124" t="s">
        <v>113</v>
      </c>
      <c r="C1080" s="124" t="s">
        <v>3289</v>
      </c>
      <c r="D1080" s="124" t="s">
        <v>2964</v>
      </c>
      <c r="E1080" s="126" t="s">
        <v>3547</v>
      </c>
      <c r="F1080" s="124" t="s">
        <v>3548</v>
      </c>
    </row>
    <row r="1081">
      <c r="A1081" s="125">
        <v>44470.5196634375</v>
      </c>
      <c r="B1081" s="124" t="s">
        <v>113</v>
      </c>
      <c r="C1081" s="124" t="s">
        <v>3327</v>
      </c>
      <c r="D1081" s="124" t="s">
        <v>2964</v>
      </c>
      <c r="E1081" s="126" t="s">
        <v>3550</v>
      </c>
      <c r="F1081" s="124" t="s">
        <v>3546</v>
      </c>
    </row>
    <row r="1082">
      <c r="A1082" s="125">
        <v>44470.51980289352</v>
      </c>
      <c r="B1082" s="124" t="s">
        <v>113</v>
      </c>
      <c r="C1082" s="124" t="s">
        <v>3318</v>
      </c>
      <c r="D1082" s="124" t="s">
        <v>2964</v>
      </c>
      <c r="E1082" s="126" t="s">
        <v>3552</v>
      </c>
      <c r="F1082" s="124" t="s">
        <v>3553</v>
      </c>
    </row>
    <row r="1083">
      <c r="A1083" s="125">
        <v>44470.51998695602</v>
      </c>
      <c r="B1083" s="124" t="s">
        <v>113</v>
      </c>
      <c r="C1083" s="124" t="s">
        <v>3342</v>
      </c>
      <c r="D1083" s="124" t="s">
        <v>2964</v>
      </c>
      <c r="E1083" s="126" t="s">
        <v>3554</v>
      </c>
      <c r="F1083" s="124" t="s">
        <v>3556</v>
      </c>
    </row>
    <row r="1084">
      <c r="A1084" s="125">
        <v>44470.520172233795</v>
      </c>
      <c r="B1084" s="124" t="s">
        <v>113</v>
      </c>
      <c r="C1084" s="124" t="s">
        <v>3258</v>
      </c>
      <c r="D1084" s="124" t="s">
        <v>3294</v>
      </c>
      <c r="E1084" s="126" t="s">
        <v>3557</v>
      </c>
      <c r="F1084" s="124" t="s">
        <v>3559</v>
      </c>
    </row>
    <row r="1085">
      <c r="A1085" s="125">
        <v>44470.52032822916</v>
      </c>
      <c r="B1085" s="124" t="s">
        <v>113</v>
      </c>
      <c r="C1085" s="124" t="s">
        <v>3246</v>
      </c>
      <c r="D1085" s="124" t="s">
        <v>3294</v>
      </c>
      <c r="E1085" s="126" t="s">
        <v>3560</v>
      </c>
      <c r="F1085" s="124" t="s">
        <v>3562</v>
      </c>
    </row>
    <row r="1086">
      <c r="A1086" s="125">
        <v>44470.520466064816</v>
      </c>
      <c r="B1086" s="124" t="s">
        <v>113</v>
      </c>
      <c r="C1086" s="124" t="s">
        <v>3281</v>
      </c>
      <c r="D1086" s="124" t="s">
        <v>668</v>
      </c>
      <c r="E1086" s="126" t="s">
        <v>3563</v>
      </c>
      <c r="F1086" s="124" t="s">
        <v>3565</v>
      </c>
    </row>
    <row r="1087">
      <c r="A1087" s="125">
        <v>44470.52059467592</v>
      </c>
      <c r="B1087" s="124" t="s">
        <v>113</v>
      </c>
      <c r="C1087" s="124" t="s">
        <v>3246</v>
      </c>
      <c r="D1087" s="124" t="s">
        <v>668</v>
      </c>
      <c r="E1087" s="126" t="s">
        <v>3566</v>
      </c>
      <c r="F1087" s="124" t="s">
        <v>3568</v>
      </c>
    </row>
    <row r="1088">
      <c r="A1088" s="125">
        <v>44470.52074989583</v>
      </c>
      <c r="B1088" s="124" t="s">
        <v>113</v>
      </c>
      <c r="C1088" s="124" t="s">
        <v>3312</v>
      </c>
      <c r="D1088" s="124" t="s">
        <v>3569</v>
      </c>
      <c r="E1088" s="126" t="s">
        <v>3570</v>
      </c>
      <c r="F1088" s="124" t="s">
        <v>3572</v>
      </c>
    </row>
    <row r="1089">
      <c r="A1089" s="125">
        <v>44470.52091041667</v>
      </c>
      <c r="B1089" s="124" t="s">
        <v>113</v>
      </c>
      <c r="C1089" s="124" t="s">
        <v>3269</v>
      </c>
      <c r="D1089" s="124" t="s">
        <v>3573</v>
      </c>
      <c r="E1089" s="126" t="s">
        <v>3574</v>
      </c>
      <c r="F1089" s="124" t="s">
        <v>3576</v>
      </c>
    </row>
    <row r="1090">
      <c r="A1090" s="125">
        <v>44470.52104324074</v>
      </c>
      <c r="B1090" s="124" t="s">
        <v>113</v>
      </c>
      <c r="C1090" s="124" t="s">
        <v>3258</v>
      </c>
      <c r="D1090" s="124" t="s">
        <v>3299</v>
      </c>
      <c r="E1090" s="126" t="s">
        <v>3577</v>
      </c>
      <c r="F1090" s="124" t="s">
        <v>3578</v>
      </c>
    </row>
    <row r="1091">
      <c r="A1091" s="125">
        <v>44470.52121172454</v>
      </c>
      <c r="B1091" s="124" t="s">
        <v>113</v>
      </c>
      <c r="C1091" s="124" t="s">
        <v>3435</v>
      </c>
      <c r="D1091" s="124" t="s">
        <v>3299</v>
      </c>
      <c r="E1091" s="126" t="s">
        <v>3579</v>
      </c>
      <c r="F1091" s="124" t="s">
        <v>3580</v>
      </c>
    </row>
    <row r="1092">
      <c r="A1092" s="125">
        <v>44470.52136737268</v>
      </c>
      <c r="B1092" s="124" t="s">
        <v>113</v>
      </c>
      <c r="C1092" s="124" t="s">
        <v>3308</v>
      </c>
      <c r="D1092" s="124" t="s">
        <v>3299</v>
      </c>
      <c r="E1092" s="126" t="s">
        <v>3581</v>
      </c>
      <c r="F1092" s="124" t="s">
        <v>3583</v>
      </c>
    </row>
    <row r="1093">
      <c r="A1093" s="125">
        <v>44470.521509722224</v>
      </c>
      <c r="B1093" s="124" t="s">
        <v>113</v>
      </c>
      <c r="C1093" s="124" t="s">
        <v>3298</v>
      </c>
      <c r="D1093" s="124" t="s">
        <v>3303</v>
      </c>
      <c r="E1093" s="126" t="s">
        <v>3584</v>
      </c>
      <c r="F1093" s="124" t="s">
        <v>3586</v>
      </c>
    </row>
    <row r="1094">
      <c r="A1094" s="125">
        <v>44470.521670138885</v>
      </c>
      <c r="B1094" s="124" t="s">
        <v>113</v>
      </c>
      <c r="C1094" s="124" t="s">
        <v>3367</v>
      </c>
      <c r="D1094" s="124" t="s">
        <v>3299</v>
      </c>
      <c r="E1094" s="126" t="s">
        <v>3587</v>
      </c>
      <c r="F1094" s="124" t="s">
        <v>3589</v>
      </c>
    </row>
    <row r="1095">
      <c r="A1095" s="125">
        <v>44470.52180806713</v>
      </c>
      <c r="B1095" s="124" t="s">
        <v>113</v>
      </c>
      <c r="C1095" s="124" t="s">
        <v>3331</v>
      </c>
      <c r="D1095" s="124" t="s">
        <v>3303</v>
      </c>
      <c r="E1095" s="126" t="s">
        <v>3590</v>
      </c>
      <c r="F1095" s="124" t="s">
        <v>3592</v>
      </c>
    </row>
    <row r="1096">
      <c r="A1096" s="125">
        <v>44470.52195126157</v>
      </c>
      <c r="B1096" s="124" t="s">
        <v>113</v>
      </c>
      <c r="C1096" s="124" t="s">
        <v>3312</v>
      </c>
      <c r="D1096" s="124" t="s">
        <v>3303</v>
      </c>
      <c r="E1096" s="126" t="s">
        <v>3593</v>
      </c>
      <c r="F1096" s="124" t="s">
        <v>3595</v>
      </c>
    </row>
    <row r="1097">
      <c r="A1097" s="125">
        <v>44470.52211039352</v>
      </c>
      <c r="B1097" s="124" t="s">
        <v>113</v>
      </c>
      <c r="C1097" s="124" t="s">
        <v>3258</v>
      </c>
      <c r="D1097" s="124" t="s">
        <v>3303</v>
      </c>
      <c r="E1097" s="126" t="s">
        <v>3596</v>
      </c>
      <c r="F1097" s="124" t="s">
        <v>3598</v>
      </c>
    </row>
    <row r="1098">
      <c r="A1098" s="125">
        <v>44470.52224431713</v>
      </c>
      <c r="B1098" s="124" t="s">
        <v>113</v>
      </c>
      <c r="C1098" s="124" t="s">
        <v>3254</v>
      </c>
      <c r="D1098" s="124" t="s">
        <v>3303</v>
      </c>
      <c r="E1098" s="126" t="s">
        <v>3599</v>
      </c>
      <c r="F1098" s="124" t="s">
        <v>3601</v>
      </c>
    </row>
    <row r="1099">
      <c r="A1099" s="125">
        <v>44470.522383194446</v>
      </c>
      <c r="B1099" s="124" t="s">
        <v>113</v>
      </c>
      <c r="C1099" s="124" t="s">
        <v>3435</v>
      </c>
      <c r="D1099" s="124" t="s">
        <v>3309</v>
      </c>
      <c r="E1099" s="126" t="s">
        <v>3603</v>
      </c>
      <c r="F1099" s="124" t="s">
        <v>3604</v>
      </c>
    </row>
    <row r="1100">
      <c r="A1100" s="125">
        <v>44470.52252377315</v>
      </c>
      <c r="B1100" s="124" t="s">
        <v>113</v>
      </c>
      <c r="C1100" s="124" t="s">
        <v>3331</v>
      </c>
      <c r="D1100" s="124" t="s">
        <v>3309</v>
      </c>
      <c r="E1100" s="126" t="s">
        <v>3606</v>
      </c>
      <c r="F1100" s="124" t="s">
        <v>3608</v>
      </c>
    </row>
    <row r="1101">
      <c r="A1101" s="125">
        <v>44470.52266700231</v>
      </c>
      <c r="B1101" s="124" t="s">
        <v>113</v>
      </c>
      <c r="C1101" s="124" t="s">
        <v>3246</v>
      </c>
      <c r="D1101" s="124" t="s">
        <v>3309</v>
      </c>
      <c r="E1101" s="126" t="s">
        <v>3609</v>
      </c>
      <c r="F1101" s="124" t="s">
        <v>3611</v>
      </c>
    </row>
    <row r="1102">
      <c r="A1102" s="125">
        <v>44470.52280386574</v>
      </c>
      <c r="B1102" s="124" t="s">
        <v>113</v>
      </c>
      <c r="C1102" s="124" t="s">
        <v>3269</v>
      </c>
      <c r="D1102" s="124" t="s">
        <v>3309</v>
      </c>
      <c r="E1102" s="126" t="s">
        <v>3612</v>
      </c>
      <c r="F1102" s="124" t="s">
        <v>3614</v>
      </c>
    </row>
    <row r="1103">
      <c r="A1103" s="125">
        <v>44470.52296549769</v>
      </c>
      <c r="B1103" s="124" t="s">
        <v>113</v>
      </c>
      <c r="C1103" s="124" t="s">
        <v>3308</v>
      </c>
      <c r="D1103" s="124" t="s">
        <v>3615</v>
      </c>
      <c r="E1103" s="126" t="s">
        <v>3616</v>
      </c>
      <c r="F1103" s="124" t="s">
        <v>3618</v>
      </c>
    </row>
    <row r="1104">
      <c r="A1104" s="125">
        <v>44470.52312428241</v>
      </c>
      <c r="B1104" s="124" t="s">
        <v>113</v>
      </c>
      <c r="C1104" s="124" t="s">
        <v>3246</v>
      </c>
      <c r="D1104" s="124" t="s">
        <v>3615</v>
      </c>
      <c r="E1104" s="126" t="s">
        <v>3619</v>
      </c>
      <c r="F1104" s="124" t="s">
        <v>3621</v>
      </c>
    </row>
    <row r="1105">
      <c r="A1105" s="125">
        <v>44470.52329331019</v>
      </c>
      <c r="B1105" s="124" t="s">
        <v>113</v>
      </c>
      <c r="C1105" s="124" t="s">
        <v>3262</v>
      </c>
      <c r="D1105" s="124" t="s">
        <v>3615</v>
      </c>
      <c r="E1105" s="126" t="s">
        <v>3622</v>
      </c>
      <c r="F1105" s="124" t="s">
        <v>3624</v>
      </c>
    </row>
    <row r="1106">
      <c r="A1106" s="125">
        <v>44470.52346752315</v>
      </c>
      <c r="B1106" s="124" t="s">
        <v>113</v>
      </c>
      <c r="C1106" s="124" t="s">
        <v>3400</v>
      </c>
      <c r="D1106" s="124" t="s">
        <v>3041</v>
      </c>
      <c r="E1106" s="126" t="s">
        <v>3625</v>
      </c>
      <c r="F1106" s="124" t="s">
        <v>3627</v>
      </c>
    </row>
    <row r="1107">
      <c r="A1107" s="125">
        <v>44470.52362237268</v>
      </c>
      <c r="B1107" s="124" t="s">
        <v>113</v>
      </c>
      <c r="C1107" s="124" t="s">
        <v>3258</v>
      </c>
      <c r="D1107" s="124" t="s">
        <v>3041</v>
      </c>
      <c r="E1107" s="126" t="s">
        <v>3628</v>
      </c>
      <c r="F1107" s="124" t="s">
        <v>3630</v>
      </c>
    </row>
    <row r="1108">
      <c r="A1108" s="125">
        <v>44470.52377584491</v>
      </c>
      <c r="B1108" s="124" t="s">
        <v>113</v>
      </c>
      <c r="C1108" s="124" t="s">
        <v>3318</v>
      </c>
      <c r="D1108" s="124" t="s">
        <v>3041</v>
      </c>
      <c r="E1108" s="126" t="s">
        <v>3631</v>
      </c>
      <c r="F1108" s="124" t="s">
        <v>3633</v>
      </c>
    </row>
    <row r="1109">
      <c r="A1109" s="125">
        <v>44470.523938240745</v>
      </c>
      <c r="B1109" s="124" t="s">
        <v>113</v>
      </c>
      <c r="C1109" s="124" t="s">
        <v>3331</v>
      </c>
      <c r="D1109" s="124" t="s">
        <v>3634</v>
      </c>
      <c r="E1109" s="126" t="s">
        <v>3635</v>
      </c>
      <c r="F1109" s="124" t="s">
        <v>3637</v>
      </c>
    </row>
    <row r="1110">
      <c r="A1110" s="125">
        <v>44470.52408444445</v>
      </c>
      <c r="B1110" s="124" t="s">
        <v>113</v>
      </c>
      <c r="C1110" s="124" t="s">
        <v>3400</v>
      </c>
      <c r="D1110" s="124" t="s">
        <v>3634</v>
      </c>
      <c r="E1110" s="126" t="s">
        <v>3638</v>
      </c>
      <c r="F1110" s="124" t="s">
        <v>3640</v>
      </c>
    </row>
    <row r="1111">
      <c r="A1111" s="125">
        <v>44470.52424168981</v>
      </c>
      <c r="B1111" s="124" t="s">
        <v>113</v>
      </c>
      <c r="C1111" s="124" t="s">
        <v>3342</v>
      </c>
      <c r="D1111" s="124" t="s">
        <v>3634</v>
      </c>
      <c r="E1111" s="126" t="s">
        <v>3641</v>
      </c>
      <c r="F1111" s="124" t="s">
        <v>3643</v>
      </c>
    </row>
    <row r="1112">
      <c r="A1112" s="125">
        <v>44470.524383449076</v>
      </c>
      <c r="B1112" s="124" t="s">
        <v>113</v>
      </c>
      <c r="C1112" s="124" t="s">
        <v>3293</v>
      </c>
      <c r="D1112" s="124" t="s">
        <v>3634</v>
      </c>
      <c r="E1112" s="126" t="s">
        <v>3644</v>
      </c>
      <c r="F1112" s="124" t="s">
        <v>3646</v>
      </c>
    </row>
    <row r="1113">
      <c r="A1113" s="125">
        <v>44470.52453126157</v>
      </c>
      <c r="B1113" s="124" t="s">
        <v>113</v>
      </c>
      <c r="C1113" s="124" t="s">
        <v>3331</v>
      </c>
      <c r="D1113" s="124" t="s">
        <v>3634</v>
      </c>
      <c r="E1113" s="126" t="s">
        <v>3647</v>
      </c>
      <c r="F1113" s="124" t="s">
        <v>3637</v>
      </c>
    </row>
    <row r="1114">
      <c r="A1114" s="125">
        <v>44470.52468096065</v>
      </c>
      <c r="B1114" s="124" t="s">
        <v>113</v>
      </c>
      <c r="C1114" s="124" t="s">
        <v>3269</v>
      </c>
      <c r="D1114" s="124" t="s">
        <v>3649</v>
      </c>
      <c r="E1114" s="126" t="s">
        <v>3650</v>
      </c>
      <c r="F1114" s="124" t="s">
        <v>3652</v>
      </c>
    </row>
    <row r="1115">
      <c r="A1115" s="125">
        <v>44470.524836956014</v>
      </c>
      <c r="B1115" s="124" t="s">
        <v>113</v>
      </c>
      <c r="C1115" s="124" t="s">
        <v>3281</v>
      </c>
      <c r="D1115" s="124" t="s">
        <v>3653</v>
      </c>
      <c r="E1115" s="126" t="s">
        <v>3654</v>
      </c>
      <c r="F1115" s="124" t="s">
        <v>3656</v>
      </c>
    </row>
    <row r="1116">
      <c r="A1116" s="125">
        <v>44470.5249746412</v>
      </c>
      <c r="B1116" s="124" t="s">
        <v>113</v>
      </c>
      <c r="C1116" s="124" t="s">
        <v>3435</v>
      </c>
      <c r="D1116" s="124" t="s">
        <v>3319</v>
      </c>
      <c r="E1116" s="126" t="s">
        <v>3657</v>
      </c>
      <c r="F1116" s="124" t="s">
        <v>3659</v>
      </c>
    </row>
    <row r="1117">
      <c r="A1117" s="125">
        <v>44470.525128761576</v>
      </c>
      <c r="B1117" s="124" t="s">
        <v>113</v>
      </c>
      <c r="C1117" s="124" t="s">
        <v>3342</v>
      </c>
      <c r="D1117" s="124" t="s">
        <v>912</v>
      </c>
      <c r="E1117" s="126" t="s">
        <v>3660</v>
      </c>
      <c r="F1117" s="124" t="s">
        <v>3662</v>
      </c>
    </row>
    <row r="1118">
      <c r="A1118" s="125">
        <v>44470.52528423611</v>
      </c>
      <c r="B1118" s="124" t="s">
        <v>113</v>
      </c>
      <c r="C1118" s="124" t="s">
        <v>3318</v>
      </c>
      <c r="D1118" s="124" t="s">
        <v>912</v>
      </c>
      <c r="E1118" s="126" t="s">
        <v>3664</v>
      </c>
      <c r="F1118" s="124" t="s">
        <v>3665</v>
      </c>
    </row>
    <row r="1119">
      <c r="A1119" s="125">
        <v>44470.52545347222</v>
      </c>
      <c r="B1119" s="124" t="s">
        <v>113</v>
      </c>
      <c r="C1119" s="124" t="s">
        <v>3293</v>
      </c>
      <c r="D1119" s="124" t="s">
        <v>3667</v>
      </c>
      <c r="E1119" s="126" t="s">
        <v>3668</v>
      </c>
      <c r="F1119" s="124" t="s">
        <v>3670</v>
      </c>
    </row>
    <row r="1120">
      <c r="A1120" s="125">
        <v>44470.52561791667</v>
      </c>
      <c r="B1120" s="124" t="s">
        <v>113</v>
      </c>
      <c r="C1120" s="124" t="s">
        <v>3323</v>
      </c>
      <c r="D1120" s="124" t="s">
        <v>3667</v>
      </c>
      <c r="E1120" s="126" t="s">
        <v>3671</v>
      </c>
      <c r="F1120" s="124" t="s">
        <v>3673</v>
      </c>
    </row>
    <row r="1121">
      <c r="A1121" s="125">
        <v>44470.52575782407</v>
      </c>
      <c r="B1121" s="124" t="s">
        <v>113</v>
      </c>
      <c r="C1121" s="124" t="s">
        <v>3342</v>
      </c>
      <c r="D1121" s="124" t="s">
        <v>3667</v>
      </c>
      <c r="E1121" s="126" t="s">
        <v>3674</v>
      </c>
      <c r="F1121" s="124" t="s">
        <v>3676</v>
      </c>
    </row>
    <row r="1122">
      <c r="A1122" s="125">
        <v>44470.52592741898</v>
      </c>
      <c r="B1122" s="124" t="s">
        <v>113</v>
      </c>
      <c r="C1122" s="124" t="s">
        <v>3312</v>
      </c>
      <c r="D1122" s="124" t="s">
        <v>3677</v>
      </c>
      <c r="E1122" s="126" t="s">
        <v>3678</v>
      </c>
      <c r="F1122" s="124" t="s">
        <v>3680</v>
      </c>
    </row>
    <row r="1123">
      <c r="A1123" s="125">
        <v>44470.526105694444</v>
      </c>
      <c r="B1123" s="124" t="s">
        <v>113</v>
      </c>
      <c r="C1123" s="124" t="s">
        <v>3342</v>
      </c>
      <c r="D1123" s="124" t="s">
        <v>3314</v>
      </c>
      <c r="E1123" s="126" t="s">
        <v>3681</v>
      </c>
      <c r="F1123" s="124" t="s">
        <v>3683</v>
      </c>
    </row>
    <row r="1124">
      <c r="A1124" s="125">
        <v>44470.526246134265</v>
      </c>
      <c r="B1124" s="124" t="s">
        <v>113</v>
      </c>
      <c r="C1124" s="124" t="s">
        <v>3281</v>
      </c>
      <c r="D1124" s="124" t="s">
        <v>3314</v>
      </c>
      <c r="E1124" s="126" t="s">
        <v>3684</v>
      </c>
      <c r="F1124" s="124" t="s">
        <v>3686</v>
      </c>
    </row>
    <row r="1125">
      <c r="A1125" s="125">
        <v>44470.52639168981</v>
      </c>
      <c r="B1125" s="124" t="s">
        <v>113</v>
      </c>
      <c r="C1125" s="124" t="s">
        <v>3258</v>
      </c>
      <c r="D1125" s="124" t="s">
        <v>3017</v>
      </c>
      <c r="E1125" s="126" t="s">
        <v>3687</v>
      </c>
      <c r="F1125" s="124" t="s">
        <v>3689</v>
      </c>
    </row>
    <row r="1126">
      <c r="A1126" s="125">
        <v>44470.52652090278</v>
      </c>
      <c r="B1126" s="124" t="s">
        <v>113</v>
      </c>
      <c r="C1126" s="124" t="s">
        <v>3435</v>
      </c>
      <c r="D1126" s="124" t="s">
        <v>3017</v>
      </c>
      <c r="E1126" s="126" t="s">
        <v>3690</v>
      </c>
      <c r="F1126" s="124" t="s">
        <v>3692</v>
      </c>
    </row>
    <row r="1127">
      <c r="A1127" s="125">
        <v>44470.5266672338</v>
      </c>
      <c r="B1127" s="124" t="s">
        <v>113</v>
      </c>
      <c r="C1127" s="124" t="s">
        <v>3342</v>
      </c>
      <c r="D1127" s="124" t="s">
        <v>3693</v>
      </c>
      <c r="E1127" s="126" t="s">
        <v>3694</v>
      </c>
      <c r="F1127" s="124" t="s">
        <v>3695</v>
      </c>
    </row>
    <row r="1128">
      <c r="A1128" s="125">
        <v>44470.52682613426</v>
      </c>
      <c r="B1128" s="124" t="s">
        <v>113</v>
      </c>
      <c r="C1128" s="124" t="s">
        <v>3312</v>
      </c>
      <c r="D1128" s="124" t="s">
        <v>3693</v>
      </c>
      <c r="E1128" s="126" t="s">
        <v>3696</v>
      </c>
      <c r="F1128" s="124" t="s">
        <v>3698</v>
      </c>
    </row>
    <row r="1129">
      <c r="A1129" s="125">
        <v>44470.526969618055</v>
      </c>
      <c r="B1129" s="124" t="s">
        <v>113</v>
      </c>
      <c r="C1129" s="124" t="s">
        <v>3312</v>
      </c>
      <c r="D1129" s="124" t="s">
        <v>3699</v>
      </c>
      <c r="E1129" s="126" t="s">
        <v>3700</v>
      </c>
      <c r="F1129" s="124" t="s">
        <v>3701</v>
      </c>
    </row>
    <row r="1130">
      <c r="A1130" s="125">
        <v>44470.527103541666</v>
      </c>
      <c r="B1130" s="124" t="s">
        <v>113</v>
      </c>
      <c r="C1130" s="124" t="s">
        <v>3312</v>
      </c>
      <c r="D1130" s="124" t="s">
        <v>3702</v>
      </c>
      <c r="E1130" s="126" t="s">
        <v>3703</v>
      </c>
      <c r="F1130" s="124" t="s">
        <v>3705</v>
      </c>
    </row>
    <row r="1131">
      <c r="A1131" s="125">
        <v>44470.527266053236</v>
      </c>
      <c r="B1131" s="124" t="s">
        <v>113</v>
      </c>
      <c r="C1131" s="124" t="s">
        <v>3258</v>
      </c>
      <c r="D1131" s="124" t="s">
        <v>3706</v>
      </c>
      <c r="E1131" s="126" t="s">
        <v>3707</v>
      </c>
      <c r="F1131" s="124" t="s">
        <v>3709</v>
      </c>
    </row>
    <row r="1132">
      <c r="A1132" s="125">
        <v>44470.52740653935</v>
      </c>
      <c r="B1132" s="124" t="s">
        <v>113</v>
      </c>
      <c r="C1132" s="124" t="s">
        <v>3293</v>
      </c>
      <c r="D1132" s="124" t="s">
        <v>3693</v>
      </c>
      <c r="E1132" s="126" t="s">
        <v>3710</v>
      </c>
      <c r="F1132" s="124" t="s">
        <v>3712</v>
      </c>
    </row>
    <row r="1133">
      <c r="A1133" s="125">
        <v>44470.5275361574</v>
      </c>
      <c r="B1133" s="124" t="s">
        <v>113</v>
      </c>
      <c r="C1133" s="124" t="s">
        <v>3367</v>
      </c>
      <c r="D1133" s="124" t="s">
        <v>3319</v>
      </c>
      <c r="E1133" s="126" t="s">
        <v>3713</v>
      </c>
      <c r="F1133" s="124" t="s">
        <v>3715</v>
      </c>
    </row>
    <row r="1134">
      <c r="A1134" s="125">
        <v>44470.52768355324</v>
      </c>
      <c r="B1134" s="124" t="s">
        <v>113</v>
      </c>
      <c r="C1134" s="124" t="s">
        <v>3331</v>
      </c>
      <c r="D1134" s="124" t="s">
        <v>3319</v>
      </c>
      <c r="E1134" s="126" t="s">
        <v>3716</v>
      </c>
      <c r="F1134" s="124" t="s">
        <v>3717</v>
      </c>
    </row>
    <row r="1135">
      <c r="A1135" s="125">
        <v>44470.52782113426</v>
      </c>
      <c r="B1135" s="124" t="s">
        <v>113</v>
      </c>
      <c r="C1135" s="124" t="s">
        <v>3331</v>
      </c>
      <c r="D1135" s="124" t="s">
        <v>3346</v>
      </c>
      <c r="E1135" s="126" t="s">
        <v>3719</v>
      </c>
      <c r="F1135" s="124" t="s">
        <v>3720</v>
      </c>
    </row>
    <row r="1136">
      <c r="A1136" s="125">
        <v>44470.52796112269</v>
      </c>
      <c r="B1136" s="124" t="s">
        <v>113</v>
      </c>
      <c r="C1136" s="124" t="s">
        <v>3276</v>
      </c>
      <c r="D1136" s="124" t="s">
        <v>3721</v>
      </c>
      <c r="E1136" s="126" t="s">
        <v>3723</v>
      </c>
      <c r="F1136" s="124" t="s">
        <v>3724</v>
      </c>
    </row>
    <row r="1137">
      <c r="A1137" s="125">
        <v>44470.528110405096</v>
      </c>
      <c r="B1137" s="124" t="s">
        <v>113</v>
      </c>
      <c r="C1137" s="124" t="s">
        <v>3318</v>
      </c>
      <c r="D1137" s="124" t="s">
        <v>3721</v>
      </c>
      <c r="E1137" s="126" t="s">
        <v>3725</v>
      </c>
      <c r="F1137" s="124" t="s">
        <v>3727</v>
      </c>
    </row>
    <row r="1138">
      <c r="A1138" s="125">
        <v>44470.52839412037</v>
      </c>
      <c r="B1138" s="124" t="s">
        <v>113</v>
      </c>
      <c r="C1138" s="124" t="s">
        <v>3250</v>
      </c>
      <c r="D1138" s="124" t="s">
        <v>3721</v>
      </c>
      <c r="E1138" s="126" t="s">
        <v>3728</v>
      </c>
      <c r="F1138" s="124" t="s">
        <v>3730</v>
      </c>
    </row>
    <row r="1139">
      <c r="A1139" s="125">
        <v>44470.528542685184</v>
      </c>
      <c r="B1139" s="124" t="s">
        <v>113</v>
      </c>
      <c r="C1139" s="124" t="s">
        <v>3262</v>
      </c>
      <c r="D1139" s="124" t="s">
        <v>3731</v>
      </c>
      <c r="E1139" s="126" t="s">
        <v>3732</v>
      </c>
      <c r="F1139" s="124" t="s">
        <v>3758</v>
      </c>
    </row>
    <row r="1140">
      <c r="A1140" s="125">
        <v>44470.656395659724</v>
      </c>
      <c r="B1140" s="124" t="s">
        <v>113</v>
      </c>
      <c r="C1140" s="124" t="s">
        <v>3312</v>
      </c>
      <c r="D1140" s="124" t="s">
        <v>804</v>
      </c>
      <c r="E1140" s="126" t="s">
        <v>3759</v>
      </c>
      <c r="F1140" s="124" t="s">
        <v>3761</v>
      </c>
    </row>
    <row r="1141">
      <c r="A1141" s="125">
        <v>44470.72652402778</v>
      </c>
      <c r="B1141" s="124" t="s">
        <v>113</v>
      </c>
      <c r="C1141" s="124" t="s">
        <v>3435</v>
      </c>
      <c r="D1141" s="124" t="s">
        <v>3762</v>
      </c>
      <c r="E1141" s="126" t="s">
        <v>3763</v>
      </c>
      <c r="F1141" s="124" t="s">
        <v>3764</v>
      </c>
    </row>
    <row r="1142">
      <c r="A1142" s="125">
        <v>44471.456822210646</v>
      </c>
      <c r="B1142" s="124" t="s">
        <v>113</v>
      </c>
      <c r="C1142" s="124" t="s">
        <v>3250</v>
      </c>
      <c r="D1142" s="124" t="s">
        <v>3765</v>
      </c>
      <c r="E1142" s="126" t="s">
        <v>3766</v>
      </c>
      <c r="F1142" s="124" t="s">
        <v>3768</v>
      </c>
    </row>
    <row r="1143">
      <c r="A1143" s="125">
        <v>44471.45863403935</v>
      </c>
      <c r="B1143" s="124" t="s">
        <v>113</v>
      </c>
      <c r="C1143" s="124" t="s">
        <v>3269</v>
      </c>
      <c r="D1143" s="124" t="s">
        <v>3765</v>
      </c>
      <c r="E1143" s="126" t="s">
        <v>3769</v>
      </c>
      <c r="F1143" s="124" t="s">
        <v>3771</v>
      </c>
    </row>
    <row r="1144">
      <c r="A1144" s="125">
        <v>44471.45964642361</v>
      </c>
      <c r="B1144" s="124" t="s">
        <v>113</v>
      </c>
      <c r="C1144" s="124" t="s">
        <v>3262</v>
      </c>
      <c r="D1144" s="124" t="s">
        <v>3765</v>
      </c>
      <c r="E1144" s="126" t="s">
        <v>3772</v>
      </c>
      <c r="F1144" s="124" t="s">
        <v>3774</v>
      </c>
    </row>
    <row r="1145">
      <c r="A1145" s="125">
        <v>44471.46035810185</v>
      </c>
      <c r="B1145" s="124" t="s">
        <v>113</v>
      </c>
      <c r="C1145" s="124" t="s">
        <v>3281</v>
      </c>
      <c r="D1145" s="124" t="s">
        <v>3765</v>
      </c>
      <c r="E1145" s="126" t="s">
        <v>3775</v>
      </c>
      <c r="F1145" s="124" t="s">
        <v>3776</v>
      </c>
    </row>
    <row r="1146">
      <c r="A1146" s="125">
        <v>44471.63192201389</v>
      </c>
      <c r="B1146" s="124" t="s">
        <v>113</v>
      </c>
      <c r="C1146" s="124" t="s">
        <v>3262</v>
      </c>
      <c r="D1146" s="124" t="s">
        <v>3778</v>
      </c>
      <c r="E1146" s="126" t="s">
        <v>3779</v>
      </c>
      <c r="F1146" s="124" t="s">
        <v>3780</v>
      </c>
    </row>
    <row r="1147">
      <c r="A1147" s="125">
        <v>44471.632751550926</v>
      </c>
      <c r="B1147" s="124" t="s">
        <v>113</v>
      </c>
      <c r="C1147" s="124" t="s">
        <v>3281</v>
      </c>
      <c r="D1147" s="124" t="s">
        <v>3778</v>
      </c>
      <c r="E1147" s="126" t="s">
        <v>3782</v>
      </c>
      <c r="F1147" s="124" t="s">
        <v>3783</v>
      </c>
    </row>
    <row r="1148">
      <c r="A1148" s="125">
        <v>44471.70308961805</v>
      </c>
      <c r="B1148" s="124" t="s">
        <v>113</v>
      </c>
      <c r="C1148" s="124" t="s">
        <v>3258</v>
      </c>
      <c r="D1148" s="124" t="s">
        <v>2467</v>
      </c>
      <c r="E1148" s="126" t="s">
        <v>3785</v>
      </c>
      <c r="F1148" s="124" t="s">
        <v>3786</v>
      </c>
    </row>
    <row r="1149">
      <c r="A1149" s="125">
        <v>44471.70611494213</v>
      </c>
      <c r="B1149" s="124" t="s">
        <v>113</v>
      </c>
      <c r="C1149" s="124" t="s">
        <v>3331</v>
      </c>
      <c r="D1149" s="124" t="s">
        <v>2467</v>
      </c>
      <c r="E1149" s="126" t="s">
        <v>3787</v>
      </c>
      <c r="F1149" s="124" t="s">
        <v>3789</v>
      </c>
    </row>
    <row r="1150">
      <c r="A1150" s="125">
        <v>44471.70969133102</v>
      </c>
      <c r="B1150" s="124" t="s">
        <v>113</v>
      </c>
      <c r="C1150" s="124" t="s">
        <v>3276</v>
      </c>
      <c r="D1150" s="124" t="s">
        <v>2467</v>
      </c>
      <c r="E1150" s="126" t="s">
        <v>3790</v>
      </c>
      <c r="F1150" s="124" t="s">
        <v>3792</v>
      </c>
    </row>
    <row r="1151">
      <c r="A1151" s="125">
        <v>44472.05441222222</v>
      </c>
      <c r="B1151" s="124" t="s">
        <v>113</v>
      </c>
      <c r="C1151" s="124" t="s">
        <v>3435</v>
      </c>
      <c r="D1151" s="124" t="s">
        <v>3061</v>
      </c>
      <c r="E1151" s="126" t="s">
        <v>3793</v>
      </c>
      <c r="F1151" s="124" t="s">
        <v>3794</v>
      </c>
    </row>
    <row r="1152">
      <c r="A1152" s="125">
        <v>44472.055113449074</v>
      </c>
      <c r="B1152" s="124" t="s">
        <v>113</v>
      </c>
      <c r="C1152" s="124" t="s">
        <v>3276</v>
      </c>
      <c r="D1152" s="124" t="s">
        <v>3061</v>
      </c>
      <c r="E1152" s="126" t="s">
        <v>3796</v>
      </c>
      <c r="F1152" s="124" t="s">
        <v>3797</v>
      </c>
    </row>
    <row r="1153">
      <c r="A1153" s="125">
        <v>44473.523692546296</v>
      </c>
      <c r="B1153" s="124" t="s">
        <v>113</v>
      </c>
      <c r="C1153" s="124" t="s">
        <v>3281</v>
      </c>
      <c r="D1153" s="124" t="s">
        <v>3798</v>
      </c>
      <c r="E1153" s="126" t="s">
        <v>3799</v>
      </c>
      <c r="F1153" s="124" t="s">
        <v>3801</v>
      </c>
    </row>
    <row r="1154">
      <c r="A1154" s="125">
        <v>44473.53264055555</v>
      </c>
      <c r="B1154" s="124" t="s">
        <v>113</v>
      </c>
      <c r="C1154" s="124" t="s">
        <v>3276</v>
      </c>
      <c r="D1154" s="124" t="s">
        <v>3802</v>
      </c>
      <c r="E1154" s="126" t="s">
        <v>3803</v>
      </c>
      <c r="F1154" s="124" t="s">
        <v>3805</v>
      </c>
    </row>
    <row r="1155">
      <c r="A1155" s="125">
        <v>44473.58492109954</v>
      </c>
      <c r="B1155" s="124" t="s">
        <v>113</v>
      </c>
      <c r="C1155" s="124" t="s">
        <v>3281</v>
      </c>
      <c r="D1155" s="124" t="s">
        <v>3806</v>
      </c>
      <c r="E1155" s="126" t="s">
        <v>3807</v>
      </c>
      <c r="F1155" s="124" t="s">
        <v>3809</v>
      </c>
    </row>
    <row r="1156">
      <c r="A1156" s="125">
        <v>44473.58605515046</v>
      </c>
      <c r="B1156" s="124" t="s">
        <v>113</v>
      </c>
      <c r="C1156" s="124" t="s">
        <v>3298</v>
      </c>
      <c r="D1156" s="124" t="s">
        <v>3806</v>
      </c>
      <c r="E1156" s="126" t="s">
        <v>3810</v>
      </c>
      <c r="F1156" s="124" t="s">
        <v>3812</v>
      </c>
    </row>
    <row r="1157">
      <c r="A1157" s="125">
        <v>44473.588955150466</v>
      </c>
      <c r="B1157" s="124" t="s">
        <v>113</v>
      </c>
      <c r="C1157" s="124" t="s">
        <v>3298</v>
      </c>
      <c r="D1157" s="124" t="s">
        <v>3813</v>
      </c>
      <c r="E1157" s="126" t="s">
        <v>3814</v>
      </c>
      <c r="F1157" s="124" t="s">
        <v>3816</v>
      </c>
    </row>
    <row r="1158">
      <c r="A1158" s="125">
        <v>44473.591144872684</v>
      </c>
      <c r="B1158" s="124" t="s">
        <v>113</v>
      </c>
      <c r="C1158" s="124" t="s">
        <v>3400</v>
      </c>
      <c r="D1158" s="124" t="s">
        <v>3813</v>
      </c>
      <c r="E1158" s="126" t="s">
        <v>3817</v>
      </c>
      <c r="F1158" s="124" t="s">
        <v>3818</v>
      </c>
    </row>
    <row r="1159">
      <c r="A1159" s="125">
        <v>44473.59150643519</v>
      </c>
      <c r="B1159" s="124" t="s">
        <v>113</v>
      </c>
      <c r="C1159" s="124" t="s">
        <v>3254</v>
      </c>
      <c r="D1159" s="124" t="s">
        <v>3819</v>
      </c>
      <c r="E1159" s="126" t="s">
        <v>3820</v>
      </c>
      <c r="F1159" s="124" t="s">
        <v>3821</v>
      </c>
    </row>
    <row r="1160">
      <c r="A1160" s="125">
        <v>44473.59155652778</v>
      </c>
      <c r="B1160" s="124" t="s">
        <v>113</v>
      </c>
      <c r="C1160" s="124" t="s">
        <v>3250</v>
      </c>
      <c r="D1160" s="124" t="s">
        <v>2027</v>
      </c>
      <c r="E1160" s="126" t="s">
        <v>3822</v>
      </c>
      <c r="F1160" s="124" t="s">
        <v>3833</v>
      </c>
    </row>
    <row r="1161">
      <c r="A1161" s="125">
        <v>44473.59237961806</v>
      </c>
      <c r="B1161" s="124" t="s">
        <v>113</v>
      </c>
      <c r="C1161" s="124" t="s">
        <v>3323</v>
      </c>
      <c r="D1161" s="124" t="s">
        <v>3835</v>
      </c>
      <c r="E1161" s="126" t="s">
        <v>3836</v>
      </c>
      <c r="F1161" s="124" t="s">
        <v>3838</v>
      </c>
    </row>
    <row r="1162">
      <c r="A1162" s="125">
        <v>44473.593443645834</v>
      </c>
      <c r="B1162" s="124" t="s">
        <v>113</v>
      </c>
      <c r="C1162" s="124" t="s">
        <v>3258</v>
      </c>
      <c r="D1162" s="124" t="s">
        <v>3813</v>
      </c>
      <c r="E1162" s="126" t="s">
        <v>3839</v>
      </c>
      <c r="F1162" s="124" t="s">
        <v>3841</v>
      </c>
    </row>
    <row r="1163">
      <c r="A1163" s="125">
        <v>44473.60212534722</v>
      </c>
      <c r="B1163" s="124" t="s">
        <v>113</v>
      </c>
      <c r="C1163" s="124" t="s">
        <v>3258</v>
      </c>
      <c r="D1163" s="124" t="s">
        <v>3835</v>
      </c>
      <c r="E1163" s="126" t="s">
        <v>3842</v>
      </c>
      <c r="F1163" s="124" t="s">
        <v>3844</v>
      </c>
    </row>
    <row r="1164">
      <c r="A1164" s="125">
        <v>44473.60812276621</v>
      </c>
      <c r="B1164" s="124" t="s">
        <v>113</v>
      </c>
      <c r="C1164" s="124" t="s">
        <v>3435</v>
      </c>
      <c r="D1164" s="124" t="s">
        <v>3845</v>
      </c>
      <c r="E1164" s="126" t="s">
        <v>3847</v>
      </c>
      <c r="F1164" s="124" t="s">
        <v>3848</v>
      </c>
    </row>
    <row r="1165">
      <c r="A1165" s="125">
        <v>44473.61092872685</v>
      </c>
      <c r="B1165" s="124" t="s">
        <v>113</v>
      </c>
      <c r="C1165" s="124" t="s">
        <v>3289</v>
      </c>
      <c r="D1165" s="124" t="s">
        <v>3835</v>
      </c>
      <c r="E1165" s="126" t="s">
        <v>3850</v>
      </c>
      <c r="F1165" s="124" t="s">
        <v>3851</v>
      </c>
    </row>
    <row r="1166">
      <c r="A1166" s="125">
        <v>44473.61600538195</v>
      </c>
      <c r="B1166" s="124" t="s">
        <v>113</v>
      </c>
      <c r="C1166" s="124" t="s">
        <v>3276</v>
      </c>
      <c r="D1166" s="124" t="s">
        <v>3852</v>
      </c>
      <c r="E1166" s="126" t="s">
        <v>3853</v>
      </c>
      <c r="F1166" s="124" t="s">
        <v>3855</v>
      </c>
    </row>
    <row r="1167">
      <c r="A1167" s="125">
        <v>44473.68624767361</v>
      </c>
      <c r="B1167" s="124" t="s">
        <v>113</v>
      </c>
      <c r="C1167" s="124" t="s">
        <v>3258</v>
      </c>
      <c r="D1167" s="124" t="s">
        <v>3856</v>
      </c>
      <c r="E1167" s="126" t="s">
        <v>3857</v>
      </c>
      <c r="F1167" s="124" t="s">
        <v>3858</v>
      </c>
    </row>
    <row r="1168">
      <c r="A1168" s="125">
        <v>44473.692724444445</v>
      </c>
      <c r="B1168" s="124" t="s">
        <v>113</v>
      </c>
      <c r="C1168" s="124" t="s">
        <v>3262</v>
      </c>
      <c r="D1168" s="124" t="s">
        <v>3859</v>
      </c>
      <c r="E1168" s="126" t="s">
        <v>3860</v>
      </c>
      <c r="F1168" s="124" t="s">
        <v>3862</v>
      </c>
    </row>
    <row r="1169">
      <c r="A1169" s="125">
        <v>44473.69464988426</v>
      </c>
      <c r="B1169" s="124" t="s">
        <v>113</v>
      </c>
      <c r="C1169" s="124" t="s">
        <v>3367</v>
      </c>
      <c r="D1169" s="124" t="s">
        <v>3859</v>
      </c>
      <c r="E1169" s="126" t="s">
        <v>3863</v>
      </c>
      <c r="F1169" s="124" t="s">
        <v>3865</v>
      </c>
    </row>
    <row r="1170">
      <c r="A1170" s="125">
        <v>44473.69699069444</v>
      </c>
      <c r="B1170" s="124" t="s">
        <v>113</v>
      </c>
      <c r="C1170" s="124" t="s">
        <v>3289</v>
      </c>
      <c r="D1170" s="124" t="s">
        <v>3859</v>
      </c>
      <c r="E1170" s="126" t="s">
        <v>3866</v>
      </c>
      <c r="F1170" s="124" t="s">
        <v>3867</v>
      </c>
    </row>
    <row r="1171">
      <c r="A1171" s="125">
        <v>44473.74888951389</v>
      </c>
      <c r="B1171" s="124" t="s">
        <v>113</v>
      </c>
      <c r="C1171" s="124" t="s">
        <v>3254</v>
      </c>
      <c r="D1171" s="124" t="s">
        <v>2693</v>
      </c>
      <c r="E1171" s="126" t="s">
        <v>3869</v>
      </c>
      <c r="F1171" s="124" t="s">
        <v>3870</v>
      </c>
    </row>
    <row r="1172">
      <c r="A1172" s="125">
        <v>44473.95722107639</v>
      </c>
      <c r="B1172" s="124" t="s">
        <v>113</v>
      </c>
      <c r="C1172" s="124" t="s">
        <v>3258</v>
      </c>
      <c r="D1172" s="124" t="s">
        <v>3871</v>
      </c>
      <c r="E1172" s="126" t="s">
        <v>3873</v>
      </c>
      <c r="F1172" s="124" t="s">
        <v>3874</v>
      </c>
    </row>
    <row r="1173">
      <c r="A1173" s="125">
        <v>44473.96004273148</v>
      </c>
      <c r="B1173" s="124" t="s">
        <v>113</v>
      </c>
      <c r="C1173" s="124" t="s">
        <v>3435</v>
      </c>
      <c r="D1173" s="124" t="s">
        <v>3871</v>
      </c>
      <c r="E1173" s="126" t="s">
        <v>3875</v>
      </c>
      <c r="F1173" s="124" t="s">
        <v>3877</v>
      </c>
    </row>
    <row r="1174">
      <c r="A1174" s="125">
        <v>44473.96168645834</v>
      </c>
      <c r="B1174" s="124" t="s">
        <v>113</v>
      </c>
      <c r="C1174" s="124" t="s">
        <v>3308</v>
      </c>
      <c r="D1174" s="124" t="s">
        <v>3871</v>
      </c>
      <c r="E1174" s="126" t="s">
        <v>3878</v>
      </c>
      <c r="F1174" s="124" t="s">
        <v>3880</v>
      </c>
    </row>
    <row r="1175">
      <c r="A1175" s="125">
        <v>44473.96215298611</v>
      </c>
      <c r="B1175" s="124" t="s">
        <v>113</v>
      </c>
      <c r="C1175" s="124" t="s">
        <v>3367</v>
      </c>
      <c r="D1175" s="124" t="s">
        <v>3871</v>
      </c>
      <c r="E1175" s="126" t="s">
        <v>3881</v>
      </c>
      <c r="F1175" s="124" t="s">
        <v>3886</v>
      </c>
    </row>
    <row r="1176">
      <c r="A1176" s="125">
        <v>44473.96284180555</v>
      </c>
      <c r="B1176" s="124" t="s">
        <v>113</v>
      </c>
      <c r="C1176" s="124" t="s">
        <v>3276</v>
      </c>
      <c r="D1176" s="124" t="s">
        <v>3871</v>
      </c>
      <c r="E1176" s="126" t="s">
        <v>3887</v>
      </c>
      <c r="F1176" s="124" t="s">
        <v>3889</v>
      </c>
    </row>
    <row r="1177">
      <c r="A1177" s="125">
        <v>44474.413367650464</v>
      </c>
      <c r="B1177" s="124" t="s">
        <v>113</v>
      </c>
      <c r="C1177" s="124" t="s">
        <v>3318</v>
      </c>
      <c r="D1177" s="124" t="s">
        <v>2693</v>
      </c>
      <c r="E1177" s="126" t="s">
        <v>3890</v>
      </c>
      <c r="F1177" s="124" t="s">
        <v>3892</v>
      </c>
    </row>
    <row r="1178">
      <c r="A1178" s="125">
        <v>44474.41471675926</v>
      </c>
      <c r="B1178" s="124" t="s">
        <v>113</v>
      </c>
      <c r="C1178" s="124" t="s">
        <v>3323</v>
      </c>
      <c r="D1178" s="124" t="s">
        <v>2693</v>
      </c>
      <c r="E1178" s="126" t="s">
        <v>3893</v>
      </c>
      <c r="F1178" s="124" t="s">
        <v>3895</v>
      </c>
    </row>
    <row r="1179">
      <c r="A1179" s="125">
        <v>44474.41486954861</v>
      </c>
      <c r="B1179" s="124" t="s">
        <v>113</v>
      </c>
      <c r="C1179" s="124" t="s">
        <v>3254</v>
      </c>
      <c r="D1179" s="124" t="s">
        <v>624</v>
      </c>
      <c r="E1179" s="126" t="s">
        <v>3896</v>
      </c>
      <c r="F1179" s="124" t="s">
        <v>3898</v>
      </c>
    </row>
    <row r="1180">
      <c r="A1180" s="125">
        <v>44474.416326886574</v>
      </c>
      <c r="B1180" s="124" t="s">
        <v>113</v>
      </c>
      <c r="C1180" s="124" t="s">
        <v>3318</v>
      </c>
      <c r="D1180" s="124" t="s">
        <v>624</v>
      </c>
      <c r="E1180" s="126" t="s">
        <v>3899</v>
      </c>
      <c r="F1180" s="124" t="s">
        <v>3901</v>
      </c>
    </row>
    <row r="1181">
      <c r="A1181" s="125">
        <v>44474.41796709491</v>
      </c>
      <c r="B1181" s="124" t="s">
        <v>113</v>
      </c>
      <c r="C1181" s="124" t="s">
        <v>3327</v>
      </c>
      <c r="D1181" s="124" t="s">
        <v>624</v>
      </c>
      <c r="E1181" s="126" t="s">
        <v>3902</v>
      </c>
      <c r="F1181" s="124" t="s">
        <v>3904</v>
      </c>
    </row>
    <row r="1182">
      <c r="A1182" s="125">
        <v>44474.419022222224</v>
      </c>
      <c r="B1182" s="124" t="s">
        <v>113</v>
      </c>
      <c r="C1182" s="124" t="s">
        <v>3289</v>
      </c>
      <c r="D1182" s="124" t="s">
        <v>624</v>
      </c>
      <c r="E1182" s="126" t="s">
        <v>3905</v>
      </c>
      <c r="F1182" s="124" t="s">
        <v>3906</v>
      </c>
    </row>
    <row r="1183">
      <c r="A1183" s="125">
        <v>44474.42045820602</v>
      </c>
      <c r="B1183" s="124" t="s">
        <v>113</v>
      </c>
      <c r="C1183" s="124" t="s">
        <v>3323</v>
      </c>
      <c r="D1183" s="124" t="s">
        <v>624</v>
      </c>
      <c r="E1183" s="126" t="s">
        <v>3907</v>
      </c>
      <c r="F1183" s="124" t="s">
        <v>3909</v>
      </c>
    </row>
    <row r="1184">
      <c r="A1184" s="125">
        <v>44474.42134422454</v>
      </c>
      <c r="B1184" s="124" t="s">
        <v>113</v>
      </c>
      <c r="C1184" s="124" t="s">
        <v>3312</v>
      </c>
      <c r="D1184" s="124" t="s">
        <v>473</v>
      </c>
      <c r="E1184" s="126" t="s">
        <v>3910</v>
      </c>
      <c r="F1184" s="124" t="s">
        <v>3912</v>
      </c>
    </row>
    <row r="1185">
      <c r="A1185" s="125">
        <v>44474.42265835648</v>
      </c>
      <c r="B1185" s="124" t="s">
        <v>113</v>
      </c>
      <c r="C1185" s="124" t="s">
        <v>3308</v>
      </c>
      <c r="D1185" s="124" t="s">
        <v>624</v>
      </c>
      <c r="E1185" s="126" t="s">
        <v>3913</v>
      </c>
      <c r="F1185" s="124" t="s">
        <v>3915</v>
      </c>
    </row>
    <row r="1186">
      <c r="A1186" s="125">
        <v>44474.422774652776</v>
      </c>
      <c r="B1186" s="124" t="s">
        <v>113</v>
      </c>
      <c r="C1186" s="124" t="s">
        <v>3289</v>
      </c>
      <c r="D1186" s="124" t="s">
        <v>473</v>
      </c>
      <c r="E1186" s="126" t="s">
        <v>3916</v>
      </c>
      <c r="F1186" s="124" t="s">
        <v>3917</v>
      </c>
    </row>
    <row r="1187">
      <c r="A1187" s="125">
        <v>44474.42311396991</v>
      </c>
      <c r="B1187" s="124" t="s">
        <v>113</v>
      </c>
      <c r="C1187" s="124" t="s">
        <v>3327</v>
      </c>
      <c r="D1187" s="124" t="s">
        <v>473</v>
      </c>
      <c r="E1187" s="126" t="s">
        <v>3919</v>
      </c>
      <c r="F1187" s="124" t="s">
        <v>3920</v>
      </c>
    </row>
    <row r="1188">
      <c r="A1188" s="125">
        <v>44474.42333222222</v>
      </c>
      <c r="B1188" s="124" t="s">
        <v>113</v>
      </c>
      <c r="C1188" s="124" t="s">
        <v>3250</v>
      </c>
      <c r="D1188" s="124" t="s">
        <v>473</v>
      </c>
      <c r="E1188" s="126" t="s">
        <v>3921</v>
      </c>
      <c r="F1188" s="124" t="s">
        <v>3923</v>
      </c>
    </row>
    <row r="1189">
      <c r="A1189" s="125">
        <v>44474.51249689815</v>
      </c>
      <c r="B1189" s="124" t="s">
        <v>113</v>
      </c>
      <c r="C1189" s="124" t="s">
        <v>3250</v>
      </c>
      <c r="D1189" s="124" t="s">
        <v>3924</v>
      </c>
      <c r="E1189" s="126" t="s">
        <v>3925</v>
      </c>
      <c r="F1189" s="124" t="s">
        <v>3927</v>
      </c>
    </row>
    <row r="1190">
      <c r="A1190" s="125">
        <v>44474.73666501157</v>
      </c>
      <c r="B1190" s="124" t="s">
        <v>113</v>
      </c>
      <c r="C1190" s="124" t="s">
        <v>3308</v>
      </c>
      <c r="D1190" s="124" t="s">
        <v>1848</v>
      </c>
      <c r="E1190" s="126" t="s">
        <v>3929</v>
      </c>
      <c r="F1190" s="124" t="s">
        <v>3930</v>
      </c>
    </row>
    <row r="1191">
      <c r="A1191" s="125">
        <v>44474.737965844906</v>
      </c>
      <c r="B1191" s="124" t="s">
        <v>113</v>
      </c>
      <c r="C1191" s="124" t="s">
        <v>3367</v>
      </c>
      <c r="D1191" s="124" t="s">
        <v>1848</v>
      </c>
      <c r="E1191" s="126" t="s">
        <v>3931</v>
      </c>
      <c r="F1191" s="124" t="s">
        <v>3933</v>
      </c>
    </row>
    <row r="1192">
      <c r="A1192" s="125">
        <v>44474.74493744213</v>
      </c>
      <c r="B1192" s="124" t="s">
        <v>113</v>
      </c>
      <c r="C1192" s="124" t="s">
        <v>3367</v>
      </c>
      <c r="D1192" s="124" t="s">
        <v>3934</v>
      </c>
      <c r="E1192" s="126" t="s">
        <v>3935</v>
      </c>
      <c r="F1192" s="124" t="s">
        <v>3937</v>
      </c>
    </row>
    <row r="1193">
      <c r="A1193" s="125">
        <v>44474.74786584491</v>
      </c>
      <c r="B1193" s="124" t="s">
        <v>113</v>
      </c>
      <c r="C1193" s="124" t="s">
        <v>3939</v>
      </c>
      <c r="D1193" s="124" t="s">
        <v>1492</v>
      </c>
      <c r="E1193" s="126" t="s">
        <v>3942</v>
      </c>
      <c r="F1193" s="124" t="s">
        <v>3946</v>
      </c>
    </row>
    <row r="1194">
      <c r="A1194" s="125">
        <v>44474.765779560184</v>
      </c>
      <c r="B1194" s="124" t="s">
        <v>113</v>
      </c>
      <c r="C1194" s="124" t="s">
        <v>3435</v>
      </c>
      <c r="D1194" s="124" t="s">
        <v>3947</v>
      </c>
      <c r="E1194" s="126" t="s">
        <v>3948</v>
      </c>
      <c r="F1194" s="124" t="s">
        <v>3949</v>
      </c>
    </row>
    <row r="1195">
      <c r="A1195" s="125">
        <v>44474.76661324074</v>
      </c>
      <c r="B1195" s="124" t="s">
        <v>113</v>
      </c>
      <c r="C1195" s="124" t="s">
        <v>3308</v>
      </c>
      <c r="D1195" s="124" t="s">
        <v>3947</v>
      </c>
      <c r="E1195" s="126" t="s">
        <v>3951</v>
      </c>
      <c r="F1195" s="124" t="s">
        <v>3952</v>
      </c>
    </row>
    <row r="1196">
      <c r="A1196" s="125">
        <v>44474.78341074074</v>
      </c>
      <c r="B1196" s="124" t="s">
        <v>113</v>
      </c>
      <c r="C1196" s="124" t="s">
        <v>3318</v>
      </c>
      <c r="D1196" s="124" t="s">
        <v>1848</v>
      </c>
      <c r="E1196" s="126" t="s">
        <v>3955</v>
      </c>
      <c r="F1196" s="124" t="s">
        <v>3959</v>
      </c>
    </row>
    <row r="1197">
      <c r="A1197" s="125">
        <v>44474.783860497686</v>
      </c>
      <c r="B1197" s="124" t="s">
        <v>113</v>
      </c>
      <c r="C1197" s="124" t="s">
        <v>3250</v>
      </c>
      <c r="D1197" s="124" t="s">
        <v>1848</v>
      </c>
      <c r="E1197" s="126" t="s">
        <v>3961</v>
      </c>
      <c r="F1197" s="124" t="s">
        <v>3962</v>
      </c>
    </row>
    <row r="1198">
      <c r="A1198" s="125">
        <v>44474.784342997686</v>
      </c>
      <c r="B1198" s="124" t="s">
        <v>113</v>
      </c>
      <c r="C1198" s="124" t="s">
        <v>3327</v>
      </c>
      <c r="D1198" s="124" t="s">
        <v>1848</v>
      </c>
      <c r="E1198" s="126" t="s">
        <v>3964</v>
      </c>
      <c r="F1198" s="124" t="s">
        <v>3965</v>
      </c>
    </row>
    <row r="1199">
      <c r="A1199" s="125">
        <v>44474.78626032408</v>
      </c>
      <c r="B1199" s="124" t="s">
        <v>113</v>
      </c>
      <c r="C1199" s="124" t="s">
        <v>3323</v>
      </c>
      <c r="D1199" s="124" t="s">
        <v>1848</v>
      </c>
      <c r="E1199" s="126" t="s">
        <v>3967</v>
      </c>
      <c r="F1199" s="124" t="s">
        <v>3968</v>
      </c>
    </row>
    <row r="1200">
      <c r="A1200" s="125">
        <v>44474.809324965274</v>
      </c>
      <c r="B1200" s="124" t="s">
        <v>113</v>
      </c>
      <c r="C1200" s="124" t="s">
        <v>3400</v>
      </c>
      <c r="D1200" s="124" t="s">
        <v>3970</v>
      </c>
      <c r="E1200" s="126" t="s">
        <v>3971</v>
      </c>
      <c r="F1200" s="124" t="s">
        <v>3972</v>
      </c>
    </row>
    <row r="1201">
      <c r="A1201" s="125">
        <v>44474.82149563657</v>
      </c>
      <c r="B1201" s="124" t="s">
        <v>113</v>
      </c>
      <c r="C1201" s="124" t="s">
        <v>3318</v>
      </c>
      <c r="D1201" s="124" t="s">
        <v>3974</v>
      </c>
      <c r="E1201" s="126" t="s">
        <v>3975</v>
      </c>
      <c r="F1201" s="124" t="s">
        <v>3977</v>
      </c>
    </row>
    <row r="1202">
      <c r="A1202" s="125">
        <v>44474.877859733795</v>
      </c>
      <c r="B1202" s="124" t="s">
        <v>113</v>
      </c>
      <c r="C1202" s="124" t="s">
        <v>3435</v>
      </c>
      <c r="D1202" s="124" t="s">
        <v>1848</v>
      </c>
      <c r="E1202" s="126" t="s">
        <v>3978</v>
      </c>
      <c r="F1202" s="124" t="s">
        <v>3980</v>
      </c>
    </row>
    <row r="1203">
      <c r="A1203" s="125">
        <v>44474.878357974536</v>
      </c>
      <c r="B1203" s="124" t="s">
        <v>113</v>
      </c>
      <c r="C1203" s="124" t="s">
        <v>3276</v>
      </c>
      <c r="D1203" s="124" t="s">
        <v>1848</v>
      </c>
      <c r="E1203" s="126" t="s">
        <v>3981</v>
      </c>
      <c r="F1203" s="124" t="s">
        <v>3983</v>
      </c>
    </row>
    <row r="1204">
      <c r="A1204" s="125">
        <v>44474.87890427084</v>
      </c>
      <c r="B1204" s="124" t="s">
        <v>113</v>
      </c>
      <c r="C1204" s="124" t="s">
        <v>3939</v>
      </c>
      <c r="D1204" s="124" t="s">
        <v>1848</v>
      </c>
      <c r="E1204" s="126" t="s">
        <v>3984</v>
      </c>
      <c r="F1204" s="124" t="s">
        <v>3986</v>
      </c>
    </row>
    <row r="1205">
      <c r="A1205" s="125">
        <v>44474.87910907407</v>
      </c>
      <c r="B1205" s="124" t="s">
        <v>113</v>
      </c>
      <c r="C1205" s="124" t="s">
        <v>3289</v>
      </c>
      <c r="D1205" s="124" t="s">
        <v>1848</v>
      </c>
      <c r="E1205" s="126" t="s">
        <v>3987</v>
      </c>
      <c r="F1205" s="124" t="s">
        <v>3989</v>
      </c>
    </row>
    <row r="1206">
      <c r="A1206" s="125">
        <v>44475.35081069444</v>
      </c>
      <c r="B1206" s="124" t="s">
        <v>113</v>
      </c>
      <c r="C1206" s="124" t="s">
        <v>3435</v>
      </c>
      <c r="D1206" s="124" t="s">
        <v>280</v>
      </c>
      <c r="E1206" s="126" t="s">
        <v>3990</v>
      </c>
      <c r="F1206" s="124" t="s">
        <v>3992</v>
      </c>
    </row>
    <row r="1207">
      <c r="A1207" s="125">
        <v>44475.35302400463</v>
      </c>
      <c r="B1207" s="124" t="s">
        <v>113</v>
      </c>
      <c r="C1207" s="124" t="s">
        <v>3276</v>
      </c>
      <c r="D1207" s="124" t="s">
        <v>280</v>
      </c>
      <c r="E1207" s="126" t="s">
        <v>3994</v>
      </c>
      <c r="F1207" s="124" t="s">
        <v>3995</v>
      </c>
    </row>
    <row r="1208">
      <c r="A1208" s="125">
        <v>44475.35685974537</v>
      </c>
      <c r="B1208" s="124" t="s">
        <v>113</v>
      </c>
      <c r="C1208" s="124" t="s">
        <v>3250</v>
      </c>
      <c r="D1208" s="124" t="s">
        <v>321</v>
      </c>
      <c r="E1208" s="126" t="s">
        <v>3997</v>
      </c>
      <c r="F1208" s="124" t="s">
        <v>3998</v>
      </c>
    </row>
    <row r="1209">
      <c r="A1209" s="125">
        <v>44475.357436770835</v>
      </c>
      <c r="B1209" s="124" t="s">
        <v>113</v>
      </c>
      <c r="C1209" s="124" t="s">
        <v>3327</v>
      </c>
      <c r="D1209" s="124" t="s">
        <v>321</v>
      </c>
      <c r="E1209" s="126" t="s">
        <v>4000</v>
      </c>
      <c r="F1209" s="124" t="s">
        <v>4001</v>
      </c>
    </row>
    <row r="1210">
      <c r="A1210" s="125">
        <v>44475.35821922454</v>
      </c>
      <c r="B1210" s="124" t="s">
        <v>113</v>
      </c>
      <c r="C1210" s="124" t="s">
        <v>3276</v>
      </c>
      <c r="D1210" s="124" t="s">
        <v>4003</v>
      </c>
      <c r="E1210" s="126" t="s">
        <v>4004</v>
      </c>
      <c r="F1210" s="124" t="s">
        <v>4006</v>
      </c>
    </row>
    <row r="1211">
      <c r="A1211" s="125">
        <v>44475.35934872685</v>
      </c>
      <c r="B1211" s="124" t="s">
        <v>113</v>
      </c>
      <c r="C1211" s="124" t="s">
        <v>3318</v>
      </c>
      <c r="D1211" s="124" t="s">
        <v>4003</v>
      </c>
      <c r="E1211" s="126" t="s">
        <v>4007</v>
      </c>
      <c r="F1211" s="124" t="s">
        <v>4008</v>
      </c>
    </row>
    <row r="1212">
      <c r="A1212" s="125">
        <v>44475.35999165509</v>
      </c>
      <c r="B1212" s="124" t="s">
        <v>113</v>
      </c>
      <c r="C1212" s="124" t="s">
        <v>3327</v>
      </c>
      <c r="D1212" s="124" t="s">
        <v>4003</v>
      </c>
      <c r="E1212" s="126" t="s">
        <v>4010</v>
      </c>
      <c r="F1212" s="124" t="s">
        <v>4011</v>
      </c>
    </row>
    <row r="1213">
      <c r="A1213" s="125">
        <v>44475.37383045139</v>
      </c>
      <c r="B1213" s="124" t="s">
        <v>113</v>
      </c>
      <c r="C1213" s="124" t="s">
        <v>3318</v>
      </c>
      <c r="D1213" s="124" t="s">
        <v>1719</v>
      </c>
      <c r="E1213" s="126" t="s">
        <v>4013</v>
      </c>
      <c r="F1213" s="124" t="s">
        <v>4015</v>
      </c>
    </row>
    <row r="1214">
      <c r="A1214" s="125">
        <v>44475.376850659726</v>
      </c>
      <c r="B1214" s="124" t="s">
        <v>113</v>
      </c>
      <c r="C1214" s="124" t="s">
        <v>3318</v>
      </c>
      <c r="D1214" s="124" t="s">
        <v>3819</v>
      </c>
      <c r="E1214" s="126" t="s">
        <v>4016</v>
      </c>
      <c r="F1214" s="124" t="s">
        <v>4018</v>
      </c>
    </row>
    <row r="1215">
      <c r="A1215" s="125">
        <v>44475.39647511574</v>
      </c>
      <c r="B1215" s="124" t="s">
        <v>113</v>
      </c>
      <c r="C1215" s="124" t="s">
        <v>3435</v>
      </c>
      <c r="D1215" s="124" t="s">
        <v>1004</v>
      </c>
      <c r="E1215" s="126" t="s">
        <v>4019</v>
      </c>
      <c r="F1215" s="124" t="s">
        <v>4021</v>
      </c>
    </row>
    <row r="1216">
      <c r="A1216" s="125">
        <v>44475.401795868056</v>
      </c>
      <c r="B1216" s="124" t="s">
        <v>113</v>
      </c>
      <c r="C1216" s="124" t="s">
        <v>3400</v>
      </c>
      <c r="D1216" s="124" t="s">
        <v>549</v>
      </c>
      <c r="E1216" s="126" t="s">
        <v>4022</v>
      </c>
      <c r="F1216" s="124" t="s">
        <v>4024</v>
      </c>
    </row>
    <row r="1217">
      <c r="A1217" s="125">
        <v>44475.40191958333</v>
      </c>
      <c r="B1217" s="124" t="s">
        <v>113</v>
      </c>
      <c r="C1217" s="124" t="s">
        <v>3289</v>
      </c>
      <c r="D1217" s="124" t="s">
        <v>4025</v>
      </c>
      <c r="E1217" s="126" t="s">
        <v>4026</v>
      </c>
      <c r="F1217" s="124" t="s">
        <v>4028</v>
      </c>
    </row>
    <row r="1218">
      <c r="A1218" s="125">
        <v>44475.40382141204</v>
      </c>
      <c r="B1218" s="124" t="s">
        <v>113</v>
      </c>
      <c r="C1218" s="124" t="s">
        <v>3939</v>
      </c>
      <c r="D1218" s="124" t="s">
        <v>549</v>
      </c>
      <c r="E1218" s="126" t="s">
        <v>4029</v>
      </c>
      <c r="F1218" s="124" t="s">
        <v>4031</v>
      </c>
    </row>
    <row r="1219">
      <c r="A1219" s="125">
        <v>44475.40452185185</v>
      </c>
      <c r="B1219" s="124" t="s">
        <v>113</v>
      </c>
      <c r="C1219" s="124" t="s">
        <v>3250</v>
      </c>
      <c r="D1219" s="124" t="s">
        <v>549</v>
      </c>
      <c r="E1219" s="126" t="s">
        <v>4032</v>
      </c>
      <c r="F1219" s="124" t="s">
        <v>4034</v>
      </c>
    </row>
    <row r="1220">
      <c r="A1220" s="125">
        <v>44475.405863356485</v>
      </c>
      <c r="B1220" s="124" t="s">
        <v>113</v>
      </c>
      <c r="C1220" s="124" t="s">
        <v>3939</v>
      </c>
      <c r="D1220" s="124" t="s">
        <v>956</v>
      </c>
      <c r="E1220" s="126" t="s">
        <v>4035</v>
      </c>
      <c r="F1220" s="124" t="s">
        <v>4037</v>
      </c>
    </row>
    <row r="1221">
      <c r="A1221" s="125">
        <v>44475.40698670139</v>
      </c>
      <c r="B1221" s="124" t="s">
        <v>113</v>
      </c>
      <c r="C1221" s="124" t="s">
        <v>3250</v>
      </c>
      <c r="D1221" s="124" t="s">
        <v>956</v>
      </c>
      <c r="E1221" s="126" t="s">
        <v>4038</v>
      </c>
      <c r="F1221" s="124" t="s">
        <v>4040</v>
      </c>
    </row>
    <row r="1222">
      <c r="A1222" s="125">
        <v>44475.40839778935</v>
      </c>
      <c r="B1222" s="124" t="s">
        <v>113</v>
      </c>
      <c r="C1222" s="124" t="s">
        <v>3400</v>
      </c>
      <c r="D1222" s="124" t="s">
        <v>956</v>
      </c>
      <c r="E1222" s="126" t="s">
        <v>4041</v>
      </c>
      <c r="F1222" s="124" t="s">
        <v>4043</v>
      </c>
    </row>
    <row r="1223">
      <c r="A1223" s="125">
        <v>44475.41042917824</v>
      </c>
      <c r="B1223" s="124" t="s">
        <v>113</v>
      </c>
      <c r="C1223" s="124" t="s">
        <v>3435</v>
      </c>
      <c r="D1223" s="124" t="s">
        <v>4044</v>
      </c>
      <c r="E1223" s="126" t="s">
        <v>4045</v>
      </c>
      <c r="F1223" s="124" t="s">
        <v>4047</v>
      </c>
    </row>
    <row r="1224">
      <c r="A1224" s="125">
        <v>44475.41601241898</v>
      </c>
      <c r="B1224" s="124" t="s">
        <v>113</v>
      </c>
      <c r="C1224" s="124" t="s">
        <v>3435</v>
      </c>
      <c r="D1224" s="124" t="s">
        <v>1020</v>
      </c>
      <c r="E1224" s="126" t="s">
        <v>4048</v>
      </c>
      <c r="F1224" s="124" t="s">
        <v>4050</v>
      </c>
    </row>
    <row r="1225">
      <c r="A1225" s="125">
        <v>44475.4165521875</v>
      </c>
      <c r="B1225" s="124" t="s">
        <v>113</v>
      </c>
      <c r="C1225" s="124" t="s">
        <v>3318</v>
      </c>
      <c r="D1225" s="124" t="s">
        <v>1020</v>
      </c>
      <c r="E1225" s="126" t="s">
        <v>4051</v>
      </c>
      <c r="F1225" s="124" t="s">
        <v>4053</v>
      </c>
    </row>
    <row r="1226">
      <c r="A1226" s="125">
        <v>44475.41686059028</v>
      </c>
      <c r="B1226" s="124" t="s">
        <v>113</v>
      </c>
      <c r="C1226" s="124" t="s">
        <v>3327</v>
      </c>
      <c r="D1226" s="124" t="s">
        <v>1020</v>
      </c>
      <c r="E1226" s="126" t="s">
        <v>4054</v>
      </c>
      <c r="F1226" s="124" t="s">
        <v>4056</v>
      </c>
    </row>
    <row r="1227">
      <c r="A1227" s="125">
        <v>44475.41727128472</v>
      </c>
      <c r="B1227" s="124" t="s">
        <v>113</v>
      </c>
      <c r="C1227" s="124" t="s">
        <v>3323</v>
      </c>
      <c r="D1227" s="124" t="s">
        <v>1020</v>
      </c>
      <c r="E1227" s="126" t="s">
        <v>4058</v>
      </c>
      <c r="F1227" s="124" t="s">
        <v>4059</v>
      </c>
    </row>
    <row r="1228">
      <c r="A1228" s="125">
        <v>44475.451570833335</v>
      </c>
      <c r="B1228" s="124" t="s">
        <v>113</v>
      </c>
      <c r="C1228" s="124" t="s">
        <v>3327</v>
      </c>
      <c r="D1228" s="124" t="s">
        <v>4061</v>
      </c>
      <c r="E1228" s="126" t="s">
        <v>4062</v>
      </c>
      <c r="F1228" s="124" t="s">
        <v>4064</v>
      </c>
    </row>
    <row r="1229">
      <c r="A1229" s="125">
        <v>44475.4530183912</v>
      </c>
      <c r="B1229" s="124" t="s">
        <v>113</v>
      </c>
      <c r="C1229" s="124" t="s">
        <v>3435</v>
      </c>
      <c r="D1229" s="124" t="s">
        <v>4061</v>
      </c>
      <c r="E1229" s="126" t="s">
        <v>4065</v>
      </c>
      <c r="F1229" s="124" t="s">
        <v>4066</v>
      </c>
    </row>
    <row r="1230">
      <c r="A1230" s="125">
        <v>44476.48695842593</v>
      </c>
      <c r="B1230" s="124" t="s">
        <v>113</v>
      </c>
      <c r="C1230" s="124" t="s">
        <v>3939</v>
      </c>
      <c r="D1230" s="124" t="s">
        <v>4068</v>
      </c>
      <c r="E1230" s="126" t="s">
        <v>4069</v>
      </c>
      <c r="F1230" s="124" t="s">
        <v>4070</v>
      </c>
    </row>
    <row r="1231">
      <c r="A1231" s="125">
        <v>44476.588280462965</v>
      </c>
      <c r="B1231" s="124" t="s">
        <v>113</v>
      </c>
      <c r="C1231" s="124" t="s">
        <v>3318</v>
      </c>
      <c r="D1231" s="124" t="s">
        <v>639</v>
      </c>
      <c r="E1231" s="126" t="s">
        <v>4072</v>
      </c>
      <c r="F1231" s="124" t="s">
        <v>4074</v>
      </c>
    </row>
    <row r="1232">
      <c r="A1232" s="125">
        <v>44476.58911394676</v>
      </c>
      <c r="B1232" s="124" t="s">
        <v>113</v>
      </c>
      <c r="C1232" s="124" t="s">
        <v>3435</v>
      </c>
      <c r="D1232" s="124" t="s">
        <v>1151</v>
      </c>
      <c r="E1232" s="126" t="s">
        <v>4075</v>
      </c>
      <c r="F1232" s="124" t="s">
        <v>4077</v>
      </c>
    </row>
    <row r="1233">
      <c r="A1233" s="125">
        <v>44476.589554108796</v>
      </c>
      <c r="B1233" s="124" t="s">
        <v>113</v>
      </c>
      <c r="C1233" s="124" t="s">
        <v>3318</v>
      </c>
      <c r="D1233" s="124" t="s">
        <v>1151</v>
      </c>
      <c r="E1233" s="126" t="s">
        <v>4078</v>
      </c>
      <c r="F1233" s="124" t="s">
        <v>4080</v>
      </c>
    </row>
    <row r="1234">
      <c r="A1234" s="125">
        <v>44477.61529814814</v>
      </c>
      <c r="B1234" s="124" t="s">
        <v>113</v>
      </c>
      <c r="C1234" s="124" t="s">
        <v>3308</v>
      </c>
      <c r="D1234" s="124" t="s">
        <v>3845</v>
      </c>
      <c r="E1234" s="126" t="s">
        <v>4081</v>
      </c>
      <c r="F1234" s="124" t="s">
        <v>4083</v>
      </c>
    </row>
    <row r="1235">
      <c r="A1235" s="125">
        <v>44477.618045462965</v>
      </c>
      <c r="B1235" s="124" t="s">
        <v>113</v>
      </c>
      <c r="C1235" s="124" t="s">
        <v>3312</v>
      </c>
      <c r="D1235" s="124" t="s">
        <v>3845</v>
      </c>
      <c r="E1235" s="126" t="s">
        <v>4084</v>
      </c>
      <c r="F1235" s="124" t="s">
        <v>4086</v>
      </c>
    </row>
    <row r="1236">
      <c r="A1236" s="125">
        <v>44477.62019407407</v>
      </c>
      <c r="B1236" s="124" t="s">
        <v>113</v>
      </c>
      <c r="C1236" s="124" t="s">
        <v>3318</v>
      </c>
      <c r="D1236" s="124" t="s">
        <v>3845</v>
      </c>
      <c r="E1236" s="126" t="s">
        <v>4087</v>
      </c>
      <c r="F1236" s="124" t="s">
        <v>4089</v>
      </c>
    </row>
    <row r="1237">
      <c r="A1237" s="125">
        <v>44477.977044189814</v>
      </c>
      <c r="B1237" s="124" t="s">
        <v>113</v>
      </c>
      <c r="C1237" s="124" t="s">
        <v>3435</v>
      </c>
      <c r="D1237" s="124" t="s">
        <v>3970</v>
      </c>
      <c r="E1237" s="126" t="s">
        <v>4090</v>
      </c>
      <c r="F1237" s="124" t="s">
        <v>4091</v>
      </c>
    </row>
    <row r="1238">
      <c r="A1238" s="125">
        <v>44480.47547528935</v>
      </c>
      <c r="B1238" s="124" t="s">
        <v>113</v>
      </c>
      <c r="C1238" s="124" t="s">
        <v>3435</v>
      </c>
      <c r="D1238" s="124" t="s">
        <v>4093</v>
      </c>
      <c r="E1238" s="126" t="s">
        <v>4094</v>
      </c>
      <c r="F1238" s="124" t="s">
        <v>4095</v>
      </c>
    </row>
    <row r="1239">
      <c r="A1239" s="125">
        <v>44480.5024833912</v>
      </c>
      <c r="B1239" s="124" t="s">
        <v>113</v>
      </c>
      <c r="C1239" s="124" t="s">
        <v>3250</v>
      </c>
      <c r="D1239" s="124" t="s">
        <v>3731</v>
      </c>
      <c r="E1239" s="126" t="s">
        <v>4097</v>
      </c>
      <c r="F1239" s="124" t="s">
        <v>4099</v>
      </c>
    </row>
    <row r="1240">
      <c r="A1240" s="125">
        <v>44480.59508114583</v>
      </c>
      <c r="B1240" s="124" t="s">
        <v>113</v>
      </c>
      <c r="C1240" s="124" t="s">
        <v>3308</v>
      </c>
      <c r="D1240" s="124" t="s">
        <v>4100</v>
      </c>
      <c r="E1240" s="126" t="s">
        <v>4101</v>
      </c>
      <c r="F1240" s="124" t="s">
        <v>4103</v>
      </c>
    </row>
    <row r="1241">
      <c r="A1241" s="125">
        <v>44481.70439854167</v>
      </c>
      <c r="B1241" s="124" t="s">
        <v>113</v>
      </c>
      <c r="C1241" s="124" t="s">
        <v>3318</v>
      </c>
      <c r="D1241" s="124" t="s">
        <v>4104</v>
      </c>
      <c r="E1241" s="126" t="s">
        <v>4105</v>
      </c>
      <c r="F1241" s="124" t="s">
        <v>4106</v>
      </c>
    </row>
    <row r="1242">
      <c r="A1242" s="125">
        <v>44482.52288267361</v>
      </c>
      <c r="B1242" s="124" t="s">
        <v>113</v>
      </c>
      <c r="C1242" s="124" t="s">
        <v>3177</v>
      </c>
      <c r="D1242" s="124" t="s">
        <v>4107</v>
      </c>
      <c r="E1242" s="126" t="s">
        <v>4108</v>
      </c>
      <c r="F1242" s="124" t="s">
        <v>3234</v>
      </c>
    </row>
    <row r="1243">
      <c r="A1243" s="125">
        <v>44482.63762241898</v>
      </c>
      <c r="B1243" s="124" t="s">
        <v>113</v>
      </c>
      <c r="C1243" s="124" t="s">
        <v>3939</v>
      </c>
      <c r="D1243" s="124" t="s">
        <v>3303</v>
      </c>
      <c r="E1243" s="126" t="s">
        <v>4110</v>
      </c>
      <c r="F1243" s="124" t="s">
        <v>4112</v>
      </c>
    </row>
    <row r="1244">
      <c r="A1244" s="125">
        <v>44483.50070645833</v>
      </c>
      <c r="B1244" s="124" t="s">
        <v>113</v>
      </c>
      <c r="C1244" s="124" t="s">
        <v>3318</v>
      </c>
      <c r="D1244" s="124" t="s">
        <v>4113</v>
      </c>
      <c r="E1244" s="126" t="s">
        <v>4114</v>
      </c>
      <c r="F1244" s="124" t="s">
        <v>4116</v>
      </c>
    </row>
    <row r="1245">
      <c r="A1245" s="125">
        <v>44483.50129159722</v>
      </c>
      <c r="B1245" s="124" t="s">
        <v>113</v>
      </c>
      <c r="C1245" s="124" t="s">
        <v>3939</v>
      </c>
      <c r="D1245" s="124" t="s">
        <v>4113</v>
      </c>
      <c r="E1245" s="126" t="s">
        <v>4117</v>
      </c>
      <c r="F1245" s="124" t="s">
        <v>4119</v>
      </c>
    </row>
    <row r="1246">
      <c r="A1246" s="125">
        <v>44483.70566659722</v>
      </c>
      <c r="B1246" s="124" t="s">
        <v>113</v>
      </c>
      <c r="C1246" s="124" t="s">
        <v>3435</v>
      </c>
      <c r="D1246" s="124" t="s">
        <v>4120</v>
      </c>
      <c r="E1246" s="126" t="s">
        <v>4121</v>
      </c>
      <c r="F1246" s="124" t="s">
        <v>4123</v>
      </c>
    </row>
    <row r="1247">
      <c r="A1247" s="125">
        <v>44483.73323858796</v>
      </c>
      <c r="B1247" s="124" t="s">
        <v>113</v>
      </c>
      <c r="C1247" s="124" t="s">
        <v>3435</v>
      </c>
      <c r="D1247" s="124" t="s">
        <v>198</v>
      </c>
      <c r="E1247" s="126" t="s">
        <v>4124</v>
      </c>
      <c r="F1247" s="124" t="s">
        <v>4126</v>
      </c>
    </row>
    <row r="1248">
      <c r="A1248" s="125">
        <v>44483.7497181713</v>
      </c>
      <c r="B1248" s="124" t="s">
        <v>113</v>
      </c>
      <c r="C1248" s="124" t="s">
        <v>3323</v>
      </c>
      <c r="D1248" s="124" t="s">
        <v>941</v>
      </c>
      <c r="E1248" s="126" t="s">
        <v>4127</v>
      </c>
      <c r="F1248" s="124" t="s">
        <v>4129</v>
      </c>
    </row>
    <row r="1249">
      <c r="A1249" s="125">
        <v>44483.75911269676</v>
      </c>
      <c r="B1249" s="124" t="s">
        <v>113</v>
      </c>
      <c r="C1249" s="124" t="s">
        <v>3318</v>
      </c>
      <c r="D1249" s="124" t="s">
        <v>941</v>
      </c>
      <c r="E1249" s="126" t="s">
        <v>4130</v>
      </c>
      <c r="F1249" s="124" t="s">
        <v>4132</v>
      </c>
    </row>
    <row r="1250">
      <c r="A1250" s="125">
        <v>44483.75969047454</v>
      </c>
      <c r="B1250" s="124" t="s">
        <v>113</v>
      </c>
      <c r="C1250" s="124" t="s">
        <v>3327</v>
      </c>
      <c r="D1250" s="124" t="s">
        <v>941</v>
      </c>
      <c r="E1250" s="126" t="s">
        <v>4133</v>
      </c>
      <c r="F1250" s="124" t="s">
        <v>4135</v>
      </c>
    </row>
    <row r="1251">
      <c r="A1251" s="125">
        <v>44483.7605878125</v>
      </c>
      <c r="B1251" s="124" t="s">
        <v>113</v>
      </c>
      <c r="C1251" s="124" t="s">
        <v>3289</v>
      </c>
      <c r="D1251" s="124" t="s">
        <v>941</v>
      </c>
      <c r="E1251" s="126" t="s">
        <v>4136</v>
      </c>
      <c r="F1251" s="124" t="s">
        <v>4138</v>
      </c>
    </row>
    <row r="1252">
      <c r="A1252" s="125">
        <v>44483.7613693287</v>
      </c>
      <c r="B1252" s="124" t="s">
        <v>113</v>
      </c>
      <c r="C1252" s="124" t="s">
        <v>3435</v>
      </c>
      <c r="D1252" s="124" t="s">
        <v>941</v>
      </c>
      <c r="E1252" s="126" t="s">
        <v>4139</v>
      </c>
      <c r="F1252" s="124" t="s">
        <v>4141</v>
      </c>
    </row>
    <row r="1253">
      <c r="A1253" s="125">
        <v>44484.36957144676</v>
      </c>
      <c r="B1253" s="124" t="s">
        <v>113</v>
      </c>
      <c r="C1253" s="124" t="s">
        <v>3435</v>
      </c>
      <c r="D1253" s="124" t="s">
        <v>1864</v>
      </c>
      <c r="E1253" s="126" t="s">
        <v>4142</v>
      </c>
      <c r="F1253" s="124" t="s">
        <v>4144</v>
      </c>
    </row>
    <row r="1254">
      <c r="A1254" s="125">
        <v>44484.37855270834</v>
      </c>
      <c r="B1254" s="124" t="s">
        <v>113</v>
      </c>
      <c r="C1254" s="124" t="s">
        <v>3435</v>
      </c>
      <c r="D1254" s="124" t="s">
        <v>1820</v>
      </c>
      <c r="E1254" s="126" t="s">
        <v>4145</v>
      </c>
      <c r="F1254" s="124" t="s">
        <v>4147</v>
      </c>
    </row>
    <row r="1255">
      <c r="A1255" s="125">
        <v>44484.40348811343</v>
      </c>
      <c r="B1255" s="124" t="s">
        <v>113</v>
      </c>
      <c r="C1255" s="124" t="s">
        <v>3435</v>
      </c>
      <c r="D1255" s="124" t="s">
        <v>2027</v>
      </c>
      <c r="E1255" s="126" t="s">
        <v>4148</v>
      </c>
      <c r="F1255" s="124" t="s">
        <v>4150</v>
      </c>
    </row>
    <row r="1256">
      <c r="A1256" s="125">
        <v>44484.42486644676</v>
      </c>
      <c r="B1256" s="124" t="s">
        <v>113</v>
      </c>
      <c r="C1256" s="124" t="s">
        <v>3331</v>
      </c>
      <c r="D1256" s="124" t="s">
        <v>1127</v>
      </c>
      <c r="E1256" s="126" t="s">
        <v>4151</v>
      </c>
      <c r="F1256" s="124" t="s">
        <v>4153</v>
      </c>
    </row>
    <row r="1257">
      <c r="A1257" s="125">
        <v>44484.42670621528</v>
      </c>
      <c r="B1257" s="124" t="s">
        <v>113</v>
      </c>
      <c r="C1257" s="124" t="s">
        <v>3939</v>
      </c>
      <c r="D1257" s="124" t="s">
        <v>1127</v>
      </c>
      <c r="E1257" s="126" t="s">
        <v>4154</v>
      </c>
      <c r="F1257" s="124" t="s">
        <v>4156</v>
      </c>
    </row>
    <row r="1258">
      <c r="A1258" s="125">
        <v>44484.47070731482</v>
      </c>
      <c r="B1258" s="124" t="s">
        <v>113</v>
      </c>
      <c r="C1258" s="124" t="s">
        <v>3939</v>
      </c>
      <c r="D1258" s="124" t="s">
        <v>228</v>
      </c>
      <c r="E1258" s="126" t="s">
        <v>4157</v>
      </c>
      <c r="F1258" s="124" t="s">
        <v>4159</v>
      </c>
    </row>
    <row r="1259">
      <c r="A1259" s="125">
        <v>44484.49593452546</v>
      </c>
      <c r="B1259" s="124" t="s">
        <v>113</v>
      </c>
      <c r="C1259" s="124" t="s">
        <v>3435</v>
      </c>
      <c r="D1259" s="124" t="s">
        <v>4160</v>
      </c>
      <c r="E1259" s="126" t="s">
        <v>4161</v>
      </c>
      <c r="F1259" s="124" t="s">
        <v>4163</v>
      </c>
    </row>
    <row r="1260">
      <c r="A1260" s="125">
        <v>44484.91584202547</v>
      </c>
      <c r="B1260" s="124" t="s">
        <v>113</v>
      </c>
      <c r="C1260" s="124" t="s">
        <v>3435</v>
      </c>
      <c r="D1260" s="124" t="s">
        <v>4164</v>
      </c>
      <c r="E1260" s="126" t="s">
        <v>4165</v>
      </c>
      <c r="F1260" s="124" t="s">
        <v>4167</v>
      </c>
    </row>
    <row r="1261">
      <c r="A1261" s="125">
        <v>44486.89309491898</v>
      </c>
      <c r="B1261" s="124" t="s">
        <v>113</v>
      </c>
      <c r="C1261" s="124" t="s">
        <v>3323</v>
      </c>
      <c r="D1261" s="124" t="s">
        <v>3974</v>
      </c>
      <c r="E1261" s="126" t="s">
        <v>4169</v>
      </c>
      <c r="F1261" s="124" t="s">
        <v>4170</v>
      </c>
    </row>
    <row r="1262">
      <c r="A1262" s="125">
        <v>44487.420200636574</v>
      </c>
      <c r="B1262" s="124" t="s">
        <v>113</v>
      </c>
      <c r="C1262" s="124" t="s">
        <v>3939</v>
      </c>
      <c r="D1262" s="124" t="s">
        <v>4172</v>
      </c>
      <c r="E1262" s="126" t="s">
        <v>4173</v>
      </c>
      <c r="F1262" s="124" t="s">
        <v>4174</v>
      </c>
    </row>
    <row r="1263">
      <c r="A1263" s="125">
        <v>44487.42081170139</v>
      </c>
      <c r="B1263" s="124" t="s">
        <v>113</v>
      </c>
      <c r="C1263" s="124" t="s">
        <v>3318</v>
      </c>
      <c r="D1263" s="124" t="s">
        <v>4172</v>
      </c>
      <c r="E1263" s="126" t="s">
        <v>4176</v>
      </c>
      <c r="F1263" s="124" t="s">
        <v>4177</v>
      </c>
    </row>
    <row r="1264">
      <c r="A1264" s="125">
        <v>44487.45431424769</v>
      </c>
      <c r="B1264" s="124" t="s">
        <v>113</v>
      </c>
      <c r="C1264" s="124" t="s">
        <v>3327</v>
      </c>
      <c r="D1264" s="124" t="s">
        <v>1127</v>
      </c>
      <c r="E1264" s="126" t="s">
        <v>4179</v>
      </c>
      <c r="F1264" s="124" t="s">
        <v>4181</v>
      </c>
    </row>
    <row r="1265">
      <c r="A1265" s="125">
        <v>44487.454958692135</v>
      </c>
      <c r="B1265" s="124" t="s">
        <v>113</v>
      </c>
      <c r="C1265" s="124" t="s">
        <v>3323</v>
      </c>
      <c r="D1265" s="124" t="s">
        <v>1127</v>
      </c>
      <c r="E1265" s="126" t="s">
        <v>4182</v>
      </c>
      <c r="F1265" s="124" t="s">
        <v>4183</v>
      </c>
    </row>
    <row r="1266">
      <c r="A1266" s="125">
        <v>44487.45524996528</v>
      </c>
      <c r="B1266" s="124" t="s">
        <v>113</v>
      </c>
      <c r="C1266" s="124" t="s">
        <v>3289</v>
      </c>
      <c r="D1266" s="124" t="s">
        <v>1127</v>
      </c>
      <c r="E1266" s="126" t="s">
        <v>4185</v>
      </c>
      <c r="F1266" s="124" t="s">
        <v>4187</v>
      </c>
    </row>
    <row r="1267">
      <c r="A1267" s="125">
        <v>44488.47002789352</v>
      </c>
      <c r="B1267" s="124" t="s">
        <v>113</v>
      </c>
      <c r="C1267" s="124" t="s">
        <v>3342</v>
      </c>
      <c r="D1267" s="124" t="s">
        <v>1456</v>
      </c>
      <c r="E1267" s="126" t="s">
        <v>4188</v>
      </c>
      <c r="F1267" s="124" t="s">
        <v>4190</v>
      </c>
    </row>
    <row r="1268">
      <c r="A1268" s="125">
        <v>44488.47077954861</v>
      </c>
      <c r="B1268" s="124" t="s">
        <v>113</v>
      </c>
      <c r="C1268" s="124" t="s">
        <v>3250</v>
      </c>
      <c r="D1268" s="124" t="s">
        <v>1456</v>
      </c>
      <c r="E1268" s="126" t="s">
        <v>4191</v>
      </c>
      <c r="F1268" s="124" t="s">
        <v>4192</v>
      </c>
    </row>
    <row r="1269">
      <c r="A1269" s="125">
        <v>44488.47220802083</v>
      </c>
      <c r="B1269" s="124" t="s">
        <v>113</v>
      </c>
      <c r="C1269" s="124" t="s">
        <v>3254</v>
      </c>
      <c r="D1269" s="124" t="s">
        <v>1456</v>
      </c>
      <c r="E1269" s="126" t="s">
        <v>4194</v>
      </c>
      <c r="F1269" s="124" t="s">
        <v>4196</v>
      </c>
    </row>
    <row r="1270">
      <c r="A1270" s="125">
        <v>44488.47301273148</v>
      </c>
      <c r="B1270" s="124" t="s">
        <v>113</v>
      </c>
      <c r="C1270" s="124" t="s">
        <v>3254</v>
      </c>
      <c r="D1270" s="124" t="s">
        <v>3314</v>
      </c>
      <c r="E1270" s="126" t="s">
        <v>4197</v>
      </c>
      <c r="F1270" s="124" t="s">
        <v>4199</v>
      </c>
    </row>
    <row r="1271">
      <c r="A1271" s="125">
        <v>44488.57474105324</v>
      </c>
      <c r="B1271" s="124" t="s">
        <v>113</v>
      </c>
      <c r="C1271" s="124" t="s">
        <v>3400</v>
      </c>
      <c r="D1271" s="124" t="s">
        <v>3303</v>
      </c>
      <c r="E1271" s="126" t="s">
        <v>4200</v>
      </c>
      <c r="F1271" s="124" t="s">
        <v>4202</v>
      </c>
    </row>
    <row r="1272">
      <c r="A1272" s="125">
        <v>44488.595168217595</v>
      </c>
      <c r="B1272" s="124" t="s">
        <v>113</v>
      </c>
      <c r="C1272" s="124" t="s">
        <v>3323</v>
      </c>
      <c r="D1272" s="124" t="s">
        <v>4160</v>
      </c>
      <c r="E1272" s="126" t="s">
        <v>4203</v>
      </c>
      <c r="F1272" s="124" t="s">
        <v>4204</v>
      </c>
    </row>
    <row r="1273">
      <c r="A1273" s="125">
        <v>44488.60970752315</v>
      </c>
      <c r="B1273" s="124" t="s">
        <v>113</v>
      </c>
      <c r="C1273" s="124" t="s">
        <v>3318</v>
      </c>
      <c r="D1273" s="124" t="s">
        <v>4160</v>
      </c>
      <c r="E1273" s="126" t="s">
        <v>4205</v>
      </c>
      <c r="F1273" s="124" t="s">
        <v>4207</v>
      </c>
    </row>
    <row r="1274">
      <c r="A1274" s="125">
        <v>44488.61028434028</v>
      </c>
      <c r="B1274" s="124" t="s">
        <v>113</v>
      </c>
      <c r="C1274" s="124" t="s">
        <v>3327</v>
      </c>
      <c r="D1274" s="124" t="s">
        <v>4160</v>
      </c>
      <c r="E1274" s="126" t="s">
        <v>4208</v>
      </c>
      <c r="F1274" s="124" t="s">
        <v>4210</v>
      </c>
    </row>
    <row r="1275">
      <c r="A1275" s="125">
        <v>44488.650423032406</v>
      </c>
      <c r="B1275" s="124" t="s">
        <v>113</v>
      </c>
      <c r="C1275" s="124" t="s">
        <v>3246</v>
      </c>
      <c r="D1275" s="124" t="s">
        <v>3353</v>
      </c>
      <c r="E1275" s="126" t="s">
        <v>4211</v>
      </c>
      <c r="F1275" s="124" t="s">
        <v>4212</v>
      </c>
    </row>
    <row r="1276">
      <c r="A1276" s="125">
        <v>44488.65604328703</v>
      </c>
      <c r="B1276" s="124" t="s">
        <v>113</v>
      </c>
      <c r="C1276" s="124" t="s">
        <v>3318</v>
      </c>
      <c r="D1276" s="124" t="s">
        <v>3947</v>
      </c>
      <c r="E1276" s="126" t="s">
        <v>4214</v>
      </c>
      <c r="F1276" s="124" t="s">
        <v>4215</v>
      </c>
    </row>
    <row r="1277">
      <c r="A1277" s="125">
        <v>44488.659294513884</v>
      </c>
      <c r="B1277" s="124" t="s">
        <v>113</v>
      </c>
      <c r="C1277" s="124" t="s">
        <v>3327</v>
      </c>
      <c r="D1277" s="124" t="s">
        <v>3947</v>
      </c>
      <c r="E1277" s="126" t="s">
        <v>4216</v>
      </c>
      <c r="F1277" s="124" t="s">
        <v>4217</v>
      </c>
    </row>
    <row r="1278">
      <c r="A1278" s="125">
        <v>44488.660435474536</v>
      </c>
      <c r="B1278" s="124" t="s">
        <v>113</v>
      </c>
      <c r="C1278" s="124" t="s">
        <v>3323</v>
      </c>
      <c r="D1278" s="124" t="s">
        <v>3947</v>
      </c>
      <c r="E1278" s="126" t="s">
        <v>4218</v>
      </c>
      <c r="F1278" s="124" t="s">
        <v>4219</v>
      </c>
    </row>
    <row r="1279">
      <c r="A1279" s="125">
        <v>44488.661169467596</v>
      </c>
      <c r="B1279" s="124" t="s">
        <v>113</v>
      </c>
      <c r="C1279" s="124" t="s">
        <v>3289</v>
      </c>
      <c r="D1279" s="124" t="s">
        <v>3947</v>
      </c>
      <c r="E1279" s="126" t="s">
        <v>4220</v>
      </c>
      <c r="F1279" s="124" t="s">
        <v>4222</v>
      </c>
    </row>
    <row r="1280">
      <c r="A1280" s="125">
        <v>44489.4811240625</v>
      </c>
      <c r="B1280" s="124" t="s">
        <v>113</v>
      </c>
      <c r="C1280" s="124" t="s">
        <v>3308</v>
      </c>
      <c r="D1280" s="124" t="s">
        <v>3970</v>
      </c>
      <c r="E1280" s="126" t="s">
        <v>4223</v>
      </c>
      <c r="F1280" s="124" t="s">
        <v>4225</v>
      </c>
    </row>
    <row r="1281">
      <c r="A1281" s="125">
        <v>44491.36086570602</v>
      </c>
      <c r="B1281" s="124" t="s">
        <v>113</v>
      </c>
      <c r="C1281" s="124" t="s">
        <v>3276</v>
      </c>
      <c r="D1281" s="124" t="s">
        <v>1456</v>
      </c>
      <c r="E1281" s="126" t="s">
        <v>4226</v>
      </c>
      <c r="F1281" s="124" t="s">
        <v>4228</v>
      </c>
    </row>
    <row r="1282">
      <c r="A1282" s="125">
        <v>44491.527566689816</v>
      </c>
      <c r="B1282" s="124" t="s">
        <v>113</v>
      </c>
      <c r="C1282" s="124" t="s">
        <v>3293</v>
      </c>
      <c r="D1282" s="124" t="s">
        <v>4229</v>
      </c>
      <c r="E1282" s="126" t="s">
        <v>4230</v>
      </c>
      <c r="F1282" s="124" t="s">
        <v>4232</v>
      </c>
    </row>
    <row r="1283">
      <c r="A1283" s="125">
        <v>44491.53115652778</v>
      </c>
      <c r="B1283" s="124" t="s">
        <v>113</v>
      </c>
      <c r="C1283" s="124" t="s">
        <v>3318</v>
      </c>
      <c r="D1283" s="124" t="s">
        <v>4229</v>
      </c>
      <c r="E1283" s="126" t="s">
        <v>4233</v>
      </c>
      <c r="F1283" s="124" t="s">
        <v>4235</v>
      </c>
    </row>
    <row r="1284">
      <c r="A1284" s="125">
        <v>44491.69601023148</v>
      </c>
      <c r="B1284" s="124" t="s">
        <v>113</v>
      </c>
      <c r="C1284" s="124" t="s">
        <v>3318</v>
      </c>
      <c r="D1284" s="124" t="s">
        <v>4236</v>
      </c>
      <c r="E1284" s="126" t="s">
        <v>4237</v>
      </c>
      <c r="F1284" s="124" t="s">
        <v>4239</v>
      </c>
    </row>
    <row r="1285">
      <c r="A1285" s="125">
        <v>44491.696543275466</v>
      </c>
      <c r="B1285" s="124" t="s">
        <v>113</v>
      </c>
      <c r="C1285" s="124" t="s">
        <v>3323</v>
      </c>
      <c r="D1285" s="124" t="s">
        <v>4236</v>
      </c>
      <c r="E1285" s="126" t="s">
        <v>4241</v>
      </c>
      <c r="F1285" s="124" t="s">
        <v>4242</v>
      </c>
    </row>
    <row r="1286">
      <c r="A1286" s="125">
        <v>44493.98847752315</v>
      </c>
      <c r="B1286" s="124" t="s">
        <v>113</v>
      </c>
      <c r="C1286" s="124" t="s">
        <v>3246</v>
      </c>
      <c r="D1286" s="124" t="s">
        <v>941</v>
      </c>
      <c r="E1286" s="126" t="s">
        <v>4244</v>
      </c>
      <c r="F1286" s="124" t="s">
        <v>4245</v>
      </c>
    </row>
    <row r="1287">
      <c r="A1287" s="125">
        <v>44495.36649429398</v>
      </c>
      <c r="B1287" s="124" t="s">
        <v>113</v>
      </c>
      <c r="C1287" s="124" t="s">
        <v>3323</v>
      </c>
      <c r="D1287" s="124" t="s">
        <v>3353</v>
      </c>
      <c r="E1287" s="126" t="s">
        <v>4246</v>
      </c>
      <c r="F1287" s="124" t="s">
        <v>4248</v>
      </c>
    </row>
    <row r="1288">
      <c r="A1288" s="125">
        <v>44495.36678300926</v>
      </c>
      <c r="B1288" s="124" t="s">
        <v>113</v>
      </c>
      <c r="C1288" s="124" t="s">
        <v>3318</v>
      </c>
      <c r="D1288" s="124" t="s">
        <v>3353</v>
      </c>
      <c r="E1288" s="126" t="s">
        <v>4249</v>
      </c>
      <c r="F1288" s="124" t="s">
        <v>4251</v>
      </c>
    </row>
    <row r="1289">
      <c r="A1289" s="125">
        <v>44495.62859049768</v>
      </c>
      <c r="B1289" s="124" t="s">
        <v>113</v>
      </c>
      <c r="C1289" s="124" t="s">
        <v>3318</v>
      </c>
      <c r="D1289" s="124" t="s">
        <v>135</v>
      </c>
      <c r="E1289" s="126" t="s">
        <v>4253</v>
      </c>
      <c r="F1289" s="124" t="s">
        <v>4255</v>
      </c>
    </row>
    <row r="1290">
      <c r="A1290" s="125">
        <v>44497.711258587966</v>
      </c>
      <c r="B1290" s="124" t="s">
        <v>113</v>
      </c>
      <c r="C1290" s="124" t="s">
        <v>3293</v>
      </c>
      <c r="D1290" s="124" t="s">
        <v>3353</v>
      </c>
      <c r="E1290" s="126" t="s">
        <v>4256</v>
      </c>
      <c r="F1290" s="124" t="s">
        <v>4258</v>
      </c>
    </row>
    <row r="1291">
      <c r="A1291" s="125">
        <v>44497.712426921295</v>
      </c>
      <c r="B1291" s="124" t="s">
        <v>113</v>
      </c>
      <c r="C1291" s="124" t="s">
        <v>3312</v>
      </c>
      <c r="D1291" s="124" t="s">
        <v>3353</v>
      </c>
      <c r="E1291" s="126" t="s">
        <v>4259</v>
      </c>
      <c r="F1291" s="124" t="s">
        <v>4262</v>
      </c>
    </row>
    <row r="1292">
      <c r="A1292" s="125">
        <v>44497.73148153935</v>
      </c>
      <c r="B1292" s="124" t="s">
        <v>113</v>
      </c>
      <c r="C1292" s="124" t="s">
        <v>3281</v>
      </c>
      <c r="D1292" s="124" t="s">
        <v>1127</v>
      </c>
      <c r="E1292" s="126" t="s">
        <v>4264</v>
      </c>
      <c r="F1292" s="124" t="s">
        <v>4267</v>
      </c>
    </row>
    <row r="1293">
      <c r="A1293" s="125">
        <v>44501.49628234954</v>
      </c>
      <c r="B1293" s="124" t="s">
        <v>113</v>
      </c>
      <c r="C1293" s="124" t="s">
        <v>3262</v>
      </c>
      <c r="D1293" s="124" t="s">
        <v>894</v>
      </c>
      <c r="E1293" s="126" t="s">
        <v>4268</v>
      </c>
      <c r="F1293" s="124" t="s">
        <v>4269</v>
      </c>
    </row>
    <row r="1294">
      <c r="A1294" s="125">
        <v>44501.49656864583</v>
      </c>
      <c r="B1294" s="124" t="s">
        <v>113</v>
      </c>
      <c r="C1294" s="124" t="s">
        <v>3281</v>
      </c>
      <c r="D1294" s="124" t="s">
        <v>894</v>
      </c>
      <c r="E1294" s="126" t="s">
        <v>4271</v>
      </c>
      <c r="F1294" s="124" t="s">
        <v>4272</v>
      </c>
    </row>
    <row r="1295">
      <c r="A1295" s="125">
        <v>44501.496806979165</v>
      </c>
      <c r="B1295" s="124" t="s">
        <v>113</v>
      </c>
      <c r="C1295" s="124" t="s">
        <v>3262</v>
      </c>
      <c r="D1295" s="124" t="s">
        <v>609</v>
      </c>
      <c r="E1295" s="126" t="s">
        <v>4274</v>
      </c>
      <c r="F1295" s="124" t="s">
        <v>4275</v>
      </c>
    </row>
    <row r="1296">
      <c r="A1296" s="125">
        <v>44501.497667557865</v>
      </c>
      <c r="B1296" s="124" t="s">
        <v>113</v>
      </c>
      <c r="C1296" s="124" t="s">
        <v>3281</v>
      </c>
      <c r="D1296" s="124" t="s">
        <v>609</v>
      </c>
      <c r="E1296" s="126" t="s">
        <v>4276</v>
      </c>
      <c r="F1296" s="124" t="s">
        <v>4278</v>
      </c>
    </row>
    <row r="1297">
      <c r="A1297" s="125">
        <v>44504.43155015046</v>
      </c>
      <c r="B1297" s="124" t="s">
        <v>113</v>
      </c>
      <c r="C1297" s="124" t="s">
        <v>3293</v>
      </c>
      <c r="D1297" s="124" t="s">
        <v>4279</v>
      </c>
      <c r="E1297" s="126" t="s">
        <v>4280</v>
      </c>
      <c r="F1297" s="124" t="s">
        <v>4282</v>
      </c>
    </row>
    <row r="1298">
      <c r="A1298" s="125">
        <v>44505.41805741898</v>
      </c>
      <c r="B1298" s="124" t="s">
        <v>113</v>
      </c>
      <c r="C1298" s="124" t="s">
        <v>3262</v>
      </c>
      <c r="D1298" s="124" t="s">
        <v>3303</v>
      </c>
      <c r="E1298" s="126" t="s">
        <v>4283</v>
      </c>
      <c r="F1298" s="124" t="s">
        <v>4285</v>
      </c>
    </row>
    <row r="1299">
      <c r="A1299" s="125">
        <v>44505.42726123842</v>
      </c>
      <c r="B1299" s="124" t="s">
        <v>113</v>
      </c>
      <c r="C1299" s="124" t="s">
        <v>3342</v>
      </c>
      <c r="D1299" s="124" t="s">
        <v>3765</v>
      </c>
      <c r="E1299" s="126" t="s">
        <v>4286</v>
      </c>
      <c r="F1299" s="124" t="s">
        <v>4288</v>
      </c>
    </row>
    <row r="1300">
      <c r="A1300" s="125">
        <v>44505.4331165162</v>
      </c>
      <c r="B1300" s="124" t="s">
        <v>113</v>
      </c>
      <c r="C1300" s="124" t="s">
        <v>3318</v>
      </c>
      <c r="D1300" s="124" t="s">
        <v>4289</v>
      </c>
      <c r="E1300" s="126" t="s">
        <v>4290</v>
      </c>
      <c r="F1300" s="124" t="s">
        <v>4291</v>
      </c>
    </row>
    <row r="1301">
      <c r="A1301" s="125">
        <v>44505.43459434027</v>
      </c>
      <c r="B1301" s="124" t="s">
        <v>113</v>
      </c>
      <c r="C1301" s="124" t="s">
        <v>3254</v>
      </c>
      <c r="D1301" s="124" t="s">
        <v>4289</v>
      </c>
      <c r="E1301" s="126" t="s">
        <v>4292</v>
      </c>
      <c r="F1301" s="124" t="s">
        <v>4294</v>
      </c>
    </row>
    <row r="1302">
      <c r="A1302" s="125">
        <v>44505.436825902776</v>
      </c>
      <c r="B1302" s="124" t="s">
        <v>113</v>
      </c>
      <c r="C1302" s="124" t="s">
        <v>3276</v>
      </c>
      <c r="D1302" s="124" t="s">
        <v>3303</v>
      </c>
      <c r="E1302" s="126" t="s">
        <v>4295</v>
      </c>
      <c r="F1302" s="124" t="s">
        <v>4297</v>
      </c>
    </row>
    <row r="1303">
      <c r="A1303" s="125">
        <v>44505.5157146412</v>
      </c>
      <c r="B1303" s="124" t="s">
        <v>113</v>
      </c>
      <c r="C1303" s="124" t="s">
        <v>3250</v>
      </c>
      <c r="D1303" s="124" t="s">
        <v>2686</v>
      </c>
      <c r="E1303" s="126" t="s">
        <v>4298</v>
      </c>
      <c r="F1303" s="124" t="s">
        <v>4300</v>
      </c>
    </row>
    <row r="1304">
      <c r="A1304" s="125">
        <v>44508.502117129625</v>
      </c>
      <c r="B1304" s="124" t="s">
        <v>113</v>
      </c>
      <c r="C1304" s="124" t="s">
        <v>3318</v>
      </c>
      <c r="D1304" s="124" t="s">
        <v>2975</v>
      </c>
      <c r="E1304" s="126" t="s">
        <v>4301</v>
      </c>
      <c r="F1304" s="124" t="s">
        <v>4303</v>
      </c>
    </row>
    <row r="1305">
      <c r="A1305" s="125">
        <v>44508.50365226852</v>
      </c>
      <c r="B1305" s="124" t="s">
        <v>113</v>
      </c>
      <c r="C1305" s="124" t="s">
        <v>3323</v>
      </c>
      <c r="D1305" s="124" t="s">
        <v>2975</v>
      </c>
      <c r="E1305" s="126" t="s">
        <v>4304</v>
      </c>
      <c r="F1305" s="124" t="s">
        <v>4306</v>
      </c>
    </row>
    <row r="1306">
      <c r="A1306" s="125">
        <v>44508.643089074074</v>
      </c>
      <c r="B1306" s="124" t="s">
        <v>113</v>
      </c>
      <c r="C1306" s="124" t="s">
        <v>3342</v>
      </c>
      <c r="D1306" s="124" t="s">
        <v>867</v>
      </c>
      <c r="E1306" s="126" t="s">
        <v>4307</v>
      </c>
      <c r="F1306" s="124" t="s">
        <v>4309</v>
      </c>
    </row>
    <row r="1307">
      <c r="A1307" s="125">
        <v>44509.40636256944</v>
      </c>
      <c r="B1307" s="124" t="s">
        <v>113</v>
      </c>
      <c r="C1307" s="124" t="s">
        <v>3342</v>
      </c>
      <c r="D1307" s="124" t="s">
        <v>4061</v>
      </c>
      <c r="E1307" s="126" t="s">
        <v>4310</v>
      </c>
      <c r="F1307" s="124" t="s">
        <v>4312</v>
      </c>
    </row>
    <row r="1308">
      <c r="A1308" s="125">
        <v>44510.42826202547</v>
      </c>
      <c r="B1308" s="124" t="s">
        <v>113</v>
      </c>
      <c r="C1308" s="124" t="s">
        <v>3327</v>
      </c>
      <c r="D1308" s="124" t="s">
        <v>1392</v>
      </c>
      <c r="E1308" s="126" t="s">
        <v>4313</v>
      </c>
      <c r="F1308" s="124" t="s">
        <v>4315</v>
      </c>
    </row>
    <row r="1309">
      <c r="A1309" s="125">
        <v>44510.42888586805</v>
      </c>
      <c r="B1309" s="124" t="s">
        <v>113</v>
      </c>
      <c r="C1309" s="124" t="s">
        <v>3323</v>
      </c>
      <c r="D1309" s="124" t="s">
        <v>1392</v>
      </c>
      <c r="E1309" s="126" t="s">
        <v>4316</v>
      </c>
      <c r="F1309" s="124" t="s">
        <v>4318</v>
      </c>
    </row>
    <row r="1310">
      <c r="A1310" s="125">
        <v>44510.480401759254</v>
      </c>
      <c r="B1310" s="124" t="s">
        <v>113</v>
      </c>
      <c r="C1310" s="124" t="s">
        <v>3327</v>
      </c>
      <c r="D1310" s="124" t="s">
        <v>4319</v>
      </c>
      <c r="E1310" s="126" t="s">
        <v>4320</v>
      </c>
      <c r="F1310" s="124" t="s">
        <v>4321</v>
      </c>
    </row>
    <row r="1311">
      <c r="A1311" s="125">
        <v>44518.46945553241</v>
      </c>
      <c r="B1311" s="124" t="s">
        <v>113</v>
      </c>
      <c r="C1311" s="124" t="s">
        <v>3293</v>
      </c>
      <c r="D1311" s="124" t="s">
        <v>912</v>
      </c>
      <c r="E1311" s="126" t="s">
        <v>4323</v>
      </c>
      <c r="F1311" s="124" t="s">
        <v>4324</v>
      </c>
    </row>
    <row r="1312">
      <c r="A1312" s="125">
        <v>44518.76278584491</v>
      </c>
      <c r="B1312" s="124" t="s">
        <v>113</v>
      </c>
      <c r="C1312" s="124" t="s">
        <v>3327</v>
      </c>
      <c r="D1312" s="124" t="s">
        <v>4326</v>
      </c>
      <c r="E1312" s="126" t="s">
        <v>4327</v>
      </c>
      <c r="F1312" s="124" t="s">
        <v>4328</v>
      </c>
    </row>
    <row r="1313">
      <c r="A1313" s="125">
        <v>44518.763475590276</v>
      </c>
      <c r="B1313" s="124" t="s">
        <v>113</v>
      </c>
      <c r="C1313" s="124" t="s">
        <v>3323</v>
      </c>
      <c r="D1313" s="124" t="s">
        <v>4326</v>
      </c>
      <c r="E1313" s="126" t="s">
        <v>4329</v>
      </c>
      <c r="F1313" s="124" t="s">
        <v>4331</v>
      </c>
    </row>
    <row r="1314">
      <c r="A1314" s="125">
        <v>44518.76401300926</v>
      </c>
      <c r="B1314" s="124" t="s">
        <v>113</v>
      </c>
      <c r="C1314" s="124" t="s">
        <v>3289</v>
      </c>
      <c r="D1314" s="124" t="s">
        <v>4326</v>
      </c>
      <c r="E1314" s="126" t="s">
        <v>4332</v>
      </c>
      <c r="F1314" s="124" t="s">
        <v>4334</v>
      </c>
    </row>
    <row r="1315">
      <c r="A1315" s="125">
        <v>44522.7247718287</v>
      </c>
      <c r="B1315" s="124" t="s">
        <v>113</v>
      </c>
      <c r="C1315" s="124" t="s">
        <v>3289</v>
      </c>
      <c r="D1315" s="124" t="s">
        <v>3235</v>
      </c>
      <c r="E1315" s="126" t="s">
        <v>4335</v>
      </c>
      <c r="F1315" s="124" t="s">
        <v>4336</v>
      </c>
    </row>
    <row r="1316">
      <c r="A1316" s="125">
        <v>44523.58490736111</v>
      </c>
      <c r="B1316" s="124" t="s">
        <v>113</v>
      </c>
      <c r="C1316" s="124" t="s">
        <v>3250</v>
      </c>
      <c r="D1316" s="124" t="s">
        <v>3303</v>
      </c>
      <c r="E1316" s="126" t="s">
        <v>4338</v>
      </c>
      <c r="F1316" s="124" t="s">
        <v>4339</v>
      </c>
    </row>
    <row r="1317">
      <c r="A1317" s="125">
        <v>44525.66751462963</v>
      </c>
      <c r="B1317" s="124" t="s">
        <v>113</v>
      </c>
      <c r="C1317" s="124" t="s">
        <v>3327</v>
      </c>
      <c r="D1317" s="124" t="s">
        <v>4340</v>
      </c>
      <c r="E1317" s="126" t="s">
        <v>4342</v>
      </c>
      <c r="F1317" s="124" t="s">
        <v>4343</v>
      </c>
    </row>
    <row r="1318">
      <c r="A1318" s="125">
        <v>44525.67153390046</v>
      </c>
      <c r="B1318" s="124" t="s">
        <v>113</v>
      </c>
      <c r="C1318" s="124" t="s">
        <v>3327</v>
      </c>
      <c r="D1318" s="124" t="s">
        <v>1864</v>
      </c>
      <c r="E1318" s="126" t="s">
        <v>4344</v>
      </c>
      <c r="F1318" s="124" t="s">
        <v>4346</v>
      </c>
    </row>
    <row r="1319">
      <c r="A1319" s="125">
        <v>44525.674948518514</v>
      </c>
      <c r="B1319" s="124" t="s">
        <v>113</v>
      </c>
      <c r="C1319" s="124" t="s">
        <v>3327</v>
      </c>
      <c r="D1319" s="124" t="s">
        <v>4347</v>
      </c>
      <c r="E1319" s="126" t="s">
        <v>4348</v>
      </c>
      <c r="F1319" s="124" t="s">
        <v>4350</v>
      </c>
    </row>
    <row r="1320">
      <c r="A1320" s="125">
        <v>44525.6772150926</v>
      </c>
      <c r="B1320" s="124" t="s">
        <v>113</v>
      </c>
      <c r="C1320" s="124" t="s">
        <v>3327</v>
      </c>
      <c r="D1320" s="124" t="s">
        <v>1855</v>
      </c>
      <c r="E1320" s="126" t="s">
        <v>4351</v>
      </c>
      <c r="F1320" s="124" t="s">
        <v>4353</v>
      </c>
    </row>
    <row r="1321">
      <c r="A1321" s="125">
        <v>44525.68126528936</v>
      </c>
      <c r="B1321" s="124" t="s">
        <v>113</v>
      </c>
      <c r="C1321" s="124" t="s">
        <v>3327</v>
      </c>
      <c r="D1321" s="124" t="s">
        <v>4354</v>
      </c>
      <c r="E1321" s="126" t="s">
        <v>4355</v>
      </c>
      <c r="F1321" s="124" t="s">
        <v>4357</v>
      </c>
    </row>
    <row r="1322">
      <c r="A1322" s="125">
        <v>44526.55647084491</v>
      </c>
      <c r="B1322" s="124" t="s">
        <v>113</v>
      </c>
      <c r="C1322" s="124" t="s">
        <v>3327</v>
      </c>
      <c r="D1322" s="124" t="s">
        <v>4358</v>
      </c>
      <c r="E1322" s="126" t="s">
        <v>4359</v>
      </c>
      <c r="F1322" s="124" t="s">
        <v>4361</v>
      </c>
    </row>
    <row r="1323">
      <c r="A1323" s="125">
        <v>44526.64661078704</v>
      </c>
      <c r="B1323" s="124" t="s">
        <v>113</v>
      </c>
      <c r="C1323" s="124" t="s">
        <v>3327</v>
      </c>
      <c r="D1323" s="124" t="s">
        <v>2939</v>
      </c>
      <c r="E1323" s="126" t="s">
        <v>4362</v>
      </c>
      <c r="F1323" s="124" t="s">
        <v>3330</v>
      </c>
    </row>
    <row r="1324">
      <c r="A1324" s="125">
        <v>44526.64679648148</v>
      </c>
      <c r="B1324" s="124" t="s">
        <v>113</v>
      </c>
      <c r="C1324" s="124" t="s">
        <v>3327</v>
      </c>
      <c r="D1324" s="124" t="s">
        <v>2939</v>
      </c>
      <c r="E1324" s="126" t="s">
        <v>4364</v>
      </c>
      <c r="F1324" s="124" t="s">
        <v>3330</v>
      </c>
    </row>
    <row r="1325">
      <c r="A1325" s="125">
        <v>44527.38024435185</v>
      </c>
      <c r="B1325" s="124" t="s">
        <v>113</v>
      </c>
      <c r="C1325" s="124" t="s">
        <v>3327</v>
      </c>
      <c r="D1325" s="124" t="s">
        <v>4366</v>
      </c>
      <c r="E1325" s="126" t="s">
        <v>4367</v>
      </c>
      <c r="F1325" s="124" t="s">
        <v>4369</v>
      </c>
    </row>
    <row r="1326">
      <c r="A1326" s="125">
        <v>44527.38136890046</v>
      </c>
      <c r="B1326" s="124" t="s">
        <v>113</v>
      </c>
      <c r="C1326" s="124" t="s">
        <v>3289</v>
      </c>
      <c r="D1326" s="124" t="s">
        <v>4366</v>
      </c>
      <c r="E1326" s="126" t="s">
        <v>4370</v>
      </c>
      <c r="F1326" s="124" t="s">
        <v>4371</v>
      </c>
    </row>
    <row r="1327">
      <c r="A1327" s="125">
        <v>44527.381819849536</v>
      </c>
      <c r="B1327" s="124" t="s">
        <v>113</v>
      </c>
      <c r="C1327" s="124" t="s">
        <v>3323</v>
      </c>
      <c r="D1327" s="124" t="s">
        <v>4366</v>
      </c>
      <c r="E1327" s="126" t="s">
        <v>4373</v>
      </c>
      <c r="F1327" s="124" t="s">
        <v>4374</v>
      </c>
    </row>
    <row r="1328">
      <c r="A1328" s="125">
        <v>44527.7358364699</v>
      </c>
      <c r="B1328" s="124" t="s">
        <v>113</v>
      </c>
      <c r="C1328" s="124" t="s">
        <v>3327</v>
      </c>
      <c r="D1328" s="124" t="s">
        <v>549</v>
      </c>
      <c r="E1328" s="126" t="s">
        <v>4375</v>
      </c>
      <c r="F1328" s="124" t="s">
        <v>4377</v>
      </c>
    </row>
    <row r="1329">
      <c r="A1329" s="125">
        <v>44529.47366063658</v>
      </c>
      <c r="B1329" s="124" t="s">
        <v>113</v>
      </c>
      <c r="C1329" s="124" t="s">
        <v>3323</v>
      </c>
      <c r="D1329" s="124" t="s">
        <v>1855</v>
      </c>
      <c r="E1329" s="126" t="s">
        <v>4378</v>
      </c>
      <c r="F1329" s="124" t="s">
        <v>4380</v>
      </c>
    </row>
    <row r="1330">
      <c r="A1330" s="125">
        <v>44529.47423893519</v>
      </c>
      <c r="B1330" s="124" t="s">
        <v>113</v>
      </c>
      <c r="C1330" s="124" t="s">
        <v>3289</v>
      </c>
      <c r="D1330" s="124" t="s">
        <v>1855</v>
      </c>
      <c r="E1330" s="126" t="s">
        <v>4381</v>
      </c>
      <c r="F1330" s="124" t="s">
        <v>4382</v>
      </c>
    </row>
    <row r="1331">
      <c r="A1331" s="125">
        <v>44529.50656390046</v>
      </c>
      <c r="B1331" s="124" t="s">
        <v>113</v>
      </c>
      <c r="C1331" s="124" t="s">
        <v>3323</v>
      </c>
      <c r="D1331" s="124" t="s">
        <v>4061</v>
      </c>
      <c r="E1331" s="126" t="s">
        <v>4384</v>
      </c>
      <c r="F1331" s="124" t="s">
        <v>4385</v>
      </c>
    </row>
    <row r="1332">
      <c r="A1332" s="125">
        <v>44529.50712018518</v>
      </c>
      <c r="B1332" s="124" t="s">
        <v>113</v>
      </c>
      <c r="C1332" s="124" t="s">
        <v>3289</v>
      </c>
      <c r="D1332" s="124" t="s">
        <v>4061</v>
      </c>
      <c r="E1332" s="126" t="s">
        <v>4386</v>
      </c>
      <c r="F1332" s="124" t="s">
        <v>4388</v>
      </c>
    </row>
    <row r="1333">
      <c r="A1333" s="125">
        <v>44540.70148454861</v>
      </c>
      <c r="B1333" s="124" t="s">
        <v>113</v>
      </c>
      <c r="C1333" s="124" t="s">
        <v>3289</v>
      </c>
      <c r="D1333" s="124" t="s">
        <v>1820</v>
      </c>
      <c r="E1333" s="126" t="s">
        <v>4389</v>
      </c>
      <c r="F1333" s="124" t="s">
        <v>4391</v>
      </c>
    </row>
    <row r="1334">
      <c r="A1334" s="125">
        <v>44543.59856832176</v>
      </c>
      <c r="B1334" s="124" t="s">
        <v>113</v>
      </c>
      <c r="C1334" s="124" t="s">
        <v>3289</v>
      </c>
      <c r="D1334" s="124" t="s">
        <v>1719</v>
      </c>
      <c r="E1334" s="126" t="s">
        <v>4392</v>
      </c>
      <c r="F1334" s="124" t="s">
        <v>4394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</hyperlinks>
  <drawing r:id="rId133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0" t="str">
        <f t="array" ref="A1:A1548">IF(B:B&lt;&gt;"",C:C&amp;"_"&amp;B:B,)</f>
        <v>EMAIL_SESSION</v>
      </c>
      <c r="B1" s="50" t="str">
        <f>IFERROR(__xludf.DUMMYFUNCTION("QUERY(GED!C:E)"),"SESSION")</f>
        <v>SESSION</v>
      </c>
      <c r="C1" s="50" t="str">
        <f>IFERROR(__xludf.DUMMYFUNCTION("""COMPUTED_VALUE"""),"EMAIL")</f>
        <v>EMAIL</v>
      </c>
      <c r="D1" s="50" t="str">
        <f>IFERROR(__xludf.DUMMYFUNCTION("""COMPUTED_VALUE"""),"URL")</f>
        <v>URL</v>
      </c>
    </row>
    <row r="2">
      <c r="A2" s="50" t="s">
        <v>569</v>
      </c>
      <c r="B2" s="50" t="str">
        <f>IFERROR(__xludf.DUMMYFUNCTION("""COMPUTED_VALUE"""),"SES-0001")</f>
        <v>SES-0001</v>
      </c>
      <c r="C2" s="50" t="str">
        <f>IFERROR(__xludf.DUMMYFUNCTION("""COMPUTED_VALUE"""),"antoine.martin@amcms.net")</f>
        <v>antoine.martin@amcms.net</v>
      </c>
      <c r="D2" s="127" t="str">
        <f>IFERROR(__xludf.DUMMYFUNCTION("""COMPUTED_VALUE"""),"https://drive.google.com/file/d/1zMZ07vrHqxepk0rVVoD8IQV46RSsfYNt/view?usp=drivesdk")</f>
        <v>https://drive.google.com/file/d/1zMZ07vrHqxepk0rVVoD8IQV46RSsfYNt/view?usp=drivesdk</v>
      </c>
    </row>
    <row r="3">
      <c r="A3" s="50" t="s">
        <v>574</v>
      </c>
      <c r="B3" s="50" t="str">
        <f>IFERROR(__xludf.DUMMYFUNCTION("""COMPUTED_VALUE"""),"SES-0002")</f>
        <v>SES-0002</v>
      </c>
      <c r="C3" s="50" t="str">
        <f>IFERROR(__xludf.DUMMYFUNCTION("""COMPUTED_VALUE"""),"antoine.martin@amcms.net")</f>
        <v>antoine.martin@amcms.net</v>
      </c>
      <c r="D3" s="127" t="str">
        <f>IFERROR(__xludf.DUMMYFUNCTION("""COMPUTED_VALUE"""),"https://drive.google.com/file/d/1dvN9USr_A-jLeDk6BrPj1JqN5TE1_GJY/view?usp=drivesdk")</f>
        <v>https://drive.google.com/file/d/1dvN9USr_A-jLeDk6BrPj1JqN5TE1_GJY/view?usp=drivesdk</v>
      </c>
    </row>
    <row r="4">
      <c r="A4" s="50" t="s">
        <v>579</v>
      </c>
      <c r="B4" s="50" t="str">
        <f>IFERROR(__xludf.DUMMYFUNCTION("""COMPUTED_VALUE"""),"SES-0003")</f>
        <v>SES-0003</v>
      </c>
      <c r="C4" s="50" t="str">
        <f>IFERROR(__xludf.DUMMYFUNCTION("""COMPUTED_VALUE"""),"antoine.martin@amcms.net")</f>
        <v>antoine.martin@amcms.net</v>
      </c>
      <c r="D4" s="127" t="str">
        <f>IFERROR(__xludf.DUMMYFUNCTION("""COMPUTED_VALUE"""),"https://drive.google.com/file/d/1278sYVxEa5a7mKCQP3gtUOqK2xkycD85/view?usp=drivesdk")</f>
        <v>https://drive.google.com/file/d/1278sYVxEa5a7mKCQP3gtUOqK2xkycD85/view?usp=drivesdk</v>
      </c>
    </row>
    <row r="5">
      <c r="A5" s="50" t="s">
        <v>582</v>
      </c>
      <c r="B5" s="50" t="str">
        <f>IFERROR(__xludf.DUMMYFUNCTION("""COMPUTED_VALUE"""),"SES-0001")</f>
        <v>SES-0001</v>
      </c>
      <c r="C5" s="50" t="str">
        <f>IFERROR(__xludf.DUMMYFUNCTION("""COMPUTED_VALUE"""),"Antoine.martin@amcms.net")</f>
        <v>Antoine.martin@amcms.net</v>
      </c>
      <c r="D5" s="127" t="str">
        <f>IFERROR(__xludf.DUMMYFUNCTION("""COMPUTED_VALUE"""),"https://drive.google.com/file/d/1Takmp2jWDsv1zWk1MIcrhqpdE62YNSjb/view?usp=drivesdk")</f>
        <v>https://drive.google.com/file/d/1Takmp2jWDsv1zWk1MIcrhqpdE62YNSjb/view?usp=drivesdk</v>
      </c>
    </row>
    <row r="6">
      <c r="A6" s="50" t="s">
        <v>586</v>
      </c>
      <c r="B6" s="50" t="str">
        <f>IFERROR(__xludf.DUMMYFUNCTION("""COMPUTED_VALUE"""),"SES-0001")</f>
        <v>SES-0001</v>
      </c>
      <c r="C6" s="50" t="str">
        <f>IFERROR(__xludf.DUMMYFUNCTION("""COMPUTED_VALUE"""),"thierry@numericoach.fr")</f>
        <v>thierry@numericoach.fr</v>
      </c>
      <c r="D6" s="127" t="str">
        <f>IFERROR(__xludf.DUMMYFUNCTION("""COMPUTED_VALUE"""),"https://drive.google.com/file/d/1gAqHpK0EvehjjlHF57Ph3M8CDtuJxmQe/view?usp=drivesdk")</f>
        <v>https://drive.google.com/file/d/1gAqHpK0EvehjjlHF57Ph3M8CDtuJxmQe/view?usp=drivesdk</v>
      </c>
    </row>
    <row r="7">
      <c r="A7" s="50" t="s">
        <v>574</v>
      </c>
      <c r="B7" s="50" t="str">
        <f>IFERROR(__xludf.DUMMYFUNCTION("""COMPUTED_VALUE"""),"SES-0002")</f>
        <v>SES-0002</v>
      </c>
      <c r="C7" s="50" t="str">
        <f>IFERROR(__xludf.DUMMYFUNCTION("""COMPUTED_VALUE"""),"antoine.martin@amcms.net")</f>
        <v>antoine.martin@amcms.net</v>
      </c>
      <c r="D7" s="127" t="str">
        <f>IFERROR(__xludf.DUMMYFUNCTION("""COMPUTED_VALUE"""),"https://drive.google.com/file/d/1CxzFE1Wbn_sgLzBSBnkdMsHrjg7rOjGn/view?usp=drivesdk")</f>
        <v>https://drive.google.com/file/d/1CxzFE1Wbn_sgLzBSBnkdMsHrjg7rOjGn/view?usp=drivesdk</v>
      </c>
    </row>
    <row r="8">
      <c r="A8" s="50" t="s">
        <v>579</v>
      </c>
      <c r="B8" s="50" t="str">
        <f>IFERROR(__xludf.DUMMYFUNCTION("""COMPUTED_VALUE"""),"SES-0003")</f>
        <v>SES-0003</v>
      </c>
      <c r="C8" s="50" t="str">
        <f>IFERROR(__xludf.DUMMYFUNCTION("""COMPUTED_VALUE"""),"antoine.martin@amcms.net")</f>
        <v>antoine.martin@amcms.net</v>
      </c>
      <c r="D8" s="127" t="str">
        <f>IFERROR(__xludf.DUMMYFUNCTION("""COMPUTED_VALUE"""),"https://drive.google.com/file/d/1YIOW3D3W8ZL1QSHFeIZD6vJYdy5aSglb/view?usp=drivesdk")</f>
        <v>https://drive.google.com/file/d/1YIOW3D3W8ZL1QSHFeIZD6vJYdy5aSglb/view?usp=drivesdk</v>
      </c>
    </row>
    <row r="9">
      <c r="A9" s="50" t="s">
        <v>594</v>
      </c>
      <c r="B9" s="50" t="str">
        <f>IFERROR(__xludf.DUMMYFUNCTION("""COMPUTED_VALUE"""),"SES-0003")</f>
        <v>SES-0003</v>
      </c>
      <c r="C9" s="50" t="str">
        <f>IFERROR(__xludf.DUMMYFUNCTION("""COMPUTED_VALUE"""),"antoine.martin@amcms.ner")</f>
        <v>antoine.martin@amcms.ner</v>
      </c>
      <c r="D9" s="127" t="str">
        <f>IFERROR(__xludf.DUMMYFUNCTION("""COMPUTED_VALUE"""),"https://drive.google.com/file/d/1vt8MKLhgHt0V4Ivh5fwdORT0lm-DaQsT/view?usp=drivesdk")</f>
        <v>https://drive.google.com/file/d/1vt8MKLhgHt0V4Ivh5fwdORT0lm-DaQsT/view?usp=drivesdk</v>
      </c>
    </row>
    <row r="10">
      <c r="A10" s="50" t="s">
        <v>579</v>
      </c>
      <c r="B10" s="50" t="str">
        <f>IFERROR(__xludf.DUMMYFUNCTION("""COMPUTED_VALUE"""),"SES-0003")</f>
        <v>SES-0003</v>
      </c>
      <c r="C10" s="50" t="str">
        <f>IFERROR(__xludf.DUMMYFUNCTION("""COMPUTED_VALUE"""),"antoine.martin@amcms.net")</f>
        <v>antoine.martin@amcms.net</v>
      </c>
      <c r="D10" s="127" t="str">
        <f>IFERROR(__xludf.DUMMYFUNCTION("""COMPUTED_VALUE"""),"https://drive.google.com/file/d/1nWVKb7t100NgycGki0J9UFu46wNxwtOf/view?usp=drivesdk")</f>
        <v>https://drive.google.com/file/d/1nWVKb7t100NgycGki0J9UFu46wNxwtOf/view?usp=drivesdk</v>
      </c>
    </row>
    <row r="11">
      <c r="A11" s="50" t="s">
        <v>600</v>
      </c>
      <c r="B11" s="50" t="str">
        <f>IFERROR(__xludf.DUMMYFUNCTION("""COMPUTED_VALUE"""),"SES-0002")</f>
        <v>SES-0002</v>
      </c>
      <c r="C11" s="50" t="str">
        <f>IFERROR(__xludf.DUMMYFUNCTION("""COMPUTED_VALUE"""),"thierry@numericoach.fr")</f>
        <v>thierry@numericoach.fr</v>
      </c>
      <c r="D11" s="127" t="str">
        <f>IFERROR(__xludf.DUMMYFUNCTION("""COMPUTED_VALUE"""),"https://drive.google.com/file/d/1irXIgCmq3UnSp45OWMM9Etq88MPeQua6/view?usp=drivesdk")</f>
        <v>https://drive.google.com/file/d/1irXIgCmq3UnSp45OWMM9Etq88MPeQua6/view?usp=drivesdk</v>
      </c>
    </row>
    <row r="12">
      <c r="A12" s="50" t="s">
        <v>604</v>
      </c>
      <c r="B12" s="50" t="str">
        <f>IFERROR(__xludf.DUMMYFUNCTION("""COMPUTED_VALUE"""),"SES-0003")</f>
        <v>SES-0003</v>
      </c>
      <c r="C12" s="50" t="str">
        <f>IFERROR(__xludf.DUMMYFUNCTION("""COMPUTED_VALUE"""),"trst@tsst.com")</f>
        <v>trst@tsst.com</v>
      </c>
      <c r="D12" s="127" t="str">
        <f>IFERROR(__xludf.DUMMYFUNCTION("""COMPUTED_VALUE"""),"https://drive.google.com/file/d/1RmLiraFC_x-9GiCtWSP0vAoYKs4lgwii/view?usp=drivesdk")</f>
        <v>https://drive.google.com/file/d/1RmLiraFC_x-9GiCtWSP0vAoYKs4lgwii/view?usp=drivesdk</v>
      </c>
    </row>
    <row r="13">
      <c r="A13" s="50" t="s">
        <v>607</v>
      </c>
      <c r="B13" s="50" t="str">
        <f>IFERROR(__xludf.DUMMYFUNCTION("""COMPUTED_VALUE"""),"SES-0003")</f>
        <v>SES-0003</v>
      </c>
      <c r="C13" s="50" t="str">
        <f>IFERROR(__xludf.DUMMYFUNCTION("""COMPUTED_VALUE"""),"thierry@numericoach.fr")</f>
        <v>thierry@numericoach.fr</v>
      </c>
      <c r="D13" s="127" t="str">
        <f>IFERROR(__xludf.DUMMYFUNCTION("""COMPUTED_VALUE"""),"https://drive.google.com/file/d/1X3PX9-STZZwvhMPpui9ixg0pImxiX_dW/view?usp=drivesdk")</f>
        <v>https://drive.google.com/file/d/1X3PX9-STZZwvhMPpui9ixg0pImxiX_dW/view?usp=drivesdk</v>
      </c>
    </row>
    <row r="14">
      <c r="A14" s="50" t="s">
        <v>611</v>
      </c>
      <c r="B14" s="50" t="str">
        <f>IFERROR(__xludf.DUMMYFUNCTION("""COMPUTED_VALUE"""),"SES-0001")</f>
        <v>SES-0001</v>
      </c>
      <c r="C14" s="50" t="str">
        <f>IFERROR(__xludf.DUMMYFUNCTION("""COMPUTED_VALUE"""),"sbouteille@ucpa.asso.fr")</f>
        <v>sbouteille@ucpa.asso.fr</v>
      </c>
      <c r="D14" s="127" t="str">
        <f>IFERROR(__xludf.DUMMYFUNCTION("""COMPUTED_VALUE"""),"https://drive.google.com/file/d/13iW9V8aKH2qijagfAQu5rCdBu6T3IhIQ/view?usp=drivesdk")</f>
        <v>https://drive.google.com/file/d/13iW9V8aKH2qijagfAQu5rCdBu6T3IhIQ/view?usp=drivesdk</v>
      </c>
    </row>
    <row r="15">
      <c r="A15" s="50" t="s">
        <v>615</v>
      </c>
      <c r="B15" s="50" t="str">
        <f>IFERROR(__xludf.DUMMYFUNCTION("""COMPUTED_VALUE"""),"SES-0001")</f>
        <v>SES-0001</v>
      </c>
      <c r="C15" s="50" t="str">
        <f>IFERROR(__xludf.DUMMYFUNCTION("""COMPUTED_VALUE"""),"pbreton@ucpa.asso.fr")</f>
        <v>pbreton@ucpa.asso.fr</v>
      </c>
      <c r="D15" s="127" t="str">
        <f>IFERROR(__xludf.DUMMYFUNCTION("""COMPUTED_VALUE"""),"https://drive.google.com/file/d/1bmgNaIBveO7fhm1ohE3nT6KwNuVmYaol/view?usp=drivesdk")</f>
        <v>https://drive.google.com/file/d/1bmgNaIBveO7fhm1ohE3nT6KwNuVmYaol/view?usp=drivesdk</v>
      </c>
    </row>
    <row r="16">
      <c r="A16" s="50" t="s">
        <v>618</v>
      </c>
      <c r="B16" s="50" t="str">
        <f>IFERROR(__xludf.DUMMYFUNCTION("""COMPUTED_VALUE"""),"SES-0001")</f>
        <v>SES-0001</v>
      </c>
      <c r="C16" s="50" t="str">
        <f>IFERROR(__xludf.DUMMYFUNCTION("""COMPUTED_VALUE"""),"ckolodka@ucpa.asso.fr")</f>
        <v>ckolodka@ucpa.asso.fr</v>
      </c>
      <c r="D16" s="127" t="str">
        <f>IFERROR(__xludf.DUMMYFUNCTION("""COMPUTED_VALUE"""),"https://drive.google.com/file/d/1c9sYOLd2AoaTQTHaw91jjbQ7hND_ffPH/view?usp=drivesdk")</f>
        <v>https://drive.google.com/file/d/1c9sYOLd2AoaTQTHaw91jjbQ7hND_ffPH/view?usp=drivesdk</v>
      </c>
    </row>
    <row r="17">
      <c r="A17" s="50" t="s">
        <v>622</v>
      </c>
      <c r="B17" s="50" t="str">
        <f>IFERROR(__xludf.DUMMYFUNCTION("""COMPUTED_VALUE"""),"SES-0002")</f>
        <v>SES-0002</v>
      </c>
      <c r="C17" s="50" t="str">
        <f>IFERROR(__xludf.DUMMYFUNCTION("""COMPUTED_VALUE"""),"pbreton@ucpa.asso.fr")</f>
        <v>pbreton@ucpa.asso.fr</v>
      </c>
      <c r="D17" s="127" t="str">
        <f>IFERROR(__xludf.DUMMYFUNCTION("""COMPUTED_VALUE"""),"https://drive.google.com/file/d/1XEST2q3ZUtr-B8qA6o1q8J3gm5J1MJRL/view?usp=drivesdk")</f>
        <v>https://drive.google.com/file/d/1XEST2q3ZUtr-B8qA6o1q8J3gm5J1MJRL/view?usp=drivesdk</v>
      </c>
    </row>
    <row r="18">
      <c r="A18" s="50" t="s">
        <v>626</v>
      </c>
      <c r="B18" s="50" t="str">
        <f>IFERROR(__xludf.DUMMYFUNCTION("""COMPUTED_VALUE"""),"SES-0001")</f>
        <v>SES-0001</v>
      </c>
      <c r="C18" s="50" t="str">
        <f>IFERROR(__xludf.DUMMYFUNCTION("""COMPUTED_VALUE"""),"emonard@ucpa.asso.fr")</f>
        <v>emonard@ucpa.asso.fr</v>
      </c>
      <c r="D18" s="127" t="str">
        <f>IFERROR(__xludf.DUMMYFUNCTION("""COMPUTED_VALUE"""),"https://drive.google.com/file/d/1Y-r3ggNOwYWX1pR8SKsU4XfDZ2aRmAjk/view?usp=drivesdk")</f>
        <v>https://drive.google.com/file/d/1Y-r3ggNOwYWX1pR8SKsU4XfDZ2aRmAjk/view?usp=drivesdk</v>
      </c>
    </row>
    <row r="19">
      <c r="A19" s="50" t="s">
        <v>629</v>
      </c>
      <c r="B19" s="50" t="str">
        <f>IFERROR(__xludf.DUMMYFUNCTION("""COMPUTED_VALUE"""),"SES-0001")</f>
        <v>SES-0001</v>
      </c>
      <c r="C19" s="50" t="str">
        <f>IFERROR(__xludf.DUMMYFUNCTION("""COMPUTED_VALUE"""),"pdeplaix@ucpa.asso.fr")</f>
        <v>pdeplaix@ucpa.asso.fr</v>
      </c>
      <c r="D19" s="127" t="str">
        <f>IFERROR(__xludf.DUMMYFUNCTION("""COMPUTED_VALUE"""),"https://drive.google.com/file/d/12LUy-jcdhnSyPxLky-4JP1YWD_3chyke/view?usp=drivesdk")</f>
        <v>https://drive.google.com/file/d/12LUy-jcdhnSyPxLky-4JP1YWD_3chyke/view?usp=drivesdk</v>
      </c>
    </row>
    <row r="20">
      <c r="A20" s="50" t="s">
        <v>633</v>
      </c>
      <c r="B20" s="50" t="str">
        <f>IFERROR(__xludf.DUMMYFUNCTION("""COMPUTED_VALUE"""),"SES-0001")</f>
        <v>SES-0001</v>
      </c>
      <c r="C20" s="50" t="str">
        <f>IFERROR(__xludf.DUMMYFUNCTION("""COMPUTED_VALUE"""),"tbrouard@ucpa.asso.fr")</f>
        <v>tbrouard@ucpa.asso.fr</v>
      </c>
      <c r="D20" s="127" t="str">
        <f>IFERROR(__xludf.DUMMYFUNCTION("""COMPUTED_VALUE"""),"https://drive.google.com/file/d/15w0PoontBUoL0iw3cfyEGBPjbnt8qipR/view?usp=drivesdk")</f>
        <v>https://drive.google.com/file/d/15w0PoontBUoL0iw3cfyEGBPjbnt8qipR/view?usp=drivesdk</v>
      </c>
    </row>
    <row r="21">
      <c r="A21" s="50" t="s">
        <v>636</v>
      </c>
      <c r="B21" s="50" t="str">
        <f>IFERROR(__xludf.DUMMYFUNCTION("""COMPUTED_VALUE"""),"SES-0002")</f>
        <v>SES-0002</v>
      </c>
      <c r="C21" s="50" t="str">
        <f>IFERROR(__xludf.DUMMYFUNCTION("""COMPUTED_VALUE"""),"ckolodka@ucpa.asso.fr")</f>
        <v>ckolodka@ucpa.asso.fr</v>
      </c>
      <c r="D21" s="127" t="str">
        <f>IFERROR(__xludf.DUMMYFUNCTION("""COMPUTED_VALUE"""),"https://drive.google.com/file/d/14vNaogpj8ilnXTRcV2Gw6sXu4XjK2Hta/view?usp=drivesdk")</f>
        <v>https://drive.google.com/file/d/14vNaogpj8ilnXTRcV2Gw6sXu4XjK2Hta/view?usp=drivesdk</v>
      </c>
    </row>
    <row r="22">
      <c r="A22" s="50" t="s">
        <v>637</v>
      </c>
      <c r="B22" s="50" t="str">
        <f>IFERROR(__xludf.DUMMYFUNCTION("""COMPUTED_VALUE"""),"SES-0001")</f>
        <v>SES-0001</v>
      </c>
      <c r="C22" s="50" t="str">
        <f>IFERROR(__xludf.DUMMYFUNCTION("""COMPUTED_VALUE"""),"lmosnier@ucpa.asso.fr")</f>
        <v>lmosnier@ucpa.asso.fr</v>
      </c>
      <c r="D22" s="127" t="str">
        <f>IFERROR(__xludf.DUMMYFUNCTION("""COMPUTED_VALUE"""),"https://drive.google.com/file/d/1ViLdVQA_-hOe33FFUj2TF_MT17J4ZiVx/view?usp=drivesdk")</f>
        <v>https://drive.google.com/file/d/1ViLdVQA_-hOe33FFUj2TF_MT17J4ZiVx/view?usp=drivesdk</v>
      </c>
    </row>
    <row r="23">
      <c r="A23" s="50" t="s">
        <v>661</v>
      </c>
      <c r="B23" s="50" t="str">
        <f>IFERROR(__xludf.DUMMYFUNCTION("""COMPUTED_VALUE"""),"SES-0002")</f>
        <v>SES-0002</v>
      </c>
      <c r="C23" s="50" t="str">
        <f>IFERROR(__xludf.DUMMYFUNCTION("""COMPUTED_VALUE"""),"lmosnier@ucpa.asso.fr")</f>
        <v>lmosnier@ucpa.asso.fr</v>
      </c>
      <c r="D23" s="127" t="str">
        <f>IFERROR(__xludf.DUMMYFUNCTION("""COMPUTED_VALUE"""),"https://drive.google.com/file/d/1y0oVcbXwyavgnH3iVNx1l0ai9_mmjKAx/view?usp=drivesdk")</f>
        <v>https://drive.google.com/file/d/1y0oVcbXwyavgnH3iVNx1l0ai9_mmjKAx/view?usp=drivesdk</v>
      </c>
    </row>
    <row r="24">
      <c r="A24" s="50" t="s">
        <v>666</v>
      </c>
      <c r="B24" s="50" t="str">
        <f>IFERROR(__xludf.DUMMYFUNCTION("""COMPUTED_VALUE"""),"SES-0002")</f>
        <v>SES-0002</v>
      </c>
      <c r="C24" s="50" t="str">
        <f>IFERROR(__xludf.DUMMYFUNCTION("""COMPUTED_VALUE"""),"pdeplaix@ucpa.asso.fr")</f>
        <v>pdeplaix@ucpa.asso.fr</v>
      </c>
      <c r="D24" s="127" t="str">
        <f>IFERROR(__xludf.DUMMYFUNCTION("""COMPUTED_VALUE"""),"https://drive.google.com/file/d/18kGF12W0nZx3JnyEWpyoXXf01F87fUMt/view?usp=drivesdk")</f>
        <v>https://drive.google.com/file/d/18kGF12W0nZx3JnyEWpyoXXf01F87fUMt/view?usp=drivesdk</v>
      </c>
    </row>
    <row r="25">
      <c r="A25" s="50" t="s">
        <v>671</v>
      </c>
      <c r="B25" s="50" t="str">
        <f>IFERROR(__xludf.DUMMYFUNCTION("""COMPUTED_VALUE"""),"SES-0001")</f>
        <v>SES-0001</v>
      </c>
      <c r="C25" s="50" t="str">
        <f>IFERROR(__xludf.DUMMYFUNCTION("""COMPUTED_VALUE"""),"apouffier@ucpasl.com")</f>
        <v>apouffier@ucpasl.com</v>
      </c>
      <c r="D25" s="127" t="str">
        <f>IFERROR(__xludf.DUMMYFUNCTION("""COMPUTED_VALUE"""),"https://drive.google.com/file/d/1QJ8782dNxX0Bu9nXd2T6hdlXLh6aKeGE/view?usp=drivesdk")</f>
        <v>https://drive.google.com/file/d/1QJ8782dNxX0Bu9nXd2T6hdlXLh6aKeGE/view?usp=drivesdk</v>
      </c>
    </row>
    <row r="26">
      <c r="A26" s="50" t="s">
        <v>674</v>
      </c>
      <c r="B26" s="50" t="str">
        <f>IFERROR(__xludf.DUMMYFUNCTION("""COMPUTED_VALUE"""),"SES-0002")</f>
        <v>SES-0002</v>
      </c>
      <c r="C26" s="50" t="str">
        <f>IFERROR(__xludf.DUMMYFUNCTION("""COMPUTED_VALUE"""),"apouffier@ucpasl.com")</f>
        <v>apouffier@ucpasl.com</v>
      </c>
      <c r="D26" s="127" t="str">
        <f>IFERROR(__xludf.DUMMYFUNCTION("""COMPUTED_VALUE"""),"https://drive.google.com/file/d/1YsF1R2szHKKe1GAGW_Jw1AM760XoY9_G/view?usp=drivesdk")</f>
        <v>https://drive.google.com/file/d/1YsF1R2szHKKe1GAGW_Jw1AM760XoY9_G/view?usp=drivesdk</v>
      </c>
    </row>
    <row r="27">
      <c r="A27" s="50" t="s">
        <v>677</v>
      </c>
      <c r="B27" s="50" t="str">
        <f>IFERROR(__xludf.DUMMYFUNCTION("""COMPUTED_VALUE"""),"SES-0002")</f>
        <v>SES-0002</v>
      </c>
      <c r="C27" s="50" t="str">
        <f>IFERROR(__xludf.DUMMYFUNCTION("""COMPUTED_VALUE"""),"nboumahammed@ucpa.asso.fr")</f>
        <v>nboumahammed@ucpa.asso.fr</v>
      </c>
      <c r="D27" s="127" t="str">
        <f>IFERROR(__xludf.DUMMYFUNCTION("""COMPUTED_VALUE"""),"https://drive.google.com/file/d/1mbug-T6maELyd90i9jGi4t3Gn3Co91uT/view?usp=drivesdk")</f>
        <v>https://drive.google.com/file/d/1mbug-T6maELyd90i9jGi4t3Gn3Co91uT/view?usp=drivesdk</v>
      </c>
    </row>
    <row r="28">
      <c r="A28" s="50" t="s">
        <v>687</v>
      </c>
      <c r="B28" s="50" t="str">
        <f>IFERROR(__xludf.DUMMYFUNCTION("""COMPUTED_VALUE"""),"SES-0001")</f>
        <v>SES-0001</v>
      </c>
      <c r="C28" s="50" t="str">
        <f>IFERROR(__xludf.DUMMYFUNCTION("""COMPUTED_VALUE"""),"jgranger@ucpa.asso.fr")</f>
        <v>jgranger@ucpa.asso.fr</v>
      </c>
      <c r="D28" s="127" t="str">
        <f>IFERROR(__xludf.DUMMYFUNCTION("""COMPUTED_VALUE"""),"https://drive.google.com/file/d/1mEzh41oz_2hRCXX7H4WdkXV0nv850e_O/view?usp=drivesdk")</f>
        <v>https://drive.google.com/file/d/1mEzh41oz_2hRCXX7H4WdkXV0nv850e_O/view?usp=drivesdk</v>
      </c>
    </row>
    <row r="29">
      <c r="A29" s="50" t="s">
        <v>693</v>
      </c>
      <c r="B29" s="50" t="str">
        <f>IFERROR(__xludf.DUMMYFUNCTION("""COMPUTED_VALUE"""),"SES-0001")</f>
        <v>SES-0001</v>
      </c>
      <c r="C29" s="50" t="str">
        <f>IFERROR(__xludf.DUMMYFUNCTION("""COMPUTED_VALUE"""),"lmaury@ucpa.asso.fr")</f>
        <v>lmaury@ucpa.asso.fr</v>
      </c>
      <c r="D29" s="127" t="str">
        <f>IFERROR(__xludf.DUMMYFUNCTION("""COMPUTED_VALUE"""),"https://drive.google.com/file/d/1ZzMFEinZnR7pf8OmsTE2t3CQGAz2ARkP/view?usp=drivesdk")</f>
        <v>https://drive.google.com/file/d/1ZzMFEinZnR7pf8OmsTE2t3CQGAz2ARkP/view?usp=drivesdk</v>
      </c>
    </row>
    <row r="30">
      <c r="A30" s="50" t="s">
        <v>694</v>
      </c>
      <c r="B30" s="50" t="str">
        <f>IFERROR(__xludf.DUMMYFUNCTION("""COMPUTED_VALUE"""),"SES-0002")</f>
        <v>SES-0002</v>
      </c>
      <c r="C30" s="50" t="str">
        <f>IFERROR(__xludf.DUMMYFUNCTION("""COMPUTED_VALUE"""),"lmaury@ucpa.asso.fr")</f>
        <v>lmaury@ucpa.asso.fr</v>
      </c>
      <c r="D30" s="127" t="str">
        <f>IFERROR(__xludf.DUMMYFUNCTION("""COMPUTED_VALUE"""),"https://drive.google.com/file/d/1avmG1ZuzkOPeALMQvqE_0-IISAPqvitz/view?usp=drivesdk")</f>
        <v>https://drive.google.com/file/d/1avmG1ZuzkOPeALMQvqE_0-IISAPqvitz/view?usp=drivesdk</v>
      </c>
    </row>
    <row r="31">
      <c r="A31" s="50" t="s">
        <v>695</v>
      </c>
      <c r="B31" s="50" t="str">
        <f>IFERROR(__xludf.DUMMYFUNCTION("""COMPUTED_VALUE"""),"SES-0001")</f>
        <v>SES-0001</v>
      </c>
      <c r="C31" s="50" t="str">
        <f>IFERROR(__xludf.DUMMYFUNCTION("""COMPUTED_VALUE"""),"pvareille@ucpa.asso.fr")</f>
        <v>pvareille@ucpa.asso.fr</v>
      </c>
      <c r="D31" s="127" t="str">
        <f>IFERROR(__xludf.DUMMYFUNCTION("""COMPUTED_VALUE"""),"https://drive.google.com/file/d/1O2X9odFj64VbNxugD3-wUy8cjK3yPDYo/view?usp=drivesdk")</f>
        <v>https://drive.google.com/file/d/1O2X9odFj64VbNxugD3-wUy8cjK3yPDYo/view?usp=drivesdk</v>
      </c>
    </row>
    <row r="32">
      <c r="A32" s="50" t="s">
        <v>698</v>
      </c>
      <c r="B32" s="50" t="str">
        <f>IFERROR(__xludf.DUMMYFUNCTION("""COMPUTED_VALUE"""),"SES-0002")</f>
        <v>SES-0002</v>
      </c>
      <c r="C32" s="50" t="str">
        <f>IFERROR(__xludf.DUMMYFUNCTION("""COMPUTED_VALUE"""),"pvareille@ucpa.asso.fr")</f>
        <v>pvareille@ucpa.asso.fr</v>
      </c>
      <c r="D32" s="127" t="str">
        <f>IFERROR(__xludf.DUMMYFUNCTION("""COMPUTED_VALUE"""),"https://drive.google.com/file/d/1dw-Ptd50H-9Hc6Mh2DWENxM2x-UmrpGF/view?usp=drivesdk")</f>
        <v>https://drive.google.com/file/d/1dw-Ptd50H-9Hc6Mh2DWENxM2x-UmrpGF/view?usp=drivesdk</v>
      </c>
    </row>
    <row r="33">
      <c r="A33" s="50" t="s">
        <v>701</v>
      </c>
      <c r="B33" s="50" t="str">
        <f>IFERROR(__xludf.DUMMYFUNCTION("""COMPUTED_VALUE"""),"SES-0001")</f>
        <v>SES-0001</v>
      </c>
      <c r="C33" s="50" t="str">
        <f>IFERROR(__xludf.DUMMYFUNCTION("""COMPUTED_VALUE"""),"aiftene@ucpa.asso.fr")</f>
        <v>aiftene@ucpa.asso.fr</v>
      </c>
      <c r="D33" s="127" t="str">
        <f>IFERROR(__xludf.DUMMYFUNCTION("""COMPUTED_VALUE"""),"https://drive.google.com/file/d/14anGtu9WnFLeXByCFeIk1wPOGn6JT_W9/view?usp=drivesdk")</f>
        <v>https://drive.google.com/file/d/14anGtu9WnFLeXByCFeIk1wPOGn6JT_W9/view?usp=drivesdk</v>
      </c>
    </row>
    <row r="34">
      <c r="A34" s="50" t="s">
        <v>703</v>
      </c>
      <c r="B34" s="50" t="str">
        <f>IFERROR(__xludf.DUMMYFUNCTION("""COMPUTED_VALUE"""),"SES-0002")</f>
        <v>SES-0002</v>
      </c>
      <c r="C34" s="50" t="str">
        <f>IFERROR(__xludf.DUMMYFUNCTION("""COMPUTED_VALUE"""),"aiftene@ucpa.asso.fr")</f>
        <v>aiftene@ucpa.asso.fr</v>
      </c>
      <c r="D34" s="127" t="str">
        <f>IFERROR(__xludf.DUMMYFUNCTION("""COMPUTED_VALUE"""),"https://drive.google.com/file/d/1uHD5o3n-FD3FnZMLbEXV9Zta0ONXaIQf/view?usp=drivesdk")</f>
        <v>https://drive.google.com/file/d/1uHD5o3n-FD3FnZMLbEXV9Zta0ONXaIQf/view?usp=drivesdk</v>
      </c>
    </row>
    <row r="35">
      <c r="A35" s="50" t="s">
        <v>704</v>
      </c>
      <c r="B35" s="50" t="str">
        <f>IFERROR(__xludf.DUMMYFUNCTION("""COMPUTED_VALUE"""),"SES-0001")</f>
        <v>SES-0001</v>
      </c>
      <c r="C35" s="50" t="str">
        <f>IFERROR(__xludf.DUMMYFUNCTION("""COMPUTED_VALUE"""),"smoyou@ucpasl.com")</f>
        <v>smoyou@ucpasl.com</v>
      </c>
      <c r="D35" s="127" t="str">
        <f>IFERROR(__xludf.DUMMYFUNCTION("""COMPUTED_VALUE"""),"https://drive.google.com/file/d/1ny4ryAx69_NJtaj_kuP_7ewDOxUOT-xI/view?usp=drivesdk")</f>
        <v>https://drive.google.com/file/d/1ny4ryAx69_NJtaj_kuP_7ewDOxUOT-xI/view?usp=drivesdk</v>
      </c>
    </row>
    <row r="36">
      <c r="A36" s="50" t="s">
        <v>705</v>
      </c>
      <c r="B36" s="50" t="str">
        <f>IFERROR(__xludf.DUMMYFUNCTION("""COMPUTED_VALUE"""),"SES-0002")</f>
        <v>SES-0002</v>
      </c>
      <c r="C36" s="50" t="str">
        <f>IFERROR(__xludf.DUMMYFUNCTION("""COMPUTED_VALUE"""),"smoyou@ucpasl.com")</f>
        <v>smoyou@ucpasl.com</v>
      </c>
      <c r="D36" s="127" t="str">
        <f>IFERROR(__xludf.DUMMYFUNCTION("""COMPUTED_VALUE"""),"https://drive.google.com/file/d/14oCDy1OWC-mXC63ZFwTDPEiZxUfT6PC2/view?usp=drivesdk")</f>
        <v>https://drive.google.com/file/d/14oCDy1OWC-mXC63ZFwTDPEiZxUfT6PC2/view?usp=drivesdk</v>
      </c>
    </row>
    <row r="37">
      <c r="A37" s="50" t="s">
        <v>706</v>
      </c>
      <c r="B37" s="50" t="str">
        <f>IFERROR(__xludf.DUMMYFUNCTION("""COMPUTED_VALUE"""),"SES-0002")</f>
        <v>SES-0002</v>
      </c>
      <c r="C37" s="50" t="str">
        <f>IFERROR(__xludf.DUMMYFUNCTION("""COMPUTED_VALUE"""),"sboumrar@vaires-torcy.iledeloisirs.fr")</f>
        <v>sboumrar@vaires-torcy.iledeloisirs.fr</v>
      </c>
      <c r="D37" s="127" t="str">
        <f>IFERROR(__xludf.DUMMYFUNCTION("""COMPUTED_VALUE"""),"https://drive.google.com/file/d/1ozSgNde2Ym21NhsDwG5z2rWHzDgLfnPV/view?usp=drivesdk")</f>
        <v>https://drive.google.com/file/d/1ozSgNde2Ym21NhsDwG5z2rWHzDgLfnPV/view?usp=drivesdk</v>
      </c>
    </row>
    <row r="38">
      <c r="A38" s="50" t="s">
        <v>707</v>
      </c>
      <c r="B38" s="50" t="str">
        <f>IFERROR(__xludf.DUMMYFUNCTION("""COMPUTED_VALUE"""),"SES-0002")</f>
        <v>SES-0002</v>
      </c>
      <c r="C38" s="50" t="str">
        <f>IFERROR(__xludf.DUMMYFUNCTION("""COMPUTED_VALUE"""),"vcroue@ucpa.asso.fr")</f>
        <v>vcroue@ucpa.asso.fr</v>
      </c>
      <c r="D38" s="127" t="str">
        <f>IFERROR(__xludf.DUMMYFUNCTION("""COMPUTED_VALUE"""),"https://drive.google.com/file/d/1EEgWPTqTPTf5BypxPWiW1RqAX4ZCJsUC/view?usp=drivesdk")</f>
        <v>https://drive.google.com/file/d/1EEgWPTqTPTf5BypxPWiW1RqAX4ZCJsUC/view?usp=drivesdk</v>
      </c>
    </row>
    <row r="39">
      <c r="A39" s="50" t="s">
        <v>716</v>
      </c>
      <c r="B39" s="50" t="str">
        <f>IFERROR(__xludf.DUMMYFUNCTION("""COMPUTED_VALUE"""),"SES-0001")</f>
        <v>SES-0001</v>
      </c>
      <c r="C39" s="50" t="str">
        <f>IFERROR(__xludf.DUMMYFUNCTION("""COMPUTED_VALUE"""),"benoit_massin@hotmail.com")</f>
        <v>benoit_massin@hotmail.com</v>
      </c>
      <c r="D39" s="127" t="str">
        <f>IFERROR(__xludf.DUMMYFUNCTION("""COMPUTED_VALUE"""),"https://drive.google.com/file/d/1Px2yc2lA7fQjhlYzEnz8dTRSPijFKlt2/view?usp=drivesdk")</f>
        <v>https://drive.google.com/file/d/1Px2yc2lA7fQjhlYzEnz8dTRSPijFKlt2/view?usp=drivesdk</v>
      </c>
    </row>
    <row r="40">
      <c r="A40" s="50" t="s">
        <v>717</v>
      </c>
      <c r="B40" s="50" t="str">
        <f>IFERROR(__xludf.DUMMYFUNCTION("""COMPUTED_VALUE"""),"SES-0002")</f>
        <v>SES-0002</v>
      </c>
      <c r="C40" s="50" t="str">
        <f>IFERROR(__xludf.DUMMYFUNCTION("""COMPUTED_VALUE"""),"benoit_massin@hotmail.com")</f>
        <v>benoit_massin@hotmail.com</v>
      </c>
      <c r="D40" s="127" t="str">
        <f>IFERROR(__xludf.DUMMYFUNCTION("""COMPUTED_VALUE"""),"https://drive.google.com/file/d/1xfX7PF0E29OnQ_ExK6bcNhAUg_vGEOoI/view?usp=drivesdk")</f>
        <v>https://drive.google.com/file/d/1xfX7PF0E29OnQ_ExK6bcNhAUg_vGEOoI/view?usp=drivesdk</v>
      </c>
    </row>
    <row r="41">
      <c r="A41" s="50" t="s">
        <v>718</v>
      </c>
      <c r="B41" s="50" t="str">
        <f>IFERROR(__xludf.DUMMYFUNCTION("""COMPUTED_VALUE"""),"SES-0001")</f>
        <v>SES-0001</v>
      </c>
      <c r="C41" s="50" t="str">
        <f>IFERROR(__xludf.DUMMYFUNCTION("""COMPUTED_VALUE"""),"vincentcazalaa@labalaguere.com")</f>
        <v>vincentcazalaa@labalaguere.com</v>
      </c>
      <c r="D41" s="127" t="str">
        <f>IFERROR(__xludf.DUMMYFUNCTION("""COMPUTED_VALUE"""),"https://drive.google.com/file/d/1jH0Erglc1DkMOmE4CufMtjRspoOqQix5/view?usp=drivesdk")</f>
        <v>https://drive.google.com/file/d/1jH0Erglc1DkMOmE4CufMtjRspoOqQix5/view?usp=drivesdk</v>
      </c>
    </row>
    <row r="42">
      <c r="A42" s="50" t="s">
        <v>719</v>
      </c>
      <c r="B42" s="50" t="str">
        <f>IFERROR(__xludf.DUMMYFUNCTION("""COMPUTED_VALUE"""),"SES-0002")</f>
        <v>SES-0002</v>
      </c>
      <c r="C42" s="50" t="str">
        <f>IFERROR(__xludf.DUMMYFUNCTION("""COMPUTED_VALUE"""),"vincentcazalaa@labalaguere.com")</f>
        <v>vincentcazalaa@labalaguere.com</v>
      </c>
      <c r="D42" s="127" t="str">
        <f>IFERROR(__xludf.DUMMYFUNCTION("""COMPUTED_VALUE"""),"https://drive.google.com/file/d/1N5M7s1ofNFgcmx_ytzcV2cRHyuH3MqZO/view?usp=drivesdk")</f>
        <v>https://drive.google.com/file/d/1N5M7s1ofNFgcmx_ytzcV2cRHyuH3MqZO/view?usp=drivesdk</v>
      </c>
    </row>
    <row r="43">
      <c r="A43" s="50" t="s">
        <v>720</v>
      </c>
      <c r="B43" s="50" t="str">
        <f>IFERROR(__xludf.DUMMYFUNCTION("""COMPUTED_VALUE"""),"SES-0002")</f>
        <v>SES-0002</v>
      </c>
      <c r="C43" s="50" t="str">
        <f>IFERROR(__xludf.DUMMYFUNCTION("""COMPUTED_VALUE"""),"mlecocq@ucpa.asso.fr")</f>
        <v>mlecocq@ucpa.asso.fr</v>
      </c>
      <c r="D43" s="127" t="str">
        <f>IFERROR(__xludf.DUMMYFUNCTION("""COMPUTED_VALUE"""),"https://drive.google.com/file/d/1hiazb2CGNAMpfSLfnBAAkiiYUrBuTWvv/view?usp=drivesdk")</f>
        <v>https://drive.google.com/file/d/1hiazb2CGNAMpfSLfnBAAkiiYUrBuTWvv/view?usp=drivesdk</v>
      </c>
    </row>
    <row r="44">
      <c r="A44" s="50" t="s">
        <v>720</v>
      </c>
      <c r="B44" s="50" t="str">
        <f>IFERROR(__xludf.DUMMYFUNCTION("""COMPUTED_VALUE"""),"SES-0002")</f>
        <v>SES-0002</v>
      </c>
      <c r="C44" s="50" t="str">
        <f>IFERROR(__xludf.DUMMYFUNCTION("""COMPUTED_VALUE"""),"mlecocq@ucpa.asso.fr")</f>
        <v>mlecocq@ucpa.asso.fr</v>
      </c>
      <c r="D44" s="127" t="str">
        <f>IFERROR(__xludf.DUMMYFUNCTION("""COMPUTED_VALUE"""),"https://drive.google.com/file/d/11G5y8vWkJeOPOY-b9E1l1U9l8gI2JIh0/view?usp=drivesdk")</f>
        <v>https://drive.google.com/file/d/11G5y8vWkJeOPOY-b9E1l1U9l8gI2JIh0/view?usp=drivesdk</v>
      </c>
    </row>
    <row r="45">
      <c r="A45" s="50" t="s">
        <v>723</v>
      </c>
      <c r="B45" s="50" t="str">
        <f>IFERROR(__xludf.DUMMYFUNCTION("""COMPUTED_VALUE"""),"SES-0001")</f>
        <v>SES-0001</v>
      </c>
      <c r="C45" s="50" t="str">
        <f>IFERROR(__xludf.DUMMYFUNCTION("""COMPUTED_VALUE"""),"hreinaudchapuis@ucpa.asso.fr")</f>
        <v>hreinaudchapuis@ucpa.asso.fr</v>
      </c>
      <c r="D45" s="127" t="str">
        <f>IFERROR(__xludf.DUMMYFUNCTION("""COMPUTED_VALUE"""),"https://drive.google.com/file/d/1kXtYKIT8wmUz34hbVv9ln_pCKE0XzJFB/view?usp=drivesdk")</f>
        <v>https://drive.google.com/file/d/1kXtYKIT8wmUz34hbVv9ln_pCKE0XzJFB/view?usp=drivesdk</v>
      </c>
    </row>
    <row r="46">
      <c r="A46" s="50" t="s">
        <v>725</v>
      </c>
      <c r="B46" s="50" t="str">
        <f>IFERROR(__xludf.DUMMYFUNCTION("""COMPUTED_VALUE"""),"SES-0002")</f>
        <v>SES-0002</v>
      </c>
      <c r="C46" s="50" t="str">
        <f>IFERROR(__xludf.DUMMYFUNCTION("""COMPUTED_VALUE"""),"hreinaudchapuis@ucpa.asso.fr")</f>
        <v>hreinaudchapuis@ucpa.asso.fr</v>
      </c>
      <c r="D46" s="127" t="str">
        <f>IFERROR(__xludf.DUMMYFUNCTION("""COMPUTED_VALUE"""),"https://drive.google.com/file/d/1pZtqj_fifC2SUVp90mmE4STmtKwu7EsO/view?usp=drivesdk")</f>
        <v>https://drive.google.com/file/d/1pZtqj_fifC2SUVp90mmE4STmtKwu7EsO/view?usp=drivesdk</v>
      </c>
    </row>
    <row r="47">
      <c r="A47" s="50" t="s">
        <v>728</v>
      </c>
      <c r="B47" s="50" t="str">
        <f>IFERROR(__xludf.DUMMYFUNCTION("""COMPUTED_VALUE"""),"SES-0001")</f>
        <v>SES-0001</v>
      </c>
      <c r="C47" s="50" t="str">
        <f>IFERROR(__xludf.DUMMYFUNCTION("""COMPUTED_VALUE"""),"lboujjaadia@ucpa.asso.fr")</f>
        <v>lboujjaadia@ucpa.asso.fr</v>
      </c>
      <c r="D47" s="127" t="str">
        <f>IFERROR(__xludf.DUMMYFUNCTION("""COMPUTED_VALUE"""),"https://drive.google.com/file/d/1T8Zq8SVvzlsIvLlyQINNDYuqUWegrpMr/view?usp=drivesdk")</f>
        <v>https://drive.google.com/file/d/1T8Zq8SVvzlsIvLlyQINNDYuqUWegrpMr/view?usp=drivesdk</v>
      </c>
    </row>
    <row r="48">
      <c r="A48" s="50" t="s">
        <v>729</v>
      </c>
      <c r="B48" s="50" t="str">
        <f>IFERROR(__xludf.DUMMYFUNCTION("""COMPUTED_VALUE"""),"SES-0002")</f>
        <v>SES-0002</v>
      </c>
      <c r="C48" s="50" t="str">
        <f>IFERROR(__xludf.DUMMYFUNCTION("""COMPUTED_VALUE"""),"fdadoy@ucpa.asso.fr")</f>
        <v>fdadoy@ucpa.asso.fr</v>
      </c>
      <c r="D48" s="127" t="str">
        <f>IFERROR(__xludf.DUMMYFUNCTION("""COMPUTED_VALUE"""),"https://drive.google.com/file/d/1U0fqf2s5R-OEjjDMSahtfLbuusl_PEh9/view?usp=drivesdk")</f>
        <v>https://drive.google.com/file/d/1U0fqf2s5R-OEjjDMSahtfLbuusl_PEh9/view?usp=drivesdk</v>
      </c>
    </row>
    <row r="49">
      <c r="A49" s="50" t="s">
        <v>730</v>
      </c>
      <c r="B49" s="50" t="str">
        <f>IFERROR(__xludf.DUMMYFUNCTION("""COMPUTED_VALUE"""),"SES-0002")</f>
        <v>SES-0002</v>
      </c>
      <c r="C49" s="50" t="str">
        <f>IFERROR(__xludf.DUMMYFUNCTION("""COMPUTED_VALUE"""),"lboujjaadia@ucpa.asso.fr")</f>
        <v>lboujjaadia@ucpa.asso.fr</v>
      </c>
      <c r="D49" s="127" t="str">
        <f>IFERROR(__xludf.DUMMYFUNCTION("""COMPUTED_VALUE"""),"https://drive.google.com/file/d/1U6ASMemDR50MeZLzQ90P02i4TUXcsJQ-/view?usp=drivesdk")</f>
        <v>https://drive.google.com/file/d/1U6ASMemDR50MeZLzQ90P02i4TUXcsJQ-/view?usp=drivesdk</v>
      </c>
    </row>
    <row r="50">
      <c r="A50" s="50" t="s">
        <v>733</v>
      </c>
      <c r="B50" s="50" t="str">
        <f>IFERROR(__xludf.DUMMYFUNCTION("""COMPUTED_VALUE"""),"SES-0001")</f>
        <v>SES-0001</v>
      </c>
      <c r="C50" s="50" t="str">
        <f>IFERROR(__xludf.DUMMYFUNCTION("""COMPUTED_VALUE"""),"cklipfel@ucpa.asso.fr")</f>
        <v>cklipfel@ucpa.asso.fr</v>
      </c>
      <c r="D50" s="127" t="str">
        <f>IFERROR(__xludf.DUMMYFUNCTION("""COMPUTED_VALUE"""),"https://drive.google.com/file/d/1g0gRjIXLRjuqGEvhgh7TFjzUttEY-oC8/view?usp=drivesdk")</f>
        <v>https://drive.google.com/file/d/1g0gRjIXLRjuqGEvhgh7TFjzUttEY-oC8/view?usp=drivesdk</v>
      </c>
    </row>
    <row r="51">
      <c r="A51" s="50" t="s">
        <v>735</v>
      </c>
      <c r="B51" s="50" t="str">
        <f>IFERROR(__xludf.DUMMYFUNCTION("""COMPUTED_VALUE"""),"SES-0002")</f>
        <v>SES-0002</v>
      </c>
      <c r="C51" s="50" t="str">
        <f>IFERROR(__xludf.DUMMYFUNCTION("""COMPUTED_VALUE"""),"cklipfel@ucpa.asso.fr")</f>
        <v>cklipfel@ucpa.asso.fr</v>
      </c>
      <c r="D51" s="127" t="str">
        <f>IFERROR(__xludf.DUMMYFUNCTION("""COMPUTED_VALUE"""),"https://drive.google.com/file/d/1YedjWM_tGjl5prroUC1ul2fb-j2ewzhP/view?usp=drivesdk")</f>
        <v>https://drive.google.com/file/d/1YedjWM_tGjl5prroUC1ul2fb-j2ewzhP/view?usp=drivesdk</v>
      </c>
    </row>
    <row r="52">
      <c r="A52" s="50" t="s">
        <v>739</v>
      </c>
      <c r="B52" s="50" t="str">
        <f>IFERROR(__xludf.DUMMYFUNCTION("""COMPUTED_VALUE"""),"SES-0002")</f>
        <v>SES-0002</v>
      </c>
      <c r="C52" s="50" t="str">
        <f>IFERROR(__xludf.DUMMYFUNCTION("""COMPUTED_VALUE"""),"npalisse@ucpa.asso.fr")</f>
        <v>npalisse@ucpa.asso.fr</v>
      </c>
      <c r="D52" s="127" t="str">
        <f>IFERROR(__xludf.DUMMYFUNCTION("""COMPUTED_VALUE"""),"https://drive.google.com/file/d/1o-r27GOd-DnhGpbQ9ijUSJkfLoAy6cKD/view?usp=drivesdk")</f>
        <v>https://drive.google.com/file/d/1o-r27GOd-DnhGpbQ9ijUSJkfLoAy6cKD/view?usp=drivesdk</v>
      </c>
    </row>
    <row r="53">
      <c r="A53" s="50" t="s">
        <v>742</v>
      </c>
      <c r="B53" s="50" t="str">
        <f>IFERROR(__xludf.DUMMYFUNCTION("""COMPUTED_VALUE"""),"SES-0002")</f>
        <v>SES-0002</v>
      </c>
      <c r="C53" s="50" t="str">
        <f>IFERROR(__xludf.DUMMYFUNCTION("""COMPUTED_VALUE"""),"courneuve.act@ucpa.asso.fr")</f>
        <v>courneuve.act@ucpa.asso.fr</v>
      </c>
      <c r="D53" s="127" t="str">
        <f>IFERROR(__xludf.DUMMYFUNCTION("""COMPUTED_VALUE"""),"https://drive.google.com/file/d/1zGXjRcqiUZZZ3iOkVcZNGCz3jD2MWjDu/view?usp=drivesdk")</f>
        <v>https://drive.google.com/file/d/1zGXjRcqiUZZZ3iOkVcZNGCz3jD2MWjDu/view?usp=drivesdk</v>
      </c>
    </row>
    <row r="54">
      <c r="A54" s="50" t="s">
        <v>747</v>
      </c>
      <c r="B54" s="50" t="str">
        <f>IFERROR(__xludf.DUMMYFUNCTION("""COMPUTED_VALUE"""),"SES-0001")</f>
        <v>SES-0001</v>
      </c>
      <c r="C54" s="50" t="str">
        <f>IFERROR(__xludf.DUMMYFUNCTION("""COMPUTED_VALUE"""),"npalisse@ucpa.asso.fr")</f>
        <v>npalisse@ucpa.asso.fr</v>
      </c>
      <c r="D54" s="127" t="str">
        <f>IFERROR(__xludf.DUMMYFUNCTION("""COMPUTED_VALUE"""),"https://drive.google.com/file/d/1JVCR9FwIuiOiztAXwpSV0CHSClCiTwKd/view?usp=drivesdk")</f>
        <v>https://drive.google.com/file/d/1JVCR9FwIuiOiztAXwpSV0CHSClCiTwKd/view?usp=drivesdk</v>
      </c>
    </row>
    <row r="55">
      <c r="A55" s="50" t="s">
        <v>749</v>
      </c>
      <c r="B55" s="50" t="str">
        <f>IFERROR(__xludf.DUMMYFUNCTION("""COMPUTED_VALUE"""),"SES-0001")</f>
        <v>SES-0001</v>
      </c>
      <c r="C55" s="50" t="str">
        <f>IFERROR(__xludf.DUMMYFUNCTION("""COMPUTED_VALUE"""),"asupiot@ucpa.asso.fr")</f>
        <v>asupiot@ucpa.asso.fr</v>
      </c>
      <c r="D55" s="127" t="str">
        <f>IFERROR(__xludf.DUMMYFUNCTION("""COMPUTED_VALUE"""),"https://drive.google.com/file/d/1cfL3pfOJzFutM7805_03Ms37lq4FH9UR/view?usp=drivesdk")</f>
        <v>https://drive.google.com/file/d/1cfL3pfOJzFutM7805_03Ms37lq4FH9UR/view?usp=drivesdk</v>
      </c>
    </row>
    <row r="56">
      <c r="A56" s="50" t="s">
        <v>752</v>
      </c>
      <c r="B56" s="50" t="str">
        <f>IFERROR(__xludf.DUMMYFUNCTION("""COMPUTED_VALUE"""),"SES-0002")</f>
        <v>SES-0002</v>
      </c>
      <c r="C56" s="50" t="str">
        <f>IFERROR(__xludf.DUMMYFUNCTION("""COMPUTED_VALUE"""),"asupiot@ucpa.asso.fr")</f>
        <v>asupiot@ucpa.asso.fr</v>
      </c>
      <c r="D56" s="127" t="str">
        <f>IFERROR(__xludf.DUMMYFUNCTION("""COMPUTED_VALUE"""),"https://drive.google.com/file/d/1OuHxufuju85YkbWZB5AX2kMqM5hcsND0/view?usp=drivesdk")</f>
        <v>https://drive.google.com/file/d/1OuHxufuju85YkbWZB5AX2kMqM5hcsND0/view?usp=drivesdk</v>
      </c>
    </row>
    <row r="57">
      <c r="A57" s="50" t="s">
        <v>754</v>
      </c>
      <c r="B57" s="50" t="str">
        <f>IFERROR(__xludf.DUMMYFUNCTION("""COMPUTED_VALUE"""),"SES-0001")</f>
        <v>SES-0001</v>
      </c>
      <c r="C57" s="50" t="str">
        <f>IFERROR(__xludf.DUMMYFUNCTION("""COMPUTED_VALUE"""),"cpouliquen@ucpaplanete.com")</f>
        <v>cpouliquen@ucpaplanete.com</v>
      </c>
      <c r="D57" s="127" t="str">
        <f>IFERROR(__xludf.DUMMYFUNCTION("""COMPUTED_VALUE"""),"https://drive.google.com/file/d/17BhVoPgWCttJWOMOGKprWmycI7nBMOn_/view?usp=drivesdk")</f>
        <v>https://drive.google.com/file/d/17BhVoPgWCttJWOMOGKprWmycI7nBMOn_/view?usp=drivesdk</v>
      </c>
    </row>
    <row r="58">
      <c r="A58" s="50" t="s">
        <v>759</v>
      </c>
      <c r="B58" s="50" t="str">
        <f>IFERROR(__xludf.DUMMYFUNCTION("""COMPUTED_VALUE"""),"SES-0002")</f>
        <v>SES-0002</v>
      </c>
      <c r="C58" s="50" t="str">
        <f>IFERROR(__xludf.DUMMYFUNCTION("""COMPUTED_VALUE"""),"cpouliquen@ucpaplanete.com")</f>
        <v>cpouliquen@ucpaplanete.com</v>
      </c>
      <c r="D58" s="127" t="str">
        <f>IFERROR(__xludf.DUMMYFUNCTION("""COMPUTED_VALUE"""),"https://drive.google.com/file/d/1EcrUcml6czXhKB7oQure0_RjVb_E3yql/view?usp=drivesdk")</f>
        <v>https://drive.google.com/file/d/1EcrUcml6czXhKB7oQure0_RjVb_E3yql/view?usp=drivesdk</v>
      </c>
    </row>
    <row r="59">
      <c r="A59" s="50" t="s">
        <v>763</v>
      </c>
      <c r="B59" s="50" t="str">
        <f>IFERROR(__xludf.DUMMYFUNCTION("""COMPUTED_VALUE"""),"SES-0001")</f>
        <v>SES-0001</v>
      </c>
      <c r="C59" s="50" t="str">
        <f>IFERROR(__xludf.DUMMYFUNCTION("""COMPUTED_VALUE"""),"csebany@ucpa.asso.fr")</f>
        <v>csebany@ucpa.asso.fr</v>
      </c>
      <c r="D59" s="127" t="str">
        <f>IFERROR(__xludf.DUMMYFUNCTION("""COMPUTED_VALUE"""),"https://drive.google.com/file/d/1OJmS7B8QjcntmZgEa6L_lbir63B4Ptd8/view?usp=drivesdk")</f>
        <v>https://drive.google.com/file/d/1OJmS7B8QjcntmZgEa6L_lbir63B4Ptd8/view?usp=drivesdk</v>
      </c>
    </row>
    <row r="60">
      <c r="A60" s="50" t="s">
        <v>769</v>
      </c>
      <c r="B60" s="50" t="str">
        <f>IFERROR(__xludf.DUMMYFUNCTION("""COMPUTED_VALUE"""),"SES-0002")</f>
        <v>SES-0002</v>
      </c>
      <c r="C60" s="50" t="str">
        <f>IFERROR(__xludf.DUMMYFUNCTION("""COMPUTED_VALUE"""),"csebany@ucpa.asso.fr")</f>
        <v>csebany@ucpa.asso.fr</v>
      </c>
      <c r="D60" s="127" t="str">
        <f>IFERROR(__xludf.DUMMYFUNCTION("""COMPUTED_VALUE"""),"https://drive.google.com/file/d/1er02pRumRIvZWLOsTawkaiDB3pTZ8S8R/view?usp=drivesdk")</f>
        <v>https://drive.google.com/file/d/1er02pRumRIvZWLOsTawkaiDB3pTZ8S8R/view?usp=drivesdk</v>
      </c>
    </row>
    <row r="61">
      <c r="A61" s="50" t="s">
        <v>774</v>
      </c>
      <c r="B61" s="50" t="str">
        <f>IFERROR(__xludf.DUMMYFUNCTION("""COMPUTED_VALUE"""),"SES-0001")</f>
        <v>SES-0001</v>
      </c>
      <c r="C61" s="50" t="str">
        <f>IFERROR(__xludf.DUMMYFUNCTION("""COMPUTED_VALUE"""),"ctaverne@ucpa.asso.fr")</f>
        <v>ctaverne@ucpa.asso.fr</v>
      </c>
      <c r="D61" s="127" t="str">
        <f>IFERROR(__xludf.DUMMYFUNCTION("""COMPUTED_VALUE"""),"https://drive.google.com/file/d/10BiDAAMH14MpU6Fzmp62AwtfSN2YEqTH/view?usp=drivesdk")</f>
        <v>https://drive.google.com/file/d/10BiDAAMH14MpU6Fzmp62AwtfSN2YEqTH/view?usp=drivesdk</v>
      </c>
    </row>
    <row r="62">
      <c r="A62" s="50" t="s">
        <v>777</v>
      </c>
      <c r="B62" s="50" t="str">
        <f>IFERROR(__xludf.DUMMYFUNCTION("""COMPUTED_VALUE"""),"SES-0001")</f>
        <v>SES-0001</v>
      </c>
      <c r="C62" s="50" t="str">
        <f>IFERROR(__xludf.DUMMYFUNCTION("""COMPUTED_VALUE"""),"rnisus@ucpasl.com")</f>
        <v>rnisus@ucpasl.com</v>
      </c>
      <c r="D62" s="127" t="str">
        <f>IFERROR(__xludf.DUMMYFUNCTION("""COMPUTED_VALUE"""),"https://drive.google.com/file/d/1Rv0UpbE4l8lxyTY30dwgKDh4rQaHsr8z/view?usp=drivesdk")</f>
        <v>https://drive.google.com/file/d/1Rv0UpbE4l8lxyTY30dwgKDh4rQaHsr8z/view?usp=drivesdk</v>
      </c>
    </row>
    <row r="63">
      <c r="A63" s="50" t="s">
        <v>779</v>
      </c>
      <c r="B63" s="50" t="str">
        <f>IFERROR(__xludf.DUMMYFUNCTION("""COMPUTED_VALUE"""),"SES-0002")</f>
        <v>SES-0002</v>
      </c>
      <c r="C63" s="50" t="str">
        <f>IFERROR(__xludf.DUMMYFUNCTION("""COMPUTED_VALUE"""),"rnisus@ucpasl.com")</f>
        <v>rnisus@ucpasl.com</v>
      </c>
      <c r="D63" s="127" t="str">
        <f>IFERROR(__xludf.DUMMYFUNCTION("""COMPUTED_VALUE"""),"https://drive.google.com/file/d/1ILU-k86uQJxw1omIntJx2cRXYO1JDC0R/view?usp=drivesdk")</f>
        <v>https://drive.google.com/file/d/1ILU-k86uQJxw1omIntJx2cRXYO1JDC0R/view?usp=drivesdk</v>
      </c>
    </row>
    <row r="64">
      <c r="A64" s="50" t="s">
        <v>780</v>
      </c>
      <c r="B64" s="50" t="str">
        <f>IFERROR(__xludf.DUMMYFUNCTION("""COMPUTED_VALUE"""),"SES-0001")</f>
        <v>SES-0001</v>
      </c>
      <c r="C64" s="50" t="str">
        <f>IFERROR(__xludf.DUMMYFUNCTION("""COMPUTED_VALUE"""),"elisa.duret74@outlook.fr")</f>
        <v>elisa.duret74@outlook.fr</v>
      </c>
      <c r="D64" s="127" t="str">
        <f>IFERROR(__xludf.DUMMYFUNCTION("""COMPUTED_VALUE"""),"https://drive.google.com/file/d/1BCM2wN0NgM0sbfcTO6RaGbMMq3E7t7Uf/view?usp=drivesdk")</f>
        <v>https://drive.google.com/file/d/1BCM2wN0NgM0sbfcTO6RaGbMMq3E7t7Uf/view?usp=drivesdk</v>
      </c>
    </row>
    <row r="65">
      <c r="A65" s="50" t="s">
        <v>781</v>
      </c>
      <c r="B65" s="50" t="str">
        <f>IFERROR(__xludf.DUMMYFUNCTION("""COMPUTED_VALUE"""),"SES-0002")</f>
        <v>SES-0002</v>
      </c>
      <c r="C65" s="50" t="str">
        <f>IFERROR(__xludf.DUMMYFUNCTION("""COMPUTED_VALUE"""),"elisa.duret74@outlook.fr")</f>
        <v>elisa.duret74@outlook.fr</v>
      </c>
      <c r="D65" s="127" t="str">
        <f>IFERROR(__xludf.DUMMYFUNCTION("""COMPUTED_VALUE"""),"https://drive.google.com/file/d/1l0LjTLmI2L89fWfHVjpIO6iCdDVT3l3P/view?usp=drivesdk")</f>
        <v>https://drive.google.com/file/d/1l0LjTLmI2L89fWfHVjpIO6iCdDVT3l3P/view?usp=drivesdk</v>
      </c>
    </row>
    <row r="66">
      <c r="A66" s="50" t="s">
        <v>782</v>
      </c>
      <c r="B66" s="50" t="str">
        <f>IFERROR(__xludf.DUMMYFUNCTION("""COMPUTED_VALUE"""),"SES-0001")</f>
        <v>SES-0001</v>
      </c>
      <c r="C66" s="50" t="str">
        <f>IFERROR(__xludf.DUMMYFUNCTION("""COMPUTED_VALUE"""),"yohan.brun@telligo.fr")</f>
        <v>yohan.brun@telligo.fr</v>
      </c>
      <c r="D66" s="127" t="str">
        <f>IFERROR(__xludf.DUMMYFUNCTION("""COMPUTED_VALUE"""),"https://drive.google.com/file/d/1NQRg6gVlBUAAamnGvuu0_75HVrBcXV1A/view?usp=drivesdk")</f>
        <v>https://drive.google.com/file/d/1NQRg6gVlBUAAamnGvuu0_75HVrBcXV1A/view?usp=drivesdk</v>
      </c>
    </row>
    <row r="67">
      <c r="A67" s="50" t="s">
        <v>783</v>
      </c>
      <c r="B67" s="50" t="str">
        <f>IFERROR(__xludf.DUMMYFUNCTION("""COMPUTED_VALUE"""),"SES-0002")</f>
        <v>SES-0002</v>
      </c>
      <c r="C67" s="50" t="str">
        <f>IFERROR(__xludf.DUMMYFUNCTION("""COMPUTED_VALUE"""),"yohan.brun@telligo.fr")</f>
        <v>yohan.brun@telligo.fr</v>
      </c>
      <c r="D67" s="127" t="str">
        <f>IFERROR(__xludf.DUMMYFUNCTION("""COMPUTED_VALUE"""),"https://drive.google.com/file/d/190zf_8efXavPAWVP4NVXxYxWk4UFFq9N/view?usp=drivesdk")</f>
        <v>https://drive.google.com/file/d/190zf_8efXavPAWVP4NVXxYxWk4UFFq9N/view?usp=drivesdk</v>
      </c>
    </row>
    <row r="68">
      <c r="A68" s="50" t="s">
        <v>784</v>
      </c>
      <c r="B68" s="50" t="str">
        <f>IFERROR(__xludf.DUMMYFUNCTION("""COMPUTED_VALUE"""),"SES-0002")</f>
        <v>SES-0002</v>
      </c>
      <c r="C68" s="50" t="str">
        <f>IFERROR(__xludf.DUMMYFUNCTION("""COMPUTED_VALUE"""),"llaval@ucpa.asso.fr")</f>
        <v>llaval@ucpa.asso.fr</v>
      </c>
      <c r="D68" s="127" t="str">
        <f>IFERROR(__xludf.DUMMYFUNCTION("""COMPUTED_VALUE"""),"https://drive.google.com/file/d/1Cn0UhB9cr-YOAZB605kz7KUiDprKctYE/view?usp=drivesdk")</f>
        <v>https://drive.google.com/file/d/1Cn0UhB9cr-YOAZB605kz7KUiDprKctYE/view?usp=drivesdk</v>
      </c>
    </row>
    <row r="69">
      <c r="A69" s="50" t="s">
        <v>785</v>
      </c>
      <c r="B69" s="50" t="str">
        <f>IFERROR(__xludf.DUMMYFUNCTION("""COMPUTED_VALUE"""),"SES-0002")</f>
        <v>SES-0002</v>
      </c>
      <c r="C69" s="50" t="str">
        <f>IFERROR(__xludf.DUMMYFUNCTION("""COMPUTED_VALUE"""),"maid@ucpaplanete.com")</f>
        <v>maid@ucpaplanete.com</v>
      </c>
      <c r="D69" s="127" t="str">
        <f>IFERROR(__xludf.DUMMYFUNCTION("""COMPUTED_VALUE"""),"https://drive.google.com/file/d/1W0Wo0l_NXG_YCiovictmX-XrRVkiNscw/view?usp=drivesdk")</f>
        <v>https://drive.google.com/file/d/1W0Wo0l_NXG_YCiovictmX-XrRVkiNscw/view?usp=drivesdk</v>
      </c>
    </row>
    <row r="70">
      <c r="A70" s="50" t="s">
        <v>786</v>
      </c>
      <c r="B70" s="50" t="str">
        <f>IFERROR(__xludf.DUMMYFUNCTION("""COMPUTED_VALUE"""),"SES-0001")</f>
        <v>SES-0001</v>
      </c>
      <c r="C70" s="50" t="str">
        <f>IFERROR(__xludf.DUMMYFUNCTION("""COMPUTED_VALUE"""),"ptassy@ucpa.asso.fr")</f>
        <v>ptassy@ucpa.asso.fr</v>
      </c>
      <c r="D70" s="127" t="str">
        <f>IFERROR(__xludf.DUMMYFUNCTION("""COMPUTED_VALUE"""),"https://drive.google.com/file/d/1Z1V_m93q4jkWcKOT4os8z5ed-KmlpyN8/view?usp=drivesdk")</f>
        <v>https://drive.google.com/file/d/1Z1V_m93q4jkWcKOT4os8z5ed-KmlpyN8/view?usp=drivesdk</v>
      </c>
    </row>
    <row r="71">
      <c r="A71" s="50" t="s">
        <v>787</v>
      </c>
      <c r="B71" s="50" t="str">
        <f>IFERROR(__xludf.DUMMYFUNCTION("""COMPUTED_VALUE"""),"SES-0002")</f>
        <v>SES-0002</v>
      </c>
      <c r="C71" s="50" t="str">
        <f>IFERROR(__xludf.DUMMYFUNCTION("""COMPUTED_VALUE"""),"ptassy@ucpa.asso.fr")</f>
        <v>ptassy@ucpa.asso.fr</v>
      </c>
      <c r="D71" s="127" t="str">
        <f>IFERROR(__xludf.DUMMYFUNCTION("""COMPUTED_VALUE"""),"https://drive.google.com/file/d/1Y3Hd55S72M0IHEtBfM69o8DNAnq7-T-v/view?usp=drivesdk")</f>
        <v>https://drive.google.com/file/d/1Y3Hd55S72M0IHEtBfM69o8DNAnq7-T-v/view?usp=drivesdk</v>
      </c>
    </row>
    <row r="72">
      <c r="A72" s="50" t="s">
        <v>788</v>
      </c>
      <c r="B72" s="50" t="str">
        <f>IFERROR(__xludf.DUMMYFUNCTION("""COMPUTED_VALUE"""),"SES-0001")</f>
        <v>SES-0001</v>
      </c>
      <c r="C72" s="50" t="str">
        <f>IFERROR(__xludf.DUMMYFUNCTION("""COMPUTED_VALUE"""),"pbesancon@ucpasl.com")</f>
        <v>pbesancon@ucpasl.com</v>
      </c>
      <c r="D72" s="127" t="str">
        <f>IFERROR(__xludf.DUMMYFUNCTION("""COMPUTED_VALUE"""),"https://drive.google.com/file/d/1yssA-V_AtZY_l-veevslFxMtXjnPvM0I/view?usp=drivesdk")</f>
        <v>https://drive.google.com/file/d/1yssA-V_AtZY_l-veevslFxMtXjnPvM0I/view?usp=drivesdk</v>
      </c>
    </row>
    <row r="73">
      <c r="A73" s="50" t="s">
        <v>789</v>
      </c>
      <c r="B73" s="50" t="str">
        <f>IFERROR(__xludf.DUMMYFUNCTION("""COMPUTED_VALUE"""),"SES-0002")</f>
        <v>SES-0002</v>
      </c>
      <c r="C73" s="50" t="str">
        <f>IFERROR(__xludf.DUMMYFUNCTION("""COMPUTED_VALUE"""),"pbesancon@ucpasl.com")</f>
        <v>pbesancon@ucpasl.com</v>
      </c>
      <c r="D73" s="127" t="str">
        <f>IFERROR(__xludf.DUMMYFUNCTION("""COMPUTED_VALUE"""),"https://drive.google.com/file/d/1njr6hRteDlcv5_AEjYWyE8oqvViIqH1S/view?usp=drivesdk")</f>
        <v>https://drive.google.com/file/d/1njr6hRteDlcv5_AEjYWyE8oqvViIqH1S/view?usp=drivesdk</v>
      </c>
    </row>
    <row r="74">
      <c r="A74" s="50" t="s">
        <v>790</v>
      </c>
      <c r="B74" s="50" t="str">
        <f>IFERROR(__xludf.DUMMYFUNCTION("""COMPUTED_VALUE"""),"SES-0002")</f>
        <v>SES-0002</v>
      </c>
      <c r="C74" s="50" t="str">
        <f>IFERROR(__xludf.DUMMYFUNCTION("""COMPUTED_VALUE"""),"aderivet@ucpa.asso.fr")</f>
        <v>aderivet@ucpa.asso.fr</v>
      </c>
      <c r="D74" s="127" t="str">
        <f>IFERROR(__xludf.DUMMYFUNCTION("""COMPUTED_VALUE"""),"https://drive.google.com/file/d/1hVMPb1qf2-u9qU_gUc_L4livwzaziaU-/view?usp=drivesdk")</f>
        <v>https://drive.google.com/file/d/1hVMPb1qf2-u9qU_gUc_L4livwzaziaU-/view?usp=drivesdk</v>
      </c>
    </row>
    <row r="75">
      <c r="A75" s="50" t="s">
        <v>791</v>
      </c>
      <c r="B75" s="50" t="str">
        <f>IFERROR(__xludf.DUMMYFUNCTION("""COMPUTED_VALUE"""),"SES-0001")</f>
        <v>SES-0001</v>
      </c>
      <c r="C75" s="50" t="str">
        <f>IFERROR(__xludf.DUMMYFUNCTION("""COMPUTED_VALUE"""),"tschwartz@ucpasl.com")</f>
        <v>tschwartz@ucpasl.com</v>
      </c>
      <c r="D75" s="127" t="str">
        <f>IFERROR(__xludf.DUMMYFUNCTION("""COMPUTED_VALUE"""),"https://drive.google.com/file/d/1hwc0MALbFHX9agdosP8vge0li3a-c2yt/view?usp=drivesdk")</f>
        <v>https://drive.google.com/file/d/1hwc0MALbFHX9agdosP8vge0li3a-c2yt/view?usp=drivesdk</v>
      </c>
    </row>
    <row r="76">
      <c r="A76" s="50" t="s">
        <v>792</v>
      </c>
      <c r="B76" s="50" t="str">
        <f>IFERROR(__xludf.DUMMYFUNCTION("""COMPUTED_VALUE"""),"SES-0002")</f>
        <v>SES-0002</v>
      </c>
      <c r="C76" s="50" t="str">
        <f>IFERROR(__xludf.DUMMYFUNCTION("""COMPUTED_VALUE"""),"tschwartz@ucpasl.com")</f>
        <v>tschwartz@ucpasl.com</v>
      </c>
      <c r="D76" s="127" t="str">
        <f>IFERROR(__xludf.DUMMYFUNCTION("""COMPUTED_VALUE"""),"https://drive.google.com/file/d/1dmUPljzhRm5eF7PAOFovJ92fycb57KI2/view?usp=drivesdk")</f>
        <v>https://drive.google.com/file/d/1dmUPljzhRm5eF7PAOFovJ92fycb57KI2/view?usp=drivesdk</v>
      </c>
    </row>
    <row r="77">
      <c r="A77" s="50" t="s">
        <v>793</v>
      </c>
      <c r="B77" s="50" t="str">
        <f>IFERROR(__xludf.DUMMYFUNCTION("""COMPUTED_VALUE"""),"SES-0001")</f>
        <v>SES-0001</v>
      </c>
      <c r="C77" s="50" t="str">
        <f>IFERROR(__xludf.DUMMYFUNCTION("""COMPUTED_VALUE"""),"sbourrier@ucpa.asso.fr")</f>
        <v>sbourrier@ucpa.asso.fr</v>
      </c>
      <c r="D77" s="127" t="str">
        <f>IFERROR(__xludf.DUMMYFUNCTION("""COMPUTED_VALUE"""),"https://drive.google.com/file/d/1YtzEcEzVk7NpBetmxrJ7Eguwl73PsAiN/view?usp=drivesdk")</f>
        <v>https://drive.google.com/file/d/1YtzEcEzVk7NpBetmxrJ7Eguwl73PsAiN/view?usp=drivesdk</v>
      </c>
    </row>
    <row r="78">
      <c r="A78" s="50" t="s">
        <v>797</v>
      </c>
      <c r="B78" s="50" t="str">
        <f>IFERROR(__xludf.DUMMYFUNCTION("""COMPUTED_VALUE"""),"SES-0001")</f>
        <v>SES-0001</v>
      </c>
      <c r="C78" s="50" t="str">
        <f>IFERROR(__xludf.DUMMYFUNCTION("""COMPUTED_VALUE"""),"acottem@gmail.com")</f>
        <v>acottem@gmail.com</v>
      </c>
      <c r="D78" s="127" t="str">
        <f>IFERROR(__xludf.DUMMYFUNCTION("""COMPUTED_VALUE"""),"https://drive.google.com/file/d/15PxlRYdwgs2d5E00qmS__EskGfMTu26V/view?usp=drivesdk")</f>
        <v>https://drive.google.com/file/d/15PxlRYdwgs2d5E00qmS__EskGfMTu26V/view?usp=drivesdk</v>
      </c>
    </row>
    <row r="79">
      <c r="A79" s="50" t="s">
        <v>799</v>
      </c>
      <c r="B79" s="50" t="str">
        <f>IFERROR(__xludf.DUMMYFUNCTION("""COMPUTED_VALUE"""),"SES-0002")</f>
        <v>SES-0002</v>
      </c>
      <c r="C79" s="50" t="str">
        <f>IFERROR(__xludf.DUMMYFUNCTION("""COMPUTED_VALUE"""),"acottem@ucpa.asso.fr")</f>
        <v>acottem@ucpa.asso.fr</v>
      </c>
      <c r="D79" s="127" t="str">
        <f>IFERROR(__xludf.DUMMYFUNCTION("""COMPUTED_VALUE"""),"https://drive.google.com/file/d/1nqKm7F-rJ_Mn6OzfksaV0rN2-HAx5bw3/view?usp=drivesdk")</f>
        <v>https://drive.google.com/file/d/1nqKm7F-rJ_Mn6OzfksaV0rN2-HAx5bw3/view?usp=drivesdk</v>
      </c>
    </row>
    <row r="80">
      <c r="A80" s="50" t="s">
        <v>802</v>
      </c>
      <c r="B80" s="50" t="str">
        <f>IFERROR(__xludf.DUMMYFUNCTION("""COMPUTED_VALUE"""),"SES-0001")</f>
        <v>SES-0001</v>
      </c>
      <c r="C80" s="50" t="str">
        <f>IFERROR(__xludf.DUMMYFUNCTION("""COMPUTED_VALUE"""),"acottem@ucpa.asso.fr")</f>
        <v>acottem@ucpa.asso.fr</v>
      </c>
      <c r="D80" s="127" t="str">
        <f>IFERROR(__xludf.DUMMYFUNCTION("""COMPUTED_VALUE"""),"https://drive.google.com/file/d/1nw1S_FHDoW0ngbWRsDh19Gmv7878j66p/view?usp=drivesdk")</f>
        <v>https://drive.google.com/file/d/1nw1S_FHDoW0ngbWRsDh19Gmv7878j66p/view?usp=drivesdk</v>
      </c>
    </row>
    <row r="81">
      <c r="A81" s="50" t="s">
        <v>806</v>
      </c>
      <c r="B81" s="50" t="str">
        <f>IFERROR(__xludf.DUMMYFUNCTION("""COMPUTED_VALUE"""),"SES-0001")</f>
        <v>SES-0001</v>
      </c>
      <c r="C81" s="50" t="str">
        <f>IFERROR(__xludf.DUMMYFUNCTION("""COMPUTED_VALUE"""),"frouhier@bois-le-roi.iledeloisirs.fr")</f>
        <v>frouhier@bois-le-roi.iledeloisirs.fr</v>
      </c>
      <c r="D81" s="127" t="str">
        <f>IFERROR(__xludf.DUMMYFUNCTION("""COMPUTED_VALUE"""),"https://drive.google.com/file/d/1_lrjTIRT1qzKjYAq8MXOaIhHEOvB61dD/view?usp=drivesdk")</f>
        <v>https://drive.google.com/file/d/1_lrjTIRT1qzKjYAq8MXOaIhHEOvB61dD/view?usp=drivesdk</v>
      </c>
    </row>
    <row r="82">
      <c r="A82" s="50" t="s">
        <v>809</v>
      </c>
      <c r="B82" s="50" t="str">
        <f>IFERROR(__xludf.DUMMYFUNCTION("""COMPUTED_VALUE"""),"SES-0002")</f>
        <v>SES-0002</v>
      </c>
      <c r="C82" s="50" t="str">
        <f>IFERROR(__xludf.DUMMYFUNCTION("""COMPUTED_VALUE"""),"frouhier@bois-le-roi.iledeloisirs.fr")</f>
        <v>frouhier@bois-le-roi.iledeloisirs.fr</v>
      </c>
      <c r="D82" s="127" t="str">
        <f>IFERROR(__xludf.DUMMYFUNCTION("""COMPUTED_VALUE"""),"https://drive.google.com/file/d/1tI50yuEO5i4zAW3bs2pUZoPVN_YlqpNM/view?usp=drivesdk")</f>
        <v>https://drive.google.com/file/d/1tI50yuEO5i4zAW3bs2pUZoPVN_YlqpNM/view?usp=drivesdk</v>
      </c>
    </row>
    <row r="83">
      <c r="A83" s="50" t="s">
        <v>813</v>
      </c>
      <c r="B83" s="50" t="str">
        <f>IFERROR(__xludf.DUMMYFUNCTION("""COMPUTED_VALUE"""),"SES-0002")</f>
        <v>SES-0002</v>
      </c>
      <c r="C83" s="50" t="str">
        <f>IFERROR(__xludf.DUMMYFUNCTION("""COMPUTED_VALUE"""),"stephaniebrasier@labalaguere.com")</f>
        <v>stephaniebrasier@labalaguere.com</v>
      </c>
      <c r="D83" s="127" t="str">
        <f>IFERROR(__xludf.DUMMYFUNCTION("""COMPUTED_VALUE"""),"https://drive.google.com/file/d/1PRT9fcCI7mU_Oo3gcNlgZXlRAWuMPwid/view?usp=drivesdk")</f>
        <v>https://drive.google.com/file/d/1PRT9fcCI7mU_Oo3gcNlgZXlRAWuMPwid/view?usp=drivesdk</v>
      </c>
    </row>
    <row r="84">
      <c r="A84" s="50" t="s">
        <v>818</v>
      </c>
      <c r="B84" s="50" t="str">
        <f>IFERROR(__xludf.DUMMYFUNCTION("""COMPUTED_VALUE"""),"SES-0001")</f>
        <v>SES-0001</v>
      </c>
      <c r="C84" s="50" t="str">
        <f>IFERROR(__xludf.DUMMYFUNCTION("""COMPUTED_VALUE"""),"mvaujany@ucpa.asso.fr")</f>
        <v>mvaujany@ucpa.asso.fr</v>
      </c>
      <c r="D84" s="127" t="str">
        <f>IFERROR(__xludf.DUMMYFUNCTION("""COMPUTED_VALUE"""),"https://drive.google.com/file/d/196LgbIQNrlahy-8_wu4ok7sVznOuH4fA/view?usp=drivesdk")</f>
        <v>https://drive.google.com/file/d/196LgbIQNrlahy-8_wu4ok7sVznOuH4fA/view?usp=drivesdk</v>
      </c>
    </row>
    <row r="85">
      <c r="A85" s="50" t="s">
        <v>821</v>
      </c>
      <c r="B85" s="50" t="str">
        <f>IFERROR(__xludf.DUMMYFUNCTION("""COMPUTED_VALUE"""),"SES-0002")</f>
        <v>SES-0002</v>
      </c>
      <c r="C85" s="50" t="str">
        <f>IFERROR(__xludf.DUMMYFUNCTION("""COMPUTED_VALUE"""),"mvaujany@ucpa.asso.fr")</f>
        <v>mvaujany@ucpa.asso.fr</v>
      </c>
      <c r="D85" s="127" t="str">
        <f>IFERROR(__xludf.DUMMYFUNCTION("""COMPUTED_VALUE"""),"https://drive.google.com/file/d/1EOw8aQbqNsYiURtjjfo8KMD0rb4_smXn/view?usp=drivesdk")</f>
        <v>https://drive.google.com/file/d/1EOw8aQbqNsYiURtjjfo8KMD0rb4_smXn/view?usp=drivesdk</v>
      </c>
    </row>
    <row r="86">
      <c r="A86" s="50" t="s">
        <v>825</v>
      </c>
      <c r="B86" s="50" t="str">
        <f>IFERROR(__xludf.DUMMYFUNCTION("""COMPUTED_VALUE"""),"SES-0001")</f>
        <v>SES-0001</v>
      </c>
      <c r="C86" s="50" t="str">
        <f>IFERROR(__xludf.DUMMYFUNCTION("""COMPUTED_VALUE"""),"gebonnard@ucpa.asso.fr")</f>
        <v>gebonnard@ucpa.asso.fr</v>
      </c>
      <c r="D86" s="127" t="str">
        <f>IFERROR(__xludf.DUMMYFUNCTION("""COMPUTED_VALUE"""),"https://drive.google.com/file/d/1FILS7B4D9ErWIEMAev7tTPH_WGs1dm4c/view?usp=drivesdk")</f>
        <v>https://drive.google.com/file/d/1FILS7B4D9ErWIEMAev7tTPH_WGs1dm4c/view?usp=drivesdk</v>
      </c>
    </row>
    <row r="87">
      <c r="A87" s="50" t="s">
        <v>828</v>
      </c>
      <c r="B87" s="50" t="str">
        <f>IFERROR(__xludf.DUMMYFUNCTION("""COMPUTED_VALUE"""),"SES-0002")</f>
        <v>SES-0002</v>
      </c>
      <c r="C87" s="50" t="str">
        <f>IFERROR(__xludf.DUMMYFUNCTION("""COMPUTED_VALUE"""),"gebonnard@ucpa.asso.fr")</f>
        <v>gebonnard@ucpa.asso.fr</v>
      </c>
      <c r="D87" s="127" t="str">
        <f>IFERROR(__xludf.DUMMYFUNCTION("""COMPUTED_VALUE"""),"https://drive.google.com/file/d/1sYOCb8e7z6SmURFH0rIIS3QwI3y-Jg3l/view?usp=drivesdk")</f>
        <v>https://drive.google.com/file/d/1sYOCb8e7z6SmURFH0rIIS3QwI3y-Jg3l/view?usp=drivesdk</v>
      </c>
    </row>
    <row r="88">
      <c r="A88" s="50" t="s">
        <v>833</v>
      </c>
      <c r="B88" s="50" t="str">
        <f>IFERROR(__xludf.DUMMYFUNCTION("""COMPUTED_VALUE"""),"SES-0001")</f>
        <v>SES-0001</v>
      </c>
      <c r="C88" s="50" t="str">
        <f>IFERROR(__xludf.DUMMYFUNCTION("""COMPUTED_VALUE"""),"jthomas@ucpa.asso.fr")</f>
        <v>jthomas@ucpa.asso.fr</v>
      </c>
      <c r="D88" s="127" t="str">
        <f>IFERROR(__xludf.DUMMYFUNCTION("""COMPUTED_VALUE"""),"https://drive.google.com/file/d/1z08ZiYSgSoE88LZNzm8bbF244DDjnkbM/view?usp=drivesdk")</f>
        <v>https://drive.google.com/file/d/1z08ZiYSgSoE88LZNzm8bbF244DDjnkbM/view?usp=drivesdk</v>
      </c>
    </row>
    <row r="89">
      <c r="A89" s="50" t="s">
        <v>836</v>
      </c>
      <c r="B89" s="50" t="str">
        <f>IFERROR(__xludf.DUMMYFUNCTION("""COMPUTED_VALUE"""),"SES-0002")</f>
        <v>SES-0002</v>
      </c>
      <c r="C89" s="50" t="str">
        <f>IFERROR(__xludf.DUMMYFUNCTION("""COMPUTED_VALUE"""),"jthomas@ucpa.asso.fr")</f>
        <v>jthomas@ucpa.asso.fr</v>
      </c>
      <c r="D89" s="127" t="str">
        <f>IFERROR(__xludf.DUMMYFUNCTION("""COMPUTED_VALUE"""),"https://drive.google.com/file/d/1vp2511PwORXvXYLevqCufzdwacKcQVC2/view?usp=drivesdk")</f>
        <v>https://drive.google.com/file/d/1vp2511PwORXvXYLevqCufzdwacKcQVC2/view?usp=drivesdk</v>
      </c>
    </row>
    <row r="90">
      <c r="A90" s="50" t="s">
        <v>840</v>
      </c>
      <c r="B90" s="50" t="str">
        <f>IFERROR(__xludf.DUMMYFUNCTION("""COMPUTED_VALUE"""),"SES-0001")</f>
        <v>SES-0001</v>
      </c>
      <c r="C90" s="50" t="str">
        <f>IFERROR(__xludf.DUMMYFUNCTION("""COMPUTED_VALUE"""),"mdelnatte@ucpa.asso.fr")</f>
        <v>mdelnatte@ucpa.asso.fr</v>
      </c>
      <c r="D90" s="127" t="str">
        <f>IFERROR(__xludf.DUMMYFUNCTION("""COMPUTED_VALUE"""),"https://drive.google.com/file/d/1GqKPio2lOVCT6c4M_1O1pecROiRW7dNW/view?usp=drivesdk")</f>
        <v>https://drive.google.com/file/d/1GqKPio2lOVCT6c4M_1O1pecROiRW7dNW/view?usp=drivesdk</v>
      </c>
    </row>
    <row r="91">
      <c r="A91" s="50" t="s">
        <v>843</v>
      </c>
      <c r="B91" s="50" t="str">
        <f>IFERROR(__xludf.DUMMYFUNCTION("""COMPUTED_VALUE"""),"SES-0001")</f>
        <v>SES-0001</v>
      </c>
      <c r="C91" s="50" t="str">
        <f>IFERROR(__xludf.DUMMYFUNCTION("""COMPUTED_VALUE"""),"yfunke@ucpasl.com")</f>
        <v>yfunke@ucpasl.com</v>
      </c>
      <c r="D91" s="127" t="str">
        <f>IFERROR(__xludf.DUMMYFUNCTION("""COMPUTED_VALUE"""),"https://drive.google.com/file/d/1IzpgbuwrQrc8DYOKXcsPzbsJBgtUFUwz/view?usp=drivesdk")</f>
        <v>https://drive.google.com/file/d/1IzpgbuwrQrc8DYOKXcsPzbsJBgtUFUwz/view?usp=drivesdk</v>
      </c>
    </row>
    <row r="92">
      <c r="A92" s="50" t="s">
        <v>847</v>
      </c>
      <c r="B92" s="50" t="str">
        <f>IFERROR(__xludf.DUMMYFUNCTION("""COMPUTED_VALUE"""),"SES-0001")</f>
        <v>SES-0001</v>
      </c>
      <c r="C92" s="50" t="str">
        <f>IFERROR(__xludf.DUMMYFUNCTION("""COMPUTED_VALUE"""),"benedicte.barre@tootazimut.fr")</f>
        <v>benedicte.barre@tootazimut.fr</v>
      </c>
      <c r="D92" s="127" t="str">
        <f>IFERROR(__xludf.DUMMYFUNCTION("""COMPUTED_VALUE"""),"https://drive.google.com/file/d/1MbaevhE_VKIHQpY3XFPjfbkUUb0OY58W/view?usp=drivesdk")</f>
        <v>https://drive.google.com/file/d/1MbaevhE_VKIHQpY3XFPjfbkUUb0OY58W/view?usp=drivesdk</v>
      </c>
    </row>
    <row r="93">
      <c r="A93" s="50" t="s">
        <v>851</v>
      </c>
      <c r="B93" s="50" t="str">
        <f>IFERROR(__xludf.DUMMYFUNCTION("""COMPUTED_VALUE"""),"SES-0002")</f>
        <v>SES-0002</v>
      </c>
      <c r="C93" s="50" t="str">
        <f>IFERROR(__xludf.DUMMYFUNCTION("""COMPUTED_VALUE"""),"benedicte.barre@tootazimut.fr")</f>
        <v>benedicte.barre@tootazimut.fr</v>
      </c>
      <c r="D93" s="127" t="str">
        <f>IFERROR(__xludf.DUMMYFUNCTION("""COMPUTED_VALUE"""),"https://drive.google.com/file/d/1amsz2qHgf7CWjfTyWKZtKJLBBJfVruLP/view?usp=drivesdk")</f>
        <v>https://drive.google.com/file/d/1amsz2qHgf7CWjfTyWKZtKJLBBJfVruLP/view?usp=drivesdk</v>
      </c>
    </row>
    <row r="94">
      <c r="A94" s="50" t="s">
        <v>854</v>
      </c>
      <c r="B94" s="50" t="str">
        <f>IFERROR(__xludf.DUMMYFUNCTION("""COMPUTED_VALUE"""),"SES-0002")</f>
        <v>SES-0002</v>
      </c>
      <c r="C94" s="50" t="str">
        <f>IFERROR(__xludf.DUMMYFUNCTION("""COMPUTED_VALUE"""),"yfunke@ucpasl.com")</f>
        <v>yfunke@ucpasl.com</v>
      </c>
      <c r="D94" s="127" t="str">
        <f>IFERROR(__xludf.DUMMYFUNCTION("""COMPUTED_VALUE"""),"https://drive.google.com/file/d/1PTaQeyVZL42xIRMsNKEduykSSi2Syh6V/view?usp=drivesdk")</f>
        <v>https://drive.google.com/file/d/1PTaQeyVZL42xIRMsNKEduykSSi2Syh6V/view?usp=drivesdk</v>
      </c>
    </row>
    <row r="95">
      <c r="A95" s="50" t="s">
        <v>858</v>
      </c>
      <c r="B95" s="50" t="str">
        <f>IFERROR(__xludf.DUMMYFUNCTION("""COMPUTED_VALUE"""),"SES-0002")</f>
        <v>SES-0002</v>
      </c>
      <c r="C95" s="50" t="str">
        <f>IFERROR(__xludf.DUMMYFUNCTION("""COMPUTED_VALUE"""),"kmillion@ucpa.asso.fr")</f>
        <v>kmillion@ucpa.asso.fr</v>
      </c>
      <c r="D95" s="127" t="str">
        <f>IFERROR(__xludf.DUMMYFUNCTION("""COMPUTED_VALUE"""),"https://drive.google.com/file/d/1_OuLL3RJ-LP2xaWiPjgGX2dGudtwbVEB/view?usp=drivesdk")</f>
        <v>https://drive.google.com/file/d/1_OuLL3RJ-LP2xaWiPjgGX2dGudtwbVEB/view?usp=drivesdk</v>
      </c>
    </row>
    <row r="96">
      <c r="A96" s="50" t="s">
        <v>861</v>
      </c>
      <c r="B96" s="50" t="str">
        <f>IFERROR(__xludf.DUMMYFUNCTION("""COMPUTED_VALUE"""),"SES-0001")</f>
        <v>SES-0001</v>
      </c>
      <c r="C96" s="50" t="str">
        <f>IFERROR(__xludf.DUMMYFUNCTION("""COMPUTED_VALUE"""),"cpham@ucpa.asso.fr")</f>
        <v>cpham@ucpa.asso.fr</v>
      </c>
      <c r="D96" s="127" t="str">
        <f>IFERROR(__xludf.DUMMYFUNCTION("""COMPUTED_VALUE"""),"https://drive.google.com/file/d/1-BCsEL3U2N_a7NJCkflH1JTm7n--E82Y/view?usp=drivesdk")</f>
        <v>https://drive.google.com/file/d/1-BCsEL3U2N_a7NJCkflH1JTm7n--E82Y/view?usp=drivesdk</v>
      </c>
    </row>
    <row r="97">
      <c r="A97" s="50" t="s">
        <v>865</v>
      </c>
      <c r="B97" s="50" t="str">
        <f>IFERROR(__xludf.DUMMYFUNCTION("""COMPUTED_VALUE"""),"SES-0001")</f>
        <v>SES-0001</v>
      </c>
      <c r="C97" s="50" t="str">
        <f>IFERROR(__xludf.DUMMYFUNCTION("""COMPUTED_VALUE"""),"ecusey@ucpasl.com")</f>
        <v>ecusey@ucpasl.com</v>
      </c>
      <c r="D97" s="127" t="str">
        <f>IFERROR(__xludf.DUMMYFUNCTION("""COMPUTED_VALUE"""),"https://drive.google.com/file/d/1Dj8xUoE6tQl-5piKXDC01DOz_2G0Cswk/view?usp=drivesdk")</f>
        <v>https://drive.google.com/file/d/1Dj8xUoE6tQl-5piKXDC01DOz_2G0Cswk/view?usp=drivesdk</v>
      </c>
    </row>
    <row r="98">
      <c r="A98" s="50" t="s">
        <v>869</v>
      </c>
      <c r="B98" s="50" t="str">
        <f>IFERROR(__xludf.DUMMYFUNCTION("""COMPUTED_VALUE"""),"SES-0001")</f>
        <v>SES-0001</v>
      </c>
      <c r="C98" s="50" t="str">
        <f>IFERROR(__xludf.DUMMYFUNCTION("""COMPUTED_VALUE"""),"abonville@ucpa.asso.fr")</f>
        <v>abonville@ucpa.asso.fr</v>
      </c>
      <c r="D98" s="127" t="str">
        <f>IFERROR(__xludf.DUMMYFUNCTION("""COMPUTED_VALUE"""),"https://drive.google.com/file/d/1SxUOXK8891wJNY3XpzRoq34X8Fdf8C5Y/view?usp=drivesdk")</f>
        <v>https://drive.google.com/file/d/1SxUOXK8891wJNY3XpzRoq34X8Fdf8C5Y/view?usp=drivesdk</v>
      </c>
    </row>
    <row r="99">
      <c r="A99" s="50" t="s">
        <v>870</v>
      </c>
      <c r="B99" s="50" t="str">
        <f>IFERROR(__xludf.DUMMYFUNCTION("""COMPUTED_VALUE"""),"SES-0002")</f>
        <v>SES-0002</v>
      </c>
      <c r="C99" s="50" t="str">
        <f>IFERROR(__xludf.DUMMYFUNCTION("""COMPUTED_VALUE"""),"ecusey@ucpasl.com")</f>
        <v>ecusey@ucpasl.com</v>
      </c>
      <c r="D99" s="127" t="str">
        <f>IFERROR(__xludf.DUMMYFUNCTION("""COMPUTED_VALUE"""),"https://drive.google.com/file/d/1x7vdUFlFv0Y6Mos-YN170z1npcF2pMfv/view?usp=drivesdk")</f>
        <v>https://drive.google.com/file/d/1x7vdUFlFv0Y6Mos-YN170z1npcF2pMfv/view?usp=drivesdk</v>
      </c>
    </row>
    <row r="100">
      <c r="A100" s="50" t="s">
        <v>871</v>
      </c>
      <c r="B100" s="50" t="str">
        <f>IFERROR(__xludf.DUMMYFUNCTION("""COMPUTED_VALUE"""),"SES-0002")</f>
        <v>SES-0002</v>
      </c>
      <c r="C100" s="50" t="str">
        <f>IFERROR(__xludf.DUMMYFUNCTION("""COMPUTED_VALUE"""),"cpham@ucpa.asso.fr")</f>
        <v>cpham@ucpa.asso.fr</v>
      </c>
      <c r="D100" s="127" t="str">
        <f>IFERROR(__xludf.DUMMYFUNCTION("""COMPUTED_VALUE"""),"https://drive.google.com/file/d/1inf_UtmB8qZEJEjxHqb3mATNU9MfbGvi/view?usp=drivesdk")</f>
        <v>https://drive.google.com/file/d/1inf_UtmB8qZEJEjxHqb3mATNU9MfbGvi/view?usp=drivesdk</v>
      </c>
    </row>
    <row r="101">
      <c r="A101" s="50" t="s">
        <v>874</v>
      </c>
      <c r="B101" s="50" t="str">
        <f>IFERROR(__xludf.DUMMYFUNCTION("""COMPUTED_VALUE"""),"SES-0001")</f>
        <v>SES-0001</v>
      </c>
      <c r="C101" s="50" t="str">
        <f>IFERROR(__xludf.DUMMYFUNCTION("""COMPUTED_VALUE"""),"clapeyre@ucpasl.com")</f>
        <v>clapeyre@ucpasl.com</v>
      </c>
      <c r="D101" s="127" t="str">
        <f>IFERROR(__xludf.DUMMYFUNCTION("""COMPUTED_VALUE"""),"https://drive.google.com/file/d/1SZID_Lv0vCdrxPln3ke8kEd0vV97KuEw/view?usp=drivesdk")</f>
        <v>https://drive.google.com/file/d/1SZID_Lv0vCdrxPln3ke8kEd0vV97KuEw/view?usp=drivesdk</v>
      </c>
    </row>
    <row r="102">
      <c r="A102" s="50" t="s">
        <v>878</v>
      </c>
      <c r="B102" s="50" t="str">
        <f>IFERROR(__xludf.DUMMYFUNCTION("""COMPUTED_VALUE"""),"SES-0002")</f>
        <v>SES-0002</v>
      </c>
      <c r="C102" s="50" t="str">
        <f>IFERROR(__xludf.DUMMYFUNCTION("""COMPUTED_VALUE"""),"clapeyre@ucpasl.com")</f>
        <v>clapeyre@ucpasl.com</v>
      </c>
      <c r="D102" s="127" t="str">
        <f>IFERROR(__xludf.DUMMYFUNCTION("""COMPUTED_VALUE"""),"https://drive.google.com/file/d/17DhuR_obpscVJQxWgIpj1H4XEyKDDBLs/view?usp=drivesdk")</f>
        <v>https://drive.google.com/file/d/17DhuR_obpscVJQxWgIpj1H4XEyKDDBLs/view?usp=drivesdk</v>
      </c>
    </row>
    <row r="103">
      <c r="A103" s="50" t="s">
        <v>881</v>
      </c>
      <c r="B103" s="50" t="str">
        <f>IFERROR(__xludf.DUMMYFUNCTION("""COMPUTED_VALUE"""),"SES-0001")</f>
        <v>SES-0001</v>
      </c>
      <c r="C103" s="50" t="str">
        <f>IFERROR(__xludf.DUMMYFUNCTION("""COMPUTED_VALUE"""),"kmillion@ucpa.asso.fr")</f>
        <v>kmillion@ucpa.asso.fr</v>
      </c>
      <c r="D103" s="127" t="str">
        <f>IFERROR(__xludf.DUMMYFUNCTION("""COMPUTED_VALUE"""),"https://drive.google.com/file/d/127VzxLxjIOaVInuiuAWU3CBpkpN7apaM/view?usp=drivesdk")</f>
        <v>https://drive.google.com/file/d/127VzxLxjIOaVInuiuAWU3CBpkpN7apaM/view?usp=drivesdk</v>
      </c>
    </row>
    <row r="104">
      <c r="A104" s="50" t="s">
        <v>884</v>
      </c>
      <c r="B104" s="50" t="str">
        <f>IFERROR(__xludf.DUMMYFUNCTION("""COMPUTED_VALUE"""),"SES-0001")</f>
        <v>SES-0001</v>
      </c>
      <c r="C104" s="50" t="str">
        <f>IFERROR(__xludf.DUMMYFUNCTION("""COMPUTED_VALUE"""),"mdamour@ucpasl.com")</f>
        <v>mdamour@ucpasl.com</v>
      </c>
      <c r="D104" s="127" t="str">
        <f>IFERROR(__xludf.DUMMYFUNCTION("""COMPUTED_VALUE"""),"https://drive.google.com/file/d/1geE3s_5cTI-68fQH2Hqe8j2isBWL_rQQ/view?usp=drivesdk")</f>
        <v>https://drive.google.com/file/d/1geE3s_5cTI-68fQH2Hqe8j2isBWL_rQQ/view?usp=drivesdk</v>
      </c>
    </row>
    <row r="105">
      <c r="A105" s="50" t="s">
        <v>886</v>
      </c>
      <c r="B105" s="50" t="str">
        <f>IFERROR(__xludf.DUMMYFUNCTION("""COMPUTED_VALUE"""),"SES-0002")</f>
        <v>SES-0002</v>
      </c>
      <c r="C105" s="50" t="str">
        <f>IFERROR(__xludf.DUMMYFUNCTION("""COMPUTED_VALUE"""),"mdamour@ucpasl.com")</f>
        <v>mdamour@ucpasl.com</v>
      </c>
      <c r="D105" s="127" t="str">
        <f>IFERROR(__xludf.DUMMYFUNCTION("""COMPUTED_VALUE"""),"https://drive.google.com/file/d/1MszwbCvT2pNjqdvQoGokfQLLUq8vQpYg/view?usp=drivesdk")</f>
        <v>https://drive.google.com/file/d/1MszwbCvT2pNjqdvQoGokfQLLUq8vQpYg/view?usp=drivesdk</v>
      </c>
    </row>
    <row r="106">
      <c r="A106" s="50" t="s">
        <v>890</v>
      </c>
      <c r="B106" s="50" t="str">
        <f>IFERROR(__xludf.DUMMYFUNCTION("""COMPUTED_VALUE"""),"SES-0001")</f>
        <v>SES-0001</v>
      </c>
      <c r="C106" s="50" t="str">
        <f>IFERROR(__xludf.DUMMYFUNCTION("""COMPUTED_VALUE"""),"esene@ucpa.asso.fr")</f>
        <v>esene@ucpa.asso.fr</v>
      </c>
      <c r="D106" s="127" t="str">
        <f>IFERROR(__xludf.DUMMYFUNCTION("""COMPUTED_VALUE"""),"https://drive.google.com/file/d/1C92wC6yfGmUjs41QsGlXv_SkjVcwQt-c/view?usp=drivesdk")</f>
        <v>https://drive.google.com/file/d/1C92wC6yfGmUjs41QsGlXv_SkjVcwQt-c/view?usp=drivesdk</v>
      </c>
    </row>
    <row r="107">
      <c r="A107" s="50" t="s">
        <v>893</v>
      </c>
      <c r="B107" s="50" t="str">
        <f>IFERROR(__xludf.DUMMYFUNCTION("""COMPUTED_VALUE"""),"SES-0002")</f>
        <v>SES-0002</v>
      </c>
      <c r="C107" s="50" t="str">
        <f>IFERROR(__xludf.DUMMYFUNCTION("""COMPUTED_VALUE"""),"avermeersch@ucpa.asso.fr")</f>
        <v>avermeersch@ucpa.asso.fr</v>
      </c>
      <c r="D107" s="127" t="str">
        <f>IFERROR(__xludf.DUMMYFUNCTION("""COMPUTED_VALUE"""),"https://drive.google.com/file/d/19b442Yf6DwAlsojhw9zuhv5U5bNOdlat/view?usp=drivesdk")</f>
        <v>https://drive.google.com/file/d/19b442Yf6DwAlsojhw9zuhv5U5bNOdlat/view?usp=drivesdk</v>
      </c>
    </row>
    <row r="108">
      <c r="A108" s="50" t="s">
        <v>896</v>
      </c>
      <c r="B108" s="50" t="str">
        <f>IFERROR(__xludf.DUMMYFUNCTION("""COMPUTED_VALUE"""),"SES-0001")</f>
        <v>SES-0001</v>
      </c>
      <c r="C108" s="50" t="str">
        <f>IFERROR(__xludf.DUMMYFUNCTION("""COMPUTED_VALUE"""),"lgrosjean@ucpa.asso.fr")</f>
        <v>lgrosjean@ucpa.asso.fr</v>
      </c>
      <c r="D108" s="127" t="str">
        <f>IFERROR(__xludf.DUMMYFUNCTION("""COMPUTED_VALUE"""),"https://drive.google.com/file/d/1jjIBLbBZ83zslGPwGANsiWHNDxjKmwZp/view?usp=drivesdk")</f>
        <v>https://drive.google.com/file/d/1jjIBLbBZ83zslGPwGANsiWHNDxjKmwZp/view?usp=drivesdk</v>
      </c>
    </row>
    <row r="109">
      <c r="A109" s="50" t="s">
        <v>899</v>
      </c>
      <c r="B109" s="50" t="str">
        <f>IFERROR(__xludf.DUMMYFUNCTION("""COMPUTED_VALUE"""),"SES-0002")</f>
        <v>SES-0002</v>
      </c>
      <c r="C109" s="50" t="str">
        <f>IFERROR(__xludf.DUMMYFUNCTION("""COMPUTED_VALUE"""),"lgrosjean@ucpa.asso.fr")</f>
        <v>lgrosjean@ucpa.asso.fr</v>
      </c>
      <c r="D109" s="127" t="str">
        <f>IFERROR(__xludf.DUMMYFUNCTION("""COMPUTED_VALUE"""),"https://drive.google.com/file/d/1fOsfB7QoFjBXJnhaP3PO5pO4flKMP28y/view?usp=drivesdk")</f>
        <v>https://drive.google.com/file/d/1fOsfB7QoFjBXJnhaP3PO5pO4flKMP28y/view?usp=drivesdk</v>
      </c>
    </row>
    <row r="110">
      <c r="A110" s="50" t="s">
        <v>903</v>
      </c>
      <c r="B110" s="50" t="str">
        <f>IFERROR(__xludf.DUMMYFUNCTION("""COMPUTED_VALUE"""),"SES-0001")</f>
        <v>SES-0001</v>
      </c>
      <c r="C110" s="50" t="str">
        <f>IFERROR(__xludf.DUMMYFUNCTION("""COMPUTED_VALUE"""),"eesperse@ucpa.asso.fr")</f>
        <v>eesperse@ucpa.asso.fr</v>
      </c>
      <c r="D110" s="127" t="str">
        <f>IFERROR(__xludf.DUMMYFUNCTION("""COMPUTED_VALUE"""),"https://drive.google.com/file/d/1vMeDRdnyq6NdSpz4oVheV4DKyfyJcMG7/view?usp=drivesdk")</f>
        <v>https://drive.google.com/file/d/1vMeDRdnyq6NdSpz4oVheV4DKyfyJcMG7/view?usp=drivesdk</v>
      </c>
    </row>
    <row r="111">
      <c r="A111" s="50" t="s">
        <v>906</v>
      </c>
      <c r="B111" s="50" t="str">
        <f>IFERROR(__xludf.DUMMYFUNCTION("""COMPUTED_VALUE"""),"SES-0002")</f>
        <v>SES-0002</v>
      </c>
      <c r="C111" s="50" t="str">
        <f>IFERROR(__xludf.DUMMYFUNCTION("""COMPUTED_VALUE"""),"eesperse@ucpa.asso.fr")</f>
        <v>eesperse@ucpa.asso.fr</v>
      </c>
      <c r="D111" s="127" t="str">
        <f>IFERROR(__xludf.DUMMYFUNCTION("""COMPUTED_VALUE"""),"https://drive.google.com/file/d/1XW5arMlkb71FcRm9SAfYdJU8VxWiL6G5/view?usp=drivesdk")</f>
        <v>https://drive.google.com/file/d/1XW5arMlkb71FcRm9SAfYdJU8VxWiL6G5/view?usp=drivesdk</v>
      </c>
    </row>
    <row r="112">
      <c r="A112" s="50" t="s">
        <v>910</v>
      </c>
      <c r="B112" s="50" t="str">
        <f>IFERROR(__xludf.DUMMYFUNCTION("""COMPUTED_VALUE"""),"SES-0001")</f>
        <v>SES-0001</v>
      </c>
      <c r="C112" s="50" t="str">
        <f>IFERROR(__xludf.DUMMYFUNCTION("""COMPUTED_VALUE"""),"jcolombat@ucpasl.com")</f>
        <v>jcolombat@ucpasl.com</v>
      </c>
      <c r="D112" s="127" t="str">
        <f>IFERROR(__xludf.DUMMYFUNCTION("""COMPUTED_VALUE"""),"https://drive.google.com/file/d/1_o3wDsQVDHOy-jXsgNuz1R5MEZoK3JT8/view?usp=drivesdk")</f>
        <v>https://drive.google.com/file/d/1_o3wDsQVDHOy-jXsgNuz1R5MEZoK3JT8/view?usp=drivesdk</v>
      </c>
    </row>
    <row r="113">
      <c r="A113" s="50" t="s">
        <v>914</v>
      </c>
      <c r="B113" s="50" t="str">
        <f>IFERROR(__xludf.DUMMYFUNCTION("""COMPUTED_VALUE"""),"SES-0002")</f>
        <v>SES-0002</v>
      </c>
      <c r="C113" s="50" t="str">
        <f>IFERROR(__xludf.DUMMYFUNCTION("""COMPUTED_VALUE"""),"jcolombat@ucpasl.com")</f>
        <v>jcolombat@ucpasl.com</v>
      </c>
      <c r="D113" s="127" t="str">
        <f>IFERROR(__xludf.DUMMYFUNCTION("""COMPUTED_VALUE"""),"https://drive.google.com/file/d/1Yr6d81hDDjf2zdgUXOPbCG6NyQJh6fhi/view?usp=drivesdk")</f>
        <v>https://drive.google.com/file/d/1Yr6d81hDDjf2zdgUXOPbCG6NyQJh6fhi/view?usp=drivesdk</v>
      </c>
    </row>
    <row r="114">
      <c r="A114" s="50" t="s">
        <v>917</v>
      </c>
      <c r="B114" s="50" t="str">
        <f>IFERROR(__xludf.DUMMYFUNCTION("""COMPUTED_VALUE"""),"SES-0002")</f>
        <v>SES-0002</v>
      </c>
      <c r="C114" s="50" t="str">
        <f>IFERROR(__xludf.DUMMYFUNCTION("""COMPUTED_VALUE"""),"lrouffart@ucpa.asso.fr")</f>
        <v>lrouffart@ucpa.asso.fr</v>
      </c>
      <c r="D114" s="127" t="str">
        <f>IFERROR(__xludf.DUMMYFUNCTION("""COMPUTED_VALUE"""),"https://drive.google.com/file/d/16wbKCWSBvzJIDf-gjlUQmszhncvNrTcl/view?usp=drivesdk")</f>
        <v>https://drive.google.com/file/d/16wbKCWSBvzJIDf-gjlUQmszhncvNrTcl/view?usp=drivesdk</v>
      </c>
    </row>
    <row r="115">
      <c r="A115" s="50" t="s">
        <v>920</v>
      </c>
      <c r="B115" s="50" t="str">
        <f>IFERROR(__xludf.DUMMYFUNCTION("""COMPUTED_VALUE"""),"SES-0001")</f>
        <v>SES-0001</v>
      </c>
      <c r="C115" s="50" t="str">
        <f>IFERROR(__xludf.DUMMYFUNCTION("""COMPUTED_VALUE"""),"ptumbarello@ucpa.asso.fr")</f>
        <v>ptumbarello@ucpa.asso.fr</v>
      </c>
      <c r="D115" s="127" t="str">
        <f>IFERROR(__xludf.DUMMYFUNCTION("""COMPUTED_VALUE"""),"https://drive.google.com/file/d/18WCs-z_-hyOwBC97NqYX1L8BoffJLlFA/view?usp=drivesdk")</f>
        <v>https://drive.google.com/file/d/18WCs-z_-hyOwBC97NqYX1L8BoffJLlFA/view?usp=drivesdk</v>
      </c>
    </row>
    <row r="116">
      <c r="A116" s="50" t="s">
        <v>923</v>
      </c>
      <c r="B116" s="50" t="str">
        <f>IFERROR(__xludf.DUMMYFUNCTION("""COMPUTED_VALUE"""),"SES-0002")</f>
        <v>SES-0002</v>
      </c>
      <c r="C116" s="50" t="str">
        <f>IFERROR(__xludf.DUMMYFUNCTION("""COMPUTED_VALUE"""),"ptumbarello@ucpa.asso.fr")</f>
        <v>ptumbarello@ucpa.asso.fr</v>
      </c>
      <c r="D116" s="127" t="str">
        <f>IFERROR(__xludf.DUMMYFUNCTION("""COMPUTED_VALUE"""),"https://drive.google.com/file/d/1aqanjOppOIgFWJ7CgCppJDKIP3dweWeL/view?usp=drivesdk")</f>
        <v>https://drive.google.com/file/d/1aqanjOppOIgFWJ7CgCppJDKIP3dweWeL/view?usp=drivesdk</v>
      </c>
    </row>
    <row r="117">
      <c r="A117" s="50" t="s">
        <v>927</v>
      </c>
      <c r="B117" s="50" t="str">
        <f>IFERROR(__xludf.DUMMYFUNCTION("""COMPUTED_VALUE"""),"SES-0001")</f>
        <v>SES-0001</v>
      </c>
      <c r="C117" s="50" t="str">
        <f>IFERROR(__xludf.DUMMYFUNCTION("""COMPUTED_VALUE"""),"ctsikras@ucpa.asso.fr")</f>
        <v>ctsikras@ucpa.asso.fr</v>
      </c>
      <c r="D117" s="127" t="str">
        <f>IFERROR(__xludf.DUMMYFUNCTION("""COMPUTED_VALUE"""),"https://drive.google.com/file/d/1sUt47gJC6gm91Aki5pCqii7VlkfhLXYV/view?usp=drivesdk")</f>
        <v>https://drive.google.com/file/d/1sUt47gJC6gm91Aki5pCqii7VlkfhLXYV/view?usp=drivesdk</v>
      </c>
    </row>
    <row r="118">
      <c r="A118" s="50" t="s">
        <v>931</v>
      </c>
      <c r="B118" s="50" t="str">
        <f>IFERROR(__xludf.DUMMYFUNCTION("""COMPUTED_VALUE"""),"SES-0002")</f>
        <v>SES-0002</v>
      </c>
      <c r="C118" s="50" t="str">
        <f>IFERROR(__xludf.DUMMYFUNCTION("""COMPUTED_VALUE"""),"ctsikras@ucpa.asso.fr")</f>
        <v>ctsikras@ucpa.asso.fr</v>
      </c>
      <c r="D118" s="127" t="str">
        <f>IFERROR(__xludf.DUMMYFUNCTION("""COMPUTED_VALUE"""),"https://drive.google.com/file/d/1nNH4FIjgolPptGYuwL8fxjJOQ2BRiL59/view?usp=drivesdk")</f>
        <v>https://drive.google.com/file/d/1nNH4FIjgolPptGYuwL8fxjJOQ2BRiL59/view?usp=drivesdk</v>
      </c>
    </row>
    <row r="119">
      <c r="A119" s="50" t="s">
        <v>935</v>
      </c>
      <c r="B119" s="50" t="str">
        <f>IFERROR(__xludf.DUMMYFUNCTION("""COMPUTED_VALUE"""),"SES-0001")</f>
        <v>SES-0001</v>
      </c>
      <c r="C119" s="50" t="str">
        <f>IFERROR(__xludf.DUMMYFUNCTION("""COMPUTED_VALUE"""),"nferat@ucpa.asso.fr")</f>
        <v>nferat@ucpa.asso.fr</v>
      </c>
      <c r="D119" s="127" t="str">
        <f>IFERROR(__xludf.DUMMYFUNCTION("""COMPUTED_VALUE"""),"https://drive.google.com/file/d/1F2qA2IiuJLM_6af-phSCfx4C0WtXxtop/view?usp=drivesdk")</f>
        <v>https://drive.google.com/file/d/1F2qA2IiuJLM_6af-phSCfx4C0WtXxtop/view?usp=drivesdk</v>
      </c>
    </row>
    <row r="120">
      <c r="A120" s="50" t="s">
        <v>939</v>
      </c>
      <c r="B120" s="50" t="str">
        <f>IFERROR(__xludf.DUMMYFUNCTION("""COMPUTED_VALUE"""),"SES-0002")</f>
        <v>SES-0002</v>
      </c>
      <c r="C120" s="50" t="str">
        <f>IFERROR(__xludf.DUMMYFUNCTION("""COMPUTED_VALUE"""),"nferat@ucpa.asso.fr")</f>
        <v>nferat@ucpa.asso.fr</v>
      </c>
      <c r="D120" s="127" t="str">
        <f>IFERROR(__xludf.DUMMYFUNCTION("""COMPUTED_VALUE"""),"https://drive.google.com/file/d/1p-2eXKVL2xyY6UHz-Uiiq5WgRY0aoBfR/view?usp=drivesdk")</f>
        <v>https://drive.google.com/file/d/1p-2eXKVL2xyY6UHz-Uiiq5WgRY0aoBfR/view?usp=drivesdk</v>
      </c>
    </row>
    <row r="121">
      <c r="A121" s="50" t="s">
        <v>943</v>
      </c>
      <c r="B121" s="50" t="str">
        <f>IFERROR(__xludf.DUMMYFUNCTION("""COMPUTED_VALUE"""),"SES-0001")</f>
        <v>SES-0001</v>
      </c>
      <c r="C121" s="50" t="str">
        <f>IFERROR(__xludf.DUMMYFUNCTION("""COMPUTED_VALUE"""),"jcorre@ucpasl.com")</f>
        <v>jcorre@ucpasl.com</v>
      </c>
      <c r="D121" s="127" t="str">
        <f>IFERROR(__xludf.DUMMYFUNCTION("""COMPUTED_VALUE"""),"https://drive.google.com/file/d/1O6nGzjQ9rddhZTVSqwRTKzL-LIBXfZwp/view?usp=drivesdk")</f>
        <v>https://drive.google.com/file/d/1O6nGzjQ9rddhZTVSqwRTKzL-LIBXfZwp/view?usp=drivesdk</v>
      </c>
    </row>
    <row r="122">
      <c r="A122" s="50" t="s">
        <v>944</v>
      </c>
      <c r="B122" s="50" t="str">
        <f>IFERROR(__xludf.DUMMYFUNCTION("""COMPUTED_VALUE"""),"SES-0002")</f>
        <v>SES-0002</v>
      </c>
      <c r="C122" s="50" t="str">
        <f>IFERROR(__xludf.DUMMYFUNCTION("""COMPUTED_VALUE"""),"jcorre@ucpasl.com")</f>
        <v>jcorre@ucpasl.com</v>
      </c>
      <c r="D122" s="127" t="str">
        <f>IFERROR(__xludf.DUMMYFUNCTION("""COMPUTED_VALUE"""),"https://drive.google.com/file/d/1fPhB6MgZney1Tehl83YDX8MXtad_APd6/view?usp=drivesdk")</f>
        <v>https://drive.google.com/file/d/1fPhB6MgZney1Tehl83YDX8MXtad_APd6/view?usp=drivesdk</v>
      </c>
    </row>
    <row r="123">
      <c r="A123" s="50" t="s">
        <v>947</v>
      </c>
      <c r="B123" s="50" t="str">
        <f>IFERROR(__xludf.DUMMYFUNCTION("""COMPUTED_VALUE"""),"SES-0002")</f>
        <v>SES-0002</v>
      </c>
      <c r="C123" s="50" t="str">
        <f>IFERROR(__xludf.DUMMYFUNCTION("""COMPUTED_VALUE"""),"awillem@ucpa.asso.fr")</f>
        <v>awillem@ucpa.asso.fr</v>
      </c>
      <c r="D123" s="127" t="str">
        <f>IFERROR(__xludf.DUMMYFUNCTION("""COMPUTED_VALUE"""),"https://drive.google.com/file/d/1b1drF0aRqJlYNpeEwL-2DjTNc_ZaKBvR/view?usp=drivesdk")</f>
        <v>https://drive.google.com/file/d/1b1drF0aRqJlYNpeEwL-2DjTNc_ZaKBvR/view?usp=drivesdk</v>
      </c>
    </row>
    <row r="124">
      <c r="A124" s="50" t="s">
        <v>951</v>
      </c>
      <c r="B124" s="50" t="str">
        <f>IFERROR(__xludf.DUMMYFUNCTION("""COMPUTED_VALUE"""),"SES-0002")</f>
        <v>SES-0002</v>
      </c>
      <c r="C124" s="50" t="str">
        <f>IFERROR(__xludf.DUMMYFUNCTION("""COMPUTED_VALUE"""),"ctaverne@ucpa.asso.fr")</f>
        <v>ctaverne@ucpa.asso.fr</v>
      </c>
      <c r="D124" s="127" t="str">
        <f>IFERROR(__xludf.DUMMYFUNCTION("""COMPUTED_VALUE"""),"https://drive.google.com/file/d/1SLm1ZG3okK-mQ_BsCCU_K9BgRn-Yt0Hi/view?usp=drivesdk")</f>
        <v>https://drive.google.com/file/d/1SLm1ZG3okK-mQ_BsCCU_K9BgRn-Yt0Hi/view?usp=drivesdk</v>
      </c>
    </row>
    <row r="125">
      <c r="A125" s="50" t="s">
        <v>954</v>
      </c>
      <c r="B125" s="50" t="str">
        <f>IFERROR(__xludf.DUMMYFUNCTION("""COMPUTED_VALUE"""),"SES-0002")</f>
        <v>SES-0002</v>
      </c>
      <c r="C125" s="50" t="str">
        <f>IFERROR(__xludf.DUMMYFUNCTION("""COMPUTED_VALUE"""),"mlepretre@ucpa.asso.fr")</f>
        <v>mlepretre@ucpa.asso.fr</v>
      </c>
      <c r="D125" s="127" t="str">
        <f>IFERROR(__xludf.DUMMYFUNCTION("""COMPUTED_VALUE"""),"https://drive.google.com/file/d/1F1OfPsfC9UlCgG34RcnvdszomfKBlQIA/view?usp=drivesdk")</f>
        <v>https://drive.google.com/file/d/1F1OfPsfC9UlCgG34RcnvdszomfKBlQIA/view?usp=drivesdk</v>
      </c>
    </row>
    <row r="126">
      <c r="A126" s="50" t="s">
        <v>958</v>
      </c>
      <c r="B126" s="50" t="str">
        <f>IFERROR(__xludf.DUMMYFUNCTION("""COMPUTED_VALUE"""),"SES-0001")</f>
        <v>SES-0001</v>
      </c>
      <c r="C126" s="50" t="str">
        <f>IFERROR(__xludf.DUMMYFUNCTION("""COMPUTED_VALUE"""),"epatay@ucpa.asso.fr")</f>
        <v>epatay@ucpa.asso.fr</v>
      </c>
      <c r="D126" s="127" t="str">
        <f>IFERROR(__xludf.DUMMYFUNCTION("""COMPUTED_VALUE"""),"https://drive.google.com/file/d/1hNsS5v_049dHMeT1qnQ3IrbShoJsX7ay/view?usp=drivesdk")</f>
        <v>https://drive.google.com/file/d/1hNsS5v_049dHMeT1qnQ3IrbShoJsX7ay/view?usp=drivesdk</v>
      </c>
    </row>
    <row r="127">
      <c r="A127" s="50" t="s">
        <v>964</v>
      </c>
      <c r="B127" s="50" t="str">
        <f>IFERROR(__xludf.DUMMYFUNCTION("""COMPUTED_VALUE"""),"SES-0001")</f>
        <v>SES-0001</v>
      </c>
      <c r="C127" s="50" t="str">
        <f>IFERROR(__xludf.DUMMYFUNCTION("""COMPUTED_VALUE"""),"platapie@ucpasl.com")</f>
        <v>platapie@ucpasl.com</v>
      </c>
      <c r="D127" s="127" t="str">
        <f>IFERROR(__xludf.DUMMYFUNCTION("""COMPUTED_VALUE"""),"https://drive.google.com/file/d/10PB5nlg39rAcRB4bv2k1CamO8wq3_35H/view?usp=drivesdk")</f>
        <v>https://drive.google.com/file/d/10PB5nlg39rAcRB4bv2k1CamO8wq3_35H/view?usp=drivesdk</v>
      </c>
    </row>
    <row r="128">
      <c r="A128" s="50" t="s">
        <v>968</v>
      </c>
      <c r="B128" s="50" t="str">
        <f>IFERROR(__xludf.DUMMYFUNCTION("""COMPUTED_VALUE"""),"SES-0002")</f>
        <v>SES-0002</v>
      </c>
      <c r="C128" s="50" t="str">
        <f>IFERROR(__xludf.DUMMYFUNCTION("""COMPUTED_VALUE"""),"epatay@ucpa.asso.fr")</f>
        <v>epatay@ucpa.asso.fr</v>
      </c>
      <c r="D128" s="127" t="str">
        <f>IFERROR(__xludf.DUMMYFUNCTION("""COMPUTED_VALUE"""),"https://drive.google.com/file/d/1qkAxkFChzDdLNr7c9qPQYLN0jN1F2maV/view?usp=drivesdk")</f>
        <v>https://drive.google.com/file/d/1qkAxkFChzDdLNr7c9qPQYLN0jN1F2maV/view?usp=drivesdk</v>
      </c>
    </row>
    <row r="129">
      <c r="A129" s="50" t="s">
        <v>972</v>
      </c>
      <c r="B129" s="50" t="str">
        <f>IFERROR(__xludf.DUMMYFUNCTION("""COMPUTED_VALUE"""),"SES-0002")</f>
        <v>SES-0002</v>
      </c>
      <c r="C129" s="50" t="str">
        <f>IFERROR(__xludf.DUMMYFUNCTION("""COMPUTED_VALUE"""),"platapie@ucpasl.com")</f>
        <v>platapie@ucpasl.com</v>
      </c>
      <c r="D129" s="127" t="str">
        <f>IFERROR(__xludf.DUMMYFUNCTION("""COMPUTED_VALUE"""),"https://drive.google.com/file/d/1kIMkocPxRxeyzNIFucQbavfIKPl47LXK/view?usp=drivesdk")</f>
        <v>https://drive.google.com/file/d/1kIMkocPxRxeyzNIFucQbavfIKPl47LXK/view?usp=drivesdk</v>
      </c>
    </row>
    <row r="130">
      <c r="A130" s="50" t="s">
        <v>975</v>
      </c>
      <c r="B130" s="50" t="str">
        <f>IFERROR(__xludf.DUMMYFUNCTION("""COMPUTED_VALUE"""),"SES-0002")</f>
        <v>SES-0002</v>
      </c>
      <c r="C130" s="50" t="str">
        <f>IFERROR(__xludf.DUMMYFUNCTION("""COMPUTED_VALUE"""),"stephanie.abaziou@labalaguere.com")</f>
        <v>stephanie.abaziou@labalaguere.com</v>
      </c>
      <c r="D130" s="127" t="str">
        <f>IFERROR(__xludf.DUMMYFUNCTION("""COMPUTED_VALUE"""),"https://drive.google.com/file/d/1ZcgJnl5ycpiz9-mC8OiPnocqShSduucz/view?usp=drivesdk")</f>
        <v>https://drive.google.com/file/d/1ZcgJnl5ycpiz9-mC8OiPnocqShSduucz/view?usp=drivesdk</v>
      </c>
    </row>
    <row r="131">
      <c r="A131" s="50" t="s">
        <v>979</v>
      </c>
      <c r="B131" s="50" t="str">
        <f>IFERROR(__xludf.DUMMYFUNCTION("""COMPUTED_VALUE"""),"SES-0001")</f>
        <v>SES-0001</v>
      </c>
      <c r="C131" s="50" t="str">
        <f>IFERROR(__xludf.DUMMYFUNCTION("""COMPUTED_VALUE"""),"tdossios@ucpasl.com")</f>
        <v>tdossios@ucpasl.com</v>
      </c>
      <c r="D131" s="127" t="str">
        <f>IFERROR(__xludf.DUMMYFUNCTION("""COMPUTED_VALUE"""),"https://drive.google.com/file/d/1OJ-qud5lbg1Bdro-GQ5ri7Q_xQ2S-Gf2/view?usp=drivesdk")</f>
        <v>https://drive.google.com/file/d/1OJ-qud5lbg1Bdro-GQ5ri7Q_xQ2S-Gf2/view?usp=drivesdk</v>
      </c>
    </row>
    <row r="132">
      <c r="A132" s="50" t="s">
        <v>983</v>
      </c>
      <c r="B132" s="50" t="str">
        <f>IFERROR(__xludf.DUMMYFUNCTION("""COMPUTED_VALUE"""),"SES-0002")</f>
        <v>SES-0002</v>
      </c>
      <c r="C132" s="50" t="str">
        <f>IFERROR(__xludf.DUMMYFUNCTION("""COMPUTED_VALUE"""),"tdossios@ucpasl.com")</f>
        <v>tdossios@ucpasl.com</v>
      </c>
      <c r="D132" s="127" t="str">
        <f>IFERROR(__xludf.DUMMYFUNCTION("""COMPUTED_VALUE"""),"https://drive.google.com/file/d/1i0Pnw6Wo8I46YJxE_sx-56-mbLQQ78DY/view?usp=drivesdk")</f>
        <v>https://drive.google.com/file/d/1i0Pnw6Wo8I46YJxE_sx-56-mbLQQ78DY/view?usp=drivesdk</v>
      </c>
    </row>
    <row r="133">
      <c r="A133" s="50" t="s">
        <v>987</v>
      </c>
      <c r="B133" s="50" t="str">
        <f>IFERROR(__xludf.DUMMYFUNCTION("""COMPUTED_VALUE"""),"SES-0002")</f>
        <v>SES-0002</v>
      </c>
      <c r="C133" s="50" t="str">
        <f>IFERROR(__xludf.DUMMYFUNCTION("""COMPUTED_VALUE"""),"fguyonnaud@ucpa.asso.fr")</f>
        <v>fguyonnaud@ucpa.asso.fr</v>
      </c>
      <c r="D133" s="127" t="str">
        <f>IFERROR(__xludf.DUMMYFUNCTION("""COMPUTED_VALUE"""),"https://drive.google.com/file/d/1UTN4k6fCUXjCd0LZ2oIBHuzQAoUDZ7ra/view?usp=drivesdk")</f>
        <v>https://drive.google.com/file/d/1UTN4k6fCUXjCd0LZ2oIBHuzQAoUDZ7ra/view?usp=drivesdk</v>
      </c>
    </row>
    <row r="134">
      <c r="A134" s="50" t="s">
        <v>990</v>
      </c>
      <c r="B134" s="50" t="str">
        <f>IFERROR(__xludf.DUMMYFUNCTION("""COMPUTED_VALUE"""),"SES-0001")</f>
        <v>SES-0001</v>
      </c>
      <c r="C134" s="50" t="str">
        <f>IFERROR(__xludf.DUMMYFUNCTION("""COMPUTED_VALUE"""),"jdeschamps@ucpa.asso.fr")</f>
        <v>jdeschamps@ucpa.asso.fr</v>
      </c>
      <c r="D134" s="127" t="str">
        <f>IFERROR(__xludf.DUMMYFUNCTION("""COMPUTED_VALUE"""),"https://drive.google.com/file/d/1pwawE6hlLlyhDKznYGEftRuGL_Cb94pt/view?usp=drivesdk")</f>
        <v>https://drive.google.com/file/d/1pwawE6hlLlyhDKznYGEftRuGL_Cb94pt/view?usp=drivesdk</v>
      </c>
    </row>
    <row r="135">
      <c r="A135" s="50" t="s">
        <v>994</v>
      </c>
      <c r="B135" s="50" t="str">
        <f>IFERROR(__xludf.DUMMYFUNCTION("""COMPUTED_VALUE"""),"SES-0001")</f>
        <v>SES-0001</v>
      </c>
      <c r="C135" s="50" t="str">
        <f>IFERROR(__xludf.DUMMYFUNCTION("""COMPUTED_VALUE"""),"catherine.mouton@tootazimut.fr")</f>
        <v>catherine.mouton@tootazimut.fr</v>
      </c>
      <c r="D135" s="127" t="str">
        <f>IFERROR(__xludf.DUMMYFUNCTION("""COMPUTED_VALUE"""),"https://drive.google.com/file/d/1H0nyppk3kD6ruKAdFJCEerkU4yiAQERZ/view?usp=drivesdk")</f>
        <v>https://drive.google.com/file/d/1H0nyppk3kD6ruKAdFJCEerkU4yiAQERZ/view?usp=drivesdk</v>
      </c>
    </row>
    <row r="136">
      <c r="A136" s="50" t="s">
        <v>996</v>
      </c>
      <c r="B136" s="50" t="str">
        <f>IFERROR(__xludf.DUMMYFUNCTION("""COMPUTED_VALUE"""),"SES-0002")</f>
        <v>SES-0002</v>
      </c>
      <c r="C136" s="50" t="str">
        <f>IFERROR(__xludf.DUMMYFUNCTION("""COMPUTED_VALUE"""),"catherine.mouton@tootazimut.fr")</f>
        <v>catherine.mouton@tootazimut.fr</v>
      </c>
      <c r="D136" s="127" t="str">
        <f>IFERROR(__xludf.DUMMYFUNCTION("""COMPUTED_VALUE"""),"https://drive.google.com/file/d/1ghVyAE0llulwTOdsLSW5xAq3iYY5cBvd/view?usp=drivesdk")</f>
        <v>https://drive.google.com/file/d/1ghVyAE0llulwTOdsLSW5xAq3iYY5cBvd/view?usp=drivesdk</v>
      </c>
    </row>
    <row r="137">
      <c r="A137" s="50" t="s">
        <v>999</v>
      </c>
      <c r="B137" s="50" t="str">
        <f>IFERROR(__xludf.DUMMYFUNCTION("""COMPUTED_VALUE"""),"SES-0001")</f>
        <v>SES-0001</v>
      </c>
      <c r="C137" s="50" t="str">
        <f>IFERROR(__xludf.DUMMYFUNCTION("""COMPUTED_VALUE"""),"jgoncalves@ucpa.asso.fr")</f>
        <v>jgoncalves@ucpa.asso.fr</v>
      </c>
      <c r="D137" s="127" t="str">
        <f>IFERROR(__xludf.DUMMYFUNCTION("""COMPUTED_VALUE"""),"https://drive.google.com/file/d/1nii93Fi7g6oOGpomNjYTMV5xXb_4oPU3/view?usp=drivesdk")</f>
        <v>https://drive.google.com/file/d/1nii93Fi7g6oOGpomNjYTMV5xXb_4oPU3/view?usp=drivesdk</v>
      </c>
    </row>
    <row r="138">
      <c r="A138" s="50" t="s">
        <v>1002</v>
      </c>
      <c r="B138" s="50" t="str">
        <f>IFERROR(__xludf.DUMMYFUNCTION("""COMPUTED_VALUE"""),"SES-0002")</f>
        <v>SES-0002</v>
      </c>
      <c r="C138" s="50" t="str">
        <f>IFERROR(__xludf.DUMMYFUNCTION("""COMPUTED_VALUE"""),"jgoncalves@ucpa.asso.fr")</f>
        <v>jgoncalves@ucpa.asso.fr</v>
      </c>
      <c r="D138" s="127" t="str">
        <f>IFERROR(__xludf.DUMMYFUNCTION("""COMPUTED_VALUE"""),"https://drive.google.com/file/d/1Y7MeIcJxVqXDIM5eDqVjdQPGzQW14yHz/view?usp=drivesdk")</f>
        <v>https://drive.google.com/file/d/1Y7MeIcJxVqXDIM5eDqVjdQPGzQW14yHz/view?usp=drivesdk</v>
      </c>
    </row>
    <row r="139">
      <c r="A139" s="50" t="s">
        <v>1006</v>
      </c>
      <c r="B139" s="50" t="str">
        <f>IFERROR(__xludf.DUMMYFUNCTION("""COMPUTED_VALUE"""),"SES-0001")</f>
        <v>SES-0001</v>
      </c>
      <c r="C139" s="50" t="str">
        <f>IFERROR(__xludf.DUMMYFUNCTION("""COMPUTED_VALUE"""),"llanglois@ucpa.asso.fr")</f>
        <v>llanglois@ucpa.asso.fr</v>
      </c>
      <c r="D139" s="127" t="str">
        <f>IFERROR(__xludf.DUMMYFUNCTION("""COMPUTED_VALUE"""),"https://drive.google.com/file/d/1qU6Q6DudzdB90-Z610HylfrD2H-mJh8B/view?usp=drivesdk")</f>
        <v>https://drive.google.com/file/d/1qU6Q6DudzdB90-Z610HylfrD2H-mJh8B/view?usp=drivesdk</v>
      </c>
    </row>
    <row r="140">
      <c r="A140" s="50" t="s">
        <v>1009</v>
      </c>
      <c r="B140" s="50" t="str">
        <f>IFERROR(__xludf.DUMMYFUNCTION("""COMPUTED_VALUE"""),"SES-0002")</f>
        <v>SES-0002</v>
      </c>
      <c r="C140" s="50" t="str">
        <f>IFERROR(__xludf.DUMMYFUNCTION("""COMPUTED_VALUE"""),"llanglois@ucpa.asso.fr")</f>
        <v>llanglois@ucpa.asso.fr</v>
      </c>
      <c r="D140" s="127" t="str">
        <f>IFERROR(__xludf.DUMMYFUNCTION("""COMPUTED_VALUE"""),"https://drive.google.com/file/d/11zC2ACDFXAjBZrigXfPpaR0nkq8hr-E9/view?usp=drivesdk")</f>
        <v>https://drive.google.com/file/d/11zC2ACDFXAjBZrigXfPpaR0nkq8hr-E9/view?usp=drivesdk</v>
      </c>
    </row>
    <row r="141">
      <c r="A141" s="50" t="s">
        <v>1013</v>
      </c>
      <c r="B141" s="50" t="str">
        <f>IFERROR(__xludf.DUMMYFUNCTION("""COMPUTED_VALUE"""),"SES-0002")</f>
        <v>SES-0002</v>
      </c>
      <c r="C141" s="50" t="str">
        <f>IFERROR(__xludf.DUMMYFUNCTION("""COMPUTED_VALUE"""),"flagneau@ucpasl.com")</f>
        <v>flagneau@ucpasl.com</v>
      </c>
      <c r="D141" s="127" t="str">
        <f>IFERROR(__xludf.DUMMYFUNCTION("""COMPUTED_VALUE"""),"https://drive.google.com/file/d/1Bl-vpijN0ZhRcCcrVUSxI7Y-gz6GzIZG/view?usp=drivesdk")</f>
        <v>https://drive.google.com/file/d/1Bl-vpijN0ZhRcCcrVUSxI7Y-gz6GzIZG/view?usp=drivesdk</v>
      </c>
    </row>
    <row r="142">
      <c r="A142" s="50" t="s">
        <v>1017</v>
      </c>
      <c r="B142" s="50" t="str">
        <f>IFERROR(__xludf.DUMMYFUNCTION("""COMPUTED_VALUE"""),"SES-0001")</f>
        <v>SES-0001</v>
      </c>
      <c r="C142" s="50" t="str">
        <f>IFERROR(__xludf.DUMMYFUNCTION("""COMPUTED_VALUE"""),"flagneau@ucpasl.com")</f>
        <v>flagneau@ucpasl.com</v>
      </c>
      <c r="D142" s="127" t="str">
        <f>IFERROR(__xludf.DUMMYFUNCTION("""COMPUTED_VALUE"""),"https://drive.google.com/file/d/1lkWIU5mHiG_rgyP7yp5AN-X_6b9okX67/view?usp=drivesdk")</f>
        <v>https://drive.google.com/file/d/1lkWIU5mHiG_rgyP7yp5AN-X_6b9okX67/view?usp=drivesdk</v>
      </c>
    </row>
    <row r="143">
      <c r="A143" s="50" t="s">
        <v>1018</v>
      </c>
      <c r="B143" s="50" t="str">
        <f>IFERROR(__xludf.DUMMYFUNCTION("""COMPUTED_VALUE"""),"SES-0001")</f>
        <v>SES-0001</v>
      </c>
      <c r="C143" s="50" t="str">
        <f>IFERROR(__xludf.DUMMYFUNCTION("""COMPUTED_VALUE"""),"veronique.perlin@labalaguere.com")</f>
        <v>veronique.perlin@labalaguere.com</v>
      </c>
      <c r="D143" s="127" t="str">
        <f>IFERROR(__xludf.DUMMYFUNCTION("""COMPUTED_VALUE"""),"https://drive.google.com/file/d/1uNYUBcUh4wBV0YieFWDbyDAhsdVlrAsq/view?usp=drivesdk")</f>
        <v>https://drive.google.com/file/d/1uNYUBcUh4wBV0YieFWDbyDAhsdVlrAsq/view?usp=drivesdk</v>
      </c>
    </row>
    <row r="144">
      <c r="A144" s="50" t="s">
        <v>1034</v>
      </c>
      <c r="B144" s="50" t="str">
        <f>IFERROR(__xludf.DUMMYFUNCTION("""COMPUTED_VALUE"""),"SES-0002")</f>
        <v>SES-0002</v>
      </c>
      <c r="C144" s="50" t="str">
        <f>IFERROR(__xludf.DUMMYFUNCTION("""COMPUTED_VALUE"""),"veronique.perlin@labalaguere.com")</f>
        <v>veronique.perlin@labalaguere.com</v>
      </c>
      <c r="D144" s="127" t="str">
        <f>IFERROR(__xludf.DUMMYFUNCTION("""COMPUTED_VALUE"""),"https://drive.google.com/file/d/116t9NncHlCCzBe49EN2TZpBLPLM6J0ID/view?usp=drivesdk")</f>
        <v>https://drive.google.com/file/d/116t9NncHlCCzBe49EN2TZpBLPLM6J0ID/view?usp=drivesdk</v>
      </c>
    </row>
    <row r="145">
      <c r="A145" s="50" t="s">
        <v>1038</v>
      </c>
      <c r="B145" s="50" t="str">
        <f>IFERROR(__xludf.DUMMYFUNCTION("""COMPUTED_VALUE"""),"SES-0002")</f>
        <v>SES-0002</v>
      </c>
      <c r="C145" s="50" t="str">
        <f>IFERROR(__xludf.DUMMYFUNCTION("""COMPUTED_VALUE"""),"stephane.tavernier@telligo.fr")</f>
        <v>stephane.tavernier@telligo.fr</v>
      </c>
      <c r="D145" s="127" t="str">
        <f>IFERROR(__xludf.DUMMYFUNCTION("""COMPUTED_VALUE"""),"https://drive.google.com/file/d/11BIE2K6g0lhZ-mVlynLR3KQ00P2ArWSE/view?usp=drivesdk")</f>
        <v>https://drive.google.com/file/d/11BIE2K6g0lhZ-mVlynLR3KQ00P2ArWSE/view?usp=drivesdk</v>
      </c>
    </row>
    <row r="146">
      <c r="A146" s="50" t="s">
        <v>1040</v>
      </c>
      <c r="B146" s="50" t="str">
        <f>IFERROR(__xludf.DUMMYFUNCTION("""COMPUTED_VALUE"""),"SES-0001")</f>
        <v>SES-0001</v>
      </c>
      <c r="C146" s="50" t="str">
        <f>IFERROR(__xludf.DUMMYFUNCTION("""COMPUTED_VALUE"""),"adanican@ucpa.asso.fr")</f>
        <v>adanican@ucpa.asso.fr</v>
      </c>
      <c r="D146" s="127" t="str">
        <f>IFERROR(__xludf.DUMMYFUNCTION("""COMPUTED_VALUE"""),"https://drive.google.com/file/d/1a7v_HmH4qCuE3DiiDZIvg3ISEdGIxc6C/view?usp=drivesdk")</f>
        <v>https://drive.google.com/file/d/1a7v_HmH4qCuE3DiiDZIvg3ISEdGIxc6C/view?usp=drivesdk</v>
      </c>
    </row>
    <row r="147">
      <c r="A147" s="50" t="s">
        <v>1043</v>
      </c>
      <c r="B147" s="50" t="str">
        <f>IFERROR(__xludf.DUMMYFUNCTION("""COMPUTED_VALUE"""),"SES-0002")</f>
        <v>SES-0002</v>
      </c>
      <c r="C147" s="50" t="str">
        <f>IFERROR(__xludf.DUMMYFUNCTION("""COMPUTED_VALUE"""),"adanican@ucpa.asso.fr")</f>
        <v>adanican@ucpa.asso.fr</v>
      </c>
      <c r="D147" s="127" t="str">
        <f>IFERROR(__xludf.DUMMYFUNCTION("""COMPUTED_VALUE"""),"https://drive.google.com/file/d/11cU6Ap6H3QR6QHiZ_eAw9MIsKRK5sMjw/view?usp=drivesdk")</f>
        <v>https://drive.google.com/file/d/11cU6Ap6H3QR6QHiZ_eAw9MIsKRK5sMjw/view?usp=drivesdk</v>
      </c>
    </row>
    <row r="148">
      <c r="A148" s="50" t="s">
        <v>1047</v>
      </c>
      <c r="B148" s="50" t="str">
        <f>IFERROR(__xludf.DUMMYFUNCTION("""COMPUTED_VALUE"""),"SES-0002")</f>
        <v>SES-0002</v>
      </c>
      <c r="C148" s="50" t="str">
        <f>IFERROR(__xludf.DUMMYFUNCTION("""COMPUTED_VALUE"""),"jmartino@ucpasl.com")</f>
        <v>jmartino@ucpasl.com</v>
      </c>
      <c r="D148" s="127" t="str">
        <f>IFERROR(__xludf.DUMMYFUNCTION("""COMPUTED_VALUE"""),"https://drive.google.com/file/d/1Uhimiz-QqpyLKmqKFVl5_jNoLY0XNW6n/view?usp=drivesdk")</f>
        <v>https://drive.google.com/file/d/1Uhimiz-QqpyLKmqKFVl5_jNoLY0XNW6n/view?usp=drivesdk</v>
      </c>
    </row>
    <row r="149">
      <c r="A149" s="50" t="s">
        <v>1050</v>
      </c>
      <c r="B149" s="50" t="str">
        <f>IFERROR(__xludf.DUMMYFUNCTION("""COMPUTED_VALUE"""),"SES-0001")</f>
        <v>SES-0001</v>
      </c>
      <c r="C149" s="50" t="str">
        <f>IFERROR(__xludf.DUMMYFUNCTION("""COMPUTED_VALUE"""),"jmartino@ucpasl.com")</f>
        <v>jmartino@ucpasl.com</v>
      </c>
      <c r="D149" s="127" t="str">
        <f>IFERROR(__xludf.DUMMYFUNCTION("""COMPUTED_VALUE"""),"https://drive.google.com/file/d/1794WowGF1BNF06kn1gC-lFU51ri5_Kmm/view?usp=drivesdk")</f>
        <v>https://drive.google.com/file/d/1794WowGF1BNF06kn1gC-lFU51ri5_Kmm/view?usp=drivesdk</v>
      </c>
    </row>
    <row r="150">
      <c r="A150" s="50" t="s">
        <v>1056</v>
      </c>
      <c r="B150" s="50" t="str">
        <f>IFERROR(__xludf.DUMMYFUNCTION("""COMPUTED_VALUE"""),"SES-0001")</f>
        <v>SES-0001</v>
      </c>
      <c r="C150" s="50" t="str">
        <f>IFERROR(__xludf.DUMMYFUNCTION("""COMPUTED_VALUE"""),"mval@ucpasl.com")</f>
        <v>mval@ucpasl.com</v>
      </c>
      <c r="D150" s="127" t="str">
        <f>IFERROR(__xludf.DUMMYFUNCTION("""COMPUTED_VALUE"""),"https://drive.google.com/file/d/1koVMtoOz-l7iZIKYz5e8_FWKuqu6HTmK/view?usp=drivesdk")</f>
        <v>https://drive.google.com/file/d/1koVMtoOz-l7iZIKYz5e8_FWKuqu6HTmK/view?usp=drivesdk</v>
      </c>
    </row>
    <row r="151">
      <c r="A151" s="50" t="s">
        <v>1058</v>
      </c>
      <c r="B151" s="50" t="str">
        <f>IFERROR(__xludf.DUMMYFUNCTION("""COMPUTED_VALUE"""),"SES-0001")</f>
        <v>SES-0001</v>
      </c>
      <c r="C151" s="50" t="str">
        <f>IFERROR(__xludf.DUMMYFUNCTION("""COMPUTED_VALUE"""),"cynthia.malou@gmail.com")</f>
        <v>cynthia.malou@gmail.com</v>
      </c>
      <c r="D151" s="127" t="str">
        <f>IFERROR(__xludf.DUMMYFUNCTION("""COMPUTED_VALUE"""),"https://drive.google.com/file/d/1V1pwKKt-MsxZNEqZOHni1jdK_L1ZwrE3/view?usp=drivesdk")</f>
        <v>https://drive.google.com/file/d/1V1pwKKt-MsxZNEqZOHni1jdK_L1ZwrE3/view?usp=drivesdk</v>
      </c>
    </row>
    <row r="152">
      <c r="A152" s="50" t="s">
        <v>1060</v>
      </c>
      <c r="B152" s="50" t="str">
        <f>IFERROR(__xludf.DUMMYFUNCTION("""COMPUTED_VALUE"""),"SES-0002")</f>
        <v>SES-0002</v>
      </c>
      <c r="C152" s="50" t="str">
        <f>IFERROR(__xludf.DUMMYFUNCTION("""COMPUTED_VALUE"""),"cynthia.malou@gmail.com")</f>
        <v>cynthia.malou@gmail.com</v>
      </c>
      <c r="D152" s="127" t="str">
        <f>IFERROR(__xludf.DUMMYFUNCTION("""COMPUTED_VALUE"""),"https://drive.google.com/file/d/1FGRHh43YG1MC8nBUt39LvNekXH7eHv7Z/view?usp=drivesdk")</f>
        <v>https://drive.google.com/file/d/1FGRHh43YG1MC8nBUt39LvNekXH7eHv7Z/view?usp=drivesdk</v>
      </c>
    </row>
    <row r="153">
      <c r="A153" s="50" t="s">
        <v>1064</v>
      </c>
      <c r="B153" s="50" t="str">
        <f>IFERROR(__xludf.DUMMYFUNCTION("""COMPUTED_VALUE"""),"SES-0001")</f>
        <v>SES-0001</v>
      </c>
      <c r="C153" s="50" t="str">
        <f>IFERROR(__xludf.DUMMYFUNCTION("""COMPUTED_VALUE"""),"dsnaidero@ucpa.asso.fr")</f>
        <v>dsnaidero@ucpa.asso.fr</v>
      </c>
      <c r="D153" s="127" t="str">
        <f>IFERROR(__xludf.DUMMYFUNCTION("""COMPUTED_VALUE"""),"https://drive.google.com/file/d/1q74UcaW5vSabQmtWkn5eza_jHUoWctcZ/view?usp=drivesdk")</f>
        <v>https://drive.google.com/file/d/1q74UcaW5vSabQmtWkn5eza_jHUoWctcZ/view?usp=drivesdk</v>
      </c>
    </row>
    <row r="154">
      <c r="A154" s="50" t="s">
        <v>1069</v>
      </c>
      <c r="B154" s="50" t="str">
        <f>IFERROR(__xludf.DUMMYFUNCTION("""COMPUTED_VALUE"""),"SES-0001")</f>
        <v>SES-0001</v>
      </c>
      <c r="C154" s="50" t="str">
        <f>IFERROR(__xludf.DUMMYFUNCTION("""COMPUTED_VALUE"""),"scassin@ucpa.asso.fr")</f>
        <v>scassin@ucpa.asso.fr</v>
      </c>
      <c r="D154" s="127" t="str">
        <f>IFERROR(__xludf.DUMMYFUNCTION("""COMPUTED_VALUE"""),"https://drive.google.com/file/d/11BO9dNjJi9B2S9sSegxdDa0RF8tIJuMG/view?usp=drivesdk")</f>
        <v>https://drive.google.com/file/d/11BO9dNjJi9B2S9sSegxdDa0RF8tIJuMG/view?usp=drivesdk</v>
      </c>
    </row>
    <row r="155">
      <c r="A155" s="50" t="s">
        <v>1072</v>
      </c>
      <c r="B155" s="50" t="str">
        <f>IFERROR(__xludf.DUMMYFUNCTION("""COMPUTED_VALUE"""),"SES-0002")</f>
        <v>SES-0002</v>
      </c>
      <c r="C155" s="50" t="str">
        <f>IFERROR(__xludf.DUMMYFUNCTION("""COMPUTED_VALUE"""),"scassin@ucpa.asso.fr")</f>
        <v>scassin@ucpa.asso.fr</v>
      </c>
      <c r="D155" s="127" t="str">
        <f>IFERROR(__xludf.DUMMYFUNCTION("""COMPUTED_VALUE"""),"https://drive.google.com/file/d/1COlYWVj-BUsAUiBx46CLBybtXaAcJ_mn/view?usp=drivesdk")</f>
        <v>https://drive.google.com/file/d/1COlYWVj-BUsAUiBx46CLBybtXaAcJ_mn/view?usp=drivesdk</v>
      </c>
    </row>
    <row r="156">
      <c r="A156" s="50" t="s">
        <v>1075</v>
      </c>
      <c r="B156" s="50" t="str">
        <f>IFERROR(__xludf.DUMMYFUNCTION("""COMPUTED_VALUE"""),"SES-0001")</f>
        <v>SES-0001</v>
      </c>
      <c r="C156" s="50" t="str">
        <f>IFERROR(__xludf.DUMMYFUNCTION("""COMPUTED_VALUE"""),"foyj@live.fr")</f>
        <v>foyj@live.fr</v>
      </c>
      <c r="D156" s="127" t="str">
        <f>IFERROR(__xludf.DUMMYFUNCTION("""COMPUTED_VALUE"""),"https://drive.google.com/file/d/1zGJyTU7sbcmd_WcJrbJV_1CL1dYhqZ7z/view?usp=drivesdk")</f>
        <v>https://drive.google.com/file/d/1zGJyTU7sbcmd_WcJrbJV_1CL1dYhqZ7z/view?usp=drivesdk</v>
      </c>
    </row>
    <row r="157">
      <c r="A157" s="50" t="s">
        <v>1078</v>
      </c>
      <c r="B157" s="50" t="str">
        <f>IFERROR(__xludf.DUMMYFUNCTION("""COMPUTED_VALUE"""),"SES-0002")</f>
        <v>SES-0002</v>
      </c>
      <c r="C157" s="50" t="str">
        <f>IFERROR(__xludf.DUMMYFUNCTION("""COMPUTED_VALUE"""),"foyj@live.fr")</f>
        <v>foyj@live.fr</v>
      </c>
      <c r="D157" s="127" t="str">
        <f>IFERROR(__xludf.DUMMYFUNCTION("""COMPUTED_VALUE"""),"https://drive.google.com/file/d/1ozwVRdg4IwdCjCZ8UQoX9u5eXmq4MjOw/view?usp=drivesdk")</f>
        <v>https://drive.google.com/file/d/1ozwVRdg4IwdCjCZ8UQoX9u5eXmq4MjOw/view?usp=drivesdk</v>
      </c>
    </row>
    <row r="158">
      <c r="A158" s="50" t="s">
        <v>1081</v>
      </c>
      <c r="B158" s="50" t="str">
        <f>IFERROR(__xludf.DUMMYFUNCTION("""COMPUTED_VALUE"""),"SES-0001")</f>
        <v>SES-0001</v>
      </c>
      <c r="C158" s="50" t="str">
        <f>IFERROR(__xludf.DUMMYFUNCTION("""COMPUTED_VALUE"""),"ltouratier@ucpa.asso.fr")</f>
        <v>ltouratier@ucpa.asso.fr</v>
      </c>
      <c r="D158" s="127" t="str">
        <f>IFERROR(__xludf.DUMMYFUNCTION("""COMPUTED_VALUE"""),"https://drive.google.com/file/d/1JJ5vv_wGBt6ZyWXnCbd9HqusMYBUdWCl/view?usp=drivesdk")</f>
        <v>https://drive.google.com/file/d/1JJ5vv_wGBt6ZyWXnCbd9HqusMYBUdWCl/view?usp=drivesdk</v>
      </c>
    </row>
    <row r="159">
      <c r="A159" s="50" t="s">
        <v>1084</v>
      </c>
      <c r="B159" s="50" t="str">
        <f>IFERROR(__xludf.DUMMYFUNCTION("""COMPUTED_VALUE"""),"SES-0001")</f>
        <v>SES-0001</v>
      </c>
      <c r="C159" s="50" t="str">
        <f>IFERROR(__xludf.DUMMYFUNCTION("""COMPUTED_VALUE"""),"afrigo@ucpa.asso.fr")</f>
        <v>afrigo@ucpa.asso.fr</v>
      </c>
      <c r="D159" s="127" t="str">
        <f>IFERROR(__xludf.DUMMYFUNCTION("""COMPUTED_VALUE"""),"https://drive.google.com/file/d/12sifCymyZgFIXJDKDqnbd5Q7vcxz4PSl/view?usp=drivesdk")</f>
        <v>https://drive.google.com/file/d/12sifCymyZgFIXJDKDqnbd5Q7vcxz4PSl/view?usp=drivesdk</v>
      </c>
    </row>
    <row r="160">
      <c r="A160" s="50" t="s">
        <v>1088</v>
      </c>
      <c r="B160" s="50" t="str">
        <f>IFERROR(__xludf.DUMMYFUNCTION("""COMPUTED_VALUE"""),"SES-0002")</f>
        <v>SES-0002</v>
      </c>
      <c r="C160" s="50" t="str">
        <f>IFERROR(__xludf.DUMMYFUNCTION("""COMPUTED_VALUE"""),"afrigo@ucpa.asso.fr")</f>
        <v>afrigo@ucpa.asso.fr</v>
      </c>
      <c r="D160" s="127" t="str">
        <f>IFERROR(__xludf.DUMMYFUNCTION("""COMPUTED_VALUE"""),"https://drive.google.com/file/d/1fj7RBaRfzBtvIZgmvFdnRktWcKI6WkEt/view?usp=drivesdk")</f>
        <v>https://drive.google.com/file/d/1fj7RBaRfzBtvIZgmvFdnRktWcKI6WkEt/view?usp=drivesdk</v>
      </c>
    </row>
    <row r="161">
      <c r="A161" s="50" t="s">
        <v>1092</v>
      </c>
      <c r="B161" s="50" t="str">
        <f>IFERROR(__xludf.DUMMYFUNCTION("""COMPUTED_VALUE"""),"SES-0001")</f>
        <v>SES-0001</v>
      </c>
      <c r="C161" s="50" t="str">
        <f>IFERROR(__xludf.DUMMYFUNCTION("""COMPUTED_VALUE"""),"cdelbart@ucpa.asso.fr")</f>
        <v>cdelbart@ucpa.asso.fr</v>
      </c>
      <c r="D161" s="127" t="str">
        <f>IFERROR(__xludf.DUMMYFUNCTION("""COMPUTED_VALUE"""),"https://drive.google.com/file/d/1P6Ugj_P7u6XM5GNKwnZCxC1CqMKFoTdW/view?usp=drivesdk")</f>
        <v>https://drive.google.com/file/d/1P6Ugj_P7u6XM5GNKwnZCxC1CqMKFoTdW/view?usp=drivesdk</v>
      </c>
    </row>
    <row r="162">
      <c r="A162" s="50" t="s">
        <v>1095</v>
      </c>
      <c r="B162" s="50" t="str">
        <f>IFERROR(__xludf.DUMMYFUNCTION("""COMPUTED_VALUE"""),"SES-0002")</f>
        <v>SES-0002</v>
      </c>
      <c r="C162" s="50" t="str">
        <f>IFERROR(__xludf.DUMMYFUNCTION("""COMPUTED_VALUE"""),"mval@ucpasl.com")</f>
        <v>mval@ucpasl.com</v>
      </c>
      <c r="D162" s="127" t="str">
        <f>IFERROR(__xludf.DUMMYFUNCTION("""COMPUTED_VALUE"""),"https://drive.google.com/file/d/1sfCD9XoXJ2ZnnvrmuNpYBS2r4f89lNgE/view?usp=drivesdk")</f>
        <v>https://drive.google.com/file/d/1sfCD9XoXJ2ZnnvrmuNpYBS2r4f89lNgE/view?usp=drivesdk</v>
      </c>
    </row>
    <row r="163">
      <c r="A163" s="50" t="s">
        <v>1098</v>
      </c>
      <c r="B163" s="50" t="str">
        <f>IFERROR(__xludf.DUMMYFUNCTION("""COMPUTED_VALUE"""),"SES-0001")</f>
        <v>SES-0001</v>
      </c>
      <c r="C163" s="50" t="str">
        <f>IFERROR(__xludf.DUMMYFUNCTION("""COMPUTED_VALUE"""),"tdelcourt@ucpasl.com")</f>
        <v>tdelcourt@ucpasl.com</v>
      </c>
      <c r="D163" s="127" t="str">
        <f>IFERROR(__xludf.DUMMYFUNCTION("""COMPUTED_VALUE"""),"https://drive.google.com/file/d/1l2cJMylOUw8atXrvqrMebUt-YE7MAp3G/view?usp=drivesdk")</f>
        <v>https://drive.google.com/file/d/1l2cJMylOUw8atXrvqrMebUt-YE7MAp3G/view?usp=drivesdk</v>
      </c>
    </row>
    <row r="164">
      <c r="A164" s="50" t="s">
        <v>1102</v>
      </c>
      <c r="B164" s="50" t="str">
        <f>IFERROR(__xludf.DUMMYFUNCTION("""COMPUTED_VALUE"""),"SES-0002")</f>
        <v>SES-0002</v>
      </c>
      <c r="C164" s="50" t="str">
        <f>IFERROR(__xludf.DUMMYFUNCTION("""COMPUTED_VALUE"""),"tdelcourt@ucpasl.com")</f>
        <v>tdelcourt@ucpasl.com</v>
      </c>
      <c r="D164" s="127" t="str">
        <f>IFERROR(__xludf.DUMMYFUNCTION("""COMPUTED_VALUE"""),"https://drive.google.com/file/d/1PcHyPZ6WYVmCzbfFXmUkl6nkGNy_qarS/view?usp=drivesdk")</f>
        <v>https://drive.google.com/file/d/1PcHyPZ6WYVmCzbfFXmUkl6nkGNy_qarS/view?usp=drivesdk</v>
      </c>
    </row>
    <row r="165">
      <c r="A165" s="50" t="s">
        <v>1106</v>
      </c>
      <c r="B165" s="50" t="str">
        <f>IFERROR(__xludf.DUMMYFUNCTION("""COMPUTED_VALUE"""),"SES-0001")</f>
        <v>SES-0001</v>
      </c>
      <c r="C165" s="50" t="str">
        <f>IFERROR(__xludf.DUMMYFUNCTION("""COMPUTED_VALUE"""),"nleturcq@ucpasl.com")</f>
        <v>nleturcq@ucpasl.com</v>
      </c>
      <c r="D165" s="127" t="str">
        <f>IFERROR(__xludf.DUMMYFUNCTION("""COMPUTED_VALUE"""),"https://drive.google.com/file/d/1Rk_HoP779xH26JMjWHGIg0lT4uPTFLCS/view?usp=drivesdk")</f>
        <v>https://drive.google.com/file/d/1Rk_HoP779xH26JMjWHGIg0lT4uPTFLCS/view?usp=drivesdk</v>
      </c>
    </row>
    <row r="166">
      <c r="A166" s="50" t="s">
        <v>1110</v>
      </c>
      <c r="B166" s="50" t="str">
        <f>IFERROR(__xludf.DUMMYFUNCTION("""COMPUTED_VALUE"""),"SES-0002")</f>
        <v>SES-0002</v>
      </c>
      <c r="C166" s="50" t="str">
        <f>IFERROR(__xludf.DUMMYFUNCTION("""COMPUTED_VALUE"""),"nleturcq@ucpasl.com")</f>
        <v>nleturcq@ucpasl.com</v>
      </c>
      <c r="D166" s="127" t="str">
        <f>IFERROR(__xludf.DUMMYFUNCTION("""COMPUTED_VALUE"""),"https://drive.google.com/file/d/1J1sL0fbwmY9-Uz7zN4VthagnmsKLvIa6/view?usp=drivesdk")</f>
        <v>https://drive.google.com/file/d/1J1sL0fbwmY9-Uz7zN4VthagnmsKLvIa6/view?usp=drivesdk</v>
      </c>
    </row>
    <row r="167">
      <c r="A167" s="50" t="s">
        <v>1114</v>
      </c>
      <c r="B167" s="50" t="str">
        <f>IFERROR(__xludf.DUMMYFUNCTION("""COMPUTED_VALUE"""),"SES-0001")</f>
        <v>SES-0001</v>
      </c>
      <c r="C167" s="50" t="str">
        <f>IFERROR(__xludf.DUMMYFUNCTION("""COMPUTED_VALUE"""),"slebris@ucpa.asso.fr")</f>
        <v>slebris@ucpa.asso.fr</v>
      </c>
      <c r="D167" s="127" t="str">
        <f>IFERROR(__xludf.DUMMYFUNCTION("""COMPUTED_VALUE"""),"https://drive.google.com/file/d/1kbYjHAmgLUbkQ9pxr6aRlOpdX3gVRvVq/view?usp=drivesdk")</f>
        <v>https://drive.google.com/file/d/1kbYjHAmgLUbkQ9pxr6aRlOpdX3gVRvVq/view?usp=drivesdk</v>
      </c>
    </row>
    <row r="168">
      <c r="A168" s="50" t="s">
        <v>1118</v>
      </c>
      <c r="B168" s="50" t="str">
        <f>IFERROR(__xludf.DUMMYFUNCTION("""COMPUTED_VALUE"""),"SES-0002")</f>
        <v>SES-0002</v>
      </c>
      <c r="C168" s="50" t="str">
        <f>IFERROR(__xludf.DUMMYFUNCTION("""COMPUTED_VALUE"""),"slebris@ucpa.asso.fr")</f>
        <v>slebris@ucpa.asso.fr</v>
      </c>
      <c r="D168" s="127" t="str">
        <f>IFERROR(__xludf.DUMMYFUNCTION("""COMPUTED_VALUE"""),"https://drive.google.com/file/d/1fn5wBLIUzur1n9Ga60uNNHzUQd-00FwJ/view?usp=drivesdk")</f>
        <v>https://drive.google.com/file/d/1fn5wBLIUzur1n9Ga60uNNHzUQd-00FwJ/view?usp=drivesdk</v>
      </c>
    </row>
    <row r="169">
      <c r="A169" s="50" t="s">
        <v>1121</v>
      </c>
      <c r="B169" s="50" t="str">
        <f>IFERROR(__xludf.DUMMYFUNCTION("""COMPUTED_VALUE"""),"SES-0002")</f>
        <v>SES-0002</v>
      </c>
      <c r="C169" s="50" t="str">
        <f>IFERROR(__xludf.DUMMYFUNCTION("""COMPUTED_VALUE"""),"pbouisson@ucpa.asso.fr")</f>
        <v>pbouisson@ucpa.asso.fr</v>
      </c>
      <c r="D169" s="127" t="str">
        <f>IFERROR(__xludf.DUMMYFUNCTION("""COMPUTED_VALUE"""),"https://drive.google.com/file/d/19g86C-a_tX3SPboLnyYpQ4AKZ3CYOSBd/view?usp=drivesdk")</f>
        <v>https://drive.google.com/file/d/19g86C-a_tX3SPboLnyYpQ4AKZ3CYOSBd/view?usp=drivesdk</v>
      </c>
    </row>
    <row r="170">
      <c r="A170" s="50" t="s">
        <v>1125</v>
      </c>
      <c r="B170" s="50" t="str">
        <f>IFERROR(__xludf.DUMMYFUNCTION("""COMPUTED_VALUE"""),"SES-0001")</f>
        <v>SES-0001</v>
      </c>
      <c r="C170" s="50" t="str">
        <f>IFERROR(__xludf.DUMMYFUNCTION("""COMPUTED_VALUE"""),"isantos@ucpa.asso.fr")</f>
        <v>isantos@ucpa.asso.fr</v>
      </c>
      <c r="D170" s="127" t="str">
        <f>IFERROR(__xludf.DUMMYFUNCTION("""COMPUTED_VALUE"""),"https://drive.google.com/file/d/1zTcRLAoiCi32Cy7Cy70nIrDkZGAqBSf7/view?usp=drivesdk")</f>
        <v>https://drive.google.com/file/d/1zTcRLAoiCi32Cy7Cy70nIrDkZGAqBSf7/view?usp=drivesdk</v>
      </c>
    </row>
    <row r="171">
      <c r="A171" s="50" t="s">
        <v>1129</v>
      </c>
      <c r="B171" s="50" t="str">
        <f>IFERROR(__xludf.DUMMYFUNCTION("""COMPUTED_VALUE"""),"SES-0002")</f>
        <v>SES-0002</v>
      </c>
      <c r="C171" s="50" t="str">
        <f>IFERROR(__xludf.DUMMYFUNCTION("""COMPUTED_VALUE"""),"isantos@ucpa.asso.fr")</f>
        <v>isantos@ucpa.asso.fr</v>
      </c>
      <c r="D171" s="127" t="str">
        <f>IFERROR(__xludf.DUMMYFUNCTION("""COMPUTED_VALUE"""),"https://drive.google.com/file/d/1EmfCKpJrMPm0qxAKJ3ev8p2yUvYvKxBA/view?usp=drivesdk")</f>
        <v>https://drive.google.com/file/d/1EmfCKpJrMPm0qxAKJ3ev8p2yUvYvKxBA/view?usp=drivesdk</v>
      </c>
    </row>
    <row r="172">
      <c r="A172" s="50" t="s">
        <v>1133</v>
      </c>
      <c r="B172" s="50" t="str">
        <f>IFERROR(__xludf.DUMMYFUNCTION("""COMPUTED_VALUE"""),"SES-0001")</f>
        <v>SES-0001</v>
      </c>
      <c r="C172" s="50" t="str">
        <f>IFERROR(__xludf.DUMMYFUNCTION("""COMPUTED_VALUE"""),"aliflammimb@gmail.com")</f>
        <v>aliflammimb@gmail.com</v>
      </c>
      <c r="D172" s="127" t="str">
        <f>IFERROR(__xludf.DUMMYFUNCTION("""COMPUTED_VALUE"""),"https://drive.google.com/file/d/1ObYQsydH_YKf-XJNNTrMBNuYvMss_3MC/view?usp=drivesdk")</f>
        <v>https://drive.google.com/file/d/1ObYQsydH_YKf-XJNNTrMBNuYvMss_3MC/view?usp=drivesdk</v>
      </c>
    </row>
    <row r="173">
      <c r="A173" s="50" t="s">
        <v>1136</v>
      </c>
      <c r="B173" s="50" t="str">
        <f>IFERROR(__xludf.DUMMYFUNCTION("""COMPUTED_VALUE"""),"SES-0001")</f>
        <v>SES-0001</v>
      </c>
      <c r="C173" s="50" t="str">
        <f>IFERROR(__xludf.DUMMYFUNCTION("""COMPUTED_VALUE"""),"emornet@ucpasl.com")</f>
        <v>emornet@ucpasl.com</v>
      </c>
      <c r="D173" s="127" t="str">
        <f>IFERROR(__xludf.DUMMYFUNCTION("""COMPUTED_VALUE"""),"https://drive.google.com/file/d/1viZhDu_YWgaj97NqRgWk2__R9BCpSDvR/view?usp=drivesdk")</f>
        <v>https://drive.google.com/file/d/1viZhDu_YWgaj97NqRgWk2__R9BCpSDvR/view?usp=drivesdk</v>
      </c>
    </row>
    <row r="174">
      <c r="A174" s="50" t="s">
        <v>1140</v>
      </c>
      <c r="B174" s="50" t="str">
        <f>IFERROR(__xludf.DUMMYFUNCTION("""COMPUTED_VALUE"""),"SES-0001")</f>
        <v>SES-0001</v>
      </c>
      <c r="C174" s="50" t="str">
        <f>IFERROR(__xludf.DUMMYFUNCTION("""COMPUTED_VALUE"""),"lverrier@ucpa.asso.fr")</f>
        <v>lverrier@ucpa.asso.fr</v>
      </c>
      <c r="D174" s="127" t="str">
        <f>IFERROR(__xludf.DUMMYFUNCTION("""COMPUTED_VALUE"""),"https://drive.google.com/file/d/1I_cIPHxzSV2KFgquGErqv6aLrsl8c8hY/view?usp=drivesdk")</f>
        <v>https://drive.google.com/file/d/1I_cIPHxzSV2KFgquGErqv6aLrsl8c8hY/view?usp=drivesdk</v>
      </c>
    </row>
    <row r="175">
      <c r="A175" s="50" t="s">
        <v>1144</v>
      </c>
      <c r="B175" s="50" t="str">
        <f>IFERROR(__xludf.DUMMYFUNCTION("""COMPUTED_VALUE"""),"SES-0002")</f>
        <v>SES-0002</v>
      </c>
      <c r="C175" s="50" t="str">
        <f>IFERROR(__xludf.DUMMYFUNCTION("""COMPUTED_VALUE"""),"lverrier@ucpa.asso.fr")</f>
        <v>lverrier@ucpa.asso.fr</v>
      </c>
      <c r="D175" s="127" t="str">
        <f>IFERROR(__xludf.DUMMYFUNCTION("""COMPUTED_VALUE"""),"https://drive.google.com/file/d/1hU0gPaRvyUhJOGYdpL7Amq8lt1DAfPJP/view?usp=drivesdk")</f>
        <v>https://drive.google.com/file/d/1hU0gPaRvyUhJOGYdpL7Amq8lt1DAfPJP/view?usp=drivesdk</v>
      </c>
    </row>
    <row r="176">
      <c r="A176" s="50" t="s">
        <v>1148</v>
      </c>
      <c r="B176" s="50" t="str">
        <f>IFERROR(__xludf.DUMMYFUNCTION("""COMPUTED_VALUE"""),"SES-0001")</f>
        <v>SES-0001</v>
      </c>
      <c r="C176" s="50" t="str">
        <f>IFERROR(__xludf.DUMMYFUNCTION("""COMPUTED_VALUE"""),"imaitrejean@ucpa.asso.fr")</f>
        <v>imaitrejean@ucpa.asso.fr</v>
      </c>
      <c r="D176" s="127" t="str">
        <f>IFERROR(__xludf.DUMMYFUNCTION("""COMPUTED_VALUE"""),"https://drive.google.com/file/d/179Jh5AGU-7FFmTMTJ2QtSd3O-3DueQL6/view?usp=drivesdk")</f>
        <v>https://drive.google.com/file/d/179Jh5AGU-7FFmTMTJ2QtSd3O-3DueQL6/view?usp=drivesdk</v>
      </c>
    </row>
    <row r="177">
      <c r="A177" s="50" t="s">
        <v>1150</v>
      </c>
      <c r="B177" s="50" t="str">
        <f>IFERROR(__xludf.DUMMYFUNCTION("""COMPUTED_VALUE"""),"SES-0002")</f>
        <v>SES-0002</v>
      </c>
      <c r="C177" s="50" t="str">
        <f>IFERROR(__xludf.DUMMYFUNCTION("""COMPUTED_VALUE"""),"imaitrejean@ucpa.asso.fr")</f>
        <v>imaitrejean@ucpa.asso.fr</v>
      </c>
      <c r="D177" s="127" t="str">
        <f>IFERROR(__xludf.DUMMYFUNCTION("""COMPUTED_VALUE"""),"https://drive.google.com/file/d/1brmd3rzMxmex_YuEwGBXeUvEEN8OTW3z/view?usp=drivesdk")</f>
        <v>https://drive.google.com/file/d/1brmd3rzMxmex_YuEwGBXeUvEEN8OTW3z/view?usp=drivesdk</v>
      </c>
    </row>
    <row r="178">
      <c r="A178" s="50" t="s">
        <v>1153</v>
      </c>
      <c r="B178" s="50" t="str">
        <f>IFERROR(__xludf.DUMMYFUNCTION("""COMPUTED_VALUE"""),"SES-0001")</f>
        <v>SES-0001</v>
      </c>
      <c r="C178" s="50" t="str">
        <f>IFERROR(__xludf.DUMMYFUNCTION("""COMPUTED_VALUE"""),"mfloury1@ucpasl.com")</f>
        <v>mfloury1@ucpasl.com</v>
      </c>
      <c r="D178" s="127" t="str">
        <f>IFERROR(__xludf.DUMMYFUNCTION("""COMPUTED_VALUE"""),"https://drive.google.com/file/d/1jSU3WTNOtkEMunRrRgSuuPojl74D103j/view?usp=drivesdk")</f>
        <v>https://drive.google.com/file/d/1jSU3WTNOtkEMunRrRgSuuPojl74D103j/view?usp=drivesdk</v>
      </c>
    </row>
    <row r="179">
      <c r="A179" s="50" t="s">
        <v>1156</v>
      </c>
      <c r="B179" s="50" t="str">
        <f>IFERROR(__xludf.DUMMYFUNCTION("""COMPUTED_VALUE"""),"SES-0002")</f>
        <v>SES-0002</v>
      </c>
      <c r="C179" s="50" t="str">
        <f>IFERROR(__xludf.DUMMYFUNCTION("""COMPUTED_VALUE"""),"mfloury1@ucpasl.com")</f>
        <v>mfloury1@ucpasl.com</v>
      </c>
      <c r="D179" s="127" t="str">
        <f>IFERROR(__xludf.DUMMYFUNCTION("""COMPUTED_VALUE"""),"https://drive.google.com/file/d/1FQcOrx0L2jG_9wOJfypgbZezmt_BleEy/view?usp=drivesdk")</f>
        <v>https://drive.google.com/file/d/1FQcOrx0L2jG_9wOJfypgbZezmt_BleEy/view?usp=drivesdk</v>
      </c>
    </row>
    <row r="180">
      <c r="A180" s="50" t="s">
        <v>1158</v>
      </c>
      <c r="B180" s="50" t="str">
        <f>IFERROR(__xludf.DUMMYFUNCTION("""COMPUTED_VALUE"""),"SES-0002")</f>
        <v>SES-0002</v>
      </c>
      <c r="C180" s="50" t="str">
        <f>IFERROR(__xludf.DUMMYFUNCTION("""COMPUTED_VALUE"""),"jlenaour@vaires-torcy.iledeloisirs.fr")</f>
        <v>jlenaour@vaires-torcy.iledeloisirs.fr</v>
      </c>
      <c r="D180" s="127" t="str">
        <f>IFERROR(__xludf.DUMMYFUNCTION("""COMPUTED_VALUE"""),"https://drive.google.com/file/d/16sxrumbY6mXmvPz2DOwcX1mFvC4Yns7u/view?usp=drivesdk")</f>
        <v>https://drive.google.com/file/d/16sxrumbY6mXmvPz2DOwcX1mFvC4Yns7u/view?usp=drivesdk</v>
      </c>
    </row>
    <row r="181">
      <c r="A181" s="50" t="s">
        <v>1161</v>
      </c>
      <c r="B181" s="50" t="str">
        <f>IFERROR(__xludf.DUMMYFUNCTION("""COMPUTED_VALUE"""),"SES-0002")</f>
        <v>SES-0002</v>
      </c>
      <c r="C181" s="50" t="str">
        <f>IFERROR(__xludf.DUMMYFUNCTION("""COMPUTED_VALUE"""),"eboudy@ucpa.asso.fr")</f>
        <v>eboudy@ucpa.asso.fr</v>
      </c>
      <c r="D181" s="127" t="str">
        <f>IFERROR(__xludf.DUMMYFUNCTION("""COMPUTED_VALUE"""),"https://drive.google.com/file/d/1ndoK-Q6McLyRzDpU0QMn98-rLHOztXJd/view?usp=drivesdk")</f>
        <v>https://drive.google.com/file/d/1ndoK-Q6McLyRzDpU0QMn98-rLHOztXJd/view?usp=drivesdk</v>
      </c>
    </row>
    <row r="182">
      <c r="A182" s="50" t="s">
        <v>1163</v>
      </c>
      <c r="B182" s="50" t="str">
        <f>IFERROR(__xludf.DUMMYFUNCTION("""COMPUTED_VALUE"""),"SES-0001")</f>
        <v>SES-0001</v>
      </c>
      <c r="C182" s="50" t="str">
        <f>IFERROR(__xludf.DUMMYFUNCTION("""COMPUTED_VALUE"""),"cdelassus@ucpa.asso.fr")</f>
        <v>cdelassus@ucpa.asso.fr</v>
      </c>
      <c r="D182" s="127" t="str">
        <f>IFERROR(__xludf.DUMMYFUNCTION("""COMPUTED_VALUE"""),"https://drive.google.com/file/d/1Un7Pa3AOnFdWOulbj9iEoSf1ZvVwIaHS/view?usp=drivesdk")</f>
        <v>https://drive.google.com/file/d/1Un7Pa3AOnFdWOulbj9iEoSf1ZvVwIaHS/view?usp=drivesdk</v>
      </c>
    </row>
    <row r="183">
      <c r="A183" s="50" t="s">
        <v>1166</v>
      </c>
      <c r="B183" s="50" t="str">
        <f>IFERROR(__xludf.DUMMYFUNCTION("""COMPUTED_VALUE"""),"SES-0002")</f>
        <v>SES-0002</v>
      </c>
      <c r="C183" s="50" t="str">
        <f>IFERROR(__xludf.DUMMYFUNCTION("""COMPUTED_VALUE"""),"cdelassus@ucpa.asso.fr")</f>
        <v>cdelassus@ucpa.asso.fr</v>
      </c>
      <c r="D183" s="127" t="str">
        <f>IFERROR(__xludf.DUMMYFUNCTION("""COMPUTED_VALUE"""),"https://drive.google.com/file/d/1cRjGBO9xAXNONFHRHSs264UhApdqf9ND/view?usp=drivesdk")</f>
        <v>https://drive.google.com/file/d/1cRjGBO9xAXNONFHRHSs264UhApdqf9ND/view?usp=drivesdk</v>
      </c>
    </row>
    <row r="184">
      <c r="A184" s="50" t="s">
        <v>1169</v>
      </c>
      <c r="B184" s="50" t="str">
        <f>IFERROR(__xludf.DUMMYFUNCTION("""COMPUTED_VALUE"""),"SES-0001")</f>
        <v>SES-0001</v>
      </c>
      <c r="C184" s="50" t="str">
        <f>IFERROR(__xludf.DUMMYFUNCTION("""COMPUTED_VALUE"""),"pgaultier@ucpa.asso.fr")</f>
        <v>pgaultier@ucpa.asso.fr</v>
      </c>
      <c r="D184" s="127" t="str">
        <f>IFERROR(__xludf.DUMMYFUNCTION("""COMPUTED_VALUE"""),"https://drive.google.com/file/d/1gmI-zZLmGTQWr0UjI80Z84P9mKvWas5h/view?usp=drivesdk")</f>
        <v>https://drive.google.com/file/d/1gmI-zZLmGTQWr0UjI80Z84P9mKvWas5h/view?usp=drivesdk</v>
      </c>
    </row>
    <row r="185">
      <c r="A185" s="50" t="s">
        <v>1174</v>
      </c>
      <c r="B185" s="50" t="str">
        <f>IFERROR(__xludf.DUMMYFUNCTION("""COMPUTED_VALUE"""),"SES-0002")</f>
        <v>SES-0002</v>
      </c>
      <c r="C185" s="50" t="str">
        <f>IFERROR(__xludf.DUMMYFUNCTION("""COMPUTED_VALUE"""),"pgaultier@ucpa.asso.fr")</f>
        <v>pgaultier@ucpa.asso.fr</v>
      </c>
      <c r="D185" s="127" t="str">
        <f>IFERROR(__xludf.DUMMYFUNCTION("""COMPUTED_VALUE"""),"https://drive.google.com/file/d/12VWpt2T9D8QbirT8_Ko4KeKbRLGFHlSm/view?usp=drivesdk")</f>
        <v>https://drive.google.com/file/d/12VWpt2T9D8QbirT8_Ko4KeKbRLGFHlSm/view?usp=drivesdk</v>
      </c>
    </row>
    <row r="186">
      <c r="A186" s="50" t="s">
        <v>1176</v>
      </c>
      <c r="B186" s="50" t="str">
        <f>IFERROR(__xludf.DUMMYFUNCTION("""COMPUTED_VALUE"""),"SES-0001")</f>
        <v>SES-0001</v>
      </c>
      <c r="C186" s="50" t="str">
        <f>IFERROR(__xludf.DUMMYFUNCTION("""COMPUTED_VALUE"""),"papegeot@ucpa.asso.fr")</f>
        <v>papegeot@ucpa.asso.fr</v>
      </c>
      <c r="D186" s="127" t="str">
        <f>IFERROR(__xludf.DUMMYFUNCTION("""COMPUTED_VALUE"""),"https://drive.google.com/file/d/11duMR8Y-8Wep_klG1alGaYQSHTwEXRDz/view?usp=drivesdk")</f>
        <v>https://drive.google.com/file/d/11duMR8Y-8Wep_klG1alGaYQSHTwEXRDz/view?usp=drivesdk</v>
      </c>
    </row>
    <row r="187">
      <c r="A187" s="50" t="s">
        <v>1180</v>
      </c>
      <c r="B187" s="50" t="str">
        <f>IFERROR(__xludf.DUMMYFUNCTION("""COMPUTED_VALUE"""),"SES-0002")</f>
        <v>SES-0002</v>
      </c>
      <c r="C187" s="50" t="str">
        <f>IFERROR(__xludf.DUMMYFUNCTION("""COMPUTED_VALUE"""),"papegeot@ucpa.asso.fr")</f>
        <v>papegeot@ucpa.asso.fr</v>
      </c>
      <c r="D187" s="127" t="str">
        <f>IFERROR(__xludf.DUMMYFUNCTION("""COMPUTED_VALUE"""),"https://drive.google.com/file/d/1ZYXB8ov0asz0QUNQQp9CaSQE0xfDXUVi/view?usp=drivesdk")</f>
        <v>https://drive.google.com/file/d/1ZYXB8ov0asz0QUNQQp9CaSQE0xfDXUVi/view?usp=drivesdk</v>
      </c>
    </row>
    <row r="188">
      <c r="A188" s="50" t="s">
        <v>1183</v>
      </c>
      <c r="B188" s="50" t="str">
        <f>IFERROR(__xludf.DUMMYFUNCTION("""COMPUTED_VALUE"""),"SES-0002")</f>
        <v>SES-0002</v>
      </c>
      <c r="C188" s="50" t="str">
        <f>IFERROR(__xludf.DUMMYFUNCTION("""COMPUTED_VALUE"""),"spinto@ucpa.asso.fr")</f>
        <v>spinto@ucpa.asso.fr</v>
      </c>
      <c r="D188" s="127" t="str">
        <f>IFERROR(__xludf.DUMMYFUNCTION("""COMPUTED_VALUE"""),"https://drive.google.com/file/d/1q8tdEoXv5rhhLCmTDmVCGnWX3EmRo9EH/view?usp=drivesdk")</f>
        <v>https://drive.google.com/file/d/1q8tdEoXv5rhhLCmTDmVCGnWX3EmRo9EH/view?usp=drivesdk</v>
      </c>
    </row>
    <row r="189">
      <c r="A189" s="50" t="s">
        <v>1187</v>
      </c>
      <c r="B189" s="50" t="str">
        <f>IFERROR(__xludf.DUMMYFUNCTION("""COMPUTED_VALUE"""),"SES-0001")</f>
        <v>SES-0001</v>
      </c>
      <c r="C189" s="50" t="str">
        <f>IFERROR(__xludf.DUMMYFUNCTION("""COMPUTED_VALUE"""),"spinto@ucpa.asso.fr")</f>
        <v>spinto@ucpa.asso.fr</v>
      </c>
      <c r="D189" s="127" t="str">
        <f>IFERROR(__xludf.DUMMYFUNCTION("""COMPUTED_VALUE"""),"https://drive.google.com/file/d/1g2mRiEsHCEjjaBbFVga82ucRNGgPWpzV/view?usp=drivesdk")</f>
        <v>https://drive.google.com/file/d/1g2mRiEsHCEjjaBbFVga82ucRNGgPWpzV/view?usp=drivesdk</v>
      </c>
    </row>
    <row r="190">
      <c r="A190" s="50" t="s">
        <v>1190</v>
      </c>
      <c r="B190" s="50" t="str">
        <f>IFERROR(__xludf.DUMMYFUNCTION("""COMPUTED_VALUE"""),"SES-0001")</f>
        <v>SES-0001</v>
      </c>
      <c r="C190" s="50" t="str">
        <f>IFERROR(__xludf.DUMMYFUNCTION("""COMPUTED_VALUE"""),"jpgiraud@ucpasl.com")</f>
        <v>jpgiraud@ucpasl.com</v>
      </c>
      <c r="D190" s="127" t="str">
        <f>IFERROR(__xludf.DUMMYFUNCTION("""COMPUTED_VALUE"""),"https://drive.google.com/file/d/1Of5chJ8axEkvVBP4gPgwZkCImRDiFGrh/view?usp=drivesdk")</f>
        <v>https://drive.google.com/file/d/1Of5chJ8axEkvVBP4gPgwZkCImRDiFGrh/view?usp=drivesdk</v>
      </c>
    </row>
    <row r="191">
      <c r="A191" s="50" t="s">
        <v>1192</v>
      </c>
      <c r="B191" s="50" t="str">
        <f>IFERROR(__xludf.DUMMYFUNCTION("""COMPUTED_VALUE"""),"SES-0002")</f>
        <v>SES-0002</v>
      </c>
      <c r="C191" s="50" t="str">
        <f>IFERROR(__xludf.DUMMYFUNCTION("""COMPUTED_VALUE"""),"jpgiraud@ucpasl.com")</f>
        <v>jpgiraud@ucpasl.com</v>
      </c>
      <c r="D191" s="127" t="str">
        <f>IFERROR(__xludf.DUMMYFUNCTION("""COMPUTED_VALUE"""),"https://drive.google.com/file/d/1t8niSY4XE_MI9KuN84vlT_-APdTBUBCO/view?usp=drivesdk")</f>
        <v>https://drive.google.com/file/d/1t8niSY4XE_MI9KuN84vlT_-APdTBUBCO/view?usp=drivesdk</v>
      </c>
    </row>
    <row r="192">
      <c r="A192" s="50" t="s">
        <v>1195</v>
      </c>
      <c r="B192" s="50" t="str">
        <f>IFERROR(__xludf.DUMMYFUNCTION("""COMPUTED_VALUE"""),"SES-0001")</f>
        <v>SES-0001</v>
      </c>
      <c r="C192" s="50" t="str">
        <f>IFERROR(__xludf.DUMMYFUNCTION("""COMPUTED_VALUE"""),"ochaigneau@ucpa.asso.fr")</f>
        <v>ochaigneau@ucpa.asso.fr</v>
      </c>
      <c r="D192" s="127" t="str">
        <f>IFERROR(__xludf.DUMMYFUNCTION("""COMPUTED_VALUE"""),"https://drive.google.com/file/d/1c-z9NkxULLElSdrFqLMaGGqvyzQmDf41/view?usp=drivesdk")</f>
        <v>https://drive.google.com/file/d/1c-z9NkxULLElSdrFqLMaGGqvyzQmDf41/view?usp=drivesdk</v>
      </c>
    </row>
    <row r="193">
      <c r="A193" s="50" t="s">
        <v>1198</v>
      </c>
      <c r="B193" s="50" t="str">
        <f>IFERROR(__xludf.DUMMYFUNCTION("""COMPUTED_VALUE"""),"SES-0002")</f>
        <v>SES-0002</v>
      </c>
      <c r="C193" s="50" t="str">
        <f>IFERROR(__xludf.DUMMYFUNCTION("""COMPUTED_VALUE"""),"ochaigneau@ucpa.asso.fr")</f>
        <v>ochaigneau@ucpa.asso.fr</v>
      </c>
      <c r="D193" s="127" t="str">
        <f>IFERROR(__xludf.DUMMYFUNCTION("""COMPUTED_VALUE"""),"https://drive.google.com/file/d/1cLtyBrVO_NZMIIdN-DjFqk2MPH2eDjJQ/view?usp=drivesdk")</f>
        <v>https://drive.google.com/file/d/1cLtyBrVO_NZMIIdN-DjFqk2MPH2eDjJQ/view?usp=drivesdk</v>
      </c>
    </row>
    <row r="194">
      <c r="A194" s="50" t="s">
        <v>1200</v>
      </c>
      <c r="B194" s="50" t="str">
        <f>IFERROR(__xludf.DUMMYFUNCTION("""COMPUTED_VALUE"""),"SES-0001")</f>
        <v>SES-0001</v>
      </c>
      <c r="C194" s="50" t="str">
        <f>IFERROR(__xludf.DUMMYFUNCTION("""COMPUTED_VALUE"""),"ivanneph@ucpa.asso.fr")</f>
        <v>ivanneph@ucpa.asso.fr</v>
      </c>
      <c r="D194" s="127" t="str">
        <f>IFERROR(__xludf.DUMMYFUNCTION("""COMPUTED_VALUE"""),"https://drive.google.com/file/d/1eGd2BdZaQ6ltzpvtvjceCPxDU6vtDIvC/view?usp=drivesdk")</f>
        <v>https://drive.google.com/file/d/1eGd2BdZaQ6ltzpvtvjceCPxDU6vtDIvC/view?usp=drivesdk</v>
      </c>
    </row>
    <row r="195">
      <c r="A195" s="50" t="s">
        <v>1201</v>
      </c>
      <c r="B195" s="50" t="str">
        <f>IFERROR(__xludf.DUMMYFUNCTION("""COMPUTED_VALUE"""),"SES-0001")</f>
        <v>SES-0001</v>
      </c>
      <c r="C195" s="50" t="str">
        <f>IFERROR(__xludf.DUMMYFUNCTION("""COMPUTED_VALUE"""),"vanneph.alain@gmail.com")</f>
        <v>vanneph.alain@gmail.com</v>
      </c>
      <c r="D195" s="127" t="str">
        <f>IFERROR(__xludf.DUMMYFUNCTION("""COMPUTED_VALUE"""),"https://drive.google.com/file/d/1kKK_D_WJB57LhYEMSnTTWwMGUqiFBUad/view?usp=drivesdk")</f>
        <v>https://drive.google.com/file/d/1kKK_D_WJB57LhYEMSnTTWwMGUqiFBUad/view?usp=drivesdk</v>
      </c>
    </row>
    <row r="196">
      <c r="A196" s="50" t="s">
        <v>1202</v>
      </c>
      <c r="B196" s="50" t="str">
        <f>IFERROR(__xludf.DUMMYFUNCTION("""COMPUTED_VALUE"""),"SES-0002")</f>
        <v>SES-0002</v>
      </c>
      <c r="C196" s="50" t="str">
        <f>IFERROR(__xludf.DUMMYFUNCTION("""COMPUTED_VALUE"""),"vanneph.alain@gmail.com")</f>
        <v>vanneph.alain@gmail.com</v>
      </c>
      <c r="D196" s="127" t="str">
        <f>IFERROR(__xludf.DUMMYFUNCTION("""COMPUTED_VALUE"""),"https://drive.google.com/file/d/1gy5gEKrTn3Ch9U2-YneVwBqNcGGOCQDV/view?usp=drivesdk")</f>
        <v>https://drive.google.com/file/d/1gy5gEKrTn3Ch9U2-YneVwBqNcGGOCQDV/view?usp=drivesdk</v>
      </c>
    </row>
    <row r="197">
      <c r="A197" s="50" t="s">
        <v>1203</v>
      </c>
      <c r="B197" s="50" t="str">
        <f>IFERROR(__xludf.DUMMYFUNCTION("""COMPUTED_VALUE"""),"SES-0002")</f>
        <v>SES-0002</v>
      </c>
      <c r="C197" s="50" t="str">
        <f>IFERROR(__xludf.DUMMYFUNCTION("""COMPUTED_VALUE"""),"i.vanneph@ucpa.asso.fr")</f>
        <v>i.vanneph@ucpa.asso.fr</v>
      </c>
      <c r="D197" s="127" t="str">
        <f>IFERROR(__xludf.DUMMYFUNCTION("""COMPUTED_VALUE"""),"https://drive.google.com/file/d/1y40v7mAubwpNOrTTB_wXfOCrTREzwbQ5/view?usp=drivesdk")</f>
        <v>https://drive.google.com/file/d/1y40v7mAubwpNOrTTB_wXfOCrTREzwbQ5/view?usp=drivesdk</v>
      </c>
    </row>
    <row r="198">
      <c r="A198" s="50" t="s">
        <v>1204</v>
      </c>
      <c r="B198" s="50" t="str">
        <f>IFERROR(__xludf.DUMMYFUNCTION("""COMPUTED_VALUE"""),"SES-0002")</f>
        <v>SES-0002</v>
      </c>
      <c r="C198" s="50" t="str">
        <f>IFERROR(__xludf.DUMMYFUNCTION("""COMPUTED_VALUE"""),"mattias.nilsson@labalaguere.com")</f>
        <v>mattias.nilsson@labalaguere.com</v>
      </c>
      <c r="D198" s="127" t="str">
        <f>IFERROR(__xludf.DUMMYFUNCTION("""COMPUTED_VALUE"""),"https://drive.google.com/file/d/1SY5BojdRov2HRVH9vLxnZmFfhwSNhkoj/view?usp=drivesdk")</f>
        <v>https://drive.google.com/file/d/1SY5BojdRov2HRVH9vLxnZmFfhwSNhkoj/view?usp=drivesdk</v>
      </c>
    </row>
    <row r="199">
      <c r="A199" s="50" t="s">
        <v>1205</v>
      </c>
      <c r="B199" s="50" t="str">
        <f>IFERROR(__xludf.DUMMYFUNCTION("""COMPUTED_VALUE"""),"SES-0001")</f>
        <v>SES-0001</v>
      </c>
      <c r="C199" s="50" t="str">
        <f>IFERROR(__xludf.DUMMYFUNCTION("""COMPUTED_VALUE"""),"mattias.nilsson@labalaguere.com")</f>
        <v>mattias.nilsson@labalaguere.com</v>
      </c>
      <c r="D199" s="127" t="str">
        <f>IFERROR(__xludf.DUMMYFUNCTION("""COMPUTED_VALUE"""),"https://drive.google.com/file/d/1odeVu2MGo5_z8U7SDi4csYPl1wVihRKS/view?usp=drivesdk")</f>
        <v>https://drive.google.com/file/d/1odeVu2MGo5_z8U7SDi4csYPl1wVihRKS/view?usp=drivesdk</v>
      </c>
    </row>
    <row r="200">
      <c r="A200" s="50" t="s">
        <v>1206</v>
      </c>
      <c r="B200" s="50" t="str">
        <f>IFERROR(__xludf.DUMMYFUNCTION("""COMPUTED_VALUE"""),"SES-0001")</f>
        <v>SES-0001</v>
      </c>
      <c r="C200" s="50" t="str">
        <f>IFERROR(__xludf.DUMMYFUNCTION("""COMPUTED_VALUE"""),"mboudon@ucpa.asso.fr")</f>
        <v>mboudon@ucpa.asso.fr</v>
      </c>
      <c r="D200" s="127" t="str">
        <f>IFERROR(__xludf.DUMMYFUNCTION("""COMPUTED_VALUE"""),"https://drive.google.com/file/d/1q7hE2uvLNPj5usppxeSdzAfODTMjTfal/view?usp=drivesdk")</f>
        <v>https://drive.google.com/file/d/1q7hE2uvLNPj5usppxeSdzAfODTMjTfal/view?usp=drivesdk</v>
      </c>
    </row>
    <row r="201">
      <c r="A201" s="50" t="s">
        <v>1207</v>
      </c>
      <c r="B201" s="50" t="str">
        <f>IFERROR(__xludf.DUMMYFUNCTION("""COMPUTED_VALUE"""),"SES-0002")</f>
        <v>SES-0002</v>
      </c>
      <c r="C201" s="50" t="str">
        <f>IFERROR(__xludf.DUMMYFUNCTION("""COMPUTED_VALUE"""),"mboudon@ucpa.asso.fr")</f>
        <v>mboudon@ucpa.asso.fr</v>
      </c>
      <c r="D201" s="127" t="str">
        <f>IFERROR(__xludf.DUMMYFUNCTION("""COMPUTED_VALUE"""),"https://drive.google.com/file/d/1yII6dqhkkZVN57rdgPaICaOhgZBUmgP-/view?usp=drivesdk")</f>
        <v>https://drive.google.com/file/d/1yII6dqhkkZVN57rdgPaICaOhgZBUmgP-/view?usp=drivesdk</v>
      </c>
    </row>
    <row r="202">
      <c r="A202" s="50" t="s">
        <v>1208</v>
      </c>
      <c r="B202" s="50" t="str">
        <f>IFERROR(__xludf.DUMMYFUNCTION("""COMPUTED_VALUE"""),"SES-0001")</f>
        <v>SES-0001</v>
      </c>
      <c r="C202" s="50" t="str">
        <f>IFERROR(__xludf.DUMMYFUNCTION("""COMPUTED_VALUE"""),"mmoreau@ucpa.asso.fr")</f>
        <v>mmoreau@ucpa.asso.fr</v>
      </c>
      <c r="D202" s="127" t="str">
        <f>IFERROR(__xludf.DUMMYFUNCTION("""COMPUTED_VALUE"""),"https://drive.google.com/file/d/1IOfxcLi01i2k3beKLl4ayKp97_BB6kI7/view?usp=drivesdk")</f>
        <v>https://drive.google.com/file/d/1IOfxcLi01i2k3beKLl4ayKp97_BB6kI7/view?usp=drivesdk</v>
      </c>
    </row>
    <row r="203">
      <c r="A203" s="50" t="s">
        <v>1209</v>
      </c>
      <c r="B203" s="50" t="str">
        <f>IFERROR(__xludf.DUMMYFUNCTION("""COMPUTED_VALUE"""),"SES-0001")</f>
        <v>SES-0001</v>
      </c>
      <c r="C203" s="50" t="str">
        <f>IFERROR(__xludf.DUMMYFUNCTION("""COMPUTED_VALUE"""),"cdian@ucpalanete.com")</f>
        <v>cdian@ucpalanete.com</v>
      </c>
      <c r="D203" s="127" t="str">
        <f>IFERROR(__xludf.DUMMYFUNCTION("""COMPUTED_VALUE"""),"https://drive.google.com/file/d/1-q0RHsbMG7rpK8D7BFQJErDx3noSOX06/view?usp=drivesdk")</f>
        <v>https://drive.google.com/file/d/1-q0RHsbMG7rpK8D7BFQJErDx3noSOX06/view?usp=drivesdk</v>
      </c>
    </row>
    <row r="204">
      <c r="A204" s="50" t="s">
        <v>1210</v>
      </c>
      <c r="B204" s="50" t="str">
        <f>IFERROR(__xludf.DUMMYFUNCTION("""COMPUTED_VALUE"""),"SES-0002")</f>
        <v>SES-0002</v>
      </c>
      <c r="C204" s="50" t="str">
        <f>IFERROR(__xludf.DUMMYFUNCTION("""COMPUTED_VALUE"""),"cdian@ucpaplanete.com")</f>
        <v>cdian@ucpaplanete.com</v>
      </c>
      <c r="D204" s="127" t="str">
        <f>IFERROR(__xludf.DUMMYFUNCTION("""COMPUTED_VALUE"""),"https://drive.google.com/file/d/1nGxK-S-aCJUkVXVORqMT2qvB2hT2eZib/view?usp=drivesdk")</f>
        <v>https://drive.google.com/file/d/1nGxK-S-aCJUkVXVORqMT2qvB2hT2eZib/view?usp=drivesdk</v>
      </c>
    </row>
    <row r="205">
      <c r="A205" s="50" t="s">
        <v>1211</v>
      </c>
      <c r="B205" s="50" t="str">
        <f>IFERROR(__xludf.DUMMYFUNCTION("""COMPUTED_VALUE"""),"SES-0001")</f>
        <v>SES-0001</v>
      </c>
      <c r="C205" s="50" t="str">
        <f>IFERROR(__xludf.DUMMYFUNCTION("""COMPUTED_VALUE"""),"ylesueur@ucpa.asso.fr")</f>
        <v>ylesueur@ucpa.asso.fr</v>
      </c>
      <c r="D205" s="127" t="str">
        <f>IFERROR(__xludf.DUMMYFUNCTION("""COMPUTED_VALUE"""),"https://drive.google.com/file/d/15tVfz3uwP5dYr7wbrwroWsGJDHmRLMFy/view?usp=drivesdk")</f>
        <v>https://drive.google.com/file/d/15tVfz3uwP5dYr7wbrwroWsGJDHmRLMFy/view?usp=drivesdk</v>
      </c>
    </row>
    <row r="206">
      <c r="A206" s="50" t="s">
        <v>1212</v>
      </c>
      <c r="B206" s="50" t="str">
        <f>IFERROR(__xludf.DUMMYFUNCTION("""COMPUTED_VALUE"""),"SES-0002")</f>
        <v>SES-0002</v>
      </c>
      <c r="C206" s="50" t="str">
        <f>IFERROR(__xludf.DUMMYFUNCTION("""COMPUTED_VALUE"""),"ylesueur@ucpa.asso.fr")</f>
        <v>ylesueur@ucpa.asso.fr</v>
      </c>
      <c r="D206" s="127" t="str">
        <f>IFERROR(__xludf.DUMMYFUNCTION("""COMPUTED_VALUE"""),"https://drive.google.com/file/d/1zAUVthYe_LhOLSpJ0NONpQFx16_jL-Gc/view?usp=drivesdk")</f>
        <v>https://drive.google.com/file/d/1zAUVthYe_LhOLSpJ0NONpQFx16_jL-Gc/view?usp=drivesdk</v>
      </c>
    </row>
    <row r="207">
      <c r="A207" s="50" t="s">
        <v>1213</v>
      </c>
      <c r="B207" s="50" t="str">
        <f>IFERROR(__xludf.DUMMYFUNCTION("""COMPUTED_VALUE"""),"SES-0001")</f>
        <v>SES-0001</v>
      </c>
      <c r="C207" s="50" t="str">
        <f>IFERROR(__xludf.DUMMYFUNCTION("""COMPUTED_VALUE"""),"ccrochet@ucpasl.com")</f>
        <v>ccrochet@ucpasl.com</v>
      </c>
      <c r="D207" s="127" t="str">
        <f>IFERROR(__xludf.DUMMYFUNCTION("""COMPUTED_VALUE"""),"https://drive.google.com/file/d/1v4LCNQMzsgmx_cSvu16eIpX1tmTgQ7aj/view?usp=drivesdk")</f>
        <v>https://drive.google.com/file/d/1v4LCNQMzsgmx_cSvu16eIpX1tmTgQ7aj/view?usp=drivesdk</v>
      </c>
    </row>
    <row r="208">
      <c r="A208" s="50" t="s">
        <v>1214</v>
      </c>
      <c r="B208" s="50" t="str">
        <f>IFERROR(__xludf.DUMMYFUNCTION("""COMPUTED_VALUE"""),"SES-0002")</f>
        <v>SES-0002</v>
      </c>
      <c r="C208" s="50" t="str">
        <f>IFERROR(__xludf.DUMMYFUNCTION("""COMPUTED_VALUE"""),"ccrochet@ucpasl.com")</f>
        <v>ccrochet@ucpasl.com</v>
      </c>
      <c r="D208" s="127" t="str">
        <f>IFERROR(__xludf.DUMMYFUNCTION("""COMPUTED_VALUE"""),"https://drive.google.com/file/d/1dJuo2BYsXj6IY4t0ty24VZ5AjgNAWS08/view?usp=drivesdk")</f>
        <v>https://drive.google.com/file/d/1dJuo2BYsXj6IY4t0ty24VZ5AjgNAWS08/view?usp=drivesdk</v>
      </c>
    </row>
    <row r="209">
      <c r="A209" s="50" t="s">
        <v>1215</v>
      </c>
      <c r="B209" s="50" t="str">
        <f>IFERROR(__xludf.DUMMYFUNCTION("""COMPUTED_VALUE"""),"SES-0001")</f>
        <v>SES-0001</v>
      </c>
      <c r="C209" s="50" t="str">
        <f>IFERROR(__xludf.DUMMYFUNCTION("""COMPUTED_VALUE"""),"catherine.georges@telligo.fr")</f>
        <v>catherine.georges@telligo.fr</v>
      </c>
      <c r="D209" s="127" t="str">
        <f>IFERROR(__xludf.DUMMYFUNCTION("""COMPUTED_VALUE"""),"https://drive.google.com/file/d/1ZDiQHeUJFeMGqhoQehWdNbhBaBGkhChT/view?usp=drivesdk")</f>
        <v>https://drive.google.com/file/d/1ZDiQHeUJFeMGqhoQehWdNbhBaBGkhChT/view?usp=drivesdk</v>
      </c>
    </row>
    <row r="210">
      <c r="A210" s="50" t="s">
        <v>1216</v>
      </c>
      <c r="B210" s="50" t="str">
        <f>IFERROR(__xludf.DUMMYFUNCTION("""COMPUTED_VALUE"""),"SES-0002")</f>
        <v>SES-0002</v>
      </c>
      <c r="C210" s="50" t="str">
        <f>IFERROR(__xludf.DUMMYFUNCTION("""COMPUTED_VALUE"""),"catherine.georges@telligo.fr")</f>
        <v>catherine.georges@telligo.fr</v>
      </c>
      <c r="D210" s="127" t="str">
        <f>IFERROR(__xludf.DUMMYFUNCTION("""COMPUTED_VALUE"""),"https://drive.google.com/file/d/1cFiY2tSp0ko68uCfniXtr5pLbpFoujib/view?usp=drivesdk")</f>
        <v>https://drive.google.com/file/d/1cFiY2tSp0ko68uCfniXtr5pLbpFoujib/view?usp=drivesdk</v>
      </c>
    </row>
    <row r="211">
      <c r="A211" s="50" t="s">
        <v>1217</v>
      </c>
      <c r="B211" s="50" t="str">
        <f>IFERROR(__xludf.DUMMYFUNCTION("""COMPUTED_VALUE"""),"SES-0001")</f>
        <v>SES-0001</v>
      </c>
      <c r="C211" s="50" t="str">
        <f>IFERROR(__xludf.DUMMYFUNCTION("""COMPUTED_VALUE"""),"frederic.thuillier@telligo.fr")</f>
        <v>frederic.thuillier@telligo.fr</v>
      </c>
      <c r="D211" s="127" t="str">
        <f>IFERROR(__xludf.DUMMYFUNCTION("""COMPUTED_VALUE"""),"https://drive.google.com/file/d/1cI18wVY9owMGU7Ej3hgTFwkKzGGkgDtM/view?usp=drivesdk")</f>
        <v>https://drive.google.com/file/d/1cI18wVY9owMGU7Ej3hgTFwkKzGGkgDtM/view?usp=drivesdk</v>
      </c>
    </row>
    <row r="212">
      <c r="A212" s="50" t="s">
        <v>1218</v>
      </c>
      <c r="B212" s="50" t="str">
        <f>IFERROR(__xludf.DUMMYFUNCTION("""COMPUTED_VALUE"""),"SES-0001")</f>
        <v>SES-0001</v>
      </c>
      <c r="C212" s="50" t="str">
        <f>IFERROR(__xludf.DUMMYFUNCTION("""COMPUTED_VALUE"""),"mathieu.desponts@telligo.fr")</f>
        <v>mathieu.desponts@telligo.fr</v>
      </c>
      <c r="D212" s="127" t="str">
        <f>IFERROR(__xludf.DUMMYFUNCTION("""COMPUTED_VALUE"""),"https://drive.google.com/file/d/1BbewgHxaTP8SOv2vJ_dws6dQjlUwFN4L/view?usp=drivesdk")</f>
        <v>https://drive.google.com/file/d/1BbewgHxaTP8SOv2vJ_dws6dQjlUwFN4L/view?usp=drivesdk</v>
      </c>
    </row>
    <row r="213">
      <c r="A213" s="50" t="s">
        <v>1219</v>
      </c>
      <c r="B213" s="50" t="str">
        <f>IFERROR(__xludf.DUMMYFUNCTION("""COMPUTED_VALUE"""),"SES-0002")</f>
        <v>SES-0002</v>
      </c>
      <c r="C213" s="50" t="str">
        <f>IFERROR(__xludf.DUMMYFUNCTION("""COMPUTED_VALUE"""),"frederic.thuillier@telligo.fr")</f>
        <v>frederic.thuillier@telligo.fr</v>
      </c>
      <c r="D213" s="127" t="str">
        <f>IFERROR(__xludf.DUMMYFUNCTION("""COMPUTED_VALUE"""),"https://drive.google.com/file/d/1RqFDK0pd9FzT0v4DYmRrCCvr-c2dev86/view?usp=drivesdk")</f>
        <v>https://drive.google.com/file/d/1RqFDK0pd9FzT0v4DYmRrCCvr-c2dev86/view?usp=drivesdk</v>
      </c>
    </row>
    <row r="214">
      <c r="A214" s="50" t="s">
        <v>1220</v>
      </c>
      <c r="B214" s="50" t="str">
        <f>IFERROR(__xludf.DUMMYFUNCTION("""COMPUTED_VALUE"""),"SES-0002")</f>
        <v>SES-0002</v>
      </c>
      <c r="C214" s="50" t="str">
        <f>IFERROR(__xludf.DUMMYFUNCTION("""COMPUTED_VALUE"""),"mathieu.desponts@telligo.fr")</f>
        <v>mathieu.desponts@telligo.fr</v>
      </c>
      <c r="D214" s="127" t="str">
        <f>IFERROR(__xludf.DUMMYFUNCTION("""COMPUTED_VALUE"""),"https://drive.google.com/file/d/1XvBMXDg1NZTTdXqVJGkfMdxaG8eVvJGs/view?usp=drivesdk")</f>
        <v>https://drive.google.com/file/d/1XvBMXDg1NZTTdXqVJGkfMdxaG8eVvJGs/view?usp=drivesdk</v>
      </c>
    </row>
    <row r="215">
      <c r="A215" s="50" t="s">
        <v>1221</v>
      </c>
      <c r="B215" s="50" t="str">
        <f>IFERROR(__xludf.DUMMYFUNCTION("""COMPUTED_VALUE"""),"SES-0001")</f>
        <v>SES-0001</v>
      </c>
      <c r="C215" s="50" t="str">
        <f>IFERROR(__xludf.DUMMYFUNCTION("""COMPUTED_VALUE"""),"cindy.vermeersch@tootazimut.fr")</f>
        <v>cindy.vermeersch@tootazimut.fr</v>
      </c>
      <c r="D215" s="127" t="str">
        <f>IFERROR(__xludf.DUMMYFUNCTION("""COMPUTED_VALUE"""),"https://drive.google.com/file/d/1s7yATKxgWn8NjCTvOkfDcqgfDTRv1cFS/view?usp=drivesdk")</f>
        <v>https://drive.google.com/file/d/1s7yATKxgWn8NjCTvOkfDcqgfDTRv1cFS/view?usp=drivesdk</v>
      </c>
    </row>
    <row r="216">
      <c r="A216" s="50" t="s">
        <v>1222</v>
      </c>
      <c r="B216" s="50" t="str">
        <f>IFERROR(__xludf.DUMMYFUNCTION("""COMPUTED_VALUE"""),"SES-0001")</f>
        <v>SES-0001</v>
      </c>
      <c r="C216" s="50" t="str">
        <f>IFERROR(__xludf.DUMMYFUNCTION("""COMPUTED_VALUE"""),"ophelie.francart@telligo.fr")</f>
        <v>ophelie.francart@telligo.fr</v>
      </c>
      <c r="D216" s="127" t="str">
        <f>IFERROR(__xludf.DUMMYFUNCTION("""COMPUTED_VALUE"""),"https://drive.google.com/file/d/1KFFYJXGB7qmVAl5F9jZnSyyHPOZUJ8jz/view?usp=drivesdk")</f>
        <v>https://drive.google.com/file/d/1KFFYJXGB7qmVAl5F9jZnSyyHPOZUJ8jz/view?usp=drivesdk</v>
      </c>
    </row>
    <row r="217">
      <c r="A217" s="50" t="s">
        <v>1223</v>
      </c>
      <c r="B217" s="50" t="str">
        <f>IFERROR(__xludf.DUMMYFUNCTION("""COMPUTED_VALUE"""),"SES-0002")</f>
        <v>SES-0002</v>
      </c>
      <c r="C217" s="50" t="str">
        <f>IFERROR(__xludf.DUMMYFUNCTION("""COMPUTED_VALUE"""),"cindy.vermeersch@tootazimut.fr")</f>
        <v>cindy.vermeersch@tootazimut.fr</v>
      </c>
      <c r="D217" s="127" t="str">
        <f>IFERROR(__xludf.DUMMYFUNCTION("""COMPUTED_VALUE"""),"https://drive.google.com/file/d/1NhC0ciAO2MuB3R5Om2XwGwNEMxw8FUv9/view?usp=drivesdk")</f>
        <v>https://drive.google.com/file/d/1NhC0ciAO2MuB3R5Om2XwGwNEMxw8FUv9/view?usp=drivesdk</v>
      </c>
    </row>
    <row r="218">
      <c r="A218" s="50" t="s">
        <v>1224</v>
      </c>
      <c r="B218" s="50" t="str">
        <f>IFERROR(__xludf.DUMMYFUNCTION("""COMPUTED_VALUE"""),"SES-0002")</f>
        <v>SES-0002</v>
      </c>
      <c r="C218" s="50" t="str">
        <f>IFERROR(__xludf.DUMMYFUNCTION("""COMPUTED_VALUE"""),"ophelie.francart@telligo.fr")</f>
        <v>ophelie.francart@telligo.fr</v>
      </c>
      <c r="D218" s="127" t="str">
        <f>IFERROR(__xludf.DUMMYFUNCTION("""COMPUTED_VALUE"""),"https://drive.google.com/file/d/1GWYNy75LlFySCoJX4vnVRYVNdNsbt1xG/view?usp=drivesdk")</f>
        <v>https://drive.google.com/file/d/1GWYNy75LlFySCoJX4vnVRYVNdNsbt1xG/view?usp=drivesdk</v>
      </c>
    </row>
    <row r="219">
      <c r="A219" s="50" t="s">
        <v>1225</v>
      </c>
      <c r="B219" s="50" t="str">
        <f>IFERROR(__xludf.DUMMYFUNCTION("""COMPUTED_VALUE"""),"SES-0001")</f>
        <v>SES-0001</v>
      </c>
      <c r="C219" s="50" t="str">
        <f>IFERROR(__xludf.DUMMYFUNCTION("""COMPUTED_VALUE"""),"amelie.guindon@telligo.fr")</f>
        <v>amelie.guindon@telligo.fr</v>
      </c>
      <c r="D219" s="127" t="str">
        <f>IFERROR(__xludf.DUMMYFUNCTION("""COMPUTED_VALUE"""),"https://drive.google.com/file/d/1IaQYZ2xPixQ-WIIZBdPsGdFozV1SzpUp/view?usp=drivesdk")</f>
        <v>https://drive.google.com/file/d/1IaQYZ2xPixQ-WIIZBdPsGdFozV1SzpUp/view?usp=drivesdk</v>
      </c>
    </row>
    <row r="220">
      <c r="A220" s="50" t="s">
        <v>1226</v>
      </c>
      <c r="B220" s="50" t="str">
        <f>IFERROR(__xludf.DUMMYFUNCTION("""COMPUTED_VALUE"""),"SES-0002")</f>
        <v>SES-0002</v>
      </c>
      <c r="C220" s="50" t="str">
        <f>IFERROR(__xludf.DUMMYFUNCTION("""COMPUTED_VALUE"""),"amelie.guindon@telligo.fr")</f>
        <v>amelie.guindon@telligo.fr</v>
      </c>
      <c r="D220" s="127" t="str">
        <f>IFERROR(__xludf.DUMMYFUNCTION("""COMPUTED_VALUE"""),"https://drive.google.com/file/d/1GOnH8eYXFOd76me4BoQK89zqQ1e4EYJO/view?usp=drivesdk")</f>
        <v>https://drive.google.com/file/d/1GOnH8eYXFOd76me4BoQK89zqQ1e4EYJO/view?usp=drivesdk</v>
      </c>
    </row>
    <row r="221">
      <c r="A221" s="50" t="s">
        <v>1229</v>
      </c>
      <c r="B221" s="50" t="str">
        <f>IFERROR(__xludf.DUMMYFUNCTION("""COMPUTED_VALUE"""),"SES-0001")</f>
        <v>SES-0001</v>
      </c>
      <c r="C221" s="50" t="str">
        <f>IFERROR(__xludf.DUMMYFUNCTION("""COMPUTED_VALUE"""),"lroussellot@vaires-torcy.iledeloisirs.fr")</f>
        <v>lroussellot@vaires-torcy.iledeloisirs.fr</v>
      </c>
      <c r="D221" s="127" t="str">
        <f>IFERROR(__xludf.DUMMYFUNCTION("""COMPUTED_VALUE"""),"https://drive.google.com/file/d/12a_5U8Pqq9OaH1uxPChfKpTa8IroOV2E/view?usp=drivesdk")</f>
        <v>https://drive.google.com/file/d/12a_5U8Pqq9OaH1uxPChfKpTa8IroOV2E/view?usp=drivesdk</v>
      </c>
    </row>
    <row r="222">
      <c r="A222" s="50" t="s">
        <v>1232</v>
      </c>
      <c r="B222" s="50" t="str">
        <f>IFERROR(__xludf.DUMMYFUNCTION("""COMPUTED_VALUE"""),"SES-0002")</f>
        <v>SES-0002</v>
      </c>
      <c r="C222" s="50" t="str">
        <f>IFERROR(__xludf.DUMMYFUNCTION("""COMPUTED_VALUE"""),"lroussellot@vaires-torcy.iledeloisirs.fr")</f>
        <v>lroussellot@vaires-torcy.iledeloisirs.fr</v>
      </c>
      <c r="D222" s="127" t="str">
        <f>IFERROR(__xludf.DUMMYFUNCTION("""COMPUTED_VALUE"""),"https://drive.google.com/file/d/1JleWbMEljJDYmYyQIU4q80-KQkhmNt9V/view?usp=drivesdk")</f>
        <v>https://drive.google.com/file/d/1JleWbMEljJDYmYyQIU4q80-KQkhmNt9V/view?usp=drivesdk</v>
      </c>
    </row>
    <row r="223">
      <c r="A223" s="50" t="s">
        <v>1235</v>
      </c>
      <c r="B223" s="50" t="str">
        <f>IFERROR(__xludf.DUMMYFUNCTION("""COMPUTED_VALUE"""),"SES-0001")</f>
        <v>SES-0001</v>
      </c>
      <c r="C223" s="50" t="str">
        <f>IFERROR(__xludf.DUMMYFUNCTION("""COMPUTED_VALUE"""),"lguitton@ucpasl.com")</f>
        <v>lguitton@ucpasl.com</v>
      </c>
      <c r="D223" s="127" t="str">
        <f>IFERROR(__xludf.DUMMYFUNCTION("""COMPUTED_VALUE"""),"https://drive.google.com/file/d/1O2Z8bBgWXPw5EwcN2rxqeXF-OPeA2Ulk/view?usp=drivesdk")</f>
        <v>https://drive.google.com/file/d/1O2Z8bBgWXPw5EwcN2rxqeXF-OPeA2Ulk/view?usp=drivesdk</v>
      </c>
    </row>
    <row r="224">
      <c r="A224" s="50" t="s">
        <v>1238</v>
      </c>
      <c r="B224" s="50" t="str">
        <f>IFERROR(__xludf.DUMMYFUNCTION("""COMPUTED_VALUE"""),"SES-0001")</f>
        <v>SES-0001</v>
      </c>
      <c r="C224" s="50" t="str">
        <f>IFERROR(__xludf.DUMMYFUNCTION("""COMPUTED_VALUE"""),"sveilex@ucpa.asso.fr")</f>
        <v>sveilex@ucpa.asso.fr</v>
      </c>
      <c r="D224" s="127" t="str">
        <f>IFERROR(__xludf.DUMMYFUNCTION("""COMPUTED_VALUE"""),"https://drive.google.com/file/d/1pGozD1uSbTiSPD_nsznBxKGtY4nieSUl/view?usp=drivesdk")</f>
        <v>https://drive.google.com/file/d/1pGozD1uSbTiSPD_nsznBxKGtY4nieSUl/view?usp=drivesdk</v>
      </c>
    </row>
    <row r="225">
      <c r="A225" s="50" t="s">
        <v>1241</v>
      </c>
      <c r="B225" s="50" t="str">
        <f>IFERROR(__xludf.DUMMYFUNCTION("""COMPUTED_VALUE"""),"SES-0002")</f>
        <v>SES-0002</v>
      </c>
      <c r="C225" s="50" t="str">
        <f>IFERROR(__xludf.DUMMYFUNCTION("""COMPUTED_VALUE"""),"sveilex@ucpa.asso.fr")</f>
        <v>sveilex@ucpa.asso.fr</v>
      </c>
      <c r="D225" s="127" t="str">
        <f>IFERROR(__xludf.DUMMYFUNCTION("""COMPUTED_VALUE"""),"https://drive.google.com/file/d/12j1B8pl2THKiwHVLh8loLJdWr-d-4M60/view?usp=drivesdk")</f>
        <v>https://drive.google.com/file/d/12j1B8pl2THKiwHVLh8loLJdWr-d-4M60/view?usp=drivesdk</v>
      </c>
    </row>
    <row r="226">
      <c r="A226" s="50" t="s">
        <v>1244</v>
      </c>
      <c r="B226" s="50" t="str">
        <f>IFERROR(__xludf.DUMMYFUNCTION("""COMPUTED_VALUE"""),"SES-0002")</f>
        <v>SES-0002</v>
      </c>
      <c r="C226" s="50" t="str">
        <f>IFERROR(__xludf.DUMMYFUNCTION("""COMPUTED_VALUE"""),"lguitton@ucpasl.com")</f>
        <v>lguitton@ucpasl.com</v>
      </c>
      <c r="D226" s="127" t="str">
        <f>IFERROR(__xludf.DUMMYFUNCTION("""COMPUTED_VALUE"""),"https://drive.google.com/file/d/1ngbxEVYfLYk_wwFJUcRiRpN-4GFOZSYR/view?usp=drivesdk")</f>
        <v>https://drive.google.com/file/d/1ngbxEVYfLYk_wwFJUcRiRpN-4GFOZSYR/view?usp=drivesdk</v>
      </c>
    </row>
    <row r="227">
      <c r="A227" s="50" t="s">
        <v>1247</v>
      </c>
      <c r="B227" s="50" t="str">
        <f>IFERROR(__xludf.DUMMYFUNCTION("""COMPUTED_VALUE"""),"SES-0001")</f>
        <v>SES-0001</v>
      </c>
      <c r="C227" s="50" t="str">
        <f>IFERROR(__xludf.DUMMYFUNCTION("""COMPUTED_VALUE"""),"gilles.besnier@labalaguere.com")</f>
        <v>gilles.besnier@labalaguere.com</v>
      </c>
      <c r="D227" s="127" t="str">
        <f>IFERROR(__xludf.DUMMYFUNCTION("""COMPUTED_VALUE"""),"https://drive.google.com/file/d/1BXCFBncwCW3d6h2OcPVsxSndYjGTsJeP/view?usp=drivesdk")</f>
        <v>https://drive.google.com/file/d/1BXCFBncwCW3d6h2OcPVsxSndYjGTsJeP/view?usp=drivesdk</v>
      </c>
    </row>
    <row r="228">
      <c r="A228" s="50" t="s">
        <v>1250</v>
      </c>
      <c r="B228" s="50" t="str">
        <f>IFERROR(__xludf.DUMMYFUNCTION("""COMPUTED_VALUE"""),"SES-0002")</f>
        <v>SES-0002</v>
      </c>
      <c r="C228" s="50" t="str">
        <f>IFERROR(__xludf.DUMMYFUNCTION("""COMPUTED_VALUE"""),"gilles.besnier@labalaguere.com")</f>
        <v>gilles.besnier@labalaguere.com</v>
      </c>
      <c r="D228" s="127" t="str">
        <f>IFERROR(__xludf.DUMMYFUNCTION("""COMPUTED_VALUE"""),"https://drive.google.com/file/d/1-q9J23qdC4EOAr5-ySEe0TEoiG1z0wtg/view?usp=drivesdk")</f>
        <v>https://drive.google.com/file/d/1-q9J23qdC4EOAr5-ySEe0TEoiG1z0wtg/view?usp=drivesdk</v>
      </c>
    </row>
    <row r="229">
      <c r="A229" s="50" t="s">
        <v>1254</v>
      </c>
      <c r="B229" s="50" t="str">
        <f>IFERROR(__xludf.DUMMYFUNCTION("""COMPUTED_VALUE"""),"SES-0002")</f>
        <v>SES-0002</v>
      </c>
      <c r="C229" s="50" t="str">
        <f>IFERROR(__xludf.DUMMYFUNCTION("""COMPUTED_VALUE"""),"ygarsavanoff@ucpa.asso.fr")</f>
        <v>ygarsavanoff@ucpa.asso.fr</v>
      </c>
      <c r="D229" s="127" t="str">
        <f>IFERROR(__xludf.DUMMYFUNCTION("""COMPUTED_VALUE"""),"https://drive.google.com/file/d/1i5x-M9Tzy3rqGivtyIufmAv7dClfKIHN/view?usp=drivesdk")</f>
        <v>https://drive.google.com/file/d/1i5x-M9Tzy3rqGivtyIufmAv7dClfKIHN/view?usp=drivesdk</v>
      </c>
    </row>
    <row r="230">
      <c r="A230" s="50" t="s">
        <v>1256</v>
      </c>
      <c r="B230" s="50" t="str">
        <f>IFERROR(__xludf.DUMMYFUNCTION("""COMPUTED_VALUE"""),"SES-0001")</f>
        <v>SES-0001</v>
      </c>
      <c r="C230" s="50" t="str">
        <f>IFERROR(__xludf.DUMMYFUNCTION("""COMPUTED_VALUE"""),"ygarsavanoff@ucpa.asso.fr")</f>
        <v>ygarsavanoff@ucpa.asso.fr</v>
      </c>
      <c r="D230" s="127" t="str">
        <f>IFERROR(__xludf.DUMMYFUNCTION("""COMPUTED_VALUE"""),"https://drive.google.com/file/d/10kneF8HuKWEdqY5lxXXA9-gZKXPu24lF/view?usp=drivesdk")</f>
        <v>https://drive.google.com/file/d/10kneF8HuKWEdqY5lxXXA9-gZKXPu24lF/view?usp=drivesdk</v>
      </c>
    </row>
    <row r="231">
      <c r="A231" s="50" t="s">
        <v>1259</v>
      </c>
      <c r="B231" s="50" t="str">
        <f>IFERROR(__xludf.DUMMYFUNCTION("""COMPUTED_VALUE"""),"SES-0001")</f>
        <v>SES-0001</v>
      </c>
      <c r="C231" s="50" t="str">
        <f>IFERROR(__xludf.DUMMYFUNCTION("""COMPUTED_VALUE"""),"nbriat@ucpasl.com")</f>
        <v>nbriat@ucpasl.com</v>
      </c>
      <c r="D231" s="127" t="str">
        <f>IFERROR(__xludf.DUMMYFUNCTION("""COMPUTED_VALUE"""),"https://drive.google.com/file/d/1LNzn1gj9EhXFiGGtw3hrR_K1_-M1QGdl/view?usp=drivesdk")</f>
        <v>https://drive.google.com/file/d/1LNzn1gj9EhXFiGGtw3hrR_K1_-M1QGdl/view?usp=drivesdk</v>
      </c>
    </row>
    <row r="232">
      <c r="A232" s="50" t="s">
        <v>1261</v>
      </c>
      <c r="B232" s="50" t="str">
        <f>IFERROR(__xludf.DUMMYFUNCTION("""COMPUTED_VALUE"""),"SES-0002")</f>
        <v>SES-0002</v>
      </c>
      <c r="C232" s="50" t="str">
        <f>IFERROR(__xludf.DUMMYFUNCTION("""COMPUTED_VALUE"""),"nbriat@ucpasl.com")</f>
        <v>nbriat@ucpasl.com</v>
      </c>
      <c r="D232" s="127" t="str">
        <f>IFERROR(__xludf.DUMMYFUNCTION("""COMPUTED_VALUE"""),"https://drive.google.com/file/d/1uIwwoVoYVtpB1yU72kAxmNPgDMwjaPAp/view?usp=drivesdk")</f>
        <v>https://drive.google.com/file/d/1uIwwoVoYVtpB1yU72kAxmNPgDMwjaPAp/view?usp=drivesdk</v>
      </c>
    </row>
    <row r="233">
      <c r="A233" s="50" t="s">
        <v>1264</v>
      </c>
      <c r="B233" s="50" t="str">
        <f>IFERROR(__xludf.DUMMYFUNCTION("""COMPUTED_VALUE"""),"SES-0001")</f>
        <v>SES-0001</v>
      </c>
      <c r="C233" s="50" t="str">
        <f>IFERROR(__xludf.DUMMYFUNCTION("""COMPUTED_VALUE"""),"jpartouche@ucpasl.com")</f>
        <v>jpartouche@ucpasl.com</v>
      </c>
      <c r="D233" s="127" t="str">
        <f>IFERROR(__xludf.DUMMYFUNCTION("""COMPUTED_VALUE"""),"https://drive.google.com/file/d/1O6rakdBQ4yOaQQVEd4Cgct01ps-81CoT/view?usp=drivesdk")</f>
        <v>https://drive.google.com/file/d/1O6rakdBQ4yOaQQVEd4Cgct01ps-81CoT/view?usp=drivesdk</v>
      </c>
    </row>
    <row r="234">
      <c r="A234" s="50" t="s">
        <v>1267</v>
      </c>
      <c r="B234" s="50" t="str">
        <f>IFERROR(__xludf.DUMMYFUNCTION("""COMPUTED_VALUE"""),"SES-0002")</f>
        <v>SES-0002</v>
      </c>
      <c r="C234" s="50" t="str">
        <f>IFERROR(__xludf.DUMMYFUNCTION("""COMPUTED_VALUE"""),"jpartouche@ucpasl.com")</f>
        <v>jpartouche@ucpasl.com</v>
      </c>
      <c r="D234" s="127" t="str">
        <f>IFERROR(__xludf.DUMMYFUNCTION("""COMPUTED_VALUE"""),"https://drive.google.com/file/d/1TXLfMCKwd_G_eJvm4pTP0gQiMVQFy72a/view?usp=drivesdk")</f>
        <v>https://drive.google.com/file/d/1TXLfMCKwd_G_eJvm4pTP0gQiMVQFy72a/view?usp=drivesdk</v>
      </c>
    </row>
    <row r="235">
      <c r="A235" s="50" t="s">
        <v>1271</v>
      </c>
      <c r="B235" s="50" t="str">
        <f>IFERROR(__xludf.DUMMYFUNCTION("""COMPUTED_VALUE"""),"SES-0001")</f>
        <v>SES-0001</v>
      </c>
      <c r="C235" s="50" t="str">
        <f>IFERROR(__xludf.DUMMYFUNCTION("""COMPUTED_VALUE"""),"cromil@ucpa.com")</f>
        <v>cromil@ucpa.com</v>
      </c>
      <c r="D235" s="127" t="str">
        <f>IFERROR(__xludf.DUMMYFUNCTION("""COMPUTED_VALUE"""),"https://drive.google.com/file/d/1zHz7fnQiowBhUmq5mxBbGO17Veo4sZG7/view?usp=drivesdk")</f>
        <v>https://drive.google.com/file/d/1zHz7fnQiowBhUmq5mxBbGO17Veo4sZG7/view?usp=drivesdk</v>
      </c>
    </row>
    <row r="236">
      <c r="A236" s="50" t="s">
        <v>1274</v>
      </c>
      <c r="B236" s="50" t="str">
        <f>IFERROR(__xludf.DUMMYFUNCTION("""COMPUTED_VALUE"""),"SES-0002")</f>
        <v>SES-0002</v>
      </c>
      <c r="C236" s="50" t="str">
        <f>IFERROR(__xludf.DUMMYFUNCTION("""COMPUTED_VALUE"""),"cromil@ucpa.com")</f>
        <v>cromil@ucpa.com</v>
      </c>
      <c r="D236" s="127" t="str">
        <f>IFERROR(__xludf.DUMMYFUNCTION("""COMPUTED_VALUE"""),"https://drive.google.com/file/d/166Xse8oZdjIx9uYa7X65iWMXkJJVx5xr/view?usp=drivesdk")</f>
        <v>https://drive.google.com/file/d/166Xse8oZdjIx9uYa7X65iWMXkJJVx5xr/view?usp=drivesdk</v>
      </c>
    </row>
    <row r="237">
      <c r="A237" s="50" t="s">
        <v>1277</v>
      </c>
      <c r="B237" s="50" t="str">
        <f>IFERROR(__xludf.DUMMYFUNCTION("""COMPUTED_VALUE"""),"SES-0001")</f>
        <v>SES-0001</v>
      </c>
      <c r="C237" s="50" t="str">
        <f>IFERROR(__xludf.DUMMYFUNCTION("""COMPUTED_VALUE"""),"alhericel@ucpasl.com")</f>
        <v>alhericel@ucpasl.com</v>
      </c>
      <c r="D237" s="127" t="str">
        <f>IFERROR(__xludf.DUMMYFUNCTION("""COMPUTED_VALUE"""),"https://drive.google.com/file/d/1vW-hg0RrA4FefgjadwUVixKiSquyFDUd/view?usp=drivesdk")</f>
        <v>https://drive.google.com/file/d/1vW-hg0RrA4FefgjadwUVixKiSquyFDUd/view?usp=drivesdk</v>
      </c>
    </row>
    <row r="238">
      <c r="A238" s="50" t="s">
        <v>1292</v>
      </c>
      <c r="B238" s="50" t="str">
        <f>IFERROR(__xludf.DUMMYFUNCTION("""COMPUTED_VALUE"""),"SES-0002")</f>
        <v>SES-0002</v>
      </c>
      <c r="C238" s="50" t="str">
        <f>IFERROR(__xludf.DUMMYFUNCTION("""COMPUTED_VALUE"""),"alhericel@ucpasl.com")</f>
        <v>alhericel@ucpasl.com</v>
      </c>
      <c r="D238" s="127" t="str">
        <f>IFERROR(__xludf.DUMMYFUNCTION("""COMPUTED_VALUE"""),"https://drive.google.com/file/d/1dZyXpzTwqF3loj51E-l2kFcVcSAXpEya/view?usp=drivesdk")</f>
        <v>https://drive.google.com/file/d/1dZyXpzTwqF3loj51E-l2kFcVcSAXpEya/view?usp=drivesdk</v>
      </c>
    </row>
    <row r="239">
      <c r="A239" s="50" t="s">
        <v>1295</v>
      </c>
      <c r="B239" s="50" t="str">
        <f>IFERROR(__xludf.DUMMYFUNCTION("""COMPUTED_VALUE"""),"SES-0001")</f>
        <v>SES-0001</v>
      </c>
      <c r="C239" s="50" t="str">
        <f>IFERROR(__xludf.DUMMYFUNCTION("""COMPUTED_VALUE"""),"mmoulier@ucpasl.com")</f>
        <v>mmoulier@ucpasl.com</v>
      </c>
      <c r="D239" s="127" t="str">
        <f>IFERROR(__xludf.DUMMYFUNCTION("""COMPUTED_VALUE"""),"https://drive.google.com/file/d/1e05HCstTN68SY_q_CKyFR1lJRIIg-Ndu/view?usp=drivesdk")</f>
        <v>https://drive.google.com/file/d/1e05HCstTN68SY_q_CKyFR1lJRIIg-Ndu/view?usp=drivesdk</v>
      </c>
    </row>
    <row r="240">
      <c r="A240" s="50" t="s">
        <v>1298</v>
      </c>
      <c r="B240" s="50" t="str">
        <f>IFERROR(__xludf.DUMMYFUNCTION("""COMPUTED_VALUE"""),"SES-0002")</f>
        <v>SES-0002</v>
      </c>
      <c r="C240" s="50" t="str">
        <f>IFERROR(__xludf.DUMMYFUNCTION("""COMPUTED_VALUE"""),"mmoulier@ucpasl.com")</f>
        <v>mmoulier@ucpasl.com</v>
      </c>
      <c r="D240" s="127" t="str">
        <f>IFERROR(__xludf.DUMMYFUNCTION("""COMPUTED_VALUE"""),"https://drive.google.com/file/d/14sJhyasUmJ1cgHJKD2RM_b98LRX092vJ/view?usp=drivesdk")</f>
        <v>https://drive.google.com/file/d/14sJhyasUmJ1cgHJKD2RM_b98LRX092vJ/view?usp=drivesdk</v>
      </c>
    </row>
    <row r="241">
      <c r="A241" s="50" t="s">
        <v>1302</v>
      </c>
      <c r="B241" s="50" t="str">
        <f>IFERROR(__xludf.DUMMYFUNCTION("""COMPUTED_VALUE"""),"SES-0001")</f>
        <v>SES-0001</v>
      </c>
      <c r="C241" s="50" t="str">
        <f>IFERROR(__xludf.DUMMYFUNCTION("""COMPUTED_VALUE"""),"lneger@ucpa.asso.fr")</f>
        <v>lneger@ucpa.asso.fr</v>
      </c>
      <c r="D241" s="127" t="str">
        <f>IFERROR(__xludf.DUMMYFUNCTION("""COMPUTED_VALUE"""),"https://drive.google.com/file/d/17BePlK-V8l67Z5ZzoyAZpt4BqRh9uzHu/view?usp=drivesdk")</f>
        <v>https://drive.google.com/file/d/17BePlK-V8l67Z5ZzoyAZpt4BqRh9uzHu/view?usp=drivesdk</v>
      </c>
    </row>
    <row r="242">
      <c r="A242" s="50" t="s">
        <v>1304</v>
      </c>
      <c r="B242" s="50" t="str">
        <f>IFERROR(__xludf.DUMMYFUNCTION("""COMPUTED_VALUE"""),"SES-0002")</f>
        <v>SES-0002</v>
      </c>
      <c r="C242" s="50" t="str">
        <f>IFERROR(__xludf.DUMMYFUNCTION("""COMPUTED_VALUE"""),"nkhoulalene@ucpa.asso.fr")</f>
        <v>nkhoulalene@ucpa.asso.fr</v>
      </c>
      <c r="D242" s="127" t="str">
        <f>IFERROR(__xludf.DUMMYFUNCTION("""COMPUTED_VALUE"""),"https://drive.google.com/file/d/19ih4Xh5dhv5veq_MbUlmaL1B-lLzvXjY/view?usp=drivesdk")</f>
        <v>https://drive.google.com/file/d/19ih4Xh5dhv5veq_MbUlmaL1B-lLzvXjY/view?usp=drivesdk</v>
      </c>
    </row>
    <row r="243">
      <c r="A243" s="50" t="s">
        <v>1307</v>
      </c>
      <c r="B243" s="50" t="str">
        <f>IFERROR(__xludf.DUMMYFUNCTION("""COMPUTED_VALUE"""),"SES-0001")</f>
        <v>SES-0001</v>
      </c>
      <c r="C243" s="50" t="str">
        <f>IFERROR(__xludf.DUMMYFUNCTION("""COMPUTED_VALUE"""),"spornin@ucpa.asso.fr")</f>
        <v>spornin@ucpa.asso.fr</v>
      </c>
      <c r="D243" s="127" t="str">
        <f>IFERROR(__xludf.DUMMYFUNCTION("""COMPUTED_VALUE"""),"https://drive.google.com/file/d/1PIqnH9aQUfynUY2IqIsgSTr9O_aaku79/view?usp=drivesdk")</f>
        <v>https://drive.google.com/file/d/1PIqnH9aQUfynUY2IqIsgSTr9O_aaku79/view?usp=drivesdk</v>
      </c>
    </row>
    <row r="244">
      <c r="A244" s="50" t="s">
        <v>1311</v>
      </c>
      <c r="B244" s="50" t="str">
        <f>IFERROR(__xludf.DUMMYFUNCTION("""COMPUTED_VALUE"""),"SES-0001")</f>
        <v>SES-0001</v>
      </c>
      <c r="C244" s="50" t="str">
        <f>IFERROR(__xludf.DUMMYFUNCTION("""COMPUTED_VALUE"""),"jbuhr@ucpa.asso.fr")</f>
        <v>jbuhr@ucpa.asso.fr</v>
      </c>
      <c r="D244" s="127" t="str">
        <f>IFERROR(__xludf.DUMMYFUNCTION("""COMPUTED_VALUE"""),"https://drive.google.com/file/d/1PPRwGsrAi0h6CHafMD3zbTXh-fYBhydJ/view?usp=drivesdk")</f>
        <v>https://drive.google.com/file/d/1PPRwGsrAi0h6CHafMD3zbTXh-fYBhydJ/view?usp=drivesdk</v>
      </c>
    </row>
    <row r="245">
      <c r="A245" s="50" t="s">
        <v>1313</v>
      </c>
      <c r="B245" s="50" t="str">
        <f>IFERROR(__xludf.DUMMYFUNCTION("""COMPUTED_VALUE"""),"SES-0002")</f>
        <v>SES-0002</v>
      </c>
      <c r="C245" s="50" t="str">
        <f>IFERROR(__xludf.DUMMYFUNCTION("""COMPUTED_VALUE"""),"jbuhr@ucpa.asso.fr")</f>
        <v>jbuhr@ucpa.asso.fr</v>
      </c>
      <c r="D245" s="127" t="str">
        <f>IFERROR(__xludf.DUMMYFUNCTION("""COMPUTED_VALUE"""),"https://drive.google.com/file/d/1Xo22GRw--eEityhuPRNtux-KzxBB_jz0/view?usp=drivesdk")</f>
        <v>https://drive.google.com/file/d/1Xo22GRw--eEityhuPRNtux-KzxBB_jz0/view?usp=drivesdk</v>
      </c>
    </row>
    <row r="246">
      <c r="A246" s="50" t="s">
        <v>1315</v>
      </c>
      <c r="B246" s="50" t="str">
        <f>IFERROR(__xludf.DUMMYFUNCTION("""COMPUTED_VALUE"""),"SES-0001")</f>
        <v>SES-0001</v>
      </c>
      <c r="C246" s="50" t="str">
        <f>IFERROR(__xludf.DUMMYFUNCTION("""COMPUTED_VALUE"""),"fxmeuge@ucpa.asso.fr")</f>
        <v>fxmeuge@ucpa.asso.fr</v>
      </c>
      <c r="D246" s="127" t="str">
        <f>IFERROR(__xludf.DUMMYFUNCTION("""COMPUTED_VALUE"""),"https://drive.google.com/file/d/1HNWRD2MUYO6wL3ppWBqiagd_8jii-BAJ/view?usp=drivesdk")</f>
        <v>https://drive.google.com/file/d/1HNWRD2MUYO6wL3ppWBqiagd_8jii-BAJ/view?usp=drivesdk</v>
      </c>
    </row>
    <row r="247">
      <c r="A247" s="50" t="s">
        <v>1318</v>
      </c>
      <c r="B247" s="50" t="str">
        <f>IFERROR(__xludf.DUMMYFUNCTION("""COMPUTED_VALUE"""),"SES-0002")</f>
        <v>SES-0002</v>
      </c>
      <c r="C247" s="50" t="str">
        <f>IFERROR(__xludf.DUMMYFUNCTION("""COMPUTED_VALUE"""),"fxmeuge@ucpa.asso.fr")</f>
        <v>fxmeuge@ucpa.asso.fr</v>
      </c>
      <c r="D247" s="127" t="str">
        <f>IFERROR(__xludf.DUMMYFUNCTION("""COMPUTED_VALUE"""),"https://drive.google.com/file/d/1oOMys4DVIrPIFunfiCGhJNcKuSQrWGIY/view?usp=drivesdk")</f>
        <v>https://drive.google.com/file/d/1oOMys4DVIrPIFunfiCGhJNcKuSQrWGIY/view?usp=drivesdk</v>
      </c>
    </row>
    <row r="248">
      <c r="A248" s="50" t="s">
        <v>1321</v>
      </c>
      <c r="B248" s="50" t="str">
        <f>IFERROR(__xludf.DUMMYFUNCTION("""COMPUTED_VALUE"""),"SES-0001")</f>
        <v>SES-0001</v>
      </c>
      <c r="C248" s="50" t="str">
        <f>IFERROR(__xludf.DUMMYFUNCTION("""COMPUTED_VALUE"""),"fgehant@ucpa.asso.fr")</f>
        <v>fgehant@ucpa.asso.fr</v>
      </c>
      <c r="D248" s="127" t="str">
        <f>IFERROR(__xludf.DUMMYFUNCTION("""COMPUTED_VALUE"""),"https://drive.google.com/file/d/1w9UYrWbGm5eGvSyxvLpd1pS2h8n75IQv/view?usp=drivesdk")</f>
        <v>https://drive.google.com/file/d/1w9UYrWbGm5eGvSyxvLpd1pS2h8n75IQv/view?usp=drivesdk</v>
      </c>
    </row>
    <row r="249">
      <c r="A249" s="50" t="s">
        <v>1322</v>
      </c>
      <c r="B249" s="50" t="str">
        <f>IFERROR(__xludf.DUMMYFUNCTION("""COMPUTED_VALUE"""),"SES-0002")</f>
        <v>SES-0002</v>
      </c>
      <c r="C249" s="50" t="str">
        <f>IFERROR(__xludf.DUMMYFUNCTION("""COMPUTED_VALUE"""),"fgehant@ucpa.asso.fr")</f>
        <v>fgehant@ucpa.asso.fr</v>
      </c>
      <c r="D249" s="127" t="str">
        <f>IFERROR(__xludf.DUMMYFUNCTION("""COMPUTED_VALUE"""),"https://drive.google.com/file/d/1oNWvzMwVeG3O155Hrb6ykGf5thkZtIRk/view?usp=drivesdk")</f>
        <v>https://drive.google.com/file/d/1oNWvzMwVeG3O155Hrb6ykGf5thkZtIRk/view?usp=drivesdk</v>
      </c>
    </row>
    <row r="250">
      <c r="A250" s="50" t="s">
        <v>1326</v>
      </c>
      <c r="B250" s="50" t="str">
        <f>IFERROR(__xludf.DUMMYFUNCTION("""COMPUTED_VALUE"""),"SES-0001")</f>
        <v>SES-0001</v>
      </c>
      <c r="C250" s="50" t="str">
        <f>IFERROR(__xludf.DUMMYFUNCTION("""COMPUTED_VALUE"""),"arosse@ucpa.asso.fr")</f>
        <v>arosse@ucpa.asso.fr</v>
      </c>
      <c r="D250" s="127" t="str">
        <f>IFERROR(__xludf.DUMMYFUNCTION("""COMPUTED_VALUE"""),"https://drive.google.com/file/d/1lyXJ_k7nEwF63tw4cD8wmNKaiWkpdu2m/view?usp=drivesdk")</f>
        <v>https://drive.google.com/file/d/1lyXJ_k7nEwF63tw4cD8wmNKaiWkpdu2m/view?usp=drivesdk</v>
      </c>
    </row>
    <row r="251">
      <c r="A251" s="50" t="s">
        <v>1329</v>
      </c>
      <c r="B251" s="50" t="str">
        <f>IFERROR(__xludf.DUMMYFUNCTION("""COMPUTED_VALUE"""),"SES-0002")</f>
        <v>SES-0002</v>
      </c>
      <c r="C251" s="50" t="str">
        <f>IFERROR(__xludf.DUMMYFUNCTION("""COMPUTED_VALUE"""),"arosse@ucpa.asso.fr")</f>
        <v>arosse@ucpa.asso.fr</v>
      </c>
      <c r="D251" s="127" t="str">
        <f>IFERROR(__xludf.DUMMYFUNCTION("""COMPUTED_VALUE"""),"https://drive.google.com/file/d/1wfhd8qgNey3YGlujTvH7hBJR1UiZ5dQJ/view?usp=drivesdk")</f>
        <v>https://drive.google.com/file/d/1wfhd8qgNey3YGlujTvH7hBJR1UiZ5dQJ/view?usp=drivesdk</v>
      </c>
    </row>
    <row r="252">
      <c r="A252" s="50" t="s">
        <v>1332</v>
      </c>
      <c r="B252" s="50" t="str">
        <f>IFERROR(__xludf.DUMMYFUNCTION("""COMPUTED_VALUE"""),"SES-0001")</f>
        <v>SES-0001</v>
      </c>
      <c r="C252" s="50" t="str">
        <f>IFERROR(__xludf.DUMMYFUNCTION("""COMPUTED_VALUE"""),"advena2@hotmail.com")</f>
        <v>advena2@hotmail.com</v>
      </c>
      <c r="D252" s="127" t="str">
        <f>IFERROR(__xludf.DUMMYFUNCTION("""COMPUTED_VALUE"""),"https://drive.google.com/file/d/1Bypus2jyd4CXtGe1eEnSCgGaUOIoF-Gl/view?usp=drivesdk")</f>
        <v>https://drive.google.com/file/d/1Bypus2jyd4CXtGe1eEnSCgGaUOIoF-Gl/view?usp=drivesdk</v>
      </c>
    </row>
    <row r="253">
      <c r="A253" s="50" t="s">
        <v>1335</v>
      </c>
      <c r="B253" s="50" t="str">
        <f>IFERROR(__xludf.DUMMYFUNCTION("""COMPUTED_VALUE"""),"SES-0002")</f>
        <v>SES-0002</v>
      </c>
      <c r="C253" s="50" t="str">
        <f>IFERROR(__xludf.DUMMYFUNCTION("""COMPUTED_VALUE"""),"advena2@hotmail.com")</f>
        <v>advena2@hotmail.com</v>
      </c>
      <c r="D253" s="127" t="str">
        <f>IFERROR(__xludf.DUMMYFUNCTION("""COMPUTED_VALUE"""),"https://drive.google.com/file/d/19dKCKxqaXfDUlcuKfEJxXvMzpq7MYCq7/view?usp=drivesdk")</f>
        <v>https://drive.google.com/file/d/19dKCKxqaXfDUlcuKfEJxXvMzpq7MYCq7/view?usp=drivesdk</v>
      </c>
    </row>
    <row r="254">
      <c r="A254" s="50" t="s">
        <v>1339</v>
      </c>
      <c r="B254" s="50" t="str">
        <f>IFERROR(__xludf.DUMMYFUNCTION("""COMPUTED_VALUE"""),"SES-0001")</f>
        <v>SES-0001</v>
      </c>
      <c r="C254" s="50" t="str">
        <f>IFERROR(__xludf.DUMMYFUNCTION("""COMPUTED_VALUE"""),"jeanmichel.petre@sfr.fr")</f>
        <v>jeanmichel.petre@sfr.fr</v>
      </c>
      <c r="D254" s="127" t="str">
        <f>IFERROR(__xludf.DUMMYFUNCTION("""COMPUTED_VALUE"""),"https://drive.google.com/file/d/1JO-LOgcmrMqENn-ZXb2Ug3KSWryP8iWn/view?usp=drivesdk")</f>
        <v>https://drive.google.com/file/d/1JO-LOgcmrMqENn-ZXb2Ug3KSWryP8iWn/view?usp=drivesdk</v>
      </c>
    </row>
    <row r="255">
      <c r="A255" s="50" t="s">
        <v>1342</v>
      </c>
      <c r="B255" s="50" t="str">
        <f>IFERROR(__xludf.DUMMYFUNCTION("""COMPUTED_VALUE"""),"SES-0002")</f>
        <v>SES-0002</v>
      </c>
      <c r="C255" s="50" t="str">
        <f>IFERROR(__xludf.DUMMYFUNCTION("""COMPUTED_VALUE"""),"jeanmichel.petre@sfr.fr")</f>
        <v>jeanmichel.petre@sfr.fr</v>
      </c>
      <c r="D255" s="127" t="str">
        <f>IFERROR(__xludf.DUMMYFUNCTION("""COMPUTED_VALUE"""),"https://drive.google.com/file/d/1kSOs6NsVTxaTGptCFnplcyjAaVGRvzyP/view?usp=drivesdk")</f>
        <v>https://drive.google.com/file/d/1kSOs6NsVTxaTGptCFnplcyjAaVGRvzyP/view?usp=drivesdk</v>
      </c>
    </row>
    <row r="256">
      <c r="A256" s="50" t="s">
        <v>1345</v>
      </c>
      <c r="B256" s="50" t="str">
        <f>IFERROR(__xludf.DUMMYFUNCTION("""COMPUTED_VALUE"""),"SES-0001")</f>
        <v>SES-0001</v>
      </c>
      <c r="C256" s="50" t="str">
        <f>IFERROR(__xludf.DUMMYFUNCTION("""COMPUTED_VALUE"""),"stefanie.zanaret@gmail.com")</f>
        <v>stefanie.zanaret@gmail.com</v>
      </c>
      <c r="D256" s="127" t="str">
        <f>IFERROR(__xludf.DUMMYFUNCTION("""COMPUTED_VALUE"""),"https://drive.google.com/file/d/1FgZX1pj7qiWQFnMLJPUGtUZab7Yc-q_z/view?usp=drivesdk")</f>
        <v>https://drive.google.com/file/d/1FgZX1pj7qiWQFnMLJPUGtUZab7Yc-q_z/view?usp=drivesdk</v>
      </c>
    </row>
    <row r="257">
      <c r="A257" s="50" t="s">
        <v>1348</v>
      </c>
      <c r="B257" s="50" t="str">
        <f>IFERROR(__xludf.DUMMYFUNCTION("""COMPUTED_VALUE"""),"SES-0001")</f>
        <v>SES-0001</v>
      </c>
      <c r="C257" s="50" t="str">
        <f>IFERROR(__xludf.DUMMYFUNCTION("""COMPUTED_VALUE"""),"marcbonaventure.service@gmail.com")</f>
        <v>marcbonaventure.service@gmail.com</v>
      </c>
      <c r="D257" s="127" t="str">
        <f>IFERROR(__xludf.DUMMYFUNCTION("""COMPUTED_VALUE"""),"https://drive.google.com/file/d/1tJcIdSKq_cDjXHoXXP9b3KyvA2InXHVf/view?usp=drivesdk")</f>
        <v>https://drive.google.com/file/d/1tJcIdSKq_cDjXHoXXP9b3KyvA2InXHVf/view?usp=drivesdk</v>
      </c>
    </row>
    <row r="258">
      <c r="A258" s="50" t="s">
        <v>1351</v>
      </c>
      <c r="B258" s="50" t="str">
        <f>IFERROR(__xludf.DUMMYFUNCTION("""COMPUTED_VALUE"""),"SES-0002")</f>
        <v>SES-0002</v>
      </c>
      <c r="C258" s="50" t="str">
        <f>IFERROR(__xludf.DUMMYFUNCTION("""COMPUTED_VALUE"""),"marcbonaventure.service@gmail.com")</f>
        <v>marcbonaventure.service@gmail.com</v>
      </c>
      <c r="D258" s="127" t="str">
        <f>IFERROR(__xludf.DUMMYFUNCTION("""COMPUTED_VALUE"""),"https://drive.google.com/file/d/1fLRUHfngCjdU_tajvmqRbS1pRCn-vETV/view?usp=drivesdk")</f>
        <v>https://drive.google.com/file/d/1fLRUHfngCjdU_tajvmqRbS1pRCn-vETV/view?usp=drivesdk</v>
      </c>
    </row>
    <row r="259">
      <c r="A259" s="50" t="s">
        <v>1354</v>
      </c>
      <c r="B259" s="50" t="str">
        <f>IFERROR(__xludf.DUMMYFUNCTION("""COMPUTED_VALUE"""),"SES-0001")</f>
        <v>SES-0001</v>
      </c>
      <c r="C259" s="50" t="str">
        <f>IFERROR(__xludf.DUMMYFUNCTION("""COMPUTED_VALUE"""),"drubiola@ucpa.asso.fr")</f>
        <v>drubiola@ucpa.asso.fr</v>
      </c>
      <c r="D259" s="127" t="str">
        <f>IFERROR(__xludf.DUMMYFUNCTION("""COMPUTED_VALUE"""),"https://drive.google.com/file/d/1fqLhzJdVoOMSO-y9Az2ijK1cQgJjTZGg/view?usp=drivesdk")</f>
        <v>https://drive.google.com/file/d/1fqLhzJdVoOMSO-y9Az2ijK1cQgJjTZGg/view?usp=drivesdk</v>
      </c>
    </row>
    <row r="260">
      <c r="A260" s="50" t="s">
        <v>1357</v>
      </c>
      <c r="B260" s="50" t="str">
        <f>IFERROR(__xludf.DUMMYFUNCTION("""COMPUTED_VALUE"""),"SES-0002")</f>
        <v>SES-0002</v>
      </c>
      <c r="C260" s="50" t="str">
        <f>IFERROR(__xludf.DUMMYFUNCTION("""COMPUTED_VALUE"""),"drubiola@ucpa.asso.fr")</f>
        <v>drubiola@ucpa.asso.fr</v>
      </c>
      <c r="D260" s="127" t="str">
        <f>IFERROR(__xludf.DUMMYFUNCTION("""COMPUTED_VALUE"""),"https://drive.google.com/file/d/1XXoYTHpcuWh2IgUAVqO2E4UJ14r85BME/view?usp=drivesdk")</f>
        <v>https://drive.google.com/file/d/1XXoYTHpcuWh2IgUAVqO2E4UJ14r85BME/view?usp=drivesdk</v>
      </c>
    </row>
    <row r="261">
      <c r="A261" s="50" t="s">
        <v>1360</v>
      </c>
      <c r="B261" s="50" t="str">
        <f>IFERROR(__xludf.DUMMYFUNCTION("""COMPUTED_VALUE"""),"SES-0002")</f>
        <v>SES-0002</v>
      </c>
      <c r="C261" s="50" t="str">
        <f>IFERROR(__xludf.DUMMYFUNCTION("""COMPUTED_VALUE"""),"opiera@ucpa.asso.fr")</f>
        <v>opiera@ucpa.asso.fr</v>
      </c>
      <c r="D261" s="127" t="str">
        <f>IFERROR(__xludf.DUMMYFUNCTION("""COMPUTED_VALUE"""),"https://drive.google.com/file/d/1Lq4VgAlCaMXTZJPiZDeg2RyMp-gI6e1_/view?usp=drivesdk")</f>
        <v>https://drive.google.com/file/d/1Lq4VgAlCaMXTZJPiZDeg2RyMp-gI6e1_/view?usp=drivesdk</v>
      </c>
    </row>
    <row r="262">
      <c r="A262" s="50" t="s">
        <v>1361</v>
      </c>
      <c r="B262" s="50" t="str">
        <f>IFERROR(__xludf.DUMMYFUNCTION("""COMPUTED_VALUE"""),"SES-0001")</f>
        <v>SES-0001</v>
      </c>
      <c r="C262" s="50" t="str">
        <f>IFERROR(__xludf.DUMMYFUNCTION("""COMPUTED_VALUE"""),"apauletcatrin@ucpa.asso.fr")</f>
        <v>apauletcatrin@ucpa.asso.fr</v>
      </c>
      <c r="D262" s="127" t="str">
        <f>IFERROR(__xludf.DUMMYFUNCTION("""COMPUTED_VALUE"""),"https://drive.google.com/file/d/1_nbO9sUgmxMKXaDXpO-3JE_rXb0rg8pP/view?usp=drivesdk")</f>
        <v>https://drive.google.com/file/d/1_nbO9sUgmxMKXaDXpO-3JE_rXb0rg8pP/view?usp=drivesdk</v>
      </c>
    </row>
    <row r="263">
      <c r="A263" s="50" t="s">
        <v>1364</v>
      </c>
      <c r="B263" s="50" t="str">
        <f>IFERROR(__xludf.DUMMYFUNCTION("""COMPUTED_VALUE"""),"SES-0002")</f>
        <v>SES-0002</v>
      </c>
      <c r="C263" s="50" t="str">
        <f>IFERROR(__xludf.DUMMYFUNCTION("""COMPUTED_VALUE"""),"apauletcatrin@ucpa.asso.fr")</f>
        <v>apauletcatrin@ucpa.asso.fr</v>
      </c>
      <c r="D263" s="127" t="str">
        <f>IFERROR(__xludf.DUMMYFUNCTION("""COMPUTED_VALUE"""),"https://drive.google.com/file/d/1PhyhOmeIgLKg6nZZkA2BhQmN4E9N345A/view?usp=drivesdk")</f>
        <v>https://drive.google.com/file/d/1PhyhOmeIgLKg6nZZkA2BhQmN4E9N345A/view?usp=drivesdk</v>
      </c>
    </row>
    <row r="264">
      <c r="A264" s="50" t="s">
        <v>1368</v>
      </c>
      <c r="B264" s="50" t="str">
        <f>IFERROR(__xludf.DUMMYFUNCTION("""COMPUTED_VALUE"""),"SES-0001")</f>
        <v>SES-0001</v>
      </c>
      <c r="C264" s="50" t="str">
        <f>IFERROR(__xludf.DUMMYFUNCTION("""COMPUTED_VALUE"""),"llecacheur@ucpasl.com")</f>
        <v>llecacheur@ucpasl.com</v>
      </c>
      <c r="D264" s="127" t="str">
        <f>IFERROR(__xludf.DUMMYFUNCTION("""COMPUTED_VALUE"""),"https://drive.google.com/file/d/1y5-PvqQS3_sp1HHQeWywfrWcmSr6uztx/view?usp=drivesdk")</f>
        <v>https://drive.google.com/file/d/1y5-PvqQS3_sp1HHQeWywfrWcmSr6uztx/view?usp=drivesdk</v>
      </c>
    </row>
    <row r="265">
      <c r="A265" s="50" t="s">
        <v>1371</v>
      </c>
      <c r="B265" s="50" t="str">
        <f>IFERROR(__xludf.DUMMYFUNCTION("""COMPUTED_VALUE"""),"SES-0002")</f>
        <v>SES-0002</v>
      </c>
      <c r="C265" s="50" t="str">
        <f>IFERROR(__xludf.DUMMYFUNCTION("""COMPUTED_VALUE"""),"jdeschamps@ucpa.asso.fr")</f>
        <v>jdeschamps@ucpa.asso.fr</v>
      </c>
      <c r="D265" s="127" t="str">
        <f>IFERROR(__xludf.DUMMYFUNCTION("""COMPUTED_VALUE"""),"https://drive.google.com/file/d/1MlcHaLBIbvAQDuOQP7y1utIme6-esCn_/view?usp=drivesdk")</f>
        <v>https://drive.google.com/file/d/1MlcHaLBIbvAQDuOQP7y1utIme6-esCn_/view?usp=drivesdk</v>
      </c>
    </row>
    <row r="266">
      <c r="A266" s="50" t="s">
        <v>1374</v>
      </c>
      <c r="B266" s="50" t="str">
        <f>IFERROR(__xludf.DUMMYFUNCTION("""COMPUTED_VALUE"""),"SES-0002")</f>
        <v>SES-0002</v>
      </c>
      <c r="C266" s="50" t="str">
        <f>IFERROR(__xludf.DUMMYFUNCTION("""COMPUTED_VALUE"""),"llecacheur@ucpasl.com")</f>
        <v>llecacheur@ucpasl.com</v>
      </c>
      <c r="D266" s="127" t="str">
        <f>IFERROR(__xludf.DUMMYFUNCTION("""COMPUTED_VALUE"""),"https://drive.google.com/file/d/1nKRJKtA5L4jY86IVlt3vEZ2OD8A1jjdJ/view?usp=drivesdk")</f>
        <v>https://drive.google.com/file/d/1nKRJKtA5L4jY86IVlt3vEZ2OD8A1jjdJ/view?usp=drivesdk</v>
      </c>
    </row>
    <row r="267">
      <c r="A267" s="50" t="s">
        <v>1378</v>
      </c>
      <c r="B267" s="50" t="str">
        <f>IFERROR(__xludf.DUMMYFUNCTION("""COMPUTED_VALUE"""),"SES-0001")</f>
        <v>SES-0001</v>
      </c>
      <c r="C267" s="50" t="str">
        <f>IFERROR(__xludf.DUMMYFUNCTION("""COMPUTED_VALUE"""),"ssouza@ucpa.asso.fr")</f>
        <v>ssouza@ucpa.asso.fr</v>
      </c>
      <c r="D267" s="127" t="str">
        <f>IFERROR(__xludf.DUMMYFUNCTION("""COMPUTED_VALUE"""),"https://drive.google.com/file/d/1-p9hrsHTfrcMVFq1ftR3vZbX5pL0ALWy/view?usp=drivesdk")</f>
        <v>https://drive.google.com/file/d/1-p9hrsHTfrcMVFq1ftR3vZbX5pL0ALWy/view?usp=drivesdk</v>
      </c>
    </row>
    <row r="268">
      <c r="A268" s="50" t="s">
        <v>1383</v>
      </c>
      <c r="B268" s="50" t="str">
        <f>IFERROR(__xludf.DUMMYFUNCTION("""COMPUTED_VALUE"""),"SES-0002")</f>
        <v>SES-0002</v>
      </c>
      <c r="C268" s="50" t="str">
        <f>IFERROR(__xludf.DUMMYFUNCTION("""COMPUTED_VALUE"""),"ssouza@ucpa.asso.fr")</f>
        <v>ssouza@ucpa.asso.fr</v>
      </c>
      <c r="D268" s="127" t="str">
        <f>IFERROR(__xludf.DUMMYFUNCTION("""COMPUTED_VALUE"""),"https://drive.google.com/file/d/1wb8EMDmffvXpMFyfD60k4HGDW1Xr2WdT/view?usp=drivesdk")</f>
        <v>https://drive.google.com/file/d/1wb8EMDmffvXpMFyfD60k4HGDW1Xr2WdT/view?usp=drivesdk</v>
      </c>
    </row>
    <row r="269">
      <c r="A269" s="50" t="s">
        <v>1386</v>
      </c>
      <c r="B269" s="50" t="str">
        <f>IFERROR(__xludf.DUMMYFUNCTION("""COMPUTED_VALUE"""),"SES-0001")</f>
        <v>SES-0001</v>
      </c>
      <c r="C269" s="50" t="str">
        <f>IFERROR(__xludf.DUMMYFUNCTION("""COMPUTED_VALUE"""),"fsaussac@ucpa.asso.fr")</f>
        <v>fsaussac@ucpa.asso.fr</v>
      </c>
      <c r="D269" s="127" t="str">
        <f>IFERROR(__xludf.DUMMYFUNCTION("""COMPUTED_VALUE"""),"https://drive.google.com/file/d/1xaoR8s8Ra1_9-WQXdohwXy9SDEQeIzSK/view?usp=drivesdk")</f>
        <v>https://drive.google.com/file/d/1xaoR8s8Ra1_9-WQXdohwXy9SDEQeIzSK/view?usp=drivesdk</v>
      </c>
    </row>
    <row r="270">
      <c r="A270" s="50" t="s">
        <v>1390</v>
      </c>
      <c r="B270" s="50" t="str">
        <f>IFERROR(__xludf.DUMMYFUNCTION("""COMPUTED_VALUE"""),"SES-0002")</f>
        <v>SES-0002</v>
      </c>
      <c r="C270" s="50" t="str">
        <f>IFERROR(__xludf.DUMMYFUNCTION("""COMPUTED_VALUE"""),"fsaussac@ucpa.asso.fr")</f>
        <v>fsaussac@ucpa.asso.fr</v>
      </c>
      <c r="D270" s="127" t="str">
        <f>IFERROR(__xludf.DUMMYFUNCTION("""COMPUTED_VALUE"""),"https://drive.google.com/file/d/1F-ttSxH-EzdswZBdb0hgVMVC8aXl5sSc/view?usp=drivesdk")</f>
        <v>https://drive.google.com/file/d/1F-ttSxH-EzdswZBdb0hgVMVC8aXl5sSc/view?usp=drivesdk</v>
      </c>
    </row>
    <row r="271">
      <c r="A271" s="50" t="s">
        <v>1394</v>
      </c>
      <c r="B271" s="50" t="str">
        <f>IFERROR(__xludf.DUMMYFUNCTION("""COMPUTED_VALUE"""),"SES-0001")</f>
        <v>SES-0001</v>
      </c>
      <c r="C271" s="50" t="str">
        <f>IFERROR(__xludf.DUMMYFUNCTION("""COMPUTED_VALUE"""),"pgaudin@ucpa.asso.fr")</f>
        <v>pgaudin@ucpa.asso.fr</v>
      </c>
      <c r="D271" s="127" t="str">
        <f>IFERROR(__xludf.DUMMYFUNCTION("""COMPUTED_VALUE"""),"https://drive.google.com/file/d/1rcTUSz6-GUSsQ2lo6zdgOnhahGyQm5Ns/view?usp=drivesdk")</f>
        <v>https://drive.google.com/file/d/1rcTUSz6-GUSsQ2lo6zdgOnhahGyQm5Ns/view?usp=drivesdk</v>
      </c>
    </row>
    <row r="272">
      <c r="A272" s="50" t="s">
        <v>1397</v>
      </c>
      <c r="B272" s="50" t="str">
        <f>IFERROR(__xludf.DUMMYFUNCTION("""COMPUTED_VALUE"""),"SES-0002")</f>
        <v>SES-0002</v>
      </c>
      <c r="C272" s="50" t="str">
        <f>IFERROR(__xludf.DUMMYFUNCTION("""COMPUTED_VALUE"""),"pgaudin@ucpa.asso.fr")</f>
        <v>pgaudin@ucpa.asso.fr</v>
      </c>
      <c r="D272" s="127" t="str">
        <f>IFERROR(__xludf.DUMMYFUNCTION("""COMPUTED_VALUE"""),"https://drive.google.com/file/d/19vyLwgsBBNtq5dNYReFl2MKi-gLKSi0d/view?usp=drivesdk")</f>
        <v>https://drive.google.com/file/d/19vyLwgsBBNtq5dNYReFl2MKi-gLKSi0d/view?usp=drivesdk</v>
      </c>
    </row>
    <row r="273">
      <c r="A273" s="50" t="s">
        <v>1400</v>
      </c>
      <c r="B273" s="50" t="str">
        <f>IFERROR(__xludf.DUMMYFUNCTION("""COMPUTED_VALUE"""),"SES-0001")</f>
        <v>SES-0001</v>
      </c>
      <c r="C273" s="50" t="str">
        <f>IFERROR(__xludf.DUMMYFUNCTION("""COMPUTED_VALUE"""),"echochois@gmail.com")</f>
        <v>echochois@gmail.com</v>
      </c>
      <c r="D273" s="127" t="str">
        <f>IFERROR(__xludf.DUMMYFUNCTION("""COMPUTED_VALUE"""),"https://drive.google.com/file/d/1N1FFA_aCO1ChBUaT-PJGYsgkpyKcw5Ir/view?usp=drivesdk")</f>
        <v>https://drive.google.com/file/d/1N1FFA_aCO1ChBUaT-PJGYsgkpyKcw5Ir/view?usp=drivesdk</v>
      </c>
    </row>
    <row r="274">
      <c r="A274" s="50" t="s">
        <v>1404</v>
      </c>
      <c r="B274" s="50" t="str">
        <f>IFERROR(__xludf.DUMMYFUNCTION("""COMPUTED_VALUE"""),"SES-0002")</f>
        <v>SES-0002</v>
      </c>
      <c r="C274" s="50" t="str">
        <f>IFERROR(__xludf.DUMMYFUNCTION("""COMPUTED_VALUE"""),"echochois@ucpa.asso.fr")</f>
        <v>echochois@ucpa.asso.fr</v>
      </c>
      <c r="D274" s="127" t="str">
        <f>IFERROR(__xludf.DUMMYFUNCTION("""COMPUTED_VALUE"""),"https://drive.google.com/file/d/1YrJgxHbqCf1VAuUY_S8VEaEhewW0HPEM/view?usp=drivesdk")</f>
        <v>https://drive.google.com/file/d/1YrJgxHbqCf1VAuUY_S8VEaEhewW0HPEM/view?usp=drivesdk</v>
      </c>
    </row>
    <row r="275">
      <c r="A275" s="50" t="s">
        <v>1408</v>
      </c>
      <c r="B275" s="50" t="str">
        <f>IFERROR(__xludf.DUMMYFUNCTION("""COMPUTED_VALUE"""),"SES-0001")</f>
        <v>SES-0001</v>
      </c>
      <c r="C275" s="50" t="str">
        <f>IFERROR(__xludf.DUMMYFUNCTION("""COMPUTED_VALUE"""),"echochois@ucpa.asso.fr")</f>
        <v>echochois@ucpa.asso.fr</v>
      </c>
      <c r="D275" s="127" t="str">
        <f>IFERROR(__xludf.DUMMYFUNCTION("""COMPUTED_VALUE"""),"https://drive.google.com/file/d/1ftbfip5SjaApmw7-x2hAynP4_CkwaYxJ/view?usp=drivesdk")</f>
        <v>https://drive.google.com/file/d/1ftbfip5SjaApmw7-x2hAynP4_CkwaYxJ/view?usp=drivesdk</v>
      </c>
    </row>
    <row r="276">
      <c r="A276" s="50" t="s">
        <v>1412</v>
      </c>
      <c r="B276" s="50" t="str">
        <f>IFERROR(__xludf.DUMMYFUNCTION("""COMPUTED_VALUE"""),"SES-0001")</f>
        <v>SES-0001</v>
      </c>
      <c r="C276" s="50" t="str">
        <f>IFERROR(__xludf.DUMMYFUNCTION("""COMPUTED_VALUE"""),"aborgies@ucpa.asso.fr")</f>
        <v>aborgies@ucpa.asso.fr</v>
      </c>
      <c r="D276" s="127" t="str">
        <f>IFERROR(__xludf.DUMMYFUNCTION("""COMPUTED_VALUE"""),"https://drive.google.com/file/d/1b8k_15K3q_btiviUeMRxFp4zqhYXnTNI/view?usp=drivesdk")</f>
        <v>https://drive.google.com/file/d/1b8k_15K3q_btiviUeMRxFp4zqhYXnTNI/view?usp=drivesdk</v>
      </c>
    </row>
    <row r="277">
      <c r="A277" s="50" t="s">
        <v>1415</v>
      </c>
      <c r="B277" s="50" t="str">
        <f>IFERROR(__xludf.DUMMYFUNCTION("""COMPUTED_VALUE"""),"SES-0002")</f>
        <v>SES-0002</v>
      </c>
      <c r="C277" s="50" t="str">
        <f>IFERROR(__xludf.DUMMYFUNCTION("""COMPUTED_VALUE"""),"aborgies@ucpa.asso.fr")</f>
        <v>aborgies@ucpa.asso.fr</v>
      </c>
      <c r="D277" s="127" t="str">
        <f>IFERROR(__xludf.DUMMYFUNCTION("""COMPUTED_VALUE"""),"https://drive.google.com/file/d/1VyDANjHreOavi81Hbzyr0KpVHrmOjABL/view?usp=drivesdk")</f>
        <v>https://drive.google.com/file/d/1VyDANjHreOavi81Hbzyr0KpVHrmOjABL/view?usp=drivesdk</v>
      </c>
    </row>
    <row r="278">
      <c r="A278" s="50" t="s">
        <v>1418</v>
      </c>
      <c r="B278" s="50" t="str">
        <f>IFERROR(__xludf.DUMMYFUNCTION("""COMPUTED_VALUE"""),"SES-0001")</f>
        <v>SES-0001</v>
      </c>
      <c r="C278" s="50" t="str">
        <f>IFERROR(__xludf.DUMMYFUNCTION("""COMPUTED_VALUE"""),"aletoffet@ucpa.asso.com")</f>
        <v>aletoffet@ucpa.asso.com</v>
      </c>
      <c r="D278" s="127" t="str">
        <f>IFERROR(__xludf.DUMMYFUNCTION("""COMPUTED_VALUE"""),"https://drive.google.com/file/d/1EInajmP27ThwvI3_pxbdocoFSGCYwExq/view?usp=drivesdk")</f>
        <v>https://drive.google.com/file/d/1EInajmP27ThwvI3_pxbdocoFSGCYwExq/view?usp=drivesdk</v>
      </c>
    </row>
    <row r="279">
      <c r="A279" s="50" t="s">
        <v>1421</v>
      </c>
      <c r="B279" s="50" t="str">
        <f>IFERROR(__xludf.DUMMYFUNCTION("""COMPUTED_VALUE"""),"SES-0002")</f>
        <v>SES-0002</v>
      </c>
      <c r="C279" s="50" t="str">
        <f>IFERROR(__xludf.DUMMYFUNCTION("""COMPUTED_VALUE"""),"sbourmaud@ucpa.asso.fr")</f>
        <v>sbourmaud@ucpa.asso.fr</v>
      </c>
      <c r="D279" s="127" t="str">
        <f>IFERROR(__xludf.DUMMYFUNCTION("""COMPUTED_VALUE"""),"https://drive.google.com/file/d/1YEq9im1OE-kB1QdRAOm2K4FK7EDSumoh/view?usp=drivesdk")</f>
        <v>https://drive.google.com/file/d/1YEq9im1OE-kB1QdRAOm2K4FK7EDSumoh/view?usp=drivesdk</v>
      </c>
    </row>
    <row r="280">
      <c r="A280" s="50" t="s">
        <v>1424</v>
      </c>
      <c r="B280" s="50" t="str">
        <f>IFERROR(__xludf.DUMMYFUNCTION("""COMPUTED_VALUE"""),"SES-0001")</f>
        <v>SES-0001</v>
      </c>
      <c r="C280" s="50" t="str">
        <f>IFERROR(__xludf.DUMMYFUNCTION("""COMPUTED_VALUE"""),"jmporcher@ucpa.asso.fr")</f>
        <v>jmporcher@ucpa.asso.fr</v>
      </c>
      <c r="D280" s="127" t="str">
        <f>IFERROR(__xludf.DUMMYFUNCTION("""COMPUTED_VALUE"""),"https://drive.google.com/file/d/1C94pyLzsk3_F_z_OEqIlKOGubp3gqwf5/view?usp=drivesdk")</f>
        <v>https://drive.google.com/file/d/1C94pyLzsk3_F_z_OEqIlKOGubp3gqwf5/view?usp=drivesdk</v>
      </c>
    </row>
    <row r="281">
      <c r="A281" s="50" t="s">
        <v>1504</v>
      </c>
      <c r="B281" s="50" t="str">
        <f>IFERROR(__xludf.DUMMYFUNCTION("""COMPUTED_VALUE"""),"SES-0001")</f>
        <v>SES-0001</v>
      </c>
      <c r="C281" s="50" t="str">
        <f>IFERROR(__xludf.DUMMYFUNCTION("""COMPUTED_VALUE"""),"emeline.miltgen@ucpa.asso.fr")</f>
        <v>emeline.miltgen@ucpa.asso.fr</v>
      </c>
      <c r="D281" s="127" t="str">
        <f>IFERROR(__xludf.DUMMYFUNCTION("""COMPUTED_VALUE"""),"https://drive.google.com/file/d/1VjEffNQ4Y3YPDU3JLN1IA8QmsQO_ijoa/view?usp=drivesdk")</f>
        <v>https://drive.google.com/file/d/1VjEffNQ4Y3YPDU3JLN1IA8QmsQO_ijoa/view?usp=drivesdk</v>
      </c>
    </row>
    <row r="282">
      <c r="A282" s="50" t="s">
        <v>1509</v>
      </c>
      <c r="B282" s="50" t="str">
        <f>IFERROR(__xludf.DUMMYFUNCTION("""COMPUTED_VALUE"""),"SES-0001")</f>
        <v>SES-0001</v>
      </c>
      <c r="C282" s="50" t="str">
        <f>IFERROR(__xludf.DUMMYFUNCTION("""COMPUTED_VALUE"""),"abrossard@ucpa.asso.fr")</f>
        <v>abrossard@ucpa.asso.fr</v>
      </c>
      <c r="D282" s="127" t="str">
        <f>IFERROR(__xludf.DUMMYFUNCTION("""COMPUTED_VALUE"""),"https://drive.google.com/file/d/1xjPlMZxlxAXa3N4PqN-LmgslqvvxWzQD/view?usp=drivesdk")</f>
        <v>https://drive.google.com/file/d/1xjPlMZxlxAXa3N4PqN-LmgslqvvxWzQD/view?usp=drivesdk</v>
      </c>
    </row>
    <row r="283">
      <c r="A283" s="50" t="s">
        <v>1512</v>
      </c>
      <c r="B283" s="50" t="str">
        <f>IFERROR(__xludf.DUMMYFUNCTION("""COMPUTED_VALUE"""),"SES-0002")</f>
        <v>SES-0002</v>
      </c>
      <c r="C283" s="50" t="str">
        <f>IFERROR(__xludf.DUMMYFUNCTION("""COMPUTED_VALUE"""),"abrossard@ucpa.asso.fr")</f>
        <v>abrossard@ucpa.asso.fr</v>
      </c>
      <c r="D283" s="127" t="str">
        <f>IFERROR(__xludf.DUMMYFUNCTION("""COMPUTED_VALUE"""),"https://drive.google.com/file/d/13J4q5JkKzNQ8SZr7KaSNr_qaMXGXmATC/view?usp=drivesdk")</f>
        <v>https://drive.google.com/file/d/13J4q5JkKzNQ8SZr7KaSNr_qaMXGXmATC/view?usp=drivesdk</v>
      </c>
    </row>
    <row r="284">
      <c r="A284" s="50" t="s">
        <v>1515</v>
      </c>
      <c r="B284" s="50" t="str">
        <f>IFERROR(__xludf.DUMMYFUNCTION("""COMPUTED_VALUE"""),"SES-0001")</f>
        <v>SES-0001</v>
      </c>
      <c r="C284" s="50" t="str">
        <f>IFERROR(__xludf.DUMMYFUNCTION("""COMPUTED_VALUE"""),"soheude@ucpa.asso.fr")</f>
        <v>soheude@ucpa.asso.fr</v>
      </c>
      <c r="D284" s="127" t="str">
        <f>IFERROR(__xludf.DUMMYFUNCTION("""COMPUTED_VALUE"""),"https://drive.google.com/file/d/1sndmzjlML2wzvC6fTQvn1a7O5yMgeAdW/view?usp=drivesdk")</f>
        <v>https://drive.google.com/file/d/1sndmzjlML2wzvC6fTQvn1a7O5yMgeAdW/view?usp=drivesdk</v>
      </c>
    </row>
    <row r="285">
      <c r="A285" s="50" t="s">
        <v>1518</v>
      </c>
      <c r="B285" s="50" t="str">
        <f>IFERROR(__xludf.DUMMYFUNCTION("""COMPUTED_VALUE"""),"SES-0002")</f>
        <v>SES-0002</v>
      </c>
      <c r="C285" s="50" t="str">
        <f>IFERROR(__xludf.DUMMYFUNCTION("""COMPUTED_VALUE"""),"soheude@ucpa.asso.fr")</f>
        <v>soheude@ucpa.asso.fr</v>
      </c>
      <c r="D285" s="127" t="str">
        <f>IFERROR(__xludf.DUMMYFUNCTION("""COMPUTED_VALUE"""),"https://drive.google.com/file/d/1sg6ZlACdWDXwrDvMMx9cg0Wx7D2CBTwK/view?usp=drivesdk")</f>
        <v>https://drive.google.com/file/d/1sg6ZlACdWDXwrDvMMx9cg0Wx7D2CBTwK/view?usp=drivesdk</v>
      </c>
    </row>
    <row r="286">
      <c r="A286" s="50" t="s">
        <v>1522</v>
      </c>
      <c r="B286" s="50" t="str">
        <f>IFERROR(__xludf.DUMMYFUNCTION("""COMPUTED_VALUE"""),"SES-0001")</f>
        <v>SES-0001</v>
      </c>
      <c r="C286" s="50" t="str">
        <f>IFERROR(__xludf.DUMMYFUNCTION("""COMPUTED_VALUE"""),"sverrier@ucpa.asso.fr")</f>
        <v>sverrier@ucpa.asso.fr</v>
      </c>
      <c r="D286" s="127" t="str">
        <f>IFERROR(__xludf.DUMMYFUNCTION("""COMPUTED_VALUE"""),"https://drive.google.com/file/d/1uXuT6EWtrzkaZ1XUyF2ppHOV7xxF8O6D/view?usp=drivesdk")</f>
        <v>https://drive.google.com/file/d/1uXuT6EWtrzkaZ1XUyF2ppHOV7xxF8O6D/view?usp=drivesdk</v>
      </c>
    </row>
    <row r="287">
      <c r="A287" s="50" t="s">
        <v>1524</v>
      </c>
      <c r="B287" s="50" t="str">
        <f>IFERROR(__xludf.DUMMYFUNCTION("""COMPUTED_VALUE"""),"SES-0002")</f>
        <v>SES-0002</v>
      </c>
      <c r="C287" s="50" t="str">
        <f>IFERROR(__xludf.DUMMYFUNCTION("""COMPUTED_VALUE"""),"sverrier@ucpa.asso.fr")</f>
        <v>sverrier@ucpa.asso.fr</v>
      </c>
      <c r="D287" s="127" t="str">
        <f>IFERROR(__xludf.DUMMYFUNCTION("""COMPUTED_VALUE"""),"https://drive.google.com/file/d/1551Vs0BClQ1LXZ4uaQuwxQa-nzfuEKyi/view?usp=drivesdk")</f>
        <v>https://drive.google.com/file/d/1551Vs0BClQ1LXZ4uaQuwxQa-nzfuEKyi/view?usp=drivesdk</v>
      </c>
    </row>
    <row r="288">
      <c r="A288" s="50" t="s">
        <v>1527</v>
      </c>
      <c r="B288" s="50" t="str">
        <f>IFERROR(__xludf.DUMMYFUNCTION("""COMPUTED_VALUE"""),"SES-0001")</f>
        <v>SES-0001</v>
      </c>
      <c r="C288" s="50" t="str">
        <f>IFERROR(__xludf.DUMMYFUNCTION("""COMPUTED_VALUE"""),"maureen.tharel@ucpa.asso.fr")</f>
        <v>maureen.tharel@ucpa.asso.fr</v>
      </c>
      <c r="D288" s="127" t="str">
        <f>IFERROR(__xludf.DUMMYFUNCTION("""COMPUTED_VALUE"""),"https://drive.google.com/file/d/1CvdsdYLCW_qsFqIQg473v7RGtLh04ULX/view?usp=drivesdk")</f>
        <v>https://drive.google.com/file/d/1CvdsdYLCW_qsFqIQg473v7RGtLh04ULX/view?usp=drivesdk</v>
      </c>
    </row>
    <row r="289">
      <c r="A289" s="50" t="s">
        <v>1528</v>
      </c>
      <c r="B289" s="50" t="str">
        <f>IFERROR(__xludf.DUMMYFUNCTION("""COMPUTED_VALUE"""),"SES-0001")</f>
        <v>SES-0001</v>
      </c>
      <c r="C289" s="50" t="str">
        <f>IFERROR(__xludf.DUMMYFUNCTION("""COMPUTED_VALUE"""),"mdegregorio@ucpa.asso.fr")</f>
        <v>mdegregorio@ucpa.asso.fr</v>
      </c>
      <c r="D289" s="127" t="str">
        <f>IFERROR(__xludf.DUMMYFUNCTION("""COMPUTED_VALUE"""),"https://drive.google.com/file/d/1304LsO6EjxEuOxhYvmKOI73OW0DuiDps/view?usp=drivesdk")</f>
        <v>https://drive.google.com/file/d/1304LsO6EjxEuOxhYvmKOI73OW0DuiDps/view?usp=drivesdk</v>
      </c>
    </row>
    <row r="290">
      <c r="A290" s="50" t="s">
        <v>1530</v>
      </c>
      <c r="B290" s="50" t="str">
        <f>IFERROR(__xludf.DUMMYFUNCTION("""COMPUTED_VALUE"""),"SES-0001")</f>
        <v>SES-0001</v>
      </c>
      <c r="C290" s="50" t="str">
        <f>IFERROR(__xludf.DUMMYFUNCTION("""COMPUTED_VALUE"""),"emilie.pace@yahoo.fr")</f>
        <v>emilie.pace@yahoo.fr</v>
      </c>
      <c r="D290" s="127" t="str">
        <f>IFERROR(__xludf.DUMMYFUNCTION("""COMPUTED_VALUE"""),"https://drive.google.com/file/d/1vsLbFDLm13WI66wOYu29qosUlzxwLiN3/view?usp=drivesdk")</f>
        <v>https://drive.google.com/file/d/1vsLbFDLm13WI66wOYu29qosUlzxwLiN3/view?usp=drivesdk</v>
      </c>
    </row>
    <row r="291">
      <c r="A291" s="50" t="s">
        <v>1533</v>
      </c>
      <c r="B291" s="50" t="str">
        <f>IFERROR(__xludf.DUMMYFUNCTION("""COMPUTED_VALUE"""),"SES-0002")</f>
        <v>SES-0002</v>
      </c>
      <c r="C291" s="50" t="str">
        <f>IFERROR(__xludf.DUMMYFUNCTION("""COMPUTED_VALUE"""),"emilie.pace@yahoo.fr")</f>
        <v>emilie.pace@yahoo.fr</v>
      </c>
      <c r="D291" s="127" t="str">
        <f>IFERROR(__xludf.DUMMYFUNCTION("""COMPUTED_VALUE"""),"https://drive.google.com/file/d/1ybQSJLFia9-yUqb1jsQCGm24yct9yLhU/view?usp=drivesdk")</f>
        <v>https://drive.google.com/file/d/1ybQSJLFia9-yUqb1jsQCGm24yct9yLhU/view?usp=drivesdk</v>
      </c>
    </row>
    <row r="292">
      <c r="A292" s="50" t="s">
        <v>1536</v>
      </c>
      <c r="B292" s="50" t="str">
        <f>IFERROR(__xludf.DUMMYFUNCTION("""COMPUTED_VALUE"""),"SES-0001")</f>
        <v>SES-0001</v>
      </c>
      <c r="C292" s="50" t="str">
        <f>IFERROR(__xludf.DUMMYFUNCTION("""COMPUTED_VALUE"""),"Aurelien.fouquet@tootazimut.fr")</f>
        <v>Aurelien.fouquet@tootazimut.fr</v>
      </c>
      <c r="D292" s="127" t="str">
        <f>IFERROR(__xludf.DUMMYFUNCTION("""COMPUTED_VALUE"""),"https://drive.google.com/file/d/1z201EXLf2uqV6XgAiB5PV5JGi0qHnP5Z/view?usp=drivesdk")</f>
        <v>https://drive.google.com/file/d/1z201EXLf2uqV6XgAiB5PV5JGi0qHnP5Z/view?usp=drivesdk</v>
      </c>
    </row>
    <row r="293">
      <c r="A293" s="50" t="s">
        <v>1538</v>
      </c>
      <c r="B293" s="50" t="str">
        <f>IFERROR(__xludf.DUMMYFUNCTION("""COMPUTED_VALUE"""),"SES-0002")</f>
        <v>SES-0002</v>
      </c>
      <c r="C293" s="50" t="str">
        <f>IFERROR(__xludf.DUMMYFUNCTION("""COMPUTED_VALUE"""),"aurelien.fouquet@tootazimut.fr")</f>
        <v>aurelien.fouquet@tootazimut.fr</v>
      </c>
      <c r="D293" s="127" t="str">
        <f>IFERROR(__xludf.DUMMYFUNCTION("""COMPUTED_VALUE"""),"https://drive.google.com/file/d/10MUrrOiw2PMmb9U-yj5T71J3EByw1J49/view?usp=drivesdk")</f>
        <v>https://drive.google.com/file/d/10MUrrOiw2PMmb9U-yj5T71J3EByw1J49/view?usp=drivesdk</v>
      </c>
    </row>
    <row r="294">
      <c r="A294" s="50" t="s">
        <v>1541</v>
      </c>
      <c r="B294" s="50" t="str">
        <f>IFERROR(__xludf.DUMMYFUNCTION("""COMPUTED_VALUE"""),"SES-0001")</f>
        <v>SES-0001</v>
      </c>
      <c r="C294" s="50" t="str">
        <f>IFERROR(__xludf.DUMMYFUNCTION("""COMPUTED_VALUE"""),"edidier@ucpa.asso.fr")</f>
        <v>edidier@ucpa.asso.fr</v>
      </c>
      <c r="D294" s="127" t="str">
        <f>IFERROR(__xludf.DUMMYFUNCTION("""COMPUTED_VALUE"""),"https://drive.google.com/file/d/1ueNriv1ZnbQZyXBDDwqhnOpa0TLftt0I/view?usp=drivesdk")</f>
        <v>https://drive.google.com/file/d/1ueNriv1ZnbQZyXBDDwqhnOpa0TLftt0I/view?usp=drivesdk</v>
      </c>
    </row>
    <row r="295">
      <c r="A295" s="50" t="s">
        <v>1545</v>
      </c>
      <c r="B295" s="50" t="str">
        <f>IFERROR(__xludf.DUMMYFUNCTION("""COMPUTED_VALUE"""),"SES-0002")</f>
        <v>SES-0002</v>
      </c>
      <c r="C295" s="50" t="str">
        <f>IFERROR(__xludf.DUMMYFUNCTION("""COMPUTED_VALUE"""),"edidier@ucpa.asso.fr")</f>
        <v>edidier@ucpa.asso.fr</v>
      </c>
      <c r="D295" s="127" t="str">
        <f>IFERROR(__xludf.DUMMYFUNCTION("""COMPUTED_VALUE"""),"https://drive.google.com/file/d/13yIujtG1_6aaebGt7p9G9rTQi3acHFuK/view?usp=drivesdk")</f>
        <v>https://drive.google.com/file/d/13yIujtG1_6aaebGt7p9G9rTQi3acHFuK/view?usp=drivesdk</v>
      </c>
    </row>
    <row r="296">
      <c r="A296" s="50" t="s">
        <v>1548</v>
      </c>
      <c r="B296" s="50" t="str">
        <f>IFERROR(__xludf.DUMMYFUNCTION("""COMPUTED_VALUE"""),"SES-0001")</f>
        <v>SES-0001</v>
      </c>
      <c r="C296" s="50" t="str">
        <f>IFERROR(__xludf.DUMMYFUNCTION("""COMPUTED_VALUE"""),"stcyprien.res@ucpa.asso.fr")</f>
        <v>stcyprien.res@ucpa.asso.fr</v>
      </c>
      <c r="D296" s="127" t="str">
        <f>IFERROR(__xludf.DUMMYFUNCTION("""COMPUTED_VALUE"""),"https://drive.google.com/file/d/1fLGPNXf4_MsqEehHWtgYUlsY1gBj4zpt/view?usp=drivesdk")</f>
        <v>https://drive.google.com/file/d/1fLGPNXf4_MsqEehHWtgYUlsY1gBj4zpt/view?usp=drivesdk</v>
      </c>
    </row>
    <row r="297">
      <c r="A297" s="50" t="s">
        <v>1551</v>
      </c>
      <c r="B297" s="50" t="str">
        <f>IFERROR(__xludf.DUMMYFUNCTION("""COMPUTED_VALUE"""),"SES-0002")</f>
        <v>SES-0002</v>
      </c>
      <c r="C297" s="50" t="str">
        <f>IFERROR(__xludf.DUMMYFUNCTION("""COMPUTED_VALUE"""),"stcyprien.res@ucpa.asso.fr")</f>
        <v>stcyprien.res@ucpa.asso.fr</v>
      </c>
      <c r="D297" s="127" t="str">
        <f>IFERROR(__xludf.DUMMYFUNCTION("""COMPUTED_VALUE"""),"https://drive.google.com/file/d/1_MU0cLx3tx1B_2QgpldrVAFxMH3l3J99/view?usp=drivesdk")</f>
        <v>https://drive.google.com/file/d/1_MU0cLx3tx1B_2QgpldrVAFxMH3l3J99/view?usp=drivesdk</v>
      </c>
    </row>
    <row r="298">
      <c r="A298" s="50" t="s">
        <v>1553</v>
      </c>
      <c r="B298" s="50" t="str">
        <f>IFERROR(__xludf.DUMMYFUNCTION("""COMPUTED_VALUE"""),"SES-0001")</f>
        <v>SES-0001</v>
      </c>
      <c r="C298" s="50" t="str">
        <f>IFERROR(__xludf.DUMMYFUNCTION("""COMPUTED_VALUE"""),"bperrin@ucpaplanete.com")</f>
        <v>bperrin@ucpaplanete.com</v>
      </c>
      <c r="D298" s="127" t="str">
        <f>IFERROR(__xludf.DUMMYFUNCTION("""COMPUTED_VALUE"""),"https://drive.google.com/file/d/1AGoXaibT0tVCeC8BQ0j4D62HxHDqoBkE/view?usp=drivesdk")</f>
        <v>https://drive.google.com/file/d/1AGoXaibT0tVCeC8BQ0j4D62HxHDqoBkE/view?usp=drivesdk</v>
      </c>
    </row>
    <row r="299">
      <c r="A299" s="50" t="s">
        <v>1556</v>
      </c>
      <c r="B299" s="50" t="str">
        <f>IFERROR(__xludf.DUMMYFUNCTION("""COMPUTED_VALUE"""),"SES-0002")</f>
        <v>SES-0002</v>
      </c>
      <c r="C299" s="50" t="str">
        <f>IFERROR(__xludf.DUMMYFUNCTION("""COMPUTED_VALUE"""),"bperrin@ucpaplanete.com")</f>
        <v>bperrin@ucpaplanete.com</v>
      </c>
      <c r="D299" s="127" t="str">
        <f>IFERROR(__xludf.DUMMYFUNCTION("""COMPUTED_VALUE"""),"https://drive.google.com/file/d/1wfxw1KyfPGKMVbMIqPdqYXzJ3bcCsFH2/view?usp=drivesdk")</f>
        <v>https://drive.google.com/file/d/1wfxw1KyfPGKMVbMIqPdqYXzJ3bcCsFH2/view?usp=drivesdk</v>
      </c>
    </row>
    <row r="300">
      <c r="A300" s="50" t="s">
        <v>1560</v>
      </c>
      <c r="B300" s="50" t="str">
        <f>IFERROR(__xludf.DUMMYFUNCTION("""COMPUTED_VALUE"""),"SES-0001")</f>
        <v>SES-0001</v>
      </c>
      <c r="C300" s="50" t="str">
        <f>IFERROR(__xludf.DUMMYFUNCTION("""COMPUTED_VALUE"""),"marie.defer@tootazimut.fr")</f>
        <v>marie.defer@tootazimut.fr</v>
      </c>
      <c r="D300" s="127" t="str">
        <f>IFERROR(__xludf.DUMMYFUNCTION("""COMPUTED_VALUE"""),"https://drive.google.com/file/d/1Q_HJY3BylYacqBNEY-cjw4YDgWQjSJKQ/view?usp=drivesdk")</f>
        <v>https://drive.google.com/file/d/1Q_HJY3BylYacqBNEY-cjw4YDgWQjSJKQ/view?usp=drivesdk</v>
      </c>
    </row>
    <row r="301">
      <c r="A301" s="50" t="s">
        <v>1563</v>
      </c>
      <c r="B301" s="50" t="str">
        <f>IFERROR(__xludf.DUMMYFUNCTION("""COMPUTED_VALUE"""),"SES-0002")</f>
        <v>SES-0002</v>
      </c>
      <c r="C301" s="50" t="str">
        <f>IFERROR(__xludf.DUMMYFUNCTION("""COMPUTED_VALUE"""),"marie.defer@tootazimut.fr")</f>
        <v>marie.defer@tootazimut.fr</v>
      </c>
      <c r="D301" s="127" t="str">
        <f>IFERROR(__xludf.DUMMYFUNCTION("""COMPUTED_VALUE"""),"https://drive.google.com/file/d/1ujF1BBkPbilsuQQ511eCU3UssKCpIKiw/view?usp=drivesdk")</f>
        <v>https://drive.google.com/file/d/1ujF1BBkPbilsuQQ511eCU3UssKCpIKiw/view?usp=drivesdk</v>
      </c>
    </row>
    <row r="302">
      <c r="A302" s="50" t="s">
        <v>1567</v>
      </c>
      <c r="B302" s="50" t="str">
        <f>IFERROR(__xludf.DUMMYFUNCTION("""COMPUTED_VALUE"""),"SES-0001")</f>
        <v>SES-0001</v>
      </c>
      <c r="C302" s="50" t="str">
        <f>IFERROR(__xludf.DUMMYFUNCTION("""COMPUTED_VALUE"""),"rthivin@ucpa.asso.fr")</f>
        <v>rthivin@ucpa.asso.fr</v>
      </c>
      <c r="D302" s="127" t="str">
        <f>IFERROR(__xludf.DUMMYFUNCTION("""COMPUTED_VALUE"""),"https://drive.google.com/file/d/1Z6jlOuHxTZJZJahRSh5LUt7fVJN6XShQ/view?usp=drivesdk")</f>
        <v>https://drive.google.com/file/d/1Z6jlOuHxTZJZJahRSh5LUt7fVJN6XShQ/view?usp=drivesdk</v>
      </c>
    </row>
    <row r="303">
      <c r="A303" s="50" t="s">
        <v>1570</v>
      </c>
      <c r="B303" s="50" t="str">
        <f>IFERROR(__xludf.DUMMYFUNCTION("""COMPUTED_VALUE"""),"SES-0002")</f>
        <v>SES-0002</v>
      </c>
      <c r="C303" s="50" t="str">
        <f>IFERROR(__xludf.DUMMYFUNCTION("""COMPUTED_VALUE"""),"hpoudevigne@ucpa.asso.fr")</f>
        <v>hpoudevigne@ucpa.asso.fr</v>
      </c>
      <c r="D303" s="127" t="str">
        <f>IFERROR(__xludf.DUMMYFUNCTION("""COMPUTED_VALUE"""),"https://drive.google.com/file/d/1-nvdt2zsq8zbBK4n4u8eSkSnUq5i8RQc/view?usp=drivesdk")</f>
        <v>https://drive.google.com/file/d/1-nvdt2zsq8zbBK4n4u8eSkSnUq5i8RQc/view?usp=drivesdk</v>
      </c>
    </row>
    <row r="304">
      <c r="A304" s="50" t="s">
        <v>1574</v>
      </c>
      <c r="B304" s="50" t="str">
        <f>IFERROR(__xludf.DUMMYFUNCTION("""COMPUTED_VALUE"""),"SES-0001")</f>
        <v>SES-0001</v>
      </c>
      <c r="C304" s="50" t="str">
        <f>IFERROR(__xludf.DUMMYFUNCTION("""COMPUTED_VALUE"""),"hmaziere@ucpa.asso.fr")</f>
        <v>hmaziere@ucpa.asso.fr</v>
      </c>
      <c r="D304" s="127" t="str">
        <f>IFERROR(__xludf.DUMMYFUNCTION("""COMPUTED_VALUE"""),"https://drive.google.com/file/d/1Vfg3HUzdyn5pVId_k4j58DLmivBYcb2d/view?usp=drivesdk")</f>
        <v>https://drive.google.com/file/d/1Vfg3HUzdyn5pVId_k4j58DLmivBYcb2d/view?usp=drivesdk</v>
      </c>
    </row>
    <row r="305">
      <c r="A305" s="50" t="s">
        <v>1579</v>
      </c>
      <c r="B305" s="50" t="str">
        <f>IFERROR(__xludf.DUMMYFUNCTION("""COMPUTED_VALUE"""),"SES-0002")</f>
        <v>SES-0002</v>
      </c>
      <c r="C305" s="50" t="str">
        <f>IFERROR(__xludf.DUMMYFUNCTION("""COMPUTED_VALUE"""),"hmaziere@ucpa.asso.fr")</f>
        <v>hmaziere@ucpa.asso.fr</v>
      </c>
      <c r="D305" s="127" t="str">
        <f>IFERROR(__xludf.DUMMYFUNCTION("""COMPUTED_VALUE"""),"https://drive.google.com/file/d/1iM5QXcCqiUTB6pvOBwidFqxFgH7V82Oo/view?usp=drivesdk")</f>
        <v>https://drive.google.com/file/d/1iM5QXcCqiUTB6pvOBwidFqxFgH7V82Oo/view?usp=drivesdk</v>
      </c>
    </row>
    <row r="306">
      <c r="A306" s="50" t="s">
        <v>1582</v>
      </c>
      <c r="B306" s="50" t="str">
        <f>IFERROR(__xludf.DUMMYFUNCTION("""COMPUTED_VALUE"""),"SES-0001")</f>
        <v>SES-0001</v>
      </c>
      <c r="C306" s="50" t="str">
        <f>IFERROR(__xludf.DUMMYFUNCTION("""COMPUTED_VALUE"""),"tnanthakumar@ucpa.asso.fr")</f>
        <v>tnanthakumar@ucpa.asso.fr</v>
      </c>
      <c r="D306" s="127" t="str">
        <f>IFERROR(__xludf.DUMMYFUNCTION("""COMPUTED_VALUE"""),"https://drive.google.com/file/d/1L6cQ8sxKdQVmgOXD0M7ychYx8T2wJVVH/view?usp=drivesdk")</f>
        <v>https://drive.google.com/file/d/1L6cQ8sxKdQVmgOXD0M7ychYx8T2wJVVH/view?usp=drivesdk</v>
      </c>
    </row>
    <row r="307">
      <c r="A307" s="50" t="s">
        <v>1585</v>
      </c>
      <c r="B307" s="50" t="str">
        <f>IFERROR(__xludf.DUMMYFUNCTION("""COMPUTED_VALUE"""),"SES-0002")</f>
        <v>SES-0002</v>
      </c>
      <c r="C307" s="50" t="str">
        <f>IFERROR(__xludf.DUMMYFUNCTION("""COMPUTED_VALUE"""),"tnanthakumar@ucpa.asso.fr")</f>
        <v>tnanthakumar@ucpa.asso.fr</v>
      </c>
      <c r="D307" s="127" t="str">
        <f>IFERROR(__xludf.DUMMYFUNCTION("""COMPUTED_VALUE"""),"https://drive.google.com/file/d/1T6FWv4AZtDZC7pVU5K2mLkMQtYWrKzFd/view?usp=drivesdk")</f>
        <v>https://drive.google.com/file/d/1T6FWv4AZtDZC7pVU5K2mLkMQtYWrKzFd/view?usp=drivesdk</v>
      </c>
    </row>
    <row r="308">
      <c r="A308" s="50" t="s">
        <v>1591</v>
      </c>
      <c r="B308" s="50" t="str">
        <f>IFERROR(__xludf.DUMMYFUNCTION("""COMPUTED_VALUE"""),"SES-0001")</f>
        <v>SES-0001</v>
      </c>
      <c r="C308" s="50" t="str">
        <f>IFERROR(__xludf.DUMMYFUNCTION("""COMPUTED_VALUE"""),"david.serano@labalaguere.com")</f>
        <v>david.serano@labalaguere.com</v>
      </c>
      <c r="D308" s="127" t="str">
        <f>IFERROR(__xludf.DUMMYFUNCTION("""COMPUTED_VALUE"""),"https://drive.google.com/file/d/1gtALv6Q5qRWVP2HPFDcPSyeGaWHD3thz/view?usp=drivesdk")</f>
        <v>https://drive.google.com/file/d/1gtALv6Q5qRWVP2HPFDcPSyeGaWHD3thz/view?usp=drivesdk</v>
      </c>
    </row>
    <row r="309">
      <c r="A309" s="50" t="s">
        <v>1594</v>
      </c>
      <c r="B309" s="50" t="str">
        <f>IFERROR(__xludf.DUMMYFUNCTION("""COMPUTED_VALUE"""),"SES-0002")</f>
        <v>SES-0002</v>
      </c>
      <c r="C309" s="50" t="str">
        <f>IFERROR(__xludf.DUMMYFUNCTION("""COMPUTED_VALUE"""),"david.serano@labalaguere.com")</f>
        <v>david.serano@labalaguere.com</v>
      </c>
      <c r="D309" s="127" t="str">
        <f>IFERROR(__xludf.DUMMYFUNCTION("""COMPUTED_VALUE"""),"https://drive.google.com/file/d/14OLEIWuMVyOpKcSTBT2INazotiLISqjN/view?usp=drivesdk")</f>
        <v>https://drive.google.com/file/d/14OLEIWuMVyOpKcSTBT2INazotiLISqjN/view?usp=drivesdk</v>
      </c>
    </row>
    <row r="310">
      <c r="A310" s="50" t="s">
        <v>1597</v>
      </c>
      <c r="B310" s="50" t="str">
        <f>IFERROR(__xludf.DUMMYFUNCTION("""COMPUTED_VALUE"""),"SES-0001")</f>
        <v>SES-0001</v>
      </c>
      <c r="C310" s="50" t="str">
        <f>IFERROR(__xludf.DUMMYFUNCTION("""COMPUTED_VALUE"""),"natacha4fabre@gmail.com")</f>
        <v>natacha4fabre@gmail.com</v>
      </c>
      <c r="D310" s="127" t="str">
        <f>IFERROR(__xludf.DUMMYFUNCTION("""COMPUTED_VALUE"""),"https://drive.google.com/file/d/15yPt6BG5M6Z3f8pKKpWJvWNtsp20AiBX/view?usp=drivesdk")</f>
        <v>https://drive.google.com/file/d/15yPt6BG5M6Z3f8pKKpWJvWNtsp20AiBX/view?usp=drivesdk</v>
      </c>
    </row>
    <row r="311">
      <c r="A311" s="50" t="s">
        <v>1600</v>
      </c>
      <c r="B311" s="50" t="str">
        <f>IFERROR(__xludf.DUMMYFUNCTION("""COMPUTED_VALUE"""),"SES-0002")</f>
        <v>SES-0002</v>
      </c>
      <c r="C311" s="50" t="str">
        <f>IFERROR(__xludf.DUMMYFUNCTION("""COMPUTED_VALUE"""),"natacha4fabre@gmail.com")</f>
        <v>natacha4fabre@gmail.com</v>
      </c>
      <c r="D311" s="127" t="str">
        <f>IFERROR(__xludf.DUMMYFUNCTION("""COMPUTED_VALUE"""),"https://drive.google.com/file/d/1fPzfcTShd8l0LCaFjacxeKatn8EKGQba/view?usp=drivesdk")</f>
        <v>https://drive.google.com/file/d/1fPzfcTShd8l0LCaFjacxeKatn8EKGQba/view?usp=drivesdk</v>
      </c>
    </row>
    <row r="312">
      <c r="A312" s="50" t="s">
        <v>1604</v>
      </c>
      <c r="B312" s="50" t="str">
        <f>IFERROR(__xludf.DUMMYFUNCTION("""COMPUTED_VALUE"""),"SES-0001")</f>
        <v>SES-0001</v>
      </c>
      <c r="C312" s="50" t="str">
        <f>IFERROR(__xludf.DUMMYFUNCTION("""COMPUTED_VALUE"""),"odudflot@ucpa.asso.fr")</f>
        <v>odudflot@ucpa.asso.fr</v>
      </c>
      <c r="D312" s="127" t="str">
        <f>IFERROR(__xludf.DUMMYFUNCTION("""COMPUTED_VALUE"""),"https://drive.google.com/file/d/1St7BUUuYer79rzpG8vd7ADBk2ErIw885/view?usp=drivesdk")</f>
        <v>https://drive.google.com/file/d/1St7BUUuYer79rzpG8vd7ADBk2ErIw885/view?usp=drivesdk</v>
      </c>
    </row>
    <row r="313">
      <c r="A313" s="50" t="s">
        <v>1611</v>
      </c>
      <c r="B313" s="50" t="str">
        <f>IFERROR(__xludf.DUMMYFUNCTION("""COMPUTED_VALUE"""),"SES-0002")</f>
        <v>SES-0002</v>
      </c>
      <c r="C313" s="50" t="str">
        <f>IFERROR(__xludf.DUMMYFUNCTION("""COMPUTED_VALUE"""),"oduflot@ucpa.asso.fr")</f>
        <v>oduflot@ucpa.asso.fr</v>
      </c>
      <c r="D313" s="127" t="str">
        <f>IFERROR(__xludf.DUMMYFUNCTION("""COMPUTED_VALUE"""),"https://drive.google.com/file/d/1kktzRiJl0Vq1D7OAFfJCiFPtenYDxwMX/view?usp=drivesdk")</f>
        <v>https://drive.google.com/file/d/1kktzRiJl0Vq1D7OAFfJCiFPtenYDxwMX/view?usp=drivesdk</v>
      </c>
    </row>
    <row r="314">
      <c r="A314" s="50" t="s">
        <v>1616</v>
      </c>
      <c r="B314" s="50" t="str">
        <f>IFERROR(__xludf.DUMMYFUNCTION("""COMPUTED_VALUE"""),"SES-0001")</f>
        <v>SES-0001</v>
      </c>
      <c r="C314" s="50" t="str">
        <f>IFERROR(__xludf.DUMMYFUNCTION("""COMPUTED_VALUE"""),"lcharlot@vaires-torcy.iledeloisirs.fr")</f>
        <v>lcharlot@vaires-torcy.iledeloisirs.fr</v>
      </c>
      <c r="D314" s="127" t="str">
        <f>IFERROR(__xludf.DUMMYFUNCTION("""COMPUTED_VALUE"""),"https://drive.google.com/file/d/1h2mGzM7Wbs3gSpBa_59iOJVbPwZNta2Z/view?usp=drivesdk")</f>
        <v>https://drive.google.com/file/d/1h2mGzM7Wbs3gSpBa_59iOJVbPwZNta2Z/view?usp=drivesdk</v>
      </c>
    </row>
    <row r="315">
      <c r="A315" s="50" t="s">
        <v>1619</v>
      </c>
      <c r="B315" s="50" t="str">
        <f>IFERROR(__xludf.DUMMYFUNCTION("""COMPUTED_VALUE"""),"SES-0002")</f>
        <v>SES-0002</v>
      </c>
      <c r="C315" s="50" t="str">
        <f>IFERROR(__xludf.DUMMYFUNCTION("""COMPUTED_VALUE"""),"lcharlot@vaires-torcy.iledeloisirs.fr")</f>
        <v>lcharlot@vaires-torcy.iledeloisirs.fr</v>
      </c>
      <c r="D315" s="127" t="str">
        <f>IFERROR(__xludf.DUMMYFUNCTION("""COMPUTED_VALUE"""),"https://drive.google.com/file/d/1Bt6fT1afR2U-ak9p1_ka_y7x2HLfJo0R/view?usp=drivesdk")</f>
        <v>https://drive.google.com/file/d/1Bt6fT1afR2U-ak9p1_ka_y7x2HLfJo0R/view?usp=drivesdk</v>
      </c>
    </row>
    <row r="316">
      <c r="A316" s="50" t="s">
        <v>1623</v>
      </c>
      <c r="B316" s="50" t="str">
        <f>IFERROR(__xludf.DUMMYFUNCTION("""COMPUTED_VALUE"""),"SES-0001")</f>
        <v>SES-0001</v>
      </c>
      <c r="C316" s="50" t="str">
        <f>IFERROR(__xludf.DUMMYFUNCTION("""COMPUTED_VALUE"""),"oduflot@ucpa.asso.fr")</f>
        <v>oduflot@ucpa.asso.fr</v>
      </c>
      <c r="D316" s="127" t="str">
        <f>IFERROR(__xludf.DUMMYFUNCTION("""COMPUTED_VALUE"""),"https://drive.google.com/file/d/1JoA74YbiqOsqoZ4Tzwvh65wtZdAyMl-3/view?usp=drivesdk")</f>
        <v>https://drive.google.com/file/d/1JoA74YbiqOsqoZ4Tzwvh65wtZdAyMl-3/view?usp=drivesdk</v>
      </c>
    </row>
    <row r="317">
      <c r="A317" s="50" t="s">
        <v>1626</v>
      </c>
      <c r="B317" s="50" t="str">
        <f>IFERROR(__xludf.DUMMYFUNCTION("""COMPUTED_VALUE"""),"SES-0002")</f>
        <v>SES-0002</v>
      </c>
      <c r="C317" s="50" t="str">
        <f>IFERROR(__xludf.DUMMYFUNCTION("""COMPUTED_VALUE"""),"cdupuis@ucpasl.com")</f>
        <v>cdupuis@ucpasl.com</v>
      </c>
      <c r="D317" s="127" t="str">
        <f>IFERROR(__xludf.DUMMYFUNCTION("""COMPUTED_VALUE"""),"https://drive.google.com/file/d/1cnMaIL9MlIeM_5sny9yYgWFfJ_ArL3WN/view?usp=drivesdk")</f>
        <v>https://drive.google.com/file/d/1cnMaIL9MlIeM_5sny9yYgWFfJ_ArL3WN/view?usp=drivesdk</v>
      </c>
    </row>
    <row r="318">
      <c r="A318" s="50" t="s">
        <v>1629</v>
      </c>
      <c r="B318" s="50" t="str">
        <f>IFERROR(__xludf.DUMMYFUNCTION("""COMPUTED_VALUE"""),"SES-0002")</f>
        <v>SES-0002</v>
      </c>
      <c r="C318" s="50" t="str">
        <f>IFERROR(__xludf.DUMMYFUNCTION("""COMPUTED_VALUE"""),"melanie.legrand@tootazimut.fr")</f>
        <v>melanie.legrand@tootazimut.fr</v>
      </c>
      <c r="D318" s="127" t="str">
        <f>IFERROR(__xludf.DUMMYFUNCTION("""COMPUTED_VALUE"""),"https://drive.google.com/file/d/1vP1CmzUWv2S8ygDyg0o8nSRdCNMn0TxY/view?usp=drivesdk")</f>
        <v>https://drive.google.com/file/d/1vP1CmzUWv2S8ygDyg0o8nSRdCNMn0TxY/view?usp=drivesdk</v>
      </c>
    </row>
    <row r="319">
      <c r="A319" s="50" t="s">
        <v>1632</v>
      </c>
      <c r="B319" s="50" t="str">
        <f>IFERROR(__xludf.DUMMYFUNCTION("""COMPUTED_VALUE"""),"SES-0002")</f>
        <v>SES-0002</v>
      </c>
      <c r="C319" s="50" t="str">
        <f>IFERROR(__xludf.DUMMYFUNCTION("""COMPUTED_VALUE"""),"ypetiot@ucpa.asso.fr")</f>
        <v>ypetiot@ucpa.asso.fr</v>
      </c>
      <c r="D319" s="127" t="str">
        <f>IFERROR(__xludf.DUMMYFUNCTION("""COMPUTED_VALUE"""),"https://drive.google.com/file/d/1DuIvLOFgEYQzI0_-EXGsnhAw9UglqKAt/view?usp=drivesdk")</f>
        <v>https://drive.google.com/file/d/1DuIvLOFgEYQzI0_-EXGsnhAw9UglqKAt/view?usp=drivesdk</v>
      </c>
    </row>
    <row r="320">
      <c r="A320" s="50" t="s">
        <v>1636</v>
      </c>
      <c r="B320" s="50" t="str">
        <f>IFERROR(__xludf.DUMMYFUNCTION("""COMPUTED_VALUE"""),"SES-0002")</f>
        <v>SES-0002</v>
      </c>
      <c r="C320" s="50" t="str">
        <f>IFERROR(__xludf.DUMMYFUNCTION("""COMPUTED_VALUE"""),"aliflammimb@gmail.com")</f>
        <v>aliflammimb@gmail.com</v>
      </c>
      <c r="D320" s="127" t="str">
        <f>IFERROR(__xludf.DUMMYFUNCTION("""COMPUTED_VALUE"""),"https://drive.google.com/file/d/1_AUdy6kAnRXq3gTZ7t1I9Du3GDQ1awXv/view?usp=drivesdk")</f>
        <v>https://drive.google.com/file/d/1_AUdy6kAnRXq3gTZ7t1I9Du3GDQ1awXv/view?usp=drivesdk</v>
      </c>
    </row>
    <row r="321">
      <c r="A321" s="50" t="s">
        <v>1640</v>
      </c>
      <c r="B321" s="50" t="str">
        <f>IFERROR(__xludf.DUMMYFUNCTION("""COMPUTED_VALUE"""),"SES-0002")</f>
        <v>SES-0002</v>
      </c>
      <c r="C321" s="50" t="str">
        <f>IFERROR(__xludf.DUMMYFUNCTION("""COMPUTED_VALUE"""),"abonville@ucpa.asso.fr")</f>
        <v>abonville@ucpa.asso.fr</v>
      </c>
      <c r="D321" s="127" t="str">
        <f>IFERROR(__xludf.DUMMYFUNCTION("""COMPUTED_VALUE"""),"https://drive.google.com/file/d/1hd9M1coDPygQO5hUKbsmZQT4DZuTm4F9/view?usp=drivesdk")</f>
        <v>https://drive.google.com/file/d/1hd9M1coDPygQO5hUKbsmZQT4DZuTm4F9/view?usp=drivesdk</v>
      </c>
    </row>
    <row r="322">
      <c r="A322" s="50" t="s">
        <v>1643</v>
      </c>
      <c r="B322" s="50" t="str">
        <f>IFERROR(__xludf.DUMMYFUNCTION("""COMPUTED_VALUE"""),"SES-0002")</f>
        <v>SES-0002</v>
      </c>
      <c r="C322" s="50" t="str">
        <f>IFERROR(__xludf.DUMMYFUNCTION("""COMPUTED_VALUE"""),"dsnaidero@ucpa.asso.fr")</f>
        <v>dsnaidero@ucpa.asso.fr</v>
      </c>
      <c r="D322" s="127" t="str">
        <f>IFERROR(__xludf.DUMMYFUNCTION("""COMPUTED_VALUE"""),"https://drive.google.com/file/d/157BUbV2deByGxx-TuOCq0LEA1QwZiVHl/view?usp=drivesdk")</f>
        <v>https://drive.google.com/file/d/157BUbV2deByGxx-TuOCq0LEA1QwZiVHl/view?usp=drivesdk</v>
      </c>
    </row>
    <row r="323">
      <c r="A323" s="50" t="s">
        <v>1648</v>
      </c>
      <c r="B323" s="50" t="str">
        <f>IFERROR(__xludf.DUMMYFUNCTION("""COMPUTED_VALUE"""),"SES-0002")</f>
        <v>SES-0002</v>
      </c>
      <c r="C323" s="50" t="str">
        <f>IFERROR(__xludf.DUMMYFUNCTION("""COMPUTED_VALUE"""),"francois.cellier@tootazimut.fr")</f>
        <v>francois.cellier@tootazimut.fr</v>
      </c>
      <c r="D323" s="127" t="str">
        <f>IFERROR(__xludf.DUMMYFUNCTION("""COMPUTED_VALUE"""),"https://drive.google.com/file/d/1U69QzSgL1sGVmE3D5EtMgl_MmXGOF6xX/view?usp=drivesdk")</f>
        <v>https://drive.google.com/file/d/1U69QzSgL1sGVmE3D5EtMgl_MmXGOF6xX/view?usp=drivesdk</v>
      </c>
    </row>
    <row r="324">
      <c r="A324" s="50" t="s">
        <v>1652</v>
      </c>
      <c r="B324" s="50" t="str">
        <f>IFERROR(__xludf.DUMMYFUNCTION("""COMPUTED_VALUE"""),"SES-0002")</f>
        <v>SES-0002</v>
      </c>
      <c r="C324" s="50" t="str">
        <f>IFERROR(__xludf.DUMMYFUNCTION("""COMPUTED_VALUE"""),"aurore.geudin@tootazimut.fr")</f>
        <v>aurore.geudin@tootazimut.fr</v>
      </c>
      <c r="D324" s="127" t="str">
        <f>IFERROR(__xludf.DUMMYFUNCTION("""COMPUTED_VALUE"""),"https://drive.google.com/file/d/14h4JAaLIFwJooHksF6zU7CsVLjzpq5-u/view?usp=drivesdk")</f>
        <v>https://drive.google.com/file/d/14h4JAaLIFwJooHksF6zU7CsVLjzpq5-u/view?usp=drivesdk</v>
      </c>
    </row>
    <row r="325">
      <c r="A325" s="50" t="s">
        <v>1655</v>
      </c>
      <c r="B325" s="50" t="str">
        <f>IFERROR(__xludf.DUMMYFUNCTION("""COMPUTED_VALUE"""),"SES-0002")</f>
        <v>SES-0002</v>
      </c>
      <c r="C325" s="50" t="str">
        <f>IFERROR(__xludf.DUMMYFUNCTION("""COMPUTED_VALUE"""),"criva@ucpasl.com")</f>
        <v>criva@ucpasl.com</v>
      </c>
      <c r="D325" s="127" t="str">
        <f>IFERROR(__xludf.DUMMYFUNCTION("""COMPUTED_VALUE"""),"https://drive.google.com/file/d/1j4TWVnNjXprDjzvGBpBXcH6L3LKSZLX9/view?usp=drivesdk")</f>
        <v>https://drive.google.com/file/d/1j4TWVnNjXprDjzvGBpBXcH6L3LKSZLX9/view?usp=drivesdk</v>
      </c>
    </row>
    <row r="326">
      <c r="A326" s="50" t="s">
        <v>1655</v>
      </c>
      <c r="B326" s="50" t="str">
        <f>IFERROR(__xludf.DUMMYFUNCTION("""COMPUTED_VALUE"""),"SES-0002")</f>
        <v>SES-0002</v>
      </c>
      <c r="C326" s="50" t="str">
        <f>IFERROR(__xludf.DUMMYFUNCTION("""COMPUTED_VALUE"""),"criva@ucpasl.com")</f>
        <v>criva@ucpasl.com</v>
      </c>
      <c r="D326" s="127" t="str">
        <f>IFERROR(__xludf.DUMMYFUNCTION("""COMPUTED_VALUE"""),"https://drive.google.com/file/d/1EmBa4FAERTSR2VRVKMSpm5GubmxUEIHl/view?usp=drivesdk")</f>
        <v>https://drive.google.com/file/d/1EmBa4FAERTSR2VRVKMSpm5GubmxUEIHl/view?usp=drivesdk</v>
      </c>
    </row>
    <row r="327">
      <c r="A327" s="50" t="s">
        <v>1661</v>
      </c>
      <c r="B327" s="50" t="str">
        <f>IFERROR(__xludf.DUMMYFUNCTION("""COMPUTED_VALUE"""),"SES-0002")</f>
        <v>SES-0002</v>
      </c>
      <c r="C327" s="50" t="str">
        <f>IFERROR(__xludf.DUMMYFUNCTION("""COMPUTED_VALUE"""),"cvincent@ucpasl.com")</f>
        <v>cvincent@ucpasl.com</v>
      </c>
      <c r="D327" s="127" t="str">
        <f>IFERROR(__xludf.DUMMYFUNCTION("""COMPUTED_VALUE"""),"https://drive.google.com/file/d/1HFXkTrUQ8mI7mp9ox_hwUEQogpkDhj2e/view?usp=drivesdk")</f>
        <v>https://drive.google.com/file/d/1HFXkTrUQ8mI7mp9ox_hwUEQogpkDhj2e/view?usp=drivesdk</v>
      </c>
    </row>
    <row r="328">
      <c r="A328" s="50" t="s">
        <v>1664</v>
      </c>
      <c r="B328" s="50" t="str">
        <f>IFERROR(__xludf.DUMMYFUNCTION("""COMPUTED_VALUE"""),"SES-0002")</f>
        <v>SES-0002</v>
      </c>
      <c r="C328" s="50" t="str">
        <f>IFERROR(__xludf.DUMMYFUNCTION("""COMPUTED_VALUE"""),"crios@ucpa.asso.fr")</f>
        <v>crios@ucpa.asso.fr</v>
      </c>
      <c r="D328" s="127" t="str">
        <f>IFERROR(__xludf.DUMMYFUNCTION("""COMPUTED_VALUE"""),"https://drive.google.com/file/d/1dtKtdd_2kCj2_XWZ00HVUoDI14oKWQL4/view?usp=drivesdk")</f>
        <v>https://drive.google.com/file/d/1dtKtdd_2kCj2_XWZ00HVUoDI14oKWQL4/view?usp=drivesdk</v>
      </c>
    </row>
    <row r="329">
      <c r="A329" s="50" t="s">
        <v>1667</v>
      </c>
      <c r="B329" s="50" t="str">
        <f>IFERROR(__xludf.DUMMYFUNCTION("""COMPUTED_VALUE"""),"SES-0002")</f>
        <v>SES-0002</v>
      </c>
      <c r="C329" s="50" t="str">
        <f>IFERROR(__xludf.DUMMYFUNCTION("""COMPUTED_VALUE"""),"vmorgan@ucpa.asso.fr")</f>
        <v>vmorgan@ucpa.asso.fr</v>
      </c>
      <c r="D329" s="127" t="str">
        <f>IFERROR(__xludf.DUMMYFUNCTION("""COMPUTED_VALUE"""),"https://drive.google.com/file/d/12EZ-0hdDByn4A9gXqy3Z4L9vFQIJgKL2/view?usp=drivesdk")</f>
        <v>https://drive.google.com/file/d/12EZ-0hdDByn4A9gXqy3Z4L9vFQIJgKL2/view?usp=drivesdk</v>
      </c>
    </row>
    <row r="330">
      <c r="A330" s="50" t="s">
        <v>1670</v>
      </c>
      <c r="B330" s="50" t="str">
        <f>IFERROR(__xludf.DUMMYFUNCTION("""COMPUTED_VALUE"""),"SES-0002")</f>
        <v>SES-0002</v>
      </c>
      <c r="C330" s="50" t="str">
        <f>IFERROR(__xludf.DUMMYFUNCTION("""COMPUTED_VALUE"""),"csimon@ucpa.asso.fr")</f>
        <v>csimon@ucpa.asso.fr</v>
      </c>
      <c r="D330" s="127" t="str">
        <f>IFERROR(__xludf.DUMMYFUNCTION("""COMPUTED_VALUE"""),"https://drive.google.com/file/d/1lEBclQDmBNasLSWXgu6GpjmLM1nX5T8A/view?usp=drivesdk")</f>
        <v>https://drive.google.com/file/d/1lEBclQDmBNasLSWXgu6GpjmLM1nX5T8A/view?usp=drivesdk</v>
      </c>
    </row>
    <row r="331">
      <c r="A331" s="50" t="s">
        <v>1674</v>
      </c>
      <c r="B331" s="50" t="str">
        <f>IFERROR(__xludf.DUMMYFUNCTION("""COMPUTED_VALUE"""),"SES-0002")</f>
        <v>SES-0002</v>
      </c>
      <c r="C331" s="50" t="str">
        <f>IFERROR(__xludf.DUMMYFUNCTION("""COMPUTED_VALUE"""),"vmissonnier@ucpa.asso.fr")</f>
        <v>vmissonnier@ucpa.asso.fr</v>
      </c>
      <c r="D331" s="127" t="str">
        <f>IFERROR(__xludf.DUMMYFUNCTION("""COMPUTED_VALUE"""),"https://drive.google.com/file/d/1lFqMuk9T6prpgaqenUZUP6Hwsdo0Ncm_/view?usp=drivesdk")</f>
        <v>https://drive.google.com/file/d/1lFqMuk9T6prpgaqenUZUP6Hwsdo0Ncm_/view?usp=drivesdk</v>
      </c>
    </row>
    <row r="332">
      <c r="A332" s="50" t="s">
        <v>1677</v>
      </c>
      <c r="B332" s="50" t="str">
        <f>IFERROR(__xludf.DUMMYFUNCTION("""COMPUTED_VALUE"""),"SES-0002")</f>
        <v>SES-0002</v>
      </c>
      <c r="C332" s="50" t="str">
        <f>IFERROR(__xludf.DUMMYFUNCTION("""COMPUTED_VALUE"""),"smorvan@ucpasl.com")</f>
        <v>smorvan@ucpasl.com</v>
      </c>
      <c r="D332" s="127" t="str">
        <f>IFERROR(__xludf.DUMMYFUNCTION("""COMPUTED_VALUE"""),"https://drive.google.com/file/d/1aj7Q5nXzie7X_kkGv7Mr5TZMo32MVvqQ/view?usp=drivesdk")</f>
        <v>https://drive.google.com/file/d/1aj7Q5nXzie7X_kkGv7Mr5TZMo32MVvqQ/view?usp=drivesdk</v>
      </c>
    </row>
    <row r="333">
      <c r="A333" s="50" t="s">
        <v>1680</v>
      </c>
      <c r="B333" s="50" t="str">
        <f>IFERROR(__xludf.DUMMYFUNCTION("""COMPUTED_VALUE"""),"SES-0002")</f>
        <v>SES-0002</v>
      </c>
      <c r="C333" s="50" t="str">
        <f>IFERROR(__xludf.DUMMYFUNCTION("""COMPUTED_VALUE"""),"stefanie.zanaret@gmail.com")</f>
        <v>stefanie.zanaret@gmail.com</v>
      </c>
      <c r="D333" s="127" t="str">
        <f>IFERROR(__xludf.DUMMYFUNCTION("""COMPUTED_VALUE"""),"https://drive.google.com/file/d/1nEUcans5pxNoQdhVDl_cCCF39uTDdH75/view?usp=drivesdk")</f>
        <v>https://drive.google.com/file/d/1nEUcans5pxNoQdhVDl_cCCF39uTDdH75/view?usp=drivesdk</v>
      </c>
    </row>
    <row r="334">
      <c r="A334" s="50" t="s">
        <v>1683</v>
      </c>
      <c r="B334" s="50" t="str">
        <f>IFERROR(__xludf.DUMMYFUNCTION("""COMPUTED_VALUE"""),"SES-0002")</f>
        <v>SES-0002</v>
      </c>
      <c r="C334" s="50" t="str">
        <f>IFERROR(__xludf.DUMMYFUNCTION("""COMPUTED_VALUE"""),"clecain@ucpa.asso.fr")</f>
        <v>clecain@ucpa.asso.fr</v>
      </c>
      <c r="D334" s="127" t="str">
        <f>IFERROR(__xludf.DUMMYFUNCTION("""COMPUTED_VALUE"""),"https://drive.google.com/file/d/1WxQnPDGyuKLDhmNp2E_AF1gpTLgRiy6l/view?usp=drivesdk")</f>
        <v>https://drive.google.com/file/d/1WxQnPDGyuKLDhmNp2E_AF1gpTLgRiy6l/view?usp=drivesdk</v>
      </c>
    </row>
    <row r="335">
      <c r="A335" s="50" t="s">
        <v>1686</v>
      </c>
      <c r="B335" s="50" t="str">
        <f>IFERROR(__xludf.DUMMYFUNCTION("""COMPUTED_VALUE"""),"SES-0002")</f>
        <v>SES-0002</v>
      </c>
      <c r="C335" s="50" t="str">
        <f>IFERROR(__xludf.DUMMYFUNCTION("""COMPUTED_VALUE"""),"rhalimi@ucpa.asso.fr")</f>
        <v>rhalimi@ucpa.asso.fr</v>
      </c>
      <c r="D335" s="127" t="str">
        <f>IFERROR(__xludf.DUMMYFUNCTION("""COMPUTED_VALUE"""),"https://drive.google.com/file/d/1N-PKkpWQPuoplyB3cl1MRHoWrvYnvFEh/view?usp=drivesdk")</f>
        <v>https://drive.google.com/file/d/1N-PKkpWQPuoplyB3cl1MRHoWrvYnvFEh/view?usp=drivesdk</v>
      </c>
    </row>
    <row r="336">
      <c r="A336" s="50" t="s">
        <v>1690</v>
      </c>
      <c r="B336" s="50" t="str">
        <f>IFERROR(__xludf.DUMMYFUNCTION("""COMPUTED_VALUE"""),"SES-0002")</f>
        <v>SES-0002</v>
      </c>
      <c r="C336" s="50" t="str">
        <f>IFERROR(__xludf.DUMMYFUNCTION("""COMPUTED_VALUE"""),"gpersonnic@ucpa.asso.fr")</f>
        <v>gpersonnic@ucpa.asso.fr</v>
      </c>
      <c r="D336" s="127" t="str">
        <f>IFERROR(__xludf.DUMMYFUNCTION("""COMPUTED_VALUE"""),"https://drive.google.com/file/d/1fxwED91ZZ2Ggr1xfqLYRQIjkUeDntuJD/view?usp=drivesdk")</f>
        <v>https://drive.google.com/file/d/1fxwED91ZZ2Ggr1xfqLYRQIjkUeDntuJD/view?usp=drivesdk</v>
      </c>
    </row>
    <row r="337">
      <c r="A337" s="50" t="s">
        <v>1693</v>
      </c>
      <c r="B337" s="50" t="str">
        <f>IFERROR(__xludf.DUMMYFUNCTION("""COMPUTED_VALUE"""),"SES-0002")</f>
        <v>SES-0002</v>
      </c>
      <c r="C337" s="50" t="str">
        <f>IFERROR(__xludf.DUMMYFUNCTION("""COMPUTED_VALUE"""),"spornin@ucpa.asso.fr")</f>
        <v>spornin@ucpa.asso.fr</v>
      </c>
      <c r="D337" s="127" t="str">
        <f>IFERROR(__xludf.DUMMYFUNCTION("""COMPUTED_VALUE"""),"https://drive.google.com/file/d/1L5TmGqQauidtdwgqcFHR0iQVL7sGGBXe/view?usp=drivesdk")</f>
        <v>https://drive.google.com/file/d/1L5TmGqQauidtdwgqcFHR0iQVL7sGGBXe/view?usp=drivesdk</v>
      </c>
    </row>
    <row r="338">
      <c r="A338" s="50" t="s">
        <v>1697</v>
      </c>
      <c r="B338" s="50" t="str">
        <f>IFERROR(__xludf.DUMMYFUNCTION("""COMPUTED_VALUE"""),"SES-0002")</f>
        <v>SES-0002</v>
      </c>
      <c r="C338" s="50" t="str">
        <f>IFERROR(__xludf.DUMMYFUNCTION("""COMPUTED_VALUE"""),"mlabetant@ucpa.asso.fr")</f>
        <v>mlabetant@ucpa.asso.fr</v>
      </c>
      <c r="D338" s="127" t="str">
        <f>IFERROR(__xludf.DUMMYFUNCTION("""COMPUTED_VALUE"""),"https://drive.google.com/file/d/1MjdAEC5qysaTiCYdBVSQqAovqePeWkb9/view?usp=drivesdk")</f>
        <v>https://drive.google.com/file/d/1MjdAEC5qysaTiCYdBVSQqAovqePeWkb9/view?usp=drivesdk</v>
      </c>
    </row>
    <row r="339">
      <c r="A339" s="50" t="s">
        <v>1701</v>
      </c>
      <c r="B339" s="50" t="str">
        <f>IFERROR(__xludf.DUMMYFUNCTION("""COMPUTED_VALUE"""),"SES-0002")</f>
        <v>SES-0002</v>
      </c>
      <c r="C339" s="50" t="str">
        <f>IFERROR(__xludf.DUMMYFUNCTION("""COMPUTED_VALUE"""),"jperrin@ucpa.asso.fr")</f>
        <v>jperrin@ucpa.asso.fr</v>
      </c>
      <c r="D339" s="127" t="str">
        <f>IFERROR(__xludf.DUMMYFUNCTION("""COMPUTED_VALUE"""),"https://drive.google.com/file/d/1l0UDvQPuymxfjtbBHuTPYQVvqo9DSkXh/view?usp=drivesdk")</f>
        <v>https://drive.google.com/file/d/1l0UDvQPuymxfjtbBHuTPYQVvqo9DSkXh/view?usp=drivesdk</v>
      </c>
    </row>
    <row r="340">
      <c r="A340" s="50" t="s">
        <v>1704</v>
      </c>
      <c r="B340" s="50" t="str">
        <f>IFERROR(__xludf.DUMMYFUNCTION("""COMPUTED_VALUE"""),"SES-0002")</f>
        <v>SES-0002</v>
      </c>
      <c r="C340" s="50" t="str">
        <f>IFERROR(__xludf.DUMMYFUNCTION("""COMPUTED_VALUE"""),"nlienard@ucpa.asso.fr")</f>
        <v>nlienard@ucpa.asso.fr</v>
      </c>
      <c r="D340" s="127" t="str">
        <f>IFERROR(__xludf.DUMMYFUNCTION("""COMPUTED_VALUE"""),"https://drive.google.com/file/d/1qfhWTmCGCNemTH3yMIvXcnMY4oa4hL1R/view?usp=drivesdk")</f>
        <v>https://drive.google.com/file/d/1qfhWTmCGCNemTH3yMIvXcnMY4oa4hL1R/view?usp=drivesdk</v>
      </c>
    </row>
    <row r="341">
      <c r="A341" s="50" t="s">
        <v>1707</v>
      </c>
      <c r="B341" s="50" t="str">
        <f>IFERROR(__xludf.DUMMYFUNCTION("""COMPUTED_VALUE"""),"SES-0002")</f>
        <v>SES-0002</v>
      </c>
      <c r="C341" s="50" t="str">
        <f>IFERROR(__xludf.DUMMYFUNCTION("""COMPUTED_VALUE"""),"jm.jugielaffitte@labalaguere.com")</f>
        <v>jm.jugielaffitte@labalaguere.com</v>
      </c>
      <c r="D341" s="127" t="str">
        <f>IFERROR(__xludf.DUMMYFUNCTION("""COMPUTED_VALUE"""),"https://drive.google.com/file/d/1HuG3e_0OTRm6Dw0gNx0q-ikpRiAmv5wW/view?usp=drivesdk")</f>
        <v>https://drive.google.com/file/d/1HuG3e_0OTRm6Dw0gNx0q-ikpRiAmv5wW/view?usp=drivesdk</v>
      </c>
    </row>
    <row r="342">
      <c r="A342" s="50" t="s">
        <v>1710</v>
      </c>
      <c r="B342" s="50" t="str">
        <f>IFERROR(__xludf.DUMMYFUNCTION("""COMPUTED_VALUE"""),"SES-0002")</f>
        <v>SES-0002</v>
      </c>
      <c r="C342" s="50" t="str">
        <f>IFERROR(__xludf.DUMMYFUNCTION("""COMPUTED_VALUE"""),"rthivin@ucpa.asso.fr")</f>
        <v>rthivin@ucpa.asso.fr</v>
      </c>
      <c r="D342" s="127" t="str">
        <f>IFERROR(__xludf.DUMMYFUNCTION("""COMPUTED_VALUE"""),"https://drive.google.com/file/d/15tWdWfq3P7_7JTW65rBXTn0G5erpqLLw/view?usp=drivesdk")</f>
        <v>https://drive.google.com/file/d/15tWdWfq3P7_7JTW65rBXTn0G5erpqLLw/view?usp=drivesdk</v>
      </c>
    </row>
    <row r="343">
      <c r="A343" s="50" t="s">
        <v>1714</v>
      </c>
      <c r="B343" s="50" t="str">
        <f>IFERROR(__xludf.DUMMYFUNCTION("""COMPUTED_VALUE"""),"SES-0003")</f>
        <v>SES-0003</v>
      </c>
      <c r="C343" s="50" t="str">
        <f>IFERROR(__xludf.DUMMYFUNCTION("""COMPUTED_VALUE"""),"gebonnard@ucpa.asso.fr")</f>
        <v>gebonnard@ucpa.asso.fr</v>
      </c>
      <c r="D343" s="127" t="str">
        <f>IFERROR(__xludf.DUMMYFUNCTION("""COMPUTED_VALUE"""),"https://drive.google.com/file/d/1uhzMzBFd766QgNn14Q3PaQYbSj5AAZYX/view?usp=drivesdk")</f>
        <v>https://drive.google.com/file/d/1uhzMzBFd766QgNn14Q3PaQYbSj5AAZYX/view?usp=drivesdk</v>
      </c>
    </row>
    <row r="344">
      <c r="A344" s="50" t="s">
        <v>1717</v>
      </c>
      <c r="B344" s="50" t="str">
        <f>IFERROR(__xludf.DUMMYFUNCTION("""COMPUTED_VALUE"""),"SES-0003")</f>
        <v>SES-0003</v>
      </c>
      <c r="C344" s="50" t="str">
        <f>IFERROR(__xludf.DUMMYFUNCTION("""COMPUTED_VALUE"""),"mvaujany@ucpa.asso.fr")</f>
        <v>mvaujany@ucpa.asso.fr</v>
      </c>
      <c r="D344" s="127" t="str">
        <f>IFERROR(__xludf.DUMMYFUNCTION("""COMPUTED_VALUE"""),"https://drive.google.com/file/d/1cQ_qRWCdDrQC5YqDvGmkbfbiKbJIAQOR/view?usp=drivesdk")</f>
        <v>https://drive.google.com/file/d/1cQ_qRWCdDrQC5YqDvGmkbfbiKbJIAQOR/view?usp=drivesdk</v>
      </c>
    </row>
    <row r="345">
      <c r="A345" s="50" t="s">
        <v>1721</v>
      </c>
      <c r="B345" s="50" t="str">
        <f>IFERROR(__xludf.DUMMYFUNCTION("""COMPUTED_VALUE"""),"SES-0003")</f>
        <v>SES-0003</v>
      </c>
      <c r="C345" s="50" t="str">
        <f>IFERROR(__xludf.DUMMYFUNCTION("""COMPUTED_VALUE"""),"asupiot@ucpa.asso.fr")</f>
        <v>asupiot@ucpa.asso.fr</v>
      </c>
      <c r="D345" s="127" t="str">
        <f>IFERROR(__xludf.DUMMYFUNCTION("""COMPUTED_VALUE"""),"https://drive.google.com/file/d/1Mzi0vTuApqFcIFijtyaRHM1knwErBTgY/view?usp=drivesdk")</f>
        <v>https://drive.google.com/file/d/1Mzi0vTuApqFcIFijtyaRHM1knwErBTgY/view?usp=drivesdk</v>
      </c>
    </row>
    <row r="346">
      <c r="A346" s="50" t="s">
        <v>1726</v>
      </c>
      <c r="B346" s="50" t="str">
        <f>IFERROR(__xludf.DUMMYFUNCTION("""COMPUTED_VALUE"""),"SES-0003")</f>
        <v>SES-0003</v>
      </c>
      <c r="C346" s="50" t="str">
        <f>IFERROR(__xludf.DUMMYFUNCTION("""COMPUTED_VALUE"""),"mboudon@ucpa.asso.fr")</f>
        <v>mboudon@ucpa.asso.fr</v>
      </c>
      <c r="D346" s="127" t="str">
        <f>IFERROR(__xludf.DUMMYFUNCTION("""COMPUTED_VALUE"""),"https://drive.google.com/file/d/1OCEOKAg406LoLmiRdzzqElSTZixZ4Cnw/view?usp=drivesdk")</f>
        <v>https://drive.google.com/file/d/1OCEOKAg406LoLmiRdzzqElSTZixZ4Cnw/view?usp=drivesdk</v>
      </c>
    </row>
    <row r="347">
      <c r="A347" s="50" t="s">
        <v>1731</v>
      </c>
      <c r="B347" s="50" t="str">
        <f>IFERROR(__xludf.DUMMYFUNCTION("""COMPUTED_VALUE"""),"SES-0004")</f>
        <v>SES-0004</v>
      </c>
      <c r="C347" s="50" t="str">
        <f>IFERROR(__xludf.DUMMYFUNCTION("""COMPUTED_VALUE"""),"asupiot@ucpa.asso.fr")</f>
        <v>asupiot@ucpa.asso.fr</v>
      </c>
      <c r="D347" s="127" t="str">
        <f>IFERROR(__xludf.DUMMYFUNCTION("""COMPUTED_VALUE"""),"https://drive.google.com/file/d/1jDKyjcp8gvgnr6AVuT7tirZ6-OG6FTbH/view?usp=drivesdk")</f>
        <v>https://drive.google.com/file/d/1jDKyjcp8gvgnr6AVuT7tirZ6-OG6FTbH/view?usp=drivesdk</v>
      </c>
    </row>
    <row r="348">
      <c r="A348" s="50" t="s">
        <v>1735</v>
      </c>
      <c r="B348" s="50" t="str">
        <f>IFERROR(__xludf.DUMMYFUNCTION("""COMPUTED_VALUE"""),"SES-0004")</f>
        <v>SES-0004</v>
      </c>
      <c r="C348" s="50" t="str">
        <f>IFERROR(__xludf.DUMMYFUNCTION("""COMPUTED_VALUE"""),"gebonnard@ucpa.asso.fr")</f>
        <v>gebonnard@ucpa.asso.fr</v>
      </c>
      <c r="D348" s="127" t="str">
        <f>IFERROR(__xludf.DUMMYFUNCTION("""COMPUTED_VALUE"""),"https://drive.google.com/file/d/1Kshsyw6mXQqDYPBveAWvW0AXjSIuCUlZ/view?usp=drivesdk")</f>
        <v>https://drive.google.com/file/d/1Kshsyw6mXQqDYPBveAWvW0AXjSIuCUlZ/view?usp=drivesdk</v>
      </c>
    </row>
    <row r="349">
      <c r="A349" s="50" t="s">
        <v>1738</v>
      </c>
      <c r="B349" s="50" t="str">
        <f>IFERROR(__xludf.DUMMYFUNCTION("""COMPUTED_VALUE"""),"SES-0005")</f>
        <v>SES-0005</v>
      </c>
      <c r="C349" s="50" t="str">
        <f>IFERROR(__xludf.DUMMYFUNCTION("""COMPUTED_VALUE"""),"gebonnard@ucpa.asso.fr")</f>
        <v>gebonnard@ucpa.asso.fr</v>
      </c>
      <c r="D349" s="127" t="str">
        <f>IFERROR(__xludf.DUMMYFUNCTION("""COMPUTED_VALUE"""),"https://drive.google.com/file/d/1c2hPreWkFBNRC3KUpiLMdZ-M6ToJuq_q/view?usp=drivesdk")</f>
        <v>https://drive.google.com/file/d/1c2hPreWkFBNRC3KUpiLMdZ-M6ToJuq_q/view?usp=drivesdk</v>
      </c>
    </row>
    <row r="350">
      <c r="A350" s="50" t="s">
        <v>1744</v>
      </c>
      <c r="B350" s="50" t="str">
        <f>IFERROR(__xludf.DUMMYFUNCTION("""COMPUTED_VALUE"""),"SES-0003")</f>
        <v>SES-0003</v>
      </c>
      <c r="C350" s="50" t="str">
        <f>IFERROR(__xludf.DUMMYFUNCTION("""COMPUTED_VALUE"""),"cklipfel@ucpa.asso.fr")</f>
        <v>cklipfel@ucpa.asso.fr</v>
      </c>
      <c r="D350" s="127" t="str">
        <f>IFERROR(__xludf.DUMMYFUNCTION("""COMPUTED_VALUE"""),"https://drive.google.com/file/d/1ICEECJou3xZrCvyNc-82J1cL9dSJDB9f/view?usp=drivesdk")</f>
        <v>https://drive.google.com/file/d/1ICEECJou3xZrCvyNc-82J1cL9dSJDB9f/view?usp=drivesdk</v>
      </c>
    </row>
    <row r="351">
      <c r="A351" s="50" t="s">
        <v>1746</v>
      </c>
      <c r="B351" s="50" t="str">
        <f>IFERROR(__xludf.DUMMYFUNCTION("""COMPUTED_VALUE"""),"SES-0003")</f>
        <v>SES-0003</v>
      </c>
      <c r="C351" s="50" t="str">
        <f>IFERROR(__xludf.DUMMYFUNCTION("""COMPUTED_VALUE"""),"mnodin@ucpa.asso.fr")</f>
        <v>mnodin@ucpa.asso.fr</v>
      </c>
      <c r="D351" s="127" t="str">
        <f>IFERROR(__xludf.DUMMYFUNCTION("""COMPUTED_VALUE"""),"https://drive.google.com/file/d/1b1iWcrqFl9ks9zJ7wp4yocjLzE0qIvXa/view?usp=drivesdk")</f>
        <v>https://drive.google.com/file/d/1b1iWcrqFl9ks9zJ7wp4yocjLzE0qIvXa/view?usp=drivesdk</v>
      </c>
    </row>
    <row r="352">
      <c r="A352" s="50" t="s">
        <v>1748</v>
      </c>
      <c r="B352" s="50" t="str">
        <f>IFERROR(__xludf.DUMMYFUNCTION("""COMPUTED_VALUE"""),"SES-0004")</f>
        <v>SES-0004</v>
      </c>
      <c r="C352" s="50" t="str">
        <f>IFERROR(__xludf.DUMMYFUNCTION("""COMPUTED_VALUE"""),"mnodin@ucpa.asso.fr")</f>
        <v>mnodin@ucpa.asso.fr</v>
      </c>
      <c r="D352" s="127" t="str">
        <f>IFERROR(__xludf.DUMMYFUNCTION("""COMPUTED_VALUE"""),"https://drive.google.com/file/d/1698ouHLg9C2RLcPmDozTvongjAhgmvAH/view?usp=drivesdk")</f>
        <v>https://drive.google.com/file/d/1698ouHLg9C2RLcPmDozTvongjAhgmvAH/view?usp=drivesdk</v>
      </c>
    </row>
    <row r="353">
      <c r="A353" s="50" t="s">
        <v>1751</v>
      </c>
      <c r="B353" s="50" t="str">
        <f>IFERROR(__xludf.DUMMYFUNCTION("""COMPUTED_VALUE"""),"SES-0004")</f>
        <v>SES-0004</v>
      </c>
      <c r="C353" s="50" t="str">
        <f>IFERROR(__xludf.DUMMYFUNCTION("""COMPUTED_VALUE"""),"cklipfel@ucpa.asso.fr")</f>
        <v>cklipfel@ucpa.asso.fr</v>
      </c>
      <c r="D353" s="127" t="str">
        <f>IFERROR(__xludf.DUMMYFUNCTION("""COMPUTED_VALUE"""),"https://drive.google.com/file/d/1cNgMFZ4PulcG7-q-jMGiyBNFSsVZeFeA/view?usp=drivesdk")</f>
        <v>https://drive.google.com/file/d/1cNgMFZ4PulcG7-q-jMGiyBNFSsVZeFeA/view?usp=drivesdk</v>
      </c>
    </row>
    <row r="354">
      <c r="A354" s="50" t="s">
        <v>1753</v>
      </c>
      <c r="B354" s="50" t="str">
        <f>IFERROR(__xludf.DUMMYFUNCTION("""COMPUTED_VALUE"""),"SES-0005")</f>
        <v>SES-0005</v>
      </c>
      <c r="C354" s="50" t="str">
        <f>IFERROR(__xludf.DUMMYFUNCTION("""COMPUTED_VALUE"""),"mnodin@ucpa.asso.fr")</f>
        <v>mnodin@ucpa.asso.fr</v>
      </c>
      <c r="D354" s="127" t="str">
        <f>IFERROR(__xludf.DUMMYFUNCTION("""COMPUTED_VALUE"""),"https://drive.google.com/file/d/1q2uFSMVN-vksQ6dYupCsJcmiRO_wGOl_/view?usp=drivesdk")</f>
        <v>https://drive.google.com/file/d/1q2uFSMVN-vksQ6dYupCsJcmiRO_wGOl_/view?usp=drivesdk</v>
      </c>
    </row>
    <row r="355">
      <c r="A355" s="50" t="s">
        <v>1756</v>
      </c>
      <c r="B355" s="50" t="str">
        <f>IFERROR(__xludf.DUMMYFUNCTION("""COMPUTED_VALUE"""),"SES-0003")</f>
        <v>SES-0003</v>
      </c>
      <c r="C355" s="50" t="str">
        <f>IFERROR(__xludf.DUMMYFUNCTION("""COMPUTED_VALUE"""),"marie.defer@tootazimut.fr")</f>
        <v>marie.defer@tootazimut.fr</v>
      </c>
      <c r="D355" s="127" t="str">
        <f>IFERROR(__xludf.DUMMYFUNCTION("""COMPUTED_VALUE"""),"https://drive.google.com/file/d/1jJFk-xXTLNVVfv2u77x47wEDeGJkWK2U/view?usp=drivesdk")</f>
        <v>https://drive.google.com/file/d/1jJFk-xXTLNVVfv2u77x47wEDeGJkWK2U/view?usp=drivesdk</v>
      </c>
    </row>
    <row r="356">
      <c r="A356" s="50" t="s">
        <v>1758</v>
      </c>
      <c r="B356" s="50" t="str">
        <f>IFERROR(__xludf.DUMMYFUNCTION("""COMPUTED_VALUE"""),"SES-0004")</f>
        <v>SES-0004</v>
      </c>
      <c r="C356" s="50" t="str">
        <f>IFERROR(__xludf.DUMMYFUNCTION("""COMPUTED_VALUE"""),"marie.defer@tootazimut.fr")</f>
        <v>marie.defer@tootazimut.fr</v>
      </c>
      <c r="D356" s="127" t="str">
        <f>IFERROR(__xludf.DUMMYFUNCTION("""COMPUTED_VALUE"""),"https://drive.google.com/file/d/19B5W2-jwaS2PI17g9BRyvxapOA947DDW/view?usp=drivesdk")</f>
        <v>https://drive.google.com/file/d/19B5W2-jwaS2PI17g9BRyvxapOA947DDW/view?usp=drivesdk</v>
      </c>
    </row>
    <row r="357">
      <c r="A357" s="50" t="s">
        <v>1761</v>
      </c>
      <c r="B357" s="50" t="str">
        <f>IFERROR(__xludf.DUMMYFUNCTION("""COMPUTED_VALUE"""),"SES-0005")</f>
        <v>SES-0005</v>
      </c>
      <c r="C357" s="50" t="str">
        <f>IFERROR(__xludf.DUMMYFUNCTION("""COMPUTED_VALUE"""),"marie0defer@tootazimut.fr")</f>
        <v>marie0defer@tootazimut.fr</v>
      </c>
      <c r="D357" s="127" t="str">
        <f>IFERROR(__xludf.DUMMYFUNCTION("""COMPUTED_VALUE"""),"https://drive.google.com/file/d/1lHmOe0Yq9hINAmdQut83Ysy_zRD1F4S1/view?usp=drivesdk")</f>
        <v>https://drive.google.com/file/d/1lHmOe0Yq9hINAmdQut83Ysy_zRD1F4S1/view?usp=drivesdk</v>
      </c>
    </row>
    <row r="358">
      <c r="A358" s="50" t="s">
        <v>1764</v>
      </c>
      <c r="B358" s="50" t="str">
        <f>IFERROR(__xludf.DUMMYFUNCTION("""COMPUTED_VALUE"""),"SES-0005")</f>
        <v>SES-0005</v>
      </c>
      <c r="C358" s="50" t="str">
        <f>IFERROR(__xludf.DUMMYFUNCTION("""COMPUTED_VALUE"""),"cklipfel@ucpa.asso.fr")</f>
        <v>cklipfel@ucpa.asso.fr</v>
      </c>
      <c r="D358" s="127" t="str">
        <f>IFERROR(__xludf.DUMMYFUNCTION("""COMPUTED_VALUE"""),"https://drive.google.com/file/d/1Z6OJupNRwl2d8FsMeMEROl4viwfjFehp/view?usp=drivesdk")</f>
        <v>https://drive.google.com/file/d/1Z6OJupNRwl2d8FsMeMEROl4viwfjFehp/view?usp=drivesdk</v>
      </c>
    </row>
    <row r="359">
      <c r="A359" s="50" t="s">
        <v>1766</v>
      </c>
      <c r="B359" s="50" t="str">
        <f>IFERROR(__xludf.DUMMYFUNCTION("""COMPUTED_VALUE"""),"SES-0003")</f>
        <v>SES-0003</v>
      </c>
      <c r="C359" s="50" t="str">
        <f>IFERROR(__xludf.DUMMYFUNCTION("""COMPUTED_VALUE"""),"mdidier@ucpa.asso.fr")</f>
        <v>mdidier@ucpa.asso.fr</v>
      </c>
      <c r="D359" s="127" t="str">
        <f>IFERROR(__xludf.DUMMYFUNCTION("""COMPUTED_VALUE"""),"https://drive.google.com/file/d/1GzaLcBQljtJt3FTbBE7x2VZSPlKAU7EU/view?usp=drivesdk")</f>
        <v>https://drive.google.com/file/d/1GzaLcBQljtJt3FTbBE7x2VZSPlKAU7EU/view?usp=drivesdk</v>
      </c>
    </row>
    <row r="360">
      <c r="A360" s="50" t="s">
        <v>1768</v>
      </c>
      <c r="B360" s="50" t="str">
        <f>IFERROR(__xludf.DUMMYFUNCTION("""COMPUTED_VALUE"""),"SES-0004")</f>
        <v>SES-0004</v>
      </c>
      <c r="C360" s="50" t="str">
        <f>IFERROR(__xludf.DUMMYFUNCTION("""COMPUTED_VALUE"""),"mdidier@ucpa.asso.fr")</f>
        <v>mdidier@ucpa.asso.fr</v>
      </c>
      <c r="D360" s="127" t="str">
        <f>IFERROR(__xludf.DUMMYFUNCTION("""COMPUTED_VALUE"""),"https://drive.google.com/file/d/1kgKDut1HZJ1TF0930m58PoKCHHnQSp6n/view?usp=drivesdk")</f>
        <v>https://drive.google.com/file/d/1kgKDut1HZJ1TF0930m58PoKCHHnQSp6n/view?usp=drivesdk</v>
      </c>
    </row>
    <row r="361">
      <c r="A361" s="50" t="s">
        <v>1771</v>
      </c>
      <c r="B361" s="50" t="str">
        <f>IFERROR(__xludf.DUMMYFUNCTION("""COMPUTED_VALUE"""),"SES-0005")</f>
        <v>SES-0005</v>
      </c>
      <c r="C361" s="50" t="str">
        <f>IFERROR(__xludf.DUMMYFUNCTION("""COMPUTED_VALUE"""),"mdidier@ucpa.asso.fr")</f>
        <v>mdidier@ucpa.asso.fr</v>
      </c>
      <c r="D361" s="127" t="str">
        <f>IFERROR(__xludf.DUMMYFUNCTION("""COMPUTED_VALUE"""),"https://drive.google.com/file/d/1CZ0V2gxkokuQMjVEHUWZYm2rLSpY4McT/view?usp=drivesdk")</f>
        <v>https://drive.google.com/file/d/1CZ0V2gxkokuQMjVEHUWZYm2rLSpY4McT/view?usp=drivesdk</v>
      </c>
    </row>
    <row r="362">
      <c r="A362" s="50" t="s">
        <v>1775</v>
      </c>
      <c r="B362" s="50" t="str">
        <f>IFERROR(__xludf.DUMMYFUNCTION("""COMPUTED_VALUE"""),"SES-0005")</f>
        <v>SES-0005</v>
      </c>
      <c r="C362" s="50" t="str">
        <f>IFERROR(__xludf.DUMMYFUNCTION("""COMPUTED_VALUE"""),"hmaziere@ucpa.asso.fr")</f>
        <v>hmaziere@ucpa.asso.fr</v>
      </c>
      <c r="D362" s="127" t="str">
        <f>IFERROR(__xludf.DUMMYFUNCTION("""COMPUTED_VALUE"""),"https://drive.google.com/file/d/1jb9toYRwFUTpi_b5zLM17LfiC4EtksPV/view?usp=drivesdk")</f>
        <v>https://drive.google.com/file/d/1jb9toYRwFUTpi_b5zLM17LfiC4EtksPV/view?usp=drivesdk</v>
      </c>
    </row>
    <row r="363">
      <c r="A363" s="50" t="s">
        <v>1778</v>
      </c>
      <c r="B363" s="50" t="str">
        <f>IFERROR(__xludf.DUMMYFUNCTION("""COMPUTED_VALUE"""),"SES-0003")</f>
        <v>SES-0003</v>
      </c>
      <c r="C363" s="50" t="str">
        <f>IFERROR(__xludf.DUMMYFUNCTION("""COMPUTED_VALUE"""),"zoubida.sofi@tootazimut.fr")</f>
        <v>zoubida.sofi@tootazimut.fr</v>
      </c>
      <c r="D363" s="127" t="str">
        <f>IFERROR(__xludf.DUMMYFUNCTION("""COMPUTED_VALUE"""),"https://drive.google.com/file/d/1z1V0hWJZrhqgNj3ytUiF6waUSu42dGFT/view?usp=drivesdk")</f>
        <v>https://drive.google.com/file/d/1z1V0hWJZrhqgNj3ytUiF6waUSu42dGFT/view?usp=drivesdk</v>
      </c>
    </row>
    <row r="364">
      <c r="A364" s="50" t="s">
        <v>1780</v>
      </c>
      <c r="B364" s="50" t="str">
        <f>IFERROR(__xludf.DUMMYFUNCTION("""COMPUTED_VALUE"""),"SES-0004")</f>
        <v>SES-0004</v>
      </c>
      <c r="C364" s="50" t="str">
        <f>IFERROR(__xludf.DUMMYFUNCTION("""COMPUTED_VALUE"""),"zoubida.sofi@tootazimut.fr")</f>
        <v>zoubida.sofi@tootazimut.fr</v>
      </c>
      <c r="D364" s="127" t="str">
        <f>IFERROR(__xludf.DUMMYFUNCTION("""COMPUTED_VALUE"""),"https://drive.google.com/file/d/1RZO3fXELypm84qgqXo4RQiS1EBcnzQZg/view?usp=drivesdk")</f>
        <v>https://drive.google.com/file/d/1RZO3fXELypm84qgqXo4RQiS1EBcnzQZg/view?usp=drivesdk</v>
      </c>
    </row>
    <row r="365">
      <c r="A365" s="50" t="s">
        <v>1783</v>
      </c>
      <c r="B365" s="50" t="str">
        <f>IFERROR(__xludf.DUMMYFUNCTION("""COMPUTED_VALUE"""),"SES-0003")</f>
        <v>SES-0003</v>
      </c>
      <c r="C365" s="50" t="str">
        <f>IFERROR(__xludf.DUMMYFUNCTION("""COMPUTED_VALUE"""),"pbreton@ucpa.asso.fr")</f>
        <v>pbreton@ucpa.asso.fr</v>
      </c>
      <c r="D365" s="127" t="str">
        <f>IFERROR(__xludf.DUMMYFUNCTION("""COMPUTED_VALUE"""),"https://drive.google.com/file/d/1XRPzm65UtQwbE9h6i8PdzWMzclrUIhch/view?usp=drivesdk")</f>
        <v>https://drive.google.com/file/d/1XRPzm65UtQwbE9h6i8PdzWMzclrUIhch/view?usp=drivesdk</v>
      </c>
    </row>
    <row r="366">
      <c r="A366" s="50" t="s">
        <v>1786</v>
      </c>
      <c r="B366" s="50" t="str">
        <f>IFERROR(__xludf.DUMMYFUNCTION("""COMPUTED_VALUE"""),"SES-0004")</f>
        <v>SES-0004</v>
      </c>
      <c r="C366" s="50" t="str">
        <f>IFERROR(__xludf.DUMMYFUNCTION("""COMPUTED_VALUE"""),"pbreton@ucpa.asso.fr")</f>
        <v>pbreton@ucpa.asso.fr</v>
      </c>
      <c r="D366" s="127" t="str">
        <f>IFERROR(__xludf.DUMMYFUNCTION("""COMPUTED_VALUE"""),"https://drive.google.com/file/d/1eYw20duzYmTtQ_uTpeGRJlhwWmLIRHiE/view?usp=drivesdk")</f>
        <v>https://drive.google.com/file/d/1eYw20duzYmTtQ_uTpeGRJlhwWmLIRHiE/view?usp=drivesdk</v>
      </c>
    </row>
    <row r="367">
      <c r="A367" s="50" t="s">
        <v>1788</v>
      </c>
      <c r="B367" s="50" t="str">
        <f>IFERROR(__xludf.DUMMYFUNCTION("""COMPUTED_VALUE"""),"SES-0005")</f>
        <v>SES-0005</v>
      </c>
      <c r="C367" s="50" t="str">
        <f>IFERROR(__xludf.DUMMYFUNCTION("""COMPUTED_VALUE"""),"pbreton@ucpa.asso.fr")</f>
        <v>pbreton@ucpa.asso.fr</v>
      </c>
      <c r="D367" s="127" t="str">
        <f>IFERROR(__xludf.DUMMYFUNCTION("""COMPUTED_VALUE"""),"https://drive.google.com/file/d/1rCZHap-8foZe1nLv7LBts14J7y172r9p/view?usp=drivesdk")</f>
        <v>https://drive.google.com/file/d/1rCZHap-8foZe1nLv7LBts14J7y172r9p/view?usp=drivesdk</v>
      </c>
    </row>
    <row r="368">
      <c r="A368" s="50" t="s">
        <v>1790</v>
      </c>
      <c r="B368" s="50" t="str">
        <f>IFERROR(__xludf.DUMMYFUNCTION("""COMPUTED_VALUE"""),"SES-0003")</f>
        <v>SES-0003</v>
      </c>
      <c r="C368" s="50" t="str">
        <f>IFERROR(__xludf.DUMMYFUNCTION("""COMPUTED_VALUE"""),"bmarchal@ucpasl.com")</f>
        <v>bmarchal@ucpasl.com</v>
      </c>
      <c r="D368" s="127" t="str">
        <f>IFERROR(__xludf.DUMMYFUNCTION("""COMPUTED_VALUE"""),"https://drive.google.com/file/d/15TNbS_oKHaLUaFkFQWbJJRmzz63t70HU/view?usp=drivesdk")</f>
        <v>https://drive.google.com/file/d/15TNbS_oKHaLUaFkFQWbJJRmzz63t70HU/view?usp=drivesdk</v>
      </c>
    </row>
    <row r="369">
      <c r="A369" s="50" t="s">
        <v>1793</v>
      </c>
      <c r="B369" s="50" t="str">
        <f>IFERROR(__xludf.DUMMYFUNCTION("""COMPUTED_VALUE"""),"SES-0003")</f>
        <v>SES-0003</v>
      </c>
      <c r="C369" s="50" t="str">
        <f>IFERROR(__xludf.DUMMYFUNCTION("""COMPUTED_VALUE"""),"kmillion@ucpa.asso.fr")</f>
        <v>kmillion@ucpa.asso.fr</v>
      </c>
      <c r="D369" s="127" t="str">
        <f>IFERROR(__xludf.DUMMYFUNCTION("""COMPUTED_VALUE"""),"https://drive.google.com/file/d/1vBeQHh4Dx4l0a_n_YV09kux3sZBpTPyB/view?usp=drivesdk")</f>
        <v>https://drive.google.com/file/d/1vBeQHh4Dx4l0a_n_YV09kux3sZBpTPyB/view?usp=drivesdk</v>
      </c>
    </row>
    <row r="370">
      <c r="A370" s="50" t="s">
        <v>1796</v>
      </c>
      <c r="B370" s="50" t="str">
        <f>IFERROR(__xludf.DUMMYFUNCTION("""COMPUTED_VALUE"""),"SES-0004")</f>
        <v>SES-0004</v>
      </c>
      <c r="C370" s="50" t="str">
        <f>IFERROR(__xludf.DUMMYFUNCTION("""COMPUTED_VALUE"""),"bmarchal@ucpasl.com")</f>
        <v>bmarchal@ucpasl.com</v>
      </c>
      <c r="D370" s="127" t="str">
        <f>IFERROR(__xludf.DUMMYFUNCTION("""COMPUTED_VALUE"""),"https://drive.google.com/file/d/15669PapkCaVAWsX8ZKEW5OZiFyeYNd5S/view?usp=drivesdk")</f>
        <v>https://drive.google.com/file/d/15669PapkCaVAWsX8ZKEW5OZiFyeYNd5S/view?usp=drivesdk</v>
      </c>
    </row>
    <row r="371">
      <c r="A371" s="50" t="s">
        <v>1799</v>
      </c>
      <c r="B371" s="50" t="str">
        <f>IFERROR(__xludf.DUMMYFUNCTION("""COMPUTED_VALUE"""),"SES-0004")</f>
        <v>SES-0004</v>
      </c>
      <c r="C371" s="50" t="str">
        <f>IFERROR(__xludf.DUMMYFUNCTION("""COMPUTED_VALUE"""),"kmillion@ucpa.asso.fr")</f>
        <v>kmillion@ucpa.asso.fr</v>
      </c>
      <c r="D371" s="127" t="str">
        <f>IFERROR(__xludf.DUMMYFUNCTION("""COMPUTED_VALUE"""),"https://drive.google.com/file/d/1rNtxqRZUsFSdLD090ldpyXiYxBP0qdz_/view?usp=drivesdk")</f>
        <v>https://drive.google.com/file/d/1rNtxqRZUsFSdLD090ldpyXiYxBP0qdz_/view?usp=drivesdk</v>
      </c>
    </row>
    <row r="372">
      <c r="A372" s="50" t="s">
        <v>1802</v>
      </c>
      <c r="B372" s="50" t="str">
        <f>IFERROR(__xludf.DUMMYFUNCTION("""COMPUTED_VALUE"""),"SES-0005")</f>
        <v>SES-0005</v>
      </c>
      <c r="C372" s="50" t="str">
        <f>IFERROR(__xludf.DUMMYFUNCTION("""COMPUTED_VALUE"""),"bmarchal@ucpasl.com")</f>
        <v>bmarchal@ucpasl.com</v>
      </c>
      <c r="D372" s="127" t="str">
        <f>IFERROR(__xludf.DUMMYFUNCTION("""COMPUTED_VALUE"""),"https://drive.google.com/file/d/10GC1D3vNZxS_itq06gvOQSUPlPFOWLoQ/view?usp=drivesdk")</f>
        <v>https://drive.google.com/file/d/10GC1D3vNZxS_itq06gvOQSUPlPFOWLoQ/view?usp=drivesdk</v>
      </c>
    </row>
    <row r="373">
      <c r="A373" s="50" t="s">
        <v>1808</v>
      </c>
      <c r="B373" s="50" t="str">
        <f>IFERROR(__xludf.DUMMYFUNCTION("""COMPUTED_VALUE"""),"SES-0005")</f>
        <v>SES-0005</v>
      </c>
      <c r="C373" s="50" t="str">
        <f>IFERROR(__xludf.DUMMYFUNCTION("""COMPUTED_VALUE"""),"kmillion@ucpa.asso.fr")</f>
        <v>kmillion@ucpa.asso.fr</v>
      </c>
      <c r="D373" s="127" t="str">
        <f>IFERROR(__xludf.DUMMYFUNCTION("""COMPUTED_VALUE"""),"https://drive.google.com/file/d/1BlubGnbwk3jRf39NAdtDsKcXiQGIAlJy/view?usp=drivesdk")</f>
        <v>https://drive.google.com/file/d/1BlubGnbwk3jRf39NAdtDsKcXiQGIAlJy/view?usp=drivesdk</v>
      </c>
    </row>
    <row r="374">
      <c r="A374" s="50" t="s">
        <v>1812</v>
      </c>
      <c r="B374" s="50" t="str">
        <f>IFERROR(__xludf.DUMMYFUNCTION("""COMPUTED_VALUE"""),"SES-0003")</f>
        <v>SES-0003</v>
      </c>
      <c r="C374" s="50" t="str">
        <f>IFERROR(__xludf.DUMMYFUNCTION("""COMPUTED_VALUE"""),"jmonnette@ucpa.asso.fr")</f>
        <v>jmonnette@ucpa.asso.fr</v>
      </c>
      <c r="D374" s="127" t="str">
        <f>IFERROR(__xludf.DUMMYFUNCTION("""COMPUTED_VALUE"""),"https://drive.google.com/file/d/14kJHqcZqVgPGVuP63ePXhZJ77KKpk0hJ/view?usp=drivesdk")</f>
        <v>https://drive.google.com/file/d/14kJHqcZqVgPGVuP63ePXhZJ77KKpk0hJ/view?usp=drivesdk</v>
      </c>
    </row>
    <row r="375">
      <c r="A375" s="50" t="s">
        <v>1815</v>
      </c>
      <c r="B375" s="50" t="str">
        <f>IFERROR(__xludf.DUMMYFUNCTION("""COMPUTED_VALUE"""),"SES-0004")</f>
        <v>SES-0004</v>
      </c>
      <c r="C375" s="50" t="str">
        <f>IFERROR(__xludf.DUMMYFUNCTION("""COMPUTED_VALUE"""),"jmonnette@ucpa.asso.fr")</f>
        <v>jmonnette@ucpa.asso.fr</v>
      </c>
      <c r="D375" s="127" t="str">
        <f>IFERROR(__xludf.DUMMYFUNCTION("""COMPUTED_VALUE"""),"https://drive.google.com/file/d/1FbTtN_iyPwPefP8YlNXUd0Yh9Ye1rV9R/view?usp=drivesdk")</f>
        <v>https://drive.google.com/file/d/1FbTtN_iyPwPefP8YlNXUd0Yh9Ye1rV9R/view?usp=drivesdk</v>
      </c>
    </row>
    <row r="376">
      <c r="A376" s="50" t="s">
        <v>1818</v>
      </c>
      <c r="B376" s="50" t="str">
        <f>IFERROR(__xludf.DUMMYFUNCTION("""COMPUTED_VALUE"""),"SES-0003")</f>
        <v>SES-0003</v>
      </c>
      <c r="C376" s="50" t="str">
        <f>IFERROR(__xludf.DUMMYFUNCTION("""COMPUTED_VALUE"""),"blachaize@ucpa.asso.fr")</f>
        <v>blachaize@ucpa.asso.fr</v>
      </c>
      <c r="D376" s="127" t="str">
        <f>IFERROR(__xludf.DUMMYFUNCTION("""COMPUTED_VALUE"""),"https://drive.google.com/file/d/1xnfgUh7utvQcRrstZsWuoHaKozmTv9bo/view?usp=drivesdk")</f>
        <v>https://drive.google.com/file/d/1xnfgUh7utvQcRrstZsWuoHaKozmTv9bo/view?usp=drivesdk</v>
      </c>
    </row>
    <row r="377">
      <c r="A377" s="50" t="s">
        <v>1822</v>
      </c>
      <c r="B377" s="50" t="str">
        <f>IFERROR(__xludf.DUMMYFUNCTION("""COMPUTED_VALUE"""),"SES-0004")</f>
        <v>SES-0004</v>
      </c>
      <c r="C377" s="50" t="str">
        <f>IFERROR(__xludf.DUMMYFUNCTION("""COMPUTED_VALUE"""),"yohan.brun@telligo.fr")</f>
        <v>yohan.brun@telligo.fr</v>
      </c>
      <c r="D377" s="127" t="str">
        <f>IFERROR(__xludf.DUMMYFUNCTION("""COMPUTED_VALUE"""),"https://drive.google.com/file/d/1m6R8NS7VIceFSvrMoprvXlnwzHDZuVKP/view?usp=drivesdk")</f>
        <v>https://drive.google.com/file/d/1m6R8NS7VIceFSvrMoprvXlnwzHDZuVKP/view?usp=drivesdk</v>
      </c>
    </row>
    <row r="378">
      <c r="A378" s="50" t="s">
        <v>1825</v>
      </c>
      <c r="B378" s="50" t="str">
        <f>IFERROR(__xludf.DUMMYFUNCTION("""COMPUTED_VALUE"""),"SES-0003")</f>
        <v>SES-0003</v>
      </c>
      <c r="C378" s="50" t="str">
        <f>IFERROR(__xludf.DUMMYFUNCTION("""COMPUTED_VALUE"""),"yohan.brun@telligo.fr")</f>
        <v>yohan.brun@telligo.fr</v>
      </c>
      <c r="D378" s="127" t="str">
        <f>IFERROR(__xludf.DUMMYFUNCTION("""COMPUTED_VALUE"""),"https://drive.google.com/file/d/1y790UBl_WOyGoZBwkKja8W08qYknVl5E/view?usp=drivesdk")</f>
        <v>https://drive.google.com/file/d/1y790UBl_WOyGoZBwkKja8W08qYknVl5E/view?usp=drivesdk</v>
      </c>
    </row>
    <row r="379">
      <c r="A379" s="50" t="s">
        <v>1828</v>
      </c>
      <c r="B379" s="50" t="str">
        <f>IFERROR(__xludf.DUMMYFUNCTION("""COMPUTED_VALUE"""),"SES-0005")</f>
        <v>SES-0005</v>
      </c>
      <c r="C379" s="50" t="str">
        <f>IFERROR(__xludf.DUMMYFUNCTION("""COMPUTED_VALUE"""),"yohan.brun@telligo.fr")</f>
        <v>yohan.brun@telligo.fr</v>
      </c>
      <c r="D379" s="127" t="str">
        <f>IFERROR(__xludf.DUMMYFUNCTION("""COMPUTED_VALUE"""),"https://drive.google.com/file/d/1bo6X1jO9040rWMPm0zB6hUTrYOr_Vf3T/view?usp=drivesdk")</f>
        <v>https://drive.google.com/file/d/1bo6X1jO9040rWMPm0zB6hUTrYOr_Vf3T/view?usp=drivesdk</v>
      </c>
    </row>
    <row r="380">
      <c r="A380" s="50" t="s">
        <v>1828</v>
      </c>
      <c r="B380" s="50" t="str">
        <f>IFERROR(__xludf.DUMMYFUNCTION("""COMPUTED_VALUE"""),"SES-0005")</f>
        <v>SES-0005</v>
      </c>
      <c r="C380" s="50" t="str">
        <f>IFERROR(__xludf.DUMMYFUNCTION("""COMPUTED_VALUE"""),"yohan.brun@telligo.fr")</f>
        <v>yohan.brun@telligo.fr</v>
      </c>
      <c r="D380" s="127" t="str">
        <f>IFERROR(__xludf.DUMMYFUNCTION("""COMPUTED_VALUE"""),"https://drive.google.com/file/d/1sx08gDWAzFKCwNChQ7IsUOVl1lWlzRie/view?usp=drivesdk")</f>
        <v>https://drive.google.com/file/d/1sx08gDWAzFKCwNChQ7IsUOVl1lWlzRie/view?usp=drivesdk</v>
      </c>
    </row>
    <row r="381">
      <c r="A381" s="50" t="s">
        <v>1836</v>
      </c>
      <c r="B381" s="50" t="str">
        <f>IFERROR(__xludf.DUMMYFUNCTION("""COMPUTED_VALUE"""),"SES-0003")</f>
        <v>SES-0003</v>
      </c>
      <c r="C381" s="50" t="str">
        <f>IFERROR(__xludf.DUMMYFUNCTION("""COMPUTED_VALUE"""),"slebris@ucpa.asso.fr")</f>
        <v>slebris@ucpa.asso.fr</v>
      </c>
      <c r="D381" s="127" t="str">
        <f>IFERROR(__xludf.DUMMYFUNCTION("""COMPUTED_VALUE"""),"https://drive.google.com/file/d/1wRDYQDmtRwmgeYXzIys2jZN25aytzoR9/view?usp=drivesdk")</f>
        <v>https://drive.google.com/file/d/1wRDYQDmtRwmgeYXzIys2jZN25aytzoR9/view?usp=drivesdk</v>
      </c>
    </row>
    <row r="382">
      <c r="A382" s="50" t="s">
        <v>1839</v>
      </c>
      <c r="B382" s="50" t="str">
        <f>IFERROR(__xludf.DUMMYFUNCTION("""COMPUTED_VALUE"""),"SES-0004")</f>
        <v>SES-0004</v>
      </c>
      <c r="C382" s="50" t="str">
        <f>IFERROR(__xludf.DUMMYFUNCTION("""COMPUTED_VALUE"""),"slebris@ucpa.asso.fr")</f>
        <v>slebris@ucpa.asso.fr</v>
      </c>
      <c r="D382" s="127" t="str">
        <f>IFERROR(__xludf.DUMMYFUNCTION("""COMPUTED_VALUE"""),"https://drive.google.com/file/d/1L4YlogT7dmwtzKmn0ANJ7L-B8Q8Kei63/view?usp=drivesdk")</f>
        <v>https://drive.google.com/file/d/1L4YlogT7dmwtzKmn0ANJ7L-B8Q8Kei63/view?usp=drivesdk</v>
      </c>
    </row>
    <row r="383">
      <c r="A383" s="50" t="s">
        <v>1843</v>
      </c>
      <c r="B383" s="50" t="str">
        <f>IFERROR(__xludf.DUMMYFUNCTION("""COMPUTED_VALUE"""),"SES-0005")</f>
        <v>SES-0005</v>
      </c>
      <c r="C383" s="50" t="str">
        <f>IFERROR(__xludf.DUMMYFUNCTION("""COMPUTED_VALUE"""),"slebris@ucpa.asso.fr")</f>
        <v>slebris@ucpa.asso.fr</v>
      </c>
      <c r="D383" s="127" t="str">
        <f>IFERROR(__xludf.DUMMYFUNCTION("""COMPUTED_VALUE"""),"https://drive.google.com/file/d/1Tp40kIzezeUy2j5SstrNy4LVcn9r5sF3/view?usp=drivesdk")</f>
        <v>https://drive.google.com/file/d/1Tp40kIzezeUy2j5SstrNy4LVcn9r5sF3/view?usp=drivesdk</v>
      </c>
    </row>
    <row r="384">
      <c r="A384" s="50" t="s">
        <v>1846</v>
      </c>
      <c r="B384" s="50" t="str">
        <f>IFERROR(__xludf.DUMMYFUNCTION("""COMPUTED_VALUE"""),"SES-0003")</f>
        <v>SES-0003</v>
      </c>
      <c r="C384" s="50" t="str">
        <f>IFERROR(__xludf.DUMMYFUNCTION("""COMPUTED_VALUE"""),"aiftene@ucpa.asso.fr")</f>
        <v>aiftene@ucpa.asso.fr</v>
      </c>
      <c r="D384" s="127" t="str">
        <f>IFERROR(__xludf.DUMMYFUNCTION("""COMPUTED_VALUE"""),"https://drive.google.com/file/d/12zEbo2L-KRNjb-mZybDsD_umg4xHCyNg/view?usp=drivesdk")</f>
        <v>https://drive.google.com/file/d/12zEbo2L-KRNjb-mZybDsD_umg4xHCyNg/view?usp=drivesdk</v>
      </c>
    </row>
    <row r="385">
      <c r="A385" s="50" t="s">
        <v>1850</v>
      </c>
      <c r="B385" s="50" t="str">
        <f>IFERROR(__xludf.DUMMYFUNCTION("""COMPUTED_VALUE"""),"SES-0004")</f>
        <v>SES-0004</v>
      </c>
      <c r="C385" s="50" t="str">
        <f>IFERROR(__xludf.DUMMYFUNCTION("""COMPUTED_VALUE"""),"aiftene@ucpa.asso.fr")</f>
        <v>aiftene@ucpa.asso.fr</v>
      </c>
      <c r="D385" s="127" t="str">
        <f>IFERROR(__xludf.DUMMYFUNCTION("""COMPUTED_VALUE"""),"https://drive.google.com/file/d/1ldGi1Yilwg545T7r9AfbGNEdPw--Nl-Y/view?usp=drivesdk")</f>
        <v>https://drive.google.com/file/d/1ldGi1Yilwg545T7r9AfbGNEdPw--Nl-Y/view?usp=drivesdk</v>
      </c>
    </row>
    <row r="386">
      <c r="A386" s="50" t="s">
        <v>1853</v>
      </c>
      <c r="B386" s="50" t="str">
        <f>IFERROR(__xludf.DUMMYFUNCTION("""COMPUTED_VALUE"""),"SES-0005")</f>
        <v>SES-0005</v>
      </c>
      <c r="C386" s="50" t="str">
        <f>IFERROR(__xludf.DUMMYFUNCTION("""COMPUTED_VALUE"""),"aiftene@ucpa.asso.fr")</f>
        <v>aiftene@ucpa.asso.fr</v>
      </c>
      <c r="D386" s="127" t="str">
        <f>IFERROR(__xludf.DUMMYFUNCTION("""COMPUTED_VALUE"""),"https://drive.google.com/file/d/1aIDlRtu18MbUcMTzMuhceHgc5HmhobX2/view?usp=drivesdk")</f>
        <v>https://drive.google.com/file/d/1aIDlRtu18MbUcMTzMuhceHgc5HmhobX2/view?usp=drivesdk</v>
      </c>
    </row>
    <row r="387">
      <c r="A387" s="50" t="s">
        <v>1859</v>
      </c>
      <c r="B387" s="50" t="str">
        <f>IFERROR(__xludf.DUMMYFUNCTION("""COMPUTED_VALUE"""),"SES-0003")</f>
        <v>SES-0003</v>
      </c>
      <c r="C387" s="50" t="str">
        <f>IFERROR(__xludf.DUMMYFUNCTION("""COMPUTED_VALUE"""),"mjacquemod@ucpa.asso.fr")</f>
        <v>mjacquemod@ucpa.asso.fr</v>
      </c>
      <c r="D387" s="127" t="str">
        <f>IFERROR(__xludf.DUMMYFUNCTION("""COMPUTED_VALUE"""),"https://drive.google.com/file/d/1aWJ5ws3YbcFSwEb-c7mTPLEnJLEqfSxX/view?usp=drivesdk")</f>
        <v>https://drive.google.com/file/d/1aWJ5ws3YbcFSwEb-c7mTPLEnJLEqfSxX/view?usp=drivesdk</v>
      </c>
    </row>
    <row r="388">
      <c r="A388" s="50" t="s">
        <v>1862</v>
      </c>
      <c r="B388" s="50" t="str">
        <f>IFERROR(__xludf.DUMMYFUNCTION("""COMPUTED_VALUE"""),"SES-0004")</f>
        <v>SES-0004</v>
      </c>
      <c r="C388" s="50" t="str">
        <f>IFERROR(__xludf.DUMMYFUNCTION("""COMPUTED_VALUE"""),"mjacquemod@ucpa.asso.fr")</f>
        <v>mjacquemod@ucpa.asso.fr</v>
      </c>
      <c r="D388" s="127" t="str">
        <f>IFERROR(__xludf.DUMMYFUNCTION("""COMPUTED_VALUE"""),"https://drive.google.com/file/d/1Nt9hec4-3s-qa-uzeaCksQAD8c6iGSR4/view?usp=drivesdk")</f>
        <v>https://drive.google.com/file/d/1Nt9hec4-3s-qa-uzeaCksQAD8c6iGSR4/view?usp=drivesdk</v>
      </c>
    </row>
    <row r="389">
      <c r="A389" s="50" t="s">
        <v>1867</v>
      </c>
      <c r="B389" s="50" t="str">
        <f>IFERROR(__xludf.DUMMYFUNCTION("""COMPUTED_VALUE"""),"SES-0005")</f>
        <v>SES-0005</v>
      </c>
      <c r="C389" s="50" t="str">
        <f>IFERROR(__xludf.DUMMYFUNCTION("""COMPUTED_VALUE"""),"mjacquemod@ucpa.asso.fr")</f>
        <v>mjacquemod@ucpa.asso.fr</v>
      </c>
      <c r="D389" s="127" t="str">
        <f>IFERROR(__xludf.DUMMYFUNCTION("""COMPUTED_VALUE"""),"https://drive.google.com/file/d/15m2deQ8VpQUE6SWdLUY3RF10GPqFvKMi/view?usp=drivesdk")</f>
        <v>https://drive.google.com/file/d/15m2deQ8VpQUE6SWdLUY3RF10GPqFvKMi/view?usp=drivesdk</v>
      </c>
    </row>
    <row r="390">
      <c r="A390" s="50" t="s">
        <v>1870</v>
      </c>
      <c r="B390" s="50" t="str">
        <f>IFERROR(__xludf.DUMMYFUNCTION("""COMPUTED_VALUE"""),"SES-0003")</f>
        <v>SES-0003</v>
      </c>
      <c r="C390" s="50" t="str">
        <f>IFERROR(__xludf.DUMMYFUNCTION("""COMPUTED_VALUE"""),"pdeplaix@ucpa.asso.fr")</f>
        <v>pdeplaix@ucpa.asso.fr</v>
      </c>
      <c r="D390" s="127" t="str">
        <f>IFERROR(__xludf.DUMMYFUNCTION("""COMPUTED_VALUE"""),"https://drive.google.com/file/d/19DljcYkBIkWcjbe0pi2l7VZckodsdhmf/view?usp=drivesdk")</f>
        <v>https://drive.google.com/file/d/19DljcYkBIkWcjbe0pi2l7VZckodsdhmf/view?usp=drivesdk</v>
      </c>
    </row>
    <row r="391">
      <c r="A391" s="50" t="s">
        <v>1873</v>
      </c>
      <c r="B391" s="50" t="str">
        <f>IFERROR(__xludf.DUMMYFUNCTION("""COMPUTED_VALUE"""),"SES-0003")</f>
        <v>SES-0003</v>
      </c>
      <c r="C391" s="50" t="str">
        <f>IFERROR(__xludf.DUMMYFUNCTION("""COMPUTED_VALUE"""),"pastolz@ucpa.asso.fr")</f>
        <v>pastolz@ucpa.asso.fr</v>
      </c>
      <c r="D391" s="127" t="str">
        <f>IFERROR(__xludf.DUMMYFUNCTION("""COMPUTED_VALUE"""),"https://drive.google.com/file/d/1vZ1FpmPs5GCBq7XHftDPZg1cm4A9O-Ux/view?usp=drivesdk")</f>
        <v>https://drive.google.com/file/d/1vZ1FpmPs5GCBq7XHftDPZg1cm4A9O-Ux/view?usp=drivesdk</v>
      </c>
    </row>
    <row r="392">
      <c r="A392" s="50" t="s">
        <v>1875</v>
      </c>
      <c r="B392" s="50" t="str">
        <f>IFERROR(__xludf.DUMMYFUNCTION("""COMPUTED_VALUE"""),"SES-0003")</f>
        <v>SES-0003</v>
      </c>
      <c r="C392" s="50" t="str">
        <f>IFERROR(__xludf.DUMMYFUNCTION("""COMPUTED_VALUE"""),"imaitrejean@ucpa.asso.fr")</f>
        <v>imaitrejean@ucpa.asso.fr</v>
      </c>
      <c r="D392" s="127" t="str">
        <f>IFERROR(__xludf.DUMMYFUNCTION("""COMPUTED_VALUE"""),"https://drive.google.com/file/d/108AO5a8RfvV858onNNyJWTmv6c_eosDJ/view?usp=drivesdk")</f>
        <v>https://drive.google.com/file/d/108AO5a8RfvV858onNNyJWTmv6c_eosDJ/view?usp=drivesdk</v>
      </c>
    </row>
    <row r="393">
      <c r="A393" s="50" t="s">
        <v>1879</v>
      </c>
      <c r="B393" s="50" t="str">
        <f>IFERROR(__xludf.DUMMYFUNCTION("""COMPUTED_VALUE"""),"SES-0004")</f>
        <v>SES-0004</v>
      </c>
      <c r="C393" s="50" t="str">
        <f>IFERROR(__xludf.DUMMYFUNCTION("""COMPUTED_VALUE"""),"imaitrejean@ucpa.asso.fr")</f>
        <v>imaitrejean@ucpa.asso.fr</v>
      </c>
      <c r="D393" s="127" t="str">
        <f>IFERROR(__xludf.DUMMYFUNCTION("""COMPUTED_VALUE"""),"https://drive.google.com/file/d/1A19-bVyRzk34Ls5GfZ5YMq8hltMHPqVZ/view?usp=drivesdk")</f>
        <v>https://drive.google.com/file/d/1A19-bVyRzk34Ls5GfZ5YMq8hltMHPqVZ/view?usp=drivesdk</v>
      </c>
    </row>
    <row r="394">
      <c r="A394" s="50" t="s">
        <v>1882</v>
      </c>
      <c r="B394" s="50" t="str">
        <f>IFERROR(__xludf.DUMMYFUNCTION("""COMPUTED_VALUE"""),"SES-0004")</f>
        <v>SES-0004</v>
      </c>
      <c r="C394" s="50" t="str">
        <f>IFERROR(__xludf.DUMMYFUNCTION("""COMPUTED_VALUE"""),"pastolz@ucpa.asso.fr")</f>
        <v>pastolz@ucpa.asso.fr</v>
      </c>
      <c r="D394" s="127" t="str">
        <f>IFERROR(__xludf.DUMMYFUNCTION("""COMPUTED_VALUE"""),"https://drive.google.com/file/d/1pqYKKka5ZgwKmO7pEV6UvHQy3P3Xcs97/view?usp=drivesdk")</f>
        <v>https://drive.google.com/file/d/1pqYKKka5ZgwKmO7pEV6UvHQy3P3Xcs97/view?usp=drivesdk</v>
      </c>
    </row>
    <row r="395">
      <c r="A395" s="50" t="s">
        <v>1885</v>
      </c>
      <c r="B395" s="50" t="str">
        <f>IFERROR(__xludf.DUMMYFUNCTION("""COMPUTED_VALUE"""),"SES-0005")</f>
        <v>SES-0005</v>
      </c>
      <c r="C395" s="50" t="str">
        <f>IFERROR(__xludf.DUMMYFUNCTION("""COMPUTED_VALUE"""),"imaitrejean@ucpa.asso.fr")</f>
        <v>imaitrejean@ucpa.asso.fr</v>
      </c>
      <c r="D395" s="127" t="str">
        <f>IFERROR(__xludf.DUMMYFUNCTION("""COMPUTED_VALUE"""),"https://drive.google.com/file/d/1BpXJTp2BB4-ILmi5QT1sVCY5OYxm3Cb3/view?usp=drivesdk")</f>
        <v>https://drive.google.com/file/d/1BpXJTp2BB4-ILmi5QT1sVCY5OYxm3Cb3/view?usp=drivesdk</v>
      </c>
    </row>
    <row r="396">
      <c r="A396" s="50" t="s">
        <v>1887</v>
      </c>
      <c r="B396" s="50" t="str">
        <f>IFERROR(__xludf.DUMMYFUNCTION("""COMPUTED_VALUE"""),"SES-0005")</f>
        <v>SES-0005</v>
      </c>
      <c r="C396" s="50" t="str">
        <f>IFERROR(__xludf.DUMMYFUNCTION("""COMPUTED_VALUE"""),"pastolz@ucpa.asso.fr")</f>
        <v>pastolz@ucpa.asso.fr</v>
      </c>
      <c r="D396" s="127" t="str">
        <f>IFERROR(__xludf.DUMMYFUNCTION("""COMPUTED_VALUE"""),"https://drive.google.com/file/d/1FL1h7hOa2Z3lCTP14stIbMNpeEEsBSib/view?usp=drivesdk")</f>
        <v>https://drive.google.com/file/d/1FL1h7hOa2Z3lCTP14stIbMNpeEEsBSib/view?usp=drivesdk</v>
      </c>
    </row>
    <row r="397">
      <c r="A397" s="50" t="s">
        <v>1890</v>
      </c>
      <c r="B397" s="50" t="str">
        <f>IFERROR(__xludf.DUMMYFUNCTION("""COMPUTED_VALUE"""),"SES-0003")</f>
        <v>SES-0003</v>
      </c>
      <c r="C397" s="50" t="str">
        <f>IFERROR(__xludf.DUMMYFUNCTION("""COMPUTED_VALUE"""),"ctsikras@ucpa.asso.fr")</f>
        <v>ctsikras@ucpa.asso.fr</v>
      </c>
      <c r="D397" s="127" t="str">
        <f>IFERROR(__xludf.DUMMYFUNCTION("""COMPUTED_VALUE"""),"https://drive.google.com/file/d/1MfyzFqnJ--UfG3LjPJTKcYqQNO5xZ5yc/view?usp=drivesdk")</f>
        <v>https://drive.google.com/file/d/1MfyzFqnJ--UfG3LjPJTKcYqQNO5xZ5yc/view?usp=drivesdk</v>
      </c>
    </row>
    <row r="398">
      <c r="A398" s="50" t="s">
        <v>1893</v>
      </c>
      <c r="B398" s="50" t="str">
        <f>IFERROR(__xludf.DUMMYFUNCTION("""COMPUTED_VALUE"""),"SES-0004")</f>
        <v>SES-0004</v>
      </c>
      <c r="C398" s="50" t="str">
        <f>IFERROR(__xludf.DUMMYFUNCTION("""COMPUTED_VALUE"""),"ctsikras@ucpa.asso.fr")</f>
        <v>ctsikras@ucpa.asso.fr</v>
      </c>
      <c r="D398" s="127" t="str">
        <f>IFERROR(__xludf.DUMMYFUNCTION("""COMPUTED_VALUE"""),"https://drive.google.com/file/d/1JuScUh8o5eH84EO3wonhDdV_hweT7Zh-/view?usp=drivesdk")</f>
        <v>https://drive.google.com/file/d/1JuScUh8o5eH84EO3wonhDdV_hweT7Zh-/view?usp=drivesdk</v>
      </c>
    </row>
    <row r="399">
      <c r="A399" s="50" t="s">
        <v>1897</v>
      </c>
      <c r="B399" s="50" t="str">
        <f>IFERROR(__xludf.DUMMYFUNCTION("""COMPUTED_VALUE"""),"SES-0005")</f>
        <v>SES-0005</v>
      </c>
      <c r="C399" s="50" t="str">
        <f>IFERROR(__xludf.DUMMYFUNCTION("""COMPUTED_VALUE"""),"ctsikras@ucpa.asso.fr")</f>
        <v>ctsikras@ucpa.asso.fr</v>
      </c>
      <c r="D399" s="127" t="str">
        <f>IFERROR(__xludf.DUMMYFUNCTION("""COMPUTED_VALUE"""),"https://drive.google.com/file/d/1XNeff26pe2EWxDuoT9TtrPzB2vQfuSFw/view?usp=drivesdk")</f>
        <v>https://drive.google.com/file/d/1XNeff26pe2EWxDuoT9TtrPzB2vQfuSFw/view?usp=drivesdk</v>
      </c>
    </row>
    <row r="400">
      <c r="A400" s="50" t="s">
        <v>1900</v>
      </c>
      <c r="B400" s="50" t="str">
        <f>IFERROR(__xludf.DUMMYFUNCTION("""COMPUTED_VALUE"""),"SES-0003")</f>
        <v>SES-0003</v>
      </c>
      <c r="C400" s="50" t="str">
        <f>IFERROR(__xludf.DUMMYFUNCTION("""COMPUTED_VALUE"""),"lboujjaadia@ucpa.asso.fr")</f>
        <v>lboujjaadia@ucpa.asso.fr</v>
      </c>
      <c r="D400" s="127" t="str">
        <f>IFERROR(__xludf.DUMMYFUNCTION("""COMPUTED_VALUE"""),"https://drive.google.com/file/d/1wD8H0N7psslogXV2Y338b-tu5kJSzjAz/view?usp=drivesdk")</f>
        <v>https://drive.google.com/file/d/1wD8H0N7psslogXV2Y338b-tu5kJSzjAz/view?usp=drivesdk</v>
      </c>
    </row>
    <row r="401">
      <c r="A401" s="50" t="s">
        <v>1904</v>
      </c>
      <c r="B401" s="50" t="str">
        <f>IFERROR(__xludf.DUMMYFUNCTION("""COMPUTED_VALUE"""),"SES-0004")</f>
        <v>SES-0004</v>
      </c>
      <c r="C401" s="50" t="str">
        <f>IFERROR(__xludf.DUMMYFUNCTION("""COMPUTED_VALUE"""),"lboujjaadia@ucpa.asso.fr")</f>
        <v>lboujjaadia@ucpa.asso.fr</v>
      </c>
      <c r="D401" s="127" t="str">
        <f>IFERROR(__xludf.DUMMYFUNCTION("""COMPUTED_VALUE"""),"https://drive.google.com/file/d/1bGduSD993ajgmRM5nKHoVIWWfAQjqOO-/view?usp=drivesdk")</f>
        <v>https://drive.google.com/file/d/1bGduSD993ajgmRM5nKHoVIWWfAQjqOO-/view?usp=drivesdk</v>
      </c>
    </row>
    <row r="402">
      <c r="A402" s="50" t="s">
        <v>1908</v>
      </c>
      <c r="B402" s="50" t="str">
        <f>IFERROR(__xludf.DUMMYFUNCTION("""COMPUTED_VALUE"""),"SES-0005")</f>
        <v>SES-0005</v>
      </c>
      <c r="C402" s="50" t="str">
        <f>IFERROR(__xludf.DUMMYFUNCTION("""COMPUTED_VALUE"""),"lboujjaadia@ucpa.asso.fr")</f>
        <v>lboujjaadia@ucpa.asso.fr</v>
      </c>
      <c r="D402" s="127" t="str">
        <f>IFERROR(__xludf.DUMMYFUNCTION("""COMPUTED_VALUE"""),"https://drive.google.com/file/d/1yVtl2db8WtZohK2hm2clVbT8R-VbxADU/view?usp=drivesdk")</f>
        <v>https://drive.google.com/file/d/1yVtl2db8WtZohK2hm2clVbT8R-VbxADU/view?usp=drivesdk</v>
      </c>
    </row>
    <row r="403">
      <c r="A403" s="50" t="s">
        <v>1911</v>
      </c>
      <c r="B403" s="50" t="str">
        <f>IFERROR(__xludf.DUMMYFUNCTION("""COMPUTED_VALUE"""),"SES-0004")</f>
        <v>SES-0004</v>
      </c>
      <c r="C403" s="50" t="str">
        <f>IFERROR(__xludf.DUMMYFUNCTION("""COMPUTED_VALUE"""),"cthoby@ucpa.asso.fr")</f>
        <v>cthoby@ucpa.asso.fr</v>
      </c>
      <c r="D403" s="127" t="str">
        <f>IFERROR(__xludf.DUMMYFUNCTION("""COMPUTED_VALUE"""),"https://drive.google.com/file/d/1fofPIG1hps7AVhMsJmY3JjApXp24Y49u/view?usp=drivesdk")</f>
        <v>https://drive.google.com/file/d/1fofPIG1hps7AVhMsJmY3JjApXp24Y49u/view?usp=drivesdk</v>
      </c>
    </row>
    <row r="404">
      <c r="A404" s="50" t="s">
        <v>1914</v>
      </c>
      <c r="B404" s="50" t="str">
        <f>IFERROR(__xludf.DUMMYFUNCTION("""COMPUTED_VALUE"""),"SES-0004")</f>
        <v>SES-0004</v>
      </c>
      <c r="C404" s="50" t="str">
        <f>IFERROR(__xludf.DUMMYFUNCTION("""COMPUTED_VALUE"""),"cvialon@ucpa.asso.fr")</f>
        <v>cvialon@ucpa.asso.fr</v>
      </c>
      <c r="D404" s="127" t="str">
        <f>IFERROR(__xludf.DUMMYFUNCTION("""COMPUTED_VALUE"""),"https://drive.google.com/file/d/174Wbe6MOhOFi-7jLWOyOaJ3jjMdvrmRW/view?usp=drivesdk")</f>
        <v>https://drive.google.com/file/d/174Wbe6MOhOFi-7jLWOyOaJ3jjMdvrmRW/view?usp=drivesdk</v>
      </c>
    </row>
    <row r="405">
      <c r="A405" s="50" t="s">
        <v>1917</v>
      </c>
      <c r="B405" s="50" t="str">
        <f>IFERROR(__xludf.DUMMYFUNCTION("""COMPUTED_VALUE"""),"SES-0003")</f>
        <v>SES-0003</v>
      </c>
      <c r="C405" s="50" t="str">
        <f>IFERROR(__xludf.DUMMYFUNCTION("""COMPUTED_VALUE"""),"jfoy@ucpa.asso.fr")</f>
        <v>jfoy@ucpa.asso.fr</v>
      </c>
      <c r="D405" s="127" t="str">
        <f>IFERROR(__xludf.DUMMYFUNCTION("""COMPUTED_VALUE"""),"https://drive.google.com/file/d/1rQFP6HVO292x7tUXXAl59TDzMuGCY9B_/view?usp=drivesdk")</f>
        <v>https://drive.google.com/file/d/1rQFP6HVO292x7tUXXAl59TDzMuGCY9B_/view?usp=drivesdk</v>
      </c>
    </row>
    <row r="406">
      <c r="A406" s="50" t="s">
        <v>1920</v>
      </c>
      <c r="B406" s="50" t="str">
        <f>IFERROR(__xludf.DUMMYFUNCTION("""COMPUTED_VALUE"""),"SES-0005")</f>
        <v>SES-0005</v>
      </c>
      <c r="C406" s="50" t="str">
        <f>IFERROR(__xludf.DUMMYFUNCTION("""COMPUTED_VALUE"""),"cvialon@ucpa.asso.fr")</f>
        <v>cvialon@ucpa.asso.fr</v>
      </c>
      <c r="D406" s="127" t="str">
        <f>IFERROR(__xludf.DUMMYFUNCTION("""COMPUTED_VALUE"""),"https://drive.google.com/file/d/17gG3RhAM_ORVQ_aGBgRaPK3RXHmVyzWV/view?usp=drivesdk")</f>
        <v>https://drive.google.com/file/d/17gG3RhAM_ORVQ_aGBgRaPK3RXHmVyzWV/view?usp=drivesdk</v>
      </c>
    </row>
    <row r="407">
      <c r="A407" s="50" t="s">
        <v>1924</v>
      </c>
      <c r="B407" s="50" t="str">
        <f>IFERROR(__xludf.DUMMYFUNCTION("""COMPUTED_VALUE"""),"SES-0004")</f>
        <v>SES-0004</v>
      </c>
      <c r="C407" s="50" t="str">
        <f>IFERROR(__xludf.DUMMYFUNCTION("""COMPUTED_VALUE"""),"jfoy@ucpa.asso.fr")</f>
        <v>jfoy@ucpa.asso.fr</v>
      </c>
      <c r="D407" s="127" t="str">
        <f>IFERROR(__xludf.DUMMYFUNCTION("""COMPUTED_VALUE"""),"https://drive.google.com/file/d/1FxttsOhJ7eIPnjUw2eTjtMUggY5Uopek/view?usp=drivesdk")</f>
        <v>https://drive.google.com/file/d/1FxttsOhJ7eIPnjUw2eTjtMUggY5Uopek/view?usp=drivesdk</v>
      </c>
    </row>
    <row r="408">
      <c r="A408" s="50" t="s">
        <v>1928</v>
      </c>
      <c r="B408" s="50" t="str">
        <f>IFERROR(__xludf.DUMMYFUNCTION("""COMPUTED_VALUE"""),"SES-0003")</f>
        <v>SES-0003</v>
      </c>
      <c r="C408" s="50" t="str">
        <f>IFERROR(__xludf.DUMMYFUNCTION("""COMPUTED_VALUE"""),"ccoeur@ucpa.asso.fr")</f>
        <v>ccoeur@ucpa.asso.fr</v>
      </c>
      <c r="D408" s="127" t="str">
        <f>IFERROR(__xludf.DUMMYFUNCTION("""COMPUTED_VALUE"""),"https://drive.google.com/file/d/1CWxfGrNhwLJWCiMcRNDH7V596n6a0BEE/view?usp=drivesdk")</f>
        <v>https://drive.google.com/file/d/1CWxfGrNhwLJWCiMcRNDH7V596n6a0BEE/view?usp=drivesdk</v>
      </c>
    </row>
    <row r="409">
      <c r="A409" s="50" t="s">
        <v>1931</v>
      </c>
      <c r="B409" s="50" t="str">
        <f>IFERROR(__xludf.DUMMYFUNCTION("""COMPUTED_VALUE"""),"SES-0004")</f>
        <v>SES-0004</v>
      </c>
      <c r="C409" s="50" t="str">
        <f>IFERROR(__xludf.DUMMYFUNCTION("""COMPUTED_VALUE"""),"ccoeur@ucpa.asso.fr")</f>
        <v>ccoeur@ucpa.asso.fr</v>
      </c>
      <c r="D409" s="127" t="str">
        <f>IFERROR(__xludf.DUMMYFUNCTION("""COMPUTED_VALUE"""),"https://drive.google.com/file/d/1EkLT7T_Pr8-vG5d0aGG6BQbLrO9k7yOO/view?usp=drivesdk")</f>
        <v>https://drive.google.com/file/d/1EkLT7T_Pr8-vG5d0aGG6BQbLrO9k7yOO/view?usp=drivesdk</v>
      </c>
    </row>
    <row r="410">
      <c r="A410" s="50" t="s">
        <v>1934</v>
      </c>
      <c r="B410" s="50" t="str">
        <f>IFERROR(__xludf.DUMMYFUNCTION("""COMPUTED_VALUE"""),"SES-0005")</f>
        <v>SES-0005</v>
      </c>
      <c r="C410" s="50" t="str">
        <f>IFERROR(__xludf.DUMMYFUNCTION("""COMPUTED_VALUE"""),"ccoeur@ucpa.asso.fr")</f>
        <v>ccoeur@ucpa.asso.fr</v>
      </c>
      <c r="D410" s="127" t="str">
        <f>IFERROR(__xludf.DUMMYFUNCTION("""COMPUTED_VALUE"""),"https://drive.google.com/file/d/1VJXnFzDAGGBXnWW0EDpY90D0UyEoTSr9/view?usp=drivesdk")</f>
        <v>https://drive.google.com/file/d/1VJXnFzDAGGBXnWW0EDpY90D0UyEoTSr9/view?usp=drivesdk</v>
      </c>
    </row>
    <row r="411">
      <c r="A411" s="50" t="s">
        <v>1937</v>
      </c>
      <c r="B411" s="50" t="str">
        <f>IFERROR(__xludf.DUMMYFUNCTION("""COMPUTED_VALUE"""),"SES-0004")</f>
        <v>SES-0004</v>
      </c>
      <c r="C411" s="50" t="str">
        <f>IFERROR(__xludf.DUMMYFUNCTION("""COMPUTED_VALUE"""),"goulven.personnic@gmail.com")</f>
        <v>goulven.personnic@gmail.com</v>
      </c>
      <c r="D411" s="127" t="str">
        <f>IFERROR(__xludf.DUMMYFUNCTION("""COMPUTED_VALUE"""),"https://drive.google.com/file/d/15WpnmJYyN2li6tuP1nWPAP2gCAvXuR6C/view?usp=drivesdk")</f>
        <v>https://drive.google.com/file/d/15WpnmJYyN2li6tuP1nWPAP2gCAvXuR6C/view?usp=drivesdk</v>
      </c>
    </row>
    <row r="412">
      <c r="A412" s="50" t="s">
        <v>1940</v>
      </c>
      <c r="B412" s="50" t="str">
        <f>IFERROR(__xludf.DUMMYFUNCTION("""COMPUTED_VALUE"""),"SES-0003")</f>
        <v>SES-0003</v>
      </c>
      <c r="C412" s="50" t="str">
        <f>IFERROR(__xludf.DUMMYFUNCTION("""COMPUTED_VALUE"""),"goulven.personnic@gmail.com")</f>
        <v>goulven.personnic@gmail.com</v>
      </c>
      <c r="D412" s="127" t="str">
        <f>IFERROR(__xludf.DUMMYFUNCTION("""COMPUTED_VALUE"""),"https://drive.google.com/file/d/1Gi3Y3yjK6xrKk1mfIkoYh8vluLuYcE2E/view?usp=drivesdk")</f>
        <v>https://drive.google.com/file/d/1Gi3Y3yjK6xrKk1mfIkoYh8vluLuYcE2E/view?usp=drivesdk</v>
      </c>
    </row>
    <row r="413">
      <c r="A413" s="50" t="s">
        <v>1944</v>
      </c>
      <c r="B413" s="50" t="str">
        <f>IFERROR(__xludf.DUMMYFUNCTION("""COMPUTED_VALUE"""),"SES-0005")</f>
        <v>SES-0005</v>
      </c>
      <c r="C413" s="50" t="str">
        <f>IFERROR(__xludf.DUMMYFUNCTION("""COMPUTED_VALUE"""),"goulven.personnic@gmail.com")</f>
        <v>goulven.personnic@gmail.com</v>
      </c>
      <c r="D413" s="127" t="str">
        <f>IFERROR(__xludf.DUMMYFUNCTION("""COMPUTED_VALUE"""),"https://drive.google.com/file/d/1F9lFnEXIYdK6cG516RY5F6SrxU8UX3fL/view?usp=drivesdk")</f>
        <v>https://drive.google.com/file/d/1F9lFnEXIYdK6cG516RY5F6SrxU8UX3fL/view?usp=drivesdk</v>
      </c>
    </row>
    <row r="414">
      <c r="A414" s="50" t="s">
        <v>1946</v>
      </c>
      <c r="B414" s="50" t="str">
        <f>IFERROR(__xludf.DUMMYFUNCTION("""COMPUTED_VALUE"""),"SES-0005")</f>
        <v>SES-0005</v>
      </c>
      <c r="C414" s="50" t="str">
        <f>IFERROR(__xludf.DUMMYFUNCTION("""COMPUTED_VALUE"""),"jfoy@ucpa.asso.fr")</f>
        <v>jfoy@ucpa.asso.fr</v>
      </c>
      <c r="D414" s="127" t="str">
        <f>IFERROR(__xludf.DUMMYFUNCTION("""COMPUTED_VALUE"""),"https://drive.google.com/file/d/1LdMnV-siuRj3mTMuK_Hq1IVpc2iRxwDL/view?usp=drivesdk")</f>
        <v>https://drive.google.com/file/d/1LdMnV-siuRj3mTMuK_Hq1IVpc2iRxwDL/view?usp=drivesdk</v>
      </c>
    </row>
    <row r="415">
      <c r="A415" s="50" t="s">
        <v>1948</v>
      </c>
      <c r="B415" s="50" t="str">
        <f>IFERROR(__xludf.DUMMYFUNCTION("""COMPUTED_VALUE"""),"SES-0003")</f>
        <v>SES-0003</v>
      </c>
      <c r="C415" s="50" t="str">
        <f>IFERROR(__xludf.DUMMYFUNCTION("""COMPUTED_VALUE"""),"abrossard@ucpa.asso.fr")</f>
        <v>abrossard@ucpa.asso.fr</v>
      </c>
      <c r="D415" s="127" t="str">
        <f>IFERROR(__xludf.DUMMYFUNCTION("""COMPUTED_VALUE"""),"https://drive.google.com/file/d/1glowXBag9_jK6AxE3ufPPVbNJzLBX2sl/view?usp=drivesdk")</f>
        <v>https://drive.google.com/file/d/1glowXBag9_jK6AxE3ufPPVbNJzLBX2sl/view?usp=drivesdk</v>
      </c>
    </row>
    <row r="416">
      <c r="A416" s="50" t="s">
        <v>1951</v>
      </c>
      <c r="B416" s="50" t="str">
        <f>IFERROR(__xludf.DUMMYFUNCTION("""COMPUTED_VALUE"""),"SES-0004")</f>
        <v>SES-0004</v>
      </c>
      <c r="C416" s="50" t="str">
        <f>IFERROR(__xludf.DUMMYFUNCTION("""COMPUTED_VALUE"""),"abrossard@ucpa.asso.fr")</f>
        <v>abrossard@ucpa.asso.fr</v>
      </c>
      <c r="D416" s="127" t="str">
        <f>IFERROR(__xludf.DUMMYFUNCTION("""COMPUTED_VALUE"""),"https://drive.google.com/file/d/1iMWNd8aTrnO-JzW3SeF54rqoB5ddaBGP/view?usp=drivesdk")</f>
        <v>https://drive.google.com/file/d/1iMWNd8aTrnO-JzW3SeF54rqoB5ddaBGP/view?usp=drivesdk</v>
      </c>
    </row>
    <row r="417">
      <c r="A417" s="50" t="s">
        <v>1954</v>
      </c>
      <c r="B417" s="50" t="str">
        <f>IFERROR(__xludf.DUMMYFUNCTION("""COMPUTED_VALUE"""),"SES-0005")</f>
        <v>SES-0005</v>
      </c>
      <c r="C417" s="50" t="str">
        <f>IFERROR(__xludf.DUMMYFUNCTION("""COMPUTED_VALUE"""),"abrossard@ucpa.asso.fr")</f>
        <v>abrossard@ucpa.asso.fr</v>
      </c>
      <c r="D417" s="127" t="str">
        <f>IFERROR(__xludf.DUMMYFUNCTION("""COMPUTED_VALUE"""),"https://drive.google.com/file/d/1TeT_ds9teVwG807Uj9F12pUo82ZxjRGU/view?usp=drivesdk")</f>
        <v>https://drive.google.com/file/d/1TeT_ds9teVwG807Uj9F12pUo82ZxjRGU/view?usp=drivesdk</v>
      </c>
    </row>
    <row r="418">
      <c r="A418" s="50" t="s">
        <v>1957</v>
      </c>
      <c r="B418" s="50" t="str">
        <f>IFERROR(__xludf.DUMMYFUNCTION("""COMPUTED_VALUE"""),"SES-0003")</f>
        <v>SES-0003</v>
      </c>
      <c r="C418" s="50" t="str">
        <f>IFERROR(__xludf.DUMMYFUNCTION("""COMPUTED_VALUE"""),"aborgies@ucpa.asso.fr")</f>
        <v>aborgies@ucpa.asso.fr</v>
      </c>
      <c r="D418" s="127" t="str">
        <f>IFERROR(__xludf.DUMMYFUNCTION("""COMPUTED_VALUE"""),"https://drive.google.com/file/d/1ltJARfn7Z-jyrwEG2NyHL5elj6EkcEIs/view?usp=drivesdk")</f>
        <v>https://drive.google.com/file/d/1ltJARfn7Z-jyrwEG2NyHL5elj6EkcEIs/view?usp=drivesdk</v>
      </c>
    </row>
    <row r="419">
      <c r="A419" s="50" t="s">
        <v>1961</v>
      </c>
      <c r="B419" s="50" t="str">
        <f>IFERROR(__xludf.DUMMYFUNCTION("""COMPUTED_VALUE"""),"SES-0003")</f>
        <v>SES-0003</v>
      </c>
      <c r="C419" s="50" t="str">
        <f>IFERROR(__xludf.DUMMYFUNCTION("""COMPUTED_VALUE"""),"tbrouard@ucpa.asso.fr")</f>
        <v>tbrouard@ucpa.asso.fr</v>
      </c>
      <c r="D419" s="127" t="str">
        <f>IFERROR(__xludf.DUMMYFUNCTION("""COMPUTED_VALUE"""),"https://drive.google.com/file/d/1VgkOw3C5AKWeiV2Lb6enGwobaaKtsG1p/view?usp=drivesdk")</f>
        <v>https://drive.google.com/file/d/1VgkOw3C5AKWeiV2Lb6enGwobaaKtsG1p/view?usp=drivesdk</v>
      </c>
    </row>
    <row r="420">
      <c r="A420" s="50" t="s">
        <v>1964</v>
      </c>
      <c r="B420" s="50" t="str">
        <f>IFERROR(__xludf.DUMMYFUNCTION("""COMPUTED_VALUE"""),"SES-0003")</f>
        <v>SES-0003</v>
      </c>
      <c r="C420" s="50" t="str">
        <f>IFERROR(__xludf.DUMMYFUNCTION("""COMPUTED_VALUE"""),"pgaultier@ucpa.asso.fr")</f>
        <v>pgaultier@ucpa.asso.fr</v>
      </c>
      <c r="D420" s="127" t="str">
        <f>IFERROR(__xludf.DUMMYFUNCTION("""COMPUTED_VALUE"""),"https://drive.google.com/file/d/1WrZR13cfeCgBGC6BX-pXssk_XwUzG0Fz/view?usp=drivesdk")</f>
        <v>https://drive.google.com/file/d/1WrZR13cfeCgBGC6BX-pXssk_XwUzG0Fz/view?usp=drivesdk</v>
      </c>
    </row>
    <row r="421">
      <c r="A421" s="50" t="s">
        <v>1967</v>
      </c>
      <c r="B421" s="50" t="str">
        <f>IFERROR(__xludf.DUMMYFUNCTION("""COMPUTED_VALUE"""),"SES-0005")</f>
        <v>SES-0005</v>
      </c>
      <c r="C421" s="50" t="str">
        <f>IFERROR(__xludf.DUMMYFUNCTION("""COMPUTED_VALUE"""),"pgaultier@ucpa.asso.fr")</f>
        <v>pgaultier@ucpa.asso.fr</v>
      </c>
      <c r="D421" s="127" t="str">
        <f>IFERROR(__xludf.DUMMYFUNCTION("""COMPUTED_VALUE"""),"https://drive.google.com/file/d/1didkJC_0EGoWSwi_BrNaIcXwb0wNvu8N/view?usp=drivesdk")</f>
        <v>https://drive.google.com/file/d/1didkJC_0EGoWSwi_BrNaIcXwb0wNvu8N/view?usp=drivesdk</v>
      </c>
    </row>
    <row r="422">
      <c r="A422" s="50" t="s">
        <v>1969</v>
      </c>
      <c r="B422" s="50" t="str">
        <f>IFERROR(__xludf.DUMMYFUNCTION("""COMPUTED_VALUE"""),"SES-0004")</f>
        <v>SES-0004</v>
      </c>
      <c r="C422" s="50" t="str">
        <f>IFERROR(__xludf.DUMMYFUNCTION("""COMPUTED_VALUE"""),"pgaultier@ucpa.asso.fr")</f>
        <v>pgaultier@ucpa.asso.fr</v>
      </c>
      <c r="D422" s="127" t="str">
        <f>IFERROR(__xludf.DUMMYFUNCTION("""COMPUTED_VALUE"""),"https://drive.google.com/file/d/18_61c2sEq-B2UJxZO0VkexCDSPnz3uxM/view?usp=drivesdk")</f>
        <v>https://drive.google.com/file/d/18_61c2sEq-B2UJxZO0VkexCDSPnz3uxM/view?usp=drivesdk</v>
      </c>
    </row>
    <row r="423">
      <c r="A423" s="50" t="s">
        <v>1971</v>
      </c>
      <c r="B423" s="50" t="str">
        <f>IFERROR(__xludf.DUMMYFUNCTION("""COMPUTED_VALUE"""),"SES-0004")</f>
        <v>SES-0004</v>
      </c>
      <c r="C423" s="50" t="str">
        <f>IFERROR(__xludf.DUMMYFUNCTION("""COMPUTED_VALUE"""),"vincentcazalaa@labalaguere.com")</f>
        <v>vincentcazalaa@labalaguere.com</v>
      </c>
      <c r="D423" s="127" t="str">
        <f>IFERROR(__xludf.DUMMYFUNCTION("""COMPUTED_VALUE"""),"https://drive.google.com/file/d/15Le6LZCRmYhzKvRPP7htOAfvZTeY-Dyx/view?usp=drivesdk")</f>
        <v>https://drive.google.com/file/d/15Le6LZCRmYhzKvRPP7htOAfvZTeY-Dyx/view?usp=drivesdk</v>
      </c>
    </row>
    <row r="424">
      <c r="A424" s="50" t="s">
        <v>1974</v>
      </c>
      <c r="B424" s="50" t="str">
        <f>IFERROR(__xludf.DUMMYFUNCTION("""COMPUTED_VALUE"""),"SES-0003")</f>
        <v>SES-0003</v>
      </c>
      <c r="C424" s="50" t="str">
        <f>IFERROR(__xludf.DUMMYFUNCTION("""COMPUTED_VALUE"""),"JCOLOMBAT@UCPASL.COM")</f>
        <v>JCOLOMBAT@UCPASL.COM</v>
      </c>
      <c r="D424" s="127" t="str">
        <f>IFERROR(__xludf.DUMMYFUNCTION("""COMPUTED_VALUE"""),"https://drive.google.com/file/d/1fNm8iIthF0LsV91ycDE57MxsgIeYwA9O/view?usp=drivesdk")</f>
        <v>https://drive.google.com/file/d/1fNm8iIthF0LsV91ycDE57MxsgIeYwA9O/view?usp=drivesdk</v>
      </c>
    </row>
    <row r="425">
      <c r="A425" s="50" t="s">
        <v>1975</v>
      </c>
      <c r="B425" s="50" t="str">
        <f>IFERROR(__xludf.DUMMYFUNCTION("""COMPUTED_VALUE"""),"SES-0004")</f>
        <v>SES-0004</v>
      </c>
      <c r="C425" s="50" t="str">
        <f>IFERROR(__xludf.DUMMYFUNCTION("""COMPUTED_VALUE"""),"JCOLOMBAT@UCPASL.COM")</f>
        <v>JCOLOMBAT@UCPASL.COM</v>
      </c>
      <c r="D425" s="127" t="str">
        <f>IFERROR(__xludf.DUMMYFUNCTION("""COMPUTED_VALUE"""),"https://drive.google.com/file/d/15yrbaHTj7Am9-YBQQA1RxVwKkh-zWg_i/view?usp=drivesdk")</f>
        <v>https://drive.google.com/file/d/15yrbaHTj7Am9-YBQQA1RxVwKkh-zWg_i/view?usp=drivesdk</v>
      </c>
    </row>
    <row r="426">
      <c r="A426" s="50" t="s">
        <v>1978</v>
      </c>
      <c r="B426" s="50" t="str">
        <f>IFERROR(__xludf.DUMMYFUNCTION("""COMPUTED_VALUE"""),"SES-0003")</f>
        <v>SES-0003</v>
      </c>
      <c r="C426" s="50" t="str">
        <f>IFERROR(__xludf.DUMMYFUNCTION("""COMPUTED_VALUE"""),"christinecoumet@labalaguere.com")</f>
        <v>christinecoumet@labalaguere.com</v>
      </c>
      <c r="D426" s="127" t="str">
        <f>IFERROR(__xludf.DUMMYFUNCTION("""COMPUTED_VALUE"""),"https://drive.google.com/file/d/1saauvIdy7dtaHC4gLAvRpCQWGUUX-t-p/view?usp=drivesdk")</f>
        <v>https://drive.google.com/file/d/1saauvIdy7dtaHC4gLAvRpCQWGUUX-t-p/view?usp=drivesdk</v>
      </c>
    </row>
    <row r="427">
      <c r="A427" s="50" t="s">
        <v>1981</v>
      </c>
      <c r="B427" s="50" t="str">
        <f>IFERROR(__xludf.DUMMYFUNCTION("""COMPUTED_VALUE"""),"SES-0005")</f>
        <v>SES-0005</v>
      </c>
      <c r="C427" s="50" t="str">
        <f>IFERROR(__xludf.DUMMYFUNCTION("""COMPUTED_VALUE"""),"JCOLOMBAT@UCPASL.COM")</f>
        <v>JCOLOMBAT@UCPASL.COM</v>
      </c>
      <c r="D427" s="127" t="str">
        <f>IFERROR(__xludf.DUMMYFUNCTION("""COMPUTED_VALUE"""),"https://drive.google.com/file/d/1KeBZfEYOiEfkpfczcp-Qbl-qxMIy7aWq/view?usp=drivesdk")</f>
        <v>https://drive.google.com/file/d/1KeBZfEYOiEfkpfczcp-Qbl-qxMIy7aWq/view?usp=drivesdk</v>
      </c>
    </row>
    <row r="428">
      <c r="A428" s="50" t="s">
        <v>1982</v>
      </c>
      <c r="B428" s="50" t="str">
        <f>IFERROR(__xludf.DUMMYFUNCTION("""COMPUTED_VALUE"""),"SES-0004")</f>
        <v>SES-0004</v>
      </c>
      <c r="C428" s="50" t="str">
        <f>IFERROR(__xludf.DUMMYFUNCTION("""COMPUTED_VALUE"""),"christinecoumet@labalaguere.com")</f>
        <v>christinecoumet@labalaguere.com</v>
      </c>
      <c r="D428" s="127" t="str">
        <f>IFERROR(__xludf.DUMMYFUNCTION("""COMPUTED_VALUE"""),"https://drive.google.com/file/d/1r8lRWCGx-SZhCla5Gsbgq_SPfLo-zXYW/view?usp=drivesdk")</f>
        <v>https://drive.google.com/file/d/1r8lRWCGx-SZhCla5Gsbgq_SPfLo-zXYW/view?usp=drivesdk</v>
      </c>
    </row>
    <row r="429">
      <c r="A429" s="50" t="s">
        <v>1985</v>
      </c>
      <c r="B429" s="50" t="str">
        <f>IFERROR(__xludf.DUMMYFUNCTION("""COMPUTED_VALUE"""),"SES-0005")</f>
        <v>SES-0005</v>
      </c>
      <c r="C429" s="50" t="str">
        <f>IFERROR(__xludf.DUMMYFUNCTION("""COMPUTED_VALUE"""),"christinecoumet@labalaguere.com")</f>
        <v>christinecoumet@labalaguere.com</v>
      </c>
      <c r="D429" s="127" t="str">
        <f>IFERROR(__xludf.DUMMYFUNCTION("""COMPUTED_VALUE"""),"https://drive.google.com/file/d/1XpSmdHiwOeMKgOuQrJLHct6LMhRRA2kc/view?usp=drivesdk")</f>
        <v>https://drive.google.com/file/d/1XpSmdHiwOeMKgOuQrJLHct6LMhRRA2kc/view?usp=drivesdk</v>
      </c>
    </row>
    <row r="430">
      <c r="A430" s="50" t="s">
        <v>1988</v>
      </c>
      <c r="B430" s="50" t="str">
        <f>IFERROR(__xludf.DUMMYFUNCTION("""COMPUTED_VALUE"""),"SES-0004")</f>
        <v>SES-0004</v>
      </c>
      <c r="C430" s="50" t="str">
        <f>IFERROR(__xludf.DUMMYFUNCTION("""COMPUTED_VALUE"""),"stephanie.abaziou@labalaguere.com")</f>
        <v>stephanie.abaziou@labalaguere.com</v>
      </c>
      <c r="D430" s="127" t="str">
        <f>IFERROR(__xludf.DUMMYFUNCTION("""COMPUTED_VALUE"""),"https://drive.google.com/file/d/1n_QHiMCFpsWJUsxLBVCluZWIlDcjvEk-/view?usp=drivesdk")</f>
        <v>https://drive.google.com/file/d/1n_QHiMCFpsWJUsxLBVCluZWIlDcjvEk-/view?usp=drivesdk</v>
      </c>
    </row>
    <row r="431">
      <c r="A431" s="50" t="s">
        <v>1990</v>
      </c>
      <c r="B431" s="50" t="str">
        <f>IFERROR(__xludf.DUMMYFUNCTION("""COMPUTED_VALUE"""),"SES-0005")</f>
        <v>SES-0005</v>
      </c>
      <c r="C431" s="50" t="str">
        <f>IFERROR(__xludf.DUMMYFUNCTION("""COMPUTED_VALUE"""),"stephanie.abaziou@labalaguere.com")</f>
        <v>stephanie.abaziou@labalaguere.com</v>
      </c>
      <c r="D431" s="127" t="str">
        <f>IFERROR(__xludf.DUMMYFUNCTION("""COMPUTED_VALUE"""),"https://drive.google.com/file/d/1XvQ6a-xvBMg-hBwxabhukAokA5az_QX9/view?usp=drivesdk")</f>
        <v>https://drive.google.com/file/d/1XvQ6a-xvBMg-hBwxabhukAokA5az_QX9/view?usp=drivesdk</v>
      </c>
    </row>
    <row r="432">
      <c r="A432" s="50" t="s">
        <v>1995</v>
      </c>
      <c r="B432" s="50" t="str">
        <f>IFERROR(__xludf.DUMMYFUNCTION("""COMPUTED_VALUE"""),"SES-0004")</f>
        <v>SES-0004</v>
      </c>
      <c r="C432" s="50" t="str">
        <f>IFERROR(__xludf.DUMMYFUNCTION("""COMPUTED_VALUE"""),"mlepretre@ucpa.asso.fr")</f>
        <v>mlepretre@ucpa.asso.fr</v>
      </c>
      <c r="D432" s="127" t="str">
        <f>IFERROR(__xludf.DUMMYFUNCTION("""COMPUTED_VALUE"""),"https://drive.google.com/file/d/1qnKlHUlYf_6R7dGz8zGD-rEaOt5WfJXC/view?usp=drivesdk")</f>
        <v>https://drive.google.com/file/d/1qnKlHUlYf_6R7dGz8zGD-rEaOt5WfJXC/view?usp=drivesdk</v>
      </c>
    </row>
    <row r="433">
      <c r="A433" s="50" t="s">
        <v>1997</v>
      </c>
      <c r="B433" s="50" t="str">
        <f>IFERROR(__xludf.DUMMYFUNCTION("""COMPUTED_VALUE"""),"SES-0003")</f>
        <v>SES-0003</v>
      </c>
      <c r="C433" s="50" t="str">
        <f>IFERROR(__xludf.DUMMYFUNCTION("""COMPUTED_VALUE"""),"lfeuillet@ucpa.asso.fr")</f>
        <v>lfeuillet@ucpa.asso.fr</v>
      </c>
      <c r="D433" s="127" t="str">
        <f>IFERROR(__xludf.DUMMYFUNCTION("""COMPUTED_VALUE"""),"https://drive.google.com/file/d/1WXm163kpKMFX7Q5TzvuxKdppkF5k6dXD/view?usp=drivesdk")</f>
        <v>https://drive.google.com/file/d/1WXm163kpKMFX7Q5TzvuxKdppkF5k6dXD/view?usp=drivesdk</v>
      </c>
    </row>
    <row r="434">
      <c r="A434" s="50" t="s">
        <v>2000</v>
      </c>
      <c r="B434" s="50" t="str">
        <f>IFERROR(__xludf.DUMMYFUNCTION("""COMPUTED_VALUE"""),"SES-0004")</f>
        <v>SES-0004</v>
      </c>
      <c r="C434" s="50" t="str">
        <f>IFERROR(__xludf.DUMMYFUNCTION("""COMPUTED_VALUE"""),"lfeuillet@ucpa.asso.fr")</f>
        <v>lfeuillet@ucpa.asso.fr</v>
      </c>
      <c r="D434" s="127" t="str">
        <f>IFERROR(__xludf.DUMMYFUNCTION("""COMPUTED_VALUE"""),"https://drive.google.com/file/d/1c-RgmmsygzEN5-PFbjsdr7dD77lIguBi/view?usp=drivesdk")</f>
        <v>https://drive.google.com/file/d/1c-RgmmsygzEN5-PFbjsdr7dD77lIguBi/view?usp=drivesdk</v>
      </c>
    </row>
    <row r="435">
      <c r="A435" s="50" t="s">
        <v>2004</v>
      </c>
      <c r="B435" s="50" t="str">
        <f>IFERROR(__xludf.DUMMYFUNCTION("""COMPUTED_VALUE"""),"SES-0005")</f>
        <v>SES-0005</v>
      </c>
      <c r="C435" s="50" t="str">
        <f>IFERROR(__xludf.DUMMYFUNCTION("""COMPUTED_VALUE"""),"lfeuillet@ucpa.asso.fr")</f>
        <v>lfeuillet@ucpa.asso.fr</v>
      </c>
      <c r="D435" s="127" t="str">
        <f>IFERROR(__xludf.DUMMYFUNCTION("""COMPUTED_VALUE"""),"https://drive.google.com/file/d/1ecMrvVuSncajGo63yod4XR7XV5jSrcBq/view?usp=drivesdk")</f>
        <v>https://drive.google.com/file/d/1ecMrvVuSncajGo63yod4XR7XV5jSrcBq/view?usp=drivesdk</v>
      </c>
    </row>
    <row r="436">
      <c r="A436" s="50" t="s">
        <v>2007</v>
      </c>
      <c r="B436" s="50" t="str">
        <f>IFERROR(__xludf.DUMMYFUNCTION("""COMPUTED_VALUE"""),"SES-0003")</f>
        <v>SES-0003</v>
      </c>
      <c r="C436" s="50" t="str">
        <f>IFERROR(__xludf.DUMMYFUNCTION("""COMPUTED_VALUE"""),"hpoudevigne@ucpa.asso.fr")</f>
        <v>hpoudevigne@ucpa.asso.fr</v>
      </c>
      <c r="D436" s="127" t="str">
        <f>IFERROR(__xludf.DUMMYFUNCTION("""COMPUTED_VALUE"""),"https://drive.google.com/file/d/1BtxNxCHJmtX3Zlujzk5odVs-AVXidFFq/view?usp=drivesdk")</f>
        <v>https://drive.google.com/file/d/1BtxNxCHJmtX3Zlujzk5odVs-AVXidFFq/view?usp=drivesdk</v>
      </c>
    </row>
    <row r="437">
      <c r="A437" s="50" t="s">
        <v>2011</v>
      </c>
      <c r="B437" s="50" t="str">
        <f>IFERROR(__xludf.DUMMYFUNCTION("""COMPUTED_VALUE"""),"SES-0004")</f>
        <v>SES-0004</v>
      </c>
      <c r="C437" s="50" t="str">
        <f>IFERROR(__xludf.DUMMYFUNCTION("""COMPUTED_VALUE"""),"hpoudevigne@ucpa.asso.fr")</f>
        <v>hpoudevigne@ucpa.asso.fr</v>
      </c>
      <c r="D437" s="127" t="str">
        <f>IFERROR(__xludf.DUMMYFUNCTION("""COMPUTED_VALUE"""),"https://drive.google.com/file/d/1OpwJBoALfwoVfEI5eFjaNTd50ptamYxo/view?usp=drivesdk")</f>
        <v>https://drive.google.com/file/d/1OpwJBoALfwoVfEI5eFjaNTd50ptamYxo/view?usp=drivesdk</v>
      </c>
    </row>
    <row r="438">
      <c r="A438" s="50" t="s">
        <v>2014</v>
      </c>
      <c r="B438" s="50" t="str">
        <f>IFERROR(__xludf.DUMMYFUNCTION("""COMPUTED_VALUE"""),"SES-0003")</f>
        <v>SES-0003</v>
      </c>
      <c r="C438" s="50" t="str">
        <f>IFERROR(__xludf.DUMMYFUNCTION("""COMPUTED_VALUE"""),"ftaffin@ucpa.asso.fr")</f>
        <v>ftaffin@ucpa.asso.fr</v>
      </c>
      <c r="D438" s="127" t="str">
        <f>IFERROR(__xludf.DUMMYFUNCTION("""COMPUTED_VALUE"""),"https://drive.google.com/file/d/1Jvh9GKRMvkeS257ZmqTHP6wq_c3Of2mW/view?usp=drivesdk")</f>
        <v>https://drive.google.com/file/d/1Jvh9GKRMvkeS257ZmqTHP6wq_c3Of2mW/view?usp=drivesdk</v>
      </c>
    </row>
    <row r="439">
      <c r="A439" s="50" t="s">
        <v>2017</v>
      </c>
      <c r="B439" s="50" t="str">
        <f>IFERROR(__xludf.DUMMYFUNCTION("""COMPUTED_VALUE"""),"SES-0003")</f>
        <v>SES-0003</v>
      </c>
      <c r="C439" s="50" t="str">
        <f>IFERROR(__xludf.DUMMYFUNCTION("""COMPUTED_VALUE"""),"tdelcourt@ucpasl.com")</f>
        <v>tdelcourt@ucpasl.com</v>
      </c>
      <c r="D439" s="127" t="str">
        <f>IFERROR(__xludf.DUMMYFUNCTION("""COMPUTED_VALUE"""),"https://drive.google.com/file/d/17BtMPJMPwsKEQGJ_ncNwF3kK-Zx6Sq0k/view?usp=drivesdk")</f>
        <v>https://drive.google.com/file/d/17BtMPJMPwsKEQGJ_ncNwF3kK-Zx6Sq0k/view?usp=drivesdk</v>
      </c>
    </row>
    <row r="440">
      <c r="A440" s="50" t="s">
        <v>2021</v>
      </c>
      <c r="B440" s="50" t="str">
        <f>IFERROR(__xludf.DUMMYFUNCTION("""COMPUTED_VALUE"""),"SES-0004")</f>
        <v>SES-0004</v>
      </c>
      <c r="C440" s="50" t="str">
        <f>IFERROR(__xludf.DUMMYFUNCTION("""COMPUTED_VALUE"""),"tdelcourt@ucpasl.com")</f>
        <v>tdelcourt@ucpasl.com</v>
      </c>
      <c r="D440" s="127" t="str">
        <f>IFERROR(__xludf.DUMMYFUNCTION("""COMPUTED_VALUE"""),"https://drive.google.com/file/d/18G35AkSX5yqC620G0_DX5Z8mYqzZy-6G/view?usp=drivesdk")</f>
        <v>https://drive.google.com/file/d/18G35AkSX5yqC620G0_DX5Z8mYqzZy-6G/view?usp=drivesdk</v>
      </c>
    </row>
    <row r="441">
      <c r="A441" s="50" t="s">
        <v>2023</v>
      </c>
      <c r="B441" s="50" t="str">
        <f>IFERROR(__xludf.DUMMYFUNCTION("""COMPUTED_VALUE"""),"SES-0005")</f>
        <v>SES-0005</v>
      </c>
      <c r="C441" s="50" t="str">
        <f>IFERROR(__xludf.DUMMYFUNCTION("""COMPUTED_VALUE"""),"tdelcourt@ucpasl.com")</f>
        <v>tdelcourt@ucpasl.com</v>
      </c>
      <c r="D441" s="127" t="str">
        <f>IFERROR(__xludf.DUMMYFUNCTION("""COMPUTED_VALUE"""),"https://drive.google.com/file/d/1aabaN6DnRJqCiVC2DAE0yZX4DGf8qy-A/view?usp=drivesdk")</f>
        <v>https://drive.google.com/file/d/1aabaN6DnRJqCiVC2DAE0yZX4DGf8qy-A/view?usp=drivesdk</v>
      </c>
    </row>
    <row r="442">
      <c r="A442" s="50" t="s">
        <v>2026</v>
      </c>
      <c r="B442" s="50" t="str">
        <f>IFERROR(__xludf.DUMMYFUNCTION("""COMPUTED_VALUE"""),"SES-0003")</f>
        <v>SES-0003</v>
      </c>
      <c r="C442" s="50" t="str">
        <f>IFERROR(__xludf.DUMMYFUNCTION("""COMPUTED_VALUE"""),"courneuve.act@ucpa.asso.fr")</f>
        <v>courneuve.act@ucpa.asso.fr</v>
      </c>
      <c r="D442" s="127" t="str">
        <f>IFERROR(__xludf.DUMMYFUNCTION("""COMPUTED_VALUE"""),"https://drive.google.com/file/d/1X69DLFl2UYKPP2ryTpwnQDuh6p_scD0o/view?usp=drivesdk")</f>
        <v>https://drive.google.com/file/d/1X69DLFl2UYKPP2ryTpwnQDuh6p_scD0o/view?usp=drivesdk</v>
      </c>
    </row>
    <row r="443">
      <c r="A443" s="50" t="s">
        <v>2030</v>
      </c>
      <c r="B443" s="50" t="str">
        <f>IFERROR(__xludf.DUMMYFUNCTION("""COMPUTED_VALUE"""),"SES-0004")</f>
        <v>SES-0004</v>
      </c>
      <c r="C443" s="50" t="str">
        <f>IFERROR(__xludf.DUMMYFUNCTION("""COMPUTED_VALUE"""),"catherine.georges@telligo.fr")</f>
        <v>catherine.georges@telligo.fr</v>
      </c>
      <c r="D443" s="127" t="str">
        <f>IFERROR(__xludf.DUMMYFUNCTION("""COMPUTED_VALUE"""),"https://drive.google.com/file/d/1ff67FJ49ZvIAvD7P0y7yj3PHg1h11Esp/view?usp=drivesdk")</f>
        <v>https://drive.google.com/file/d/1ff67FJ49ZvIAvD7P0y7yj3PHg1h11Esp/view?usp=drivesdk</v>
      </c>
    </row>
    <row r="444">
      <c r="A444" s="50" t="s">
        <v>2032</v>
      </c>
      <c r="B444" s="50" t="str">
        <f>IFERROR(__xludf.DUMMYFUNCTION("""COMPUTED_VALUE"""),"SES-0005")</f>
        <v>SES-0005</v>
      </c>
      <c r="C444" s="50" t="str">
        <f>IFERROR(__xludf.DUMMYFUNCTION("""COMPUTED_VALUE"""),"gpouleur@pailleron19.com")</f>
        <v>gpouleur@pailleron19.com</v>
      </c>
      <c r="D444" s="127" t="str">
        <f>IFERROR(__xludf.DUMMYFUNCTION("""COMPUTED_VALUE"""),"https://drive.google.com/file/d/1NgJk-7wG5ecjEsYPFtMUbUO5Wwepj2XN/view?usp=drivesdk")</f>
        <v>https://drive.google.com/file/d/1NgJk-7wG5ecjEsYPFtMUbUO5Wwepj2XN/view?usp=drivesdk</v>
      </c>
    </row>
    <row r="445">
      <c r="A445" s="50" t="s">
        <v>2036</v>
      </c>
      <c r="B445" s="50" t="str">
        <f>IFERROR(__xludf.DUMMYFUNCTION("""COMPUTED_VALUE"""),"SES-0005")</f>
        <v>SES-0005</v>
      </c>
      <c r="C445" s="50" t="str">
        <f>IFERROR(__xludf.DUMMYFUNCTION("""COMPUTED_VALUE"""),"catherine.georges@telligo.fr")</f>
        <v>catherine.georges@telligo.fr</v>
      </c>
      <c r="D445" s="127" t="str">
        <f>IFERROR(__xludf.DUMMYFUNCTION("""COMPUTED_VALUE"""),"https://drive.google.com/file/d/1BOHYcFHkFHx7c0hzu6XwEeEub8k99gUX/view?usp=drivesdk")</f>
        <v>https://drive.google.com/file/d/1BOHYcFHkFHx7c0hzu6XwEeEub8k99gUX/view?usp=drivesdk</v>
      </c>
    </row>
    <row r="446">
      <c r="A446" s="50" t="s">
        <v>2040</v>
      </c>
      <c r="B446" s="50" t="str">
        <f>IFERROR(__xludf.DUMMYFUNCTION("""COMPUTED_VALUE"""),"SES-0003")</f>
        <v>SES-0003</v>
      </c>
      <c r="C446" s="50" t="str">
        <f>IFERROR(__xludf.DUMMYFUNCTION("""COMPUTED_VALUE"""),"catherine.georges@telligo.fr")</f>
        <v>catherine.georges@telligo.fr</v>
      </c>
      <c r="D446" s="127" t="str">
        <f>IFERROR(__xludf.DUMMYFUNCTION("""COMPUTED_VALUE"""),"https://drive.google.com/file/d/1Q7BS30K6OiLS4Jud_rTC8SkWtlor7qtl/view?usp=drivesdk")</f>
        <v>https://drive.google.com/file/d/1Q7BS30K6OiLS4Jud_rTC8SkWtlor7qtl/view?usp=drivesdk</v>
      </c>
    </row>
    <row r="447">
      <c r="A447" s="50" t="s">
        <v>2042</v>
      </c>
      <c r="B447" s="50" t="str">
        <f>IFERROR(__xludf.DUMMYFUNCTION("""COMPUTED_VALUE"""),"SES-0005")</f>
        <v>SES-0005</v>
      </c>
      <c r="C447" s="50" t="str">
        <f>IFERROR(__xludf.DUMMYFUNCTION("""COMPUTED_VALUE"""),"courneuve.act@ucpa.asso.fr")</f>
        <v>courneuve.act@ucpa.asso.fr</v>
      </c>
      <c r="D447" s="127" t="str">
        <f>IFERROR(__xludf.DUMMYFUNCTION("""COMPUTED_VALUE"""),"https://drive.google.com/file/d/1fU5LjiMtLIhxy0Mgo5Q7BlwCW01F83fs/view?usp=drivesdk")</f>
        <v>https://drive.google.com/file/d/1fU5LjiMtLIhxy0Mgo5Q7BlwCW01F83fs/view?usp=drivesdk</v>
      </c>
    </row>
    <row r="448">
      <c r="A448" s="50" t="s">
        <v>2045</v>
      </c>
      <c r="B448" s="50" t="str">
        <f>IFERROR(__xludf.DUMMYFUNCTION("""COMPUTED_VALUE"""),"SES-0003")</f>
        <v>SES-0003</v>
      </c>
      <c r="C448" s="50" t="str">
        <f>IFERROR(__xludf.DUMMYFUNCTION("""COMPUTED_VALUE"""),"vmeigneux@ucpa.asso.com")</f>
        <v>vmeigneux@ucpa.asso.com</v>
      </c>
      <c r="D448" s="127" t="str">
        <f>IFERROR(__xludf.DUMMYFUNCTION("""COMPUTED_VALUE"""),"https://drive.google.com/file/d/1-ql085kz00eHHTPZR4qG1ulb-IaTREss/view?usp=drivesdk")</f>
        <v>https://drive.google.com/file/d/1-ql085kz00eHHTPZR4qG1ulb-IaTREss/view?usp=drivesdk</v>
      </c>
    </row>
    <row r="449">
      <c r="A449" s="50" t="s">
        <v>2049</v>
      </c>
      <c r="B449" s="50" t="str">
        <f>IFERROR(__xludf.DUMMYFUNCTION("""COMPUTED_VALUE"""),"SES-0004")</f>
        <v>SES-0004</v>
      </c>
      <c r="C449" s="50" t="str">
        <f>IFERROR(__xludf.DUMMYFUNCTION("""COMPUTED_VALUE"""),"vmeigneux@ucpa.asso.fr")</f>
        <v>vmeigneux@ucpa.asso.fr</v>
      </c>
      <c r="D449" s="127" t="str">
        <f>IFERROR(__xludf.DUMMYFUNCTION("""COMPUTED_VALUE"""),"https://drive.google.com/file/d/1CT1YH1Q42TVl9ugTksxC4lxdHsHxAhq5/view?usp=drivesdk")</f>
        <v>https://drive.google.com/file/d/1CT1YH1Q42TVl9ugTksxC4lxdHsHxAhq5/view?usp=drivesdk</v>
      </c>
    </row>
    <row r="450">
      <c r="A450" s="50" t="s">
        <v>2052</v>
      </c>
      <c r="B450" s="50" t="str">
        <f>IFERROR(__xludf.DUMMYFUNCTION("""COMPUTED_VALUE"""),"SES-0005")</f>
        <v>SES-0005</v>
      </c>
      <c r="C450" s="50" t="str">
        <f>IFERROR(__xludf.DUMMYFUNCTION("""COMPUTED_VALUE"""),"vmeigneux@ucpa.asso.fr")</f>
        <v>vmeigneux@ucpa.asso.fr</v>
      </c>
      <c r="D450" s="127" t="str">
        <f>IFERROR(__xludf.DUMMYFUNCTION("""COMPUTED_VALUE"""),"https://drive.google.com/file/d/1pOzF5ka02eTS7v-dgfhtoLFBa2PAuKzv/view?usp=drivesdk")</f>
        <v>https://drive.google.com/file/d/1pOzF5ka02eTS7v-dgfhtoLFBa2PAuKzv/view?usp=drivesdk</v>
      </c>
    </row>
    <row r="451">
      <c r="A451" s="50" t="s">
        <v>2056</v>
      </c>
      <c r="B451" s="50" t="str">
        <f>IFERROR(__xludf.DUMMYFUNCTION("""COMPUTED_VALUE"""),"SES-0004")</f>
        <v>SES-0004</v>
      </c>
      <c r="C451" s="50" t="str">
        <f>IFERROR(__xludf.DUMMYFUNCTION("""COMPUTED_VALUE"""),"bperrin@ucpaplanete.com")</f>
        <v>bperrin@ucpaplanete.com</v>
      </c>
      <c r="D451" s="127" t="str">
        <f>IFERROR(__xludf.DUMMYFUNCTION("""COMPUTED_VALUE"""),"https://drive.google.com/file/d/1ug75MGlhTrUJuLkLa7VYXg1gEu1hkv3c/view?usp=drivesdk")</f>
        <v>https://drive.google.com/file/d/1ug75MGlhTrUJuLkLa7VYXg1gEu1hkv3c/view?usp=drivesdk</v>
      </c>
    </row>
    <row r="452">
      <c r="A452" s="50" t="s">
        <v>2060</v>
      </c>
      <c r="B452" s="50" t="str">
        <f>IFERROR(__xludf.DUMMYFUNCTION("""COMPUTED_VALUE"""),"SES-0005")</f>
        <v>SES-0005</v>
      </c>
      <c r="C452" s="50" t="str">
        <f>IFERROR(__xludf.DUMMYFUNCTION("""COMPUTED_VALUE"""),"bperrin@ucpaplanete.com")</f>
        <v>bperrin@ucpaplanete.com</v>
      </c>
      <c r="D452" s="127" t="str">
        <f>IFERROR(__xludf.DUMMYFUNCTION("""COMPUTED_VALUE"""),"https://drive.google.com/file/d/1XujfTic3Ka75ZGlbW12w23By7gJl4BBC/view?usp=drivesdk")</f>
        <v>https://drive.google.com/file/d/1XujfTic3Ka75ZGlbW12w23By7gJl4BBC/view?usp=drivesdk</v>
      </c>
    </row>
    <row r="453">
      <c r="A453" s="50" t="s">
        <v>2099</v>
      </c>
      <c r="B453" s="50" t="str">
        <f>IFERROR(__xludf.DUMMYFUNCTION("""COMPUTED_VALUE"""),"SES-0003")</f>
        <v>SES-0003</v>
      </c>
      <c r="C453" s="50" t="str">
        <f>IFERROR(__xludf.DUMMYFUNCTION("""COMPUTED_VALUE"""),"jm.jugielaffitte@labalaguere.com")</f>
        <v>jm.jugielaffitte@labalaguere.com</v>
      </c>
      <c r="D453" s="127" t="str">
        <f>IFERROR(__xludf.DUMMYFUNCTION("""COMPUTED_VALUE"""),"https://drive.google.com/file/d/11b65UNIvexgf2TUl-13Syqk7UyjVgMRP/view?usp=drivesdk")</f>
        <v>https://drive.google.com/file/d/11b65UNIvexgf2TUl-13Syqk7UyjVgMRP/view?usp=drivesdk</v>
      </c>
    </row>
    <row r="454">
      <c r="A454" s="50" t="s">
        <v>2102</v>
      </c>
      <c r="B454" s="50" t="str">
        <f>IFERROR(__xludf.DUMMYFUNCTION("""COMPUTED_VALUE"""),"SES-0004")</f>
        <v>SES-0004</v>
      </c>
      <c r="C454" s="50" t="str">
        <f>IFERROR(__xludf.DUMMYFUNCTION("""COMPUTED_VALUE"""),"jm.jugielaffitte@labalaguere.com")</f>
        <v>jm.jugielaffitte@labalaguere.com</v>
      </c>
      <c r="D454" s="127" t="str">
        <f>IFERROR(__xludf.DUMMYFUNCTION("""COMPUTED_VALUE"""),"https://drive.google.com/file/d/1AfifteHgDaHt4JzWzqb_GfkMojBqP1Ic/view?usp=drivesdk")</f>
        <v>https://drive.google.com/file/d/1AfifteHgDaHt4JzWzqb_GfkMojBqP1Ic/view?usp=drivesdk</v>
      </c>
    </row>
    <row r="455">
      <c r="A455" s="50" t="s">
        <v>2107</v>
      </c>
      <c r="B455" s="50" t="str">
        <f>IFERROR(__xludf.DUMMYFUNCTION("""COMPUTED_VALUE"""),"SES-0005")</f>
        <v>SES-0005</v>
      </c>
      <c r="C455" s="50" t="str">
        <f>IFERROR(__xludf.DUMMYFUNCTION("""COMPUTED_VALUE"""),"jm.jugielaffitte@labalaguere.com")</f>
        <v>jm.jugielaffitte@labalaguere.com</v>
      </c>
      <c r="D455" s="127" t="str">
        <f>IFERROR(__xludf.DUMMYFUNCTION("""COMPUTED_VALUE"""),"https://drive.google.com/file/d/1GRlw9uJN_DpanyvcNB8mYx8QbtV4OujK/view?usp=drivesdk")</f>
        <v>https://drive.google.com/file/d/1GRlw9uJN_DpanyvcNB8mYx8QbtV4OujK/view?usp=drivesdk</v>
      </c>
    </row>
    <row r="456">
      <c r="A456" s="50" t="s">
        <v>2111</v>
      </c>
      <c r="B456" s="50" t="str">
        <f>IFERROR(__xludf.DUMMYFUNCTION("""COMPUTED_VALUE"""),"SES-0003")</f>
        <v>SES-0003</v>
      </c>
      <c r="C456" s="50" t="str">
        <f>IFERROR(__xludf.DUMMYFUNCTION("""COMPUTED_VALUE"""),"sboumrar@vaires-torcy.iledeloisirs.fr")</f>
        <v>sboumrar@vaires-torcy.iledeloisirs.fr</v>
      </c>
      <c r="D456" s="127" t="str">
        <f>IFERROR(__xludf.DUMMYFUNCTION("""COMPUTED_VALUE"""),"https://drive.google.com/file/d/1XmU_AbhREgXoPufWtDl56j_ay4QPYyMr/view?usp=drivesdk")</f>
        <v>https://drive.google.com/file/d/1XmU_AbhREgXoPufWtDl56j_ay4QPYyMr/view?usp=drivesdk</v>
      </c>
    </row>
    <row r="457">
      <c r="A457" s="50" t="s">
        <v>2115</v>
      </c>
      <c r="B457" s="50" t="str">
        <f>IFERROR(__xludf.DUMMYFUNCTION("""COMPUTED_VALUE"""),"SES-0003")</f>
        <v>SES-0003</v>
      </c>
      <c r="C457" s="50" t="str">
        <f>IFERROR(__xludf.DUMMYFUNCTION("""COMPUTED_VALUE"""),"lroussellot@vaires-torcy.iledeloisirs.fr")</f>
        <v>lroussellot@vaires-torcy.iledeloisirs.fr</v>
      </c>
      <c r="D457" s="127" t="str">
        <f>IFERROR(__xludf.DUMMYFUNCTION("""COMPUTED_VALUE"""),"https://drive.google.com/file/d/10dhcIUa9C5wSYnS1fXGibeAUMbyhOCAq/view?usp=drivesdk")</f>
        <v>https://drive.google.com/file/d/10dhcIUa9C5wSYnS1fXGibeAUMbyhOCAq/view?usp=drivesdk</v>
      </c>
    </row>
    <row r="458">
      <c r="A458" s="50" t="s">
        <v>2119</v>
      </c>
      <c r="B458" s="50" t="str">
        <f>IFERROR(__xludf.DUMMYFUNCTION("""COMPUTED_VALUE"""),"SES-0003")</f>
        <v>SES-0003</v>
      </c>
      <c r="C458" s="50" t="str">
        <f>IFERROR(__xludf.DUMMYFUNCTION("""COMPUTED_VALUE"""),"isantos@ucpa.asso.fr")</f>
        <v>isantos@ucpa.asso.fr</v>
      </c>
      <c r="D458" s="127" t="str">
        <f>IFERROR(__xludf.DUMMYFUNCTION("""COMPUTED_VALUE"""),"https://drive.google.com/file/d/1Yan-3YN2ukoJOtZc6k0kWiWa3w5ZwLcr/view?usp=drivesdk")</f>
        <v>https://drive.google.com/file/d/1Yan-3YN2ukoJOtZc6k0kWiWa3w5ZwLcr/view?usp=drivesdk</v>
      </c>
    </row>
    <row r="459">
      <c r="A459" s="50" t="s">
        <v>2120</v>
      </c>
      <c r="B459" s="50" t="str">
        <f>IFERROR(__xludf.DUMMYFUNCTION("""COMPUTED_VALUE"""),"SES-0004")</f>
        <v>SES-0004</v>
      </c>
      <c r="C459" s="50" t="str">
        <f>IFERROR(__xludf.DUMMYFUNCTION("""COMPUTED_VALUE"""),"isantos@ucpa.asso.fr")</f>
        <v>isantos@ucpa.asso.fr</v>
      </c>
      <c r="D459" s="127" t="str">
        <f>IFERROR(__xludf.DUMMYFUNCTION("""COMPUTED_VALUE"""),"https://drive.google.com/file/d/1B3XGFQ3qMUzjPCmHcUoLj9bFRgN8Azsi/view?usp=drivesdk")</f>
        <v>https://drive.google.com/file/d/1B3XGFQ3qMUzjPCmHcUoLj9bFRgN8Azsi/view?usp=drivesdk</v>
      </c>
    </row>
    <row r="460">
      <c r="A460" s="50" t="s">
        <v>2124</v>
      </c>
      <c r="B460" s="50" t="str">
        <f>IFERROR(__xludf.DUMMYFUNCTION("""COMPUTED_VALUE"""),"SES-0005")</f>
        <v>SES-0005</v>
      </c>
      <c r="C460" s="50" t="str">
        <f>IFERROR(__xludf.DUMMYFUNCTION("""COMPUTED_VALUE"""),"isantos@ucpa.asso.fr")</f>
        <v>isantos@ucpa.asso.fr</v>
      </c>
      <c r="D460" s="127" t="str">
        <f>IFERROR(__xludf.DUMMYFUNCTION("""COMPUTED_VALUE"""),"https://drive.google.com/file/d/1eaVZ2UArhkvmg-c_ocdPEGg4BTbrG-sY/view?usp=drivesdk")</f>
        <v>https://drive.google.com/file/d/1eaVZ2UArhkvmg-c_ocdPEGg4BTbrG-sY/view?usp=drivesdk</v>
      </c>
    </row>
    <row r="461">
      <c r="A461" s="50" t="s">
        <v>2128</v>
      </c>
      <c r="B461" s="50" t="str">
        <f>IFERROR(__xludf.DUMMYFUNCTION("""COMPUTED_VALUE"""),"SES-0003")</f>
        <v>SES-0003</v>
      </c>
      <c r="C461" s="50" t="str">
        <f>IFERROR(__xludf.DUMMYFUNCTION("""COMPUTED_VALUE"""),"fxmeuge@ucpa.asso.fr")</f>
        <v>fxmeuge@ucpa.asso.fr</v>
      </c>
      <c r="D461" s="127" t="str">
        <f>IFERROR(__xludf.DUMMYFUNCTION("""COMPUTED_VALUE"""),"https://drive.google.com/file/d/1WRzkvdZmxHcvot2wSpuiOpBwCxpV5_G9/view?usp=drivesdk")</f>
        <v>https://drive.google.com/file/d/1WRzkvdZmxHcvot2wSpuiOpBwCxpV5_G9/view?usp=drivesdk</v>
      </c>
    </row>
    <row r="462">
      <c r="A462" s="50" t="s">
        <v>2131</v>
      </c>
      <c r="B462" s="50" t="str">
        <f>IFERROR(__xludf.DUMMYFUNCTION("""COMPUTED_VALUE"""),"SES-0004")</f>
        <v>SES-0004</v>
      </c>
      <c r="C462" s="50" t="str">
        <f>IFERROR(__xludf.DUMMYFUNCTION("""COMPUTED_VALUE"""),"fxmeuge@ucpa.asso.fr")</f>
        <v>fxmeuge@ucpa.asso.fr</v>
      </c>
      <c r="D462" s="127" t="str">
        <f>IFERROR(__xludf.DUMMYFUNCTION("""COMPUTED_VALUE"""),"https://drive.google.com/file/d/1DvMoNMlJbx4vUVd1r6EAAylevJJnZ_JT/view?usp=drivesdk")</f>
        <v>https://drive.google.com/file/d/1DvMoNMlJbx4vUVd1r6EAAylevJJnZ_JT/view?usp=drivesdk</v>
      </c>
    </row>
    <row r="463">
      <c r="A463" s="50" t="s">
        <v>2134</v>
      </c>
      <c r="B463" s="50" t="str">
        <f>IFERROR(__xludf.DUMMYFUNCTION("""COMPUTED_VALUE"""),"SES-0005")</f>
        <v>SES-0005</v>
      </c>
      <c r="C463" s="50" t="str">
        <f>IFERROR(__xludf.DUMMYFUNCTION("""COMPUTED_VALUE"""),"fxmeuge@ucpa.asso.fr")</f>
        <v>fxmeuge@ucpa.asso.fr</v>
      </c>
      <c r="D463" s="127" t="str">
        <f>IFERROR(__xludf.DUMMYFUNCTION("""COMPUTED_VALUE"""),"https://drive.google.com/file/d/15sX8jpk4Btkx0D69tSX4kwI-WFWUyYuK/view?usp=drivesdk")</f>
        <v>https://drive.google.com/file/d/15sX8jpk4Btkx0D69tSX4kwI-WFWUyYuK/view?usp=drivesdk</v>
      </c>
    </row>
    <row r="464">
      <c r="A464" s="50" t="s">
        <v>2137</v>
      </c>
      <c r="B464" s="50" t="str">
        <f>IFERROR(__xludf.DUMMYFUNCTION("""COMPUTED_VALUE"""),"SES-0003")</f>
        <v>SES-0003</v>
      </c>
      <c r="C464" s="50" t="str">
        <f>IFERROR(__xludf.DUMMYFUNCTION("""COMPUTED_VALUE"""),"clapeyre@ucpasl.com")</f>
        <v>clapeyre@ucpasl.com</v>
      </c>
      <c r="D464" s="127" t="str">
        <f>IFERROR(__xludf.DUMMYFUNCTION("""COMPUTED_VALUE"""),"https://drive.google.com/file/d/1qxnX2b7ypMSMJjhn2PU2ORtCpqNsI-iM/view?usp=drivesdk")</f>
        <v>https://drive.google.com/file/d/1qxnX2b7ypMSMJjhn2PU2ORtCpqNsI-iM/view?usp=drivesdk</v>
      </c>
    </row>
    <row r="465">
      <c r="A465" s="50" t="s">
        <v>2140</v>
      </c>
      <c r="B465" s="50" t="str">
        <f>IFERROR(__xludf.DUMMYFUNCTION("""COMPUTED_VALUE"""),"SES-0004")</f>
        <v>SES-0004</v>
      </c>
      <c r="C465" s="50" t="str">
        <f>IFERROR(__xludf.DUMMYFUNCTION("""COMPUTED_VALUE"""),"clapeyre@ucpasl.com")</f>
        <v>clapeyre@ucpasl.com</v>
      </c>
      <c r="D465" s="127" t="str">
        <f>IFERROR(__xludf.DUMMYFUNCTION("""COMPUTED_VALUE"""),"https://drive.google.com/file/d/1_Da3K8xQTkorHg4VRNNo5qZB4djUgtnf/view?usp=drivesdk")</f>
        <v>https://drive.google.com/file/d/1_Da3K8xQTkorHg4VRNNo5qZB4djUgtnf/view?usp=drivesdk</v>
      </c>
    </row>
    <row r="466">
      <c r="A466" s="50" t="s">
        <v>2143</v>
      </c>
      <c r="B466" s="50" t="str">
        <f>IFERROR(__xludf.DUMMYFUNCTION("""COMPUTED_VALUE"""),"SES-0005")</f>
        <v>SES-0005</v>
      </c>
      <c r="C466" s="50" t="str">
        <f>IFERROR(__xludf.DUMMYFUNCTION("""COMPUTED_VALUE"""),"clapeyre@ucpasl.com")</f>
        <v>clapeyre@ucpasl.com</v>
      </c>
      <c r="D466" s="127" t="str">
        <f>IFERROR(__xludf.DUMMYFUNCTION("""COMPUTED_VALUE"""),"https://drive.google.com/file/d/1jh5wFuB3QWcPn6lpTyHCc1z_mBK0DMkY/view?usp=drivesdk")</f>
        <v>https://drive.google.com/file/d/1jh5wFuB3QWcPn6lpTyHCc1z_mBK0DMkY/view?usp=drivesdk</v>
      </c>
    </row>
    <row r="467">
      <c r="A467" s="50" t="s">
        <v>2146</v>
      </c>
      <c r="B467" s="50" t="str">
        <f>IFERROR(__xludf.DUMMYFUNCTION("""COMPUTED_VALUE"""),"SES-0004")</f>
        <v>SES-0004</v>
      </c>
      <c r="C467" s="50" t="str">
        <f>IFERROR(__xludf.DUMMYFUNCTION("""COMPUTED_VALUE"""),"ytortel@ucpa.asso.fr")</f>
        <v>ytortel@ucpa.asso.fr</v>
      </c>
      <c r="D467" s="127" t="str">
        <f>IFERROR(__xludf.DUMMYFUNCTION("""COMPUTED_VALUE"""),"https://drive.google.com/file/d/11CrYNzid0bJ9peRr4x7L5P7G6I2uK_oK/view?usp=drivesdk")</f>
        <v>https://drive.google.com/file/d/11CrYNzid0bJ9peRr4x7L5P7G6I2uK_oK/view?usp=drivesdk</v>
      </c>
    </row>
    <row r="468">
      <c r="A468" s="50" t="s">
        <v>2149</v>
      </c>
      <c r="B468" s="50" t="str">
        <f>IFERROR(__xludf.DUMMYFUNCTION("""COMPUTED_VALUE"""),"SES-0003")</f>
        <v>SES-0003</v>
      </c>
      <c r="C468" s="50" t="str">
        <f>IFERROR(__xludf.DUMMYFUNCTION("""COMPUTED_VALUE"""),"apouffier@ucpasl.com")</f>
        <v>apouffier@ucpasl.com</v>
      </c>
      <c r="D468" s="127" t="str">
        <f>IFERROR(__xludf.DUMMYFUNCTION("""COMPUTED_VALUE"""),"https://drive.google.com/file/d/1nufJFXvYLRiYseKJRz9PQ6yeY4ORSnOv/view?usp=drivesdk")</f>
        <v>https://drive.google.com/file/d/1nufJFXvYLRiYseKJRz9PQ6yeY4ORSnOv/view?usp=drivesdk</v>
      </c>
    </row>
    <row r="469">
      <c r="A469" s="50" t="s">
        <v>2152</v>
      </c>
      <c r="B469" s="50" t="str">
        <f>IFERROR(__xludf.DUMMYFUNCTION("""COMPUTED_VALUE"""),"SES-0004")</f>
        <v>SES-0004</v>
      </c>
      <c r="C469" s="50" t="str">
        <f>IFERROR(__xludf.DUMMYFUNCTION("""COMPUTED_VALUE"""),"apouffier@ucpasl.com")</f>
        <v>apouffier@ucpasl.com</v>
      </c>
      <c r="D469" s="127" t="str">
        <f>IFERROR(__xludf.DUMMYFUNCTION("""COMPUTED_VALUE"""),"https://drive.google.com/file/d/1faDvn0snXDbWj8Q77m3y0XLEmeZnuwZb/view?usp=drivesdk")</f>
        <v>https://drive.google.com/file/d/1faDvn0snXDbWj8Q77m3y0XLEmeZnuwZb/view?usp=drivesdk</v>
      </c>
    </row>
    <row r="470">
      <c r="A470" s="50" t="s">
        <v>2155</v>
      </c>
      <c r="B470" s="50" t="str">
        <f>IFERROR(__xludf.DUMMYFUNCTION("""COMPUTED_VALUE"""),"SES-0005")</f>
        <v>SES-0005</v>
      </c>
      <c r="C470" s="50" t="str">
        <f>IFERROR(__xludf.DUMMYFUNCTION("""COMPUTED_VALUE"""),"apouffier@ucpasl.com")</f>
        <v>apouffier@ucpasl.com</v>
      </c>
      <c r="D470" s="127" t="str">
        <f>IFERROR(__xludf.DUMMYFUNCTION("""COMPUTED_VALUE"""),"https://drive.google.com/file/d/1DBWOIqEgm2A9PHYIpv3gv6OXWaBp-72e/view?usp=drivesdk")</f>
        <v>https://drive.google.com/file/d/1DBWOIqEgm2A9PHYIpv3gv6OXWaBp-72e/view?usp=drivesdk</v>
      </c>
    </row>
    <row r="471">
      <c r="A471" s="50" t="s">
        <v>2158</v>
      </c>
      <c r="B471" s="50" t="str">
        <f>IFERROR(__xludf.DUMMYFUNCTION("""COMPUTED_VALUE"""),"SES-0003")</f>
        <v>SES-0003</v>
      </c>
      <c r="C471" s="50" t="str">
        <f>IFERROR(__xludf.DUMMYFUNCTION("""COMPUTED_VALUE"""),"marcbonaventure.service@gmail.com")</f>
        <v>marcbonaventure.service@gmail.com</v>
      </c>
      <c r="D471" s="127" t="str">
        <f>IFERROR(__xludf.DUMMYFUNCTION("""COMPUTED_VALUE"""),"https://drive.google.com/file/d/1GQN-0nQnvlqhits57_2cdJkVmbr_vAF1/view?usp=drivesdk")</f>
        <v>https://drive.google.com/file/d/1GQN-0nQnvlqhits57_2cdJkVmbr_vAF1/view?usp=drivesdk</v>
      </c>
    </row>
    <row r="472">
      <c r="A472" s="50" t="s">
        <v>2162</v>
      </c>
      <c r="B472" s="50" t="str">
        <f>IFERROR(__xludf.DUMMYFUNCTION("""COMPUTED_VALUE"""),"SES-0004")</f>
        <v>SES-0004</v>
      </c>
      <c r="C472" s="50" t="str">
        <f>IFERROR(__xludf.DUMMYFUNCTION("""COMPUTED_VALUE"""),"marcbonaventure.service@gmail.com")</f>
        <v>marcbonaventure.service@gmail.com</v>
      </c>
      <c r="D472" s="127" t="str">
        <f>IFERROR(__xludf.DUMMYFUNCTION("""COMPUTED_VALUE"""),"https://drive.google.com/file/d/1JyNC9MsslXrU5JrQvsDNOcRCyvj2SFTn/view?usp=drivesdk")</f>
        <v>https://drive.google.com/file/d/1JyNC9MsslXrU5JrQvsDNOcRCyvj2SFTn/view?usp=drivesdk</v>
      </c>
    </row>
    <row r="473">
      <c r="A473" s="50" t="s">
        <v>2167</v>
      </c>
      <c r="B473" s="50" t="str">
        <f>IFERROR(__xludf.DUMMYFUNCTION("""COMPUTED_VALUE"""),"SES-0005")</f>
        <v>SES-0005</v>
      </c>
      <c r="C473" s="50" t="str">
        <f>IFERROR(__xludf.DUMMYFUNCTION("""COMPUTED_VALUE"""),"marcbonaventure.service@gmail.com")</f>
        <v>marcbonaventure.service@gmail.com</v>
      </c>
      <c r="D473" s="127" t="str">
        <f>IFERROR(__xludf.DUMMYFUNCTION("""COMPUTED_VALUE"""),"https://drive.google.com/file/d/124OkD4Wxyd2zgWja2h-Zzo61nem-5s-J/view?usp=drivesdk")</f>
        <v>https://drive.google.com/file/d/124OkD4Wxyd2zgWja2h-Zzo61nem-5s-J/view?usp=drivesdk</v>
      </c>
    </row>
    <row r="474">
      <c r="A474" s="50" t="s">
        <v>2169</v>
      </c>
      <c r="B474" s="50" t="str">
        <f>IFERROR(__xludf.DUMMYFUNCTION("""COMPUTED_VALUE"""),"SES-0004")</f>
        <v>SES-0004</v>
      </c>
      <c r="C474" s="50" t="str">
        <f>IFERROR(__xludf.DUMMYFUNCTION("""COMPUTED_VALUE"""),"revano@ucpa.asso.fr")</f>
        <v>revano@ucpa.asso.fr</v>
      </c>
      <c r="D474" s="127" t="str">
        <f>IFERROR(__xludf.DUMMYFUNCTION("""COMPUTED_VALUE"""),"https://drive.google.com/file/d/1vrsFM4iCSCiqgR_QyFjUx0Xn26f9-YTD/view?usp=drivesdk")</f>
        <v>https://drive.google.com/file/d/1vrsFM4iCSCiqgR_QyFjUx0Xn26f9-YTD/view?usp=drivesdk</v>
      </c>
    </row>
    <row r="475">
      <c r="A475" s="50" t="s">
        <v>2173</v>
      </c>
      <c r="B475" s="50" t="str">
        <f>IFERROR(__xludf.DUMMYFUNCTION("""COMPUTED_VALUE"""),"SES-0005")</f>
        <v>SES-0005</v>
      </c>
      <c r="C475" s="50" t="str">
        <f>IFERROR(__xludf.DUMMYFUNCTION("""COMPUTED_VALUE"""),"revano@ucpa.asso.fr")</f>
        <v>revano@ucpa.asso.fr</v>
      </c>
      <c r="D475" s="127" t="str">
        <f>IFERROR(__xludf.DUMMYFUNCTION("""COMPUTED_VALUE"""),"https://drive.google.com/file/d/1nu4XR_ibcrT-H8_CGRt5y44LksLSvu-T/view?usp=drivesdk")</f>
        <v>https://drive.google.com/file/d/1nu4XR_ibcrT-H8_CGRt5y44LksLSvu-T/view?usp=drivesdk</v>
      </c>
    </row>
    <row r="476">
      <c r="A476" s="50" t="s">
        <v>2177</v>
      </c>
      <c r="B476" s="50" t="str">
        <f>IFERROR(__xludf.DUMMYFUNCTION("""COMPUTED_VALUE"""),"SES-0003")</f>
        <v>SES-0003</v>
      </c>
      <c r="C476" s="50" t="str">
        <f>IFERROR(__xludf.DUMMYFUNCTION("""COMPUTED_VALUE"""),"sdecq@pailleron19.com")</f>
        <v>sdecq@pailleron19.com</v>
      </c>
      <c r="D476" s="127" t="str">
        <f>IFERROR(__xludf.DUMMYFUNCTION("""COMPUTED_VALUE"""),"https://drive.google.com/file/d/1KNWpzXg8QmDdwOBKPKcPdRu-eqEiDNBT/view?usp=drivesdk")</f>
        <v>https://drive.google.com/file/d/1KNWpzXg8QmDdwOBKPKcPdRu-eqEiDNBT/view?usp=drivesdk</v>
      </c>
    </row>
    <row r="477">
      <c r="A477" s="50" t="s">
        <v>2180</v>
      </c>
      <c r="B477" s="50" t="str">
        <f>IFERROR(__xludf.DUMMYFUNCTION("""COMPUTED_VALUE"""),"SES-0004")</f>
        <v>SES-0004</v>
      </c>
      <c r="C477" s="50" t="str">
        <f>IFERROR(__xludf.DUMMYFUNCTION("""COMPUTED_VALUE"""),"sdecq@pailleron19.com")</f>
        <v>sdecq@pailleron19.com</v>
      </c>
      <c r="D477" s="127" t="str">
        <f>IFERROR(__xludf.DUMMYFUNCTION("""COMPUTED_VALUE"""),"https://drive.google.com/file/d/1DWJ1iZDUCj3HCxQqWYYFVig27sliLX5H/view?usp=drivesdk")</f>
        <v>https://drive.google.com/file/d/1DWJ1iZDUCj3HCxQqWYYFVig27sliLX5H/view?usp=drivesdk</v>
      </c>
    </row>
    <row r="478">
      <c r="A478" s="50" t="s">
        <v>2183</v>
      </c>
      <c r="B478" s="50" t="str">
        <f>IFERROR(__xludf.DUMMYFUNCTION("""COMPUTED_VALUE"""),"SES-0005")</f>
        <v>SES-0005</v>
      </c>
      <c r="C478" s="50" t="str">
        <f>IFERROR(__xludf.DUMMYFUNCTION("""COMPUTED_VALUE"""),"sdecq@pailleron19.com")</f>
        <v>sdecq@pailleron19.com</v>
      </c>
      <c r="D478" s="127" t="str">
        <f>IFERROR(__xludf.DUMMYFUNCTION("""COMPUTED_VALUE"""),"https://drive.google.com/file/d/1wji3aQXRlkdNPszoJg0_FF6BA6UEseB6/view?usp=drivesdk")</f>
        <v>https://drive.google.com/file/d/1wji3aQXRlkdNPszoJg0_FF6BA6UEseB6/view?usp=drivesdk</v>
      </c>
    </row>
    <row r="479">
      <c r="A479" s="50" t="s">
        <v>2186</v>
      </c>
      <c r="B479" s="50" t="str">
        <f>IFERROR(__xludf.DUMMYFUNCTION("""COMPUTED_VALUE"""),"SES-0003")</f>
        <v>SES-0003</v>
      </c>
      <c r="C479" s="50" t="str">
        <f>IFERROR(__xludf.DUMMYFUNCTION("""COMPUTED_VALUE"""),"lverrier@ucpa.asso.fr")</f>
        <v>lverrier@ucpa.asso.fr</v>
      </c>
      <c r="D479" s="127" t="str">
        <f>IFERROR(__xludf.DUMMYFUNCTION("""COMPUTED_VALUE"""),"https://drive.google.com/file/d/11I7Tc2Lb8plvATBG2Pm3nRRllcfh-MnG/view?usp=drivesdk")</f>
        <v>https://drive.google.com/file/d/11I7Tc2Lb8plvATBG2Pm3nRRllcfh-MnG/view?usp=drivesdk</v>
      </c>
    </row>
    <row r="480">
      <c r="A480" s="50" t="s">
        <v>2189</v>
      </c>
      <c r="B480" s="50" t="str">
        <f>IFERROR(__xludf.DUMMYFUNCTION("""COMPUTED_VALUE"""),"SES-0004")</f>
        <v>SES-0004</v>
      </c>
      <c r="C480" s="50" t="str">
        <f>IFERROR(__xludf.DUMMYFUNCTION("""COMPUTED_VALUE"""),"lverrier@ucpa.asso.fr")</f>
        <v>lverrier@ucpa.asso.fr</v>
      </c>
      <c r="D480" s="127" t="str">
        <f>IFERROR(__xludf.DUMMYFUNCTION("""COMPUTED_VALUE"""),"https://drive.google.com/file/d/1LzDdu1b-YSopP2ELdwOj8JZwxvDGd9WA/view?usp=drivesdk")</f>
        <v>https://drive.google.com/file/d/1LzDdu1b-YSopP2ELdwOj8JZwxvDGd9WA/view?usp=drivesdk</v>
      </c>
    </row>
    <row r="481">
      <c r="A481" s="50" t="s">
        <v>2192</v>
      </c>
      <c r="B481" s="50" t="str">
        <f>IFERROR(__xludf.DUMMYFUNCTION("""COMPUTED_VALUE"""),"SES-0005")</f>
        <v>SES-0005</v>
      </c>
      <c r="C481" s="50" t="str">
        <f>IFERROR(__xludf.DUMMYFUNCTION("""COMPUTED_VALUE"""),"lverrier@ucpa.asso.fr")</f>
        <v>lverrier@ucpa.asso.fr</v>
      </c>
      <c r="D481" s="127" t="str">
        <f>IFERROR(__xludf.DUMMYFUNCTION("""COMPUTED_VALUE"""),"https://drive.google.com/file/d/1JHYgoZPok_JhPeGqMK26rBv7ZkMKrDB7/view?usp=drivesdk")</f>
        <v>https://drive.google.com/file/d/1JHYgoZPok_JhPeGqMK26rBv7ZkMKrDB7/view?usp=drivesdk</v>
      </c>
    </row>
    <row r="482">
      <c r="A482" s="50" t="s">
        <v>2195</v>
      </c>
      <c r="B482" s="50" t="str">
        <f>IFERROR(__xludf.DUMMYFUNCTION("""COMPUTED_VALUE"""),"SES-0003")</f>
        <v>SES-0003</v>
      </c>
      <c r="C482" s="50" t="str">
        <f>IFERROR(__xludf.DUMMYFUNCTION("""COMPUTED_VALUE"""),"tchevallier@ucpa.asso.fr")</f>
        <v>tchevallier@ucpa.asso.fr</v>
      </c>
      <c r="D482" s="127" t="str">
        <f>IFERROR(__xludf.DUMMYFUNCTION("""COMPUTED_VALUE"""),"https://drive.google.com/file/d/1jf-tQDHTvyPbTKJprThStmdIISJkIvOs/view?usp=drivesdk")</f>
        <v>https://drive.google.com/file/d/1jf-tQDHTvyPbTKJprThStmdIISJkIvOs/view?usp=drivesdk</v>
      </c>
    </row>
    <row r="483">
      <c r="A483" s="50" t="s">
        <v>2198</v>
      </c>
      <c r="B483" s="50" t="str">
        <f>IFERROR(__xludf.DUMMYFUNCTION("""COMPUTED_VALUE"""),"SES-0004")</f>
        <v>SES-0004</v>
      </c>
      <c r="C483" s="50" t="str">
        <f>IFERROR(__xludf.DUMMYFUNCTION("""COMPUTED_VALUE"""),"tchevallier@ucpa.asso.fr")</f>
        <v>tchevallier@ucpa.asso.fr</v>
      </c>
      <c r="D483" s="127" t="str">
        <f>IFERROR(__xludf.DUMMYFUNCTION("""COMPUTED_VALUE"""),"https://drive.google.com/file/d/1UjjEPuanCQLxmNR7FrSyp6HAMvYoMcvT/view?usp=drivesdk")</f>
        <v>https://drive.google.com/file/d/1UjjEPuanCQLxmNR7FrSyp6HAMvYoMcvT/view?usp=drivesdk</v>
      </c>
    </row>
    <row r="484">
      <c r="A484" s="50" t="s">
        <v>2201</v>
      </c>
      <c r="B484" s="50" t="str">
        <f>IFERROR(__xludf.DUMMYFUNCTION("""COMPUTED_VALUE"""),"SES-0005")</f>
        <v>SES-0005</v>
      </c>
      <c r="C484" s="50" t="str">
        <f>IFERROR(__xludf.DUMMYFUNCTION("""COMPUTED_VALUE"""),"tchevallier@ucpa.asso.fr")</f>
        <v>tchevallier@ucpa.asso.fr</v>
      </c>
      <c r="D484" s="127" t="str">
        <f>IFERROR(__xludf.DUMMYFUNCTION("""COMPUTED_VALUE"""),"https://drive.google.com/file/d/16Pdslxe7dJGBRFnO0XFi08azSVOmCk0H/view?usp=drivesdk")</f>
        <v>https://drive.google.com/file/d/16Pdslxe7dJGBRFnO0XFi08azSVOmCk0H/view?usp=drivesdk</v>
      </c>
    </row>
    <row r="485">
      <c r="A485" s="50" t="s">
        <v>2204</v>
      </c>
      <c r="B485" s="50" t="str">
        <f>IFERROR(__xludf.DUMMYFUNCTION("""COMPUTED_VALUE"""),"SES-0005")</f>
        <v>SES-0005</v>
      </c>
      <c r="C485" s="50" t="str">
        <f>IFERROR(__xludf.DUMMYFUNCTION("""COMPUTED_VALUE"""),"aurore.geudin@tootazimut.fr")</f>
        <v>aurore.geudin@tootazimut.fr</v>
      </c>
      <c r="D485" s="127" t="str">
        <f>IFERROR(__xludf.DUMMYFUNCTION("""COMPUTED_VALUE"""),"https://drive.google.com/file/d/1gazejt4reID2nW9hEZDWgGg2g22SqeFX/view?usp=drivesdk")</f>
        <v>https://drive.google.com/file/d/1gazejt4reID2nW9hEZDWgGg2g22SqeFX/view?usp=drivesdk</v>
      </c>
    </row>
    <row r="486">
      <c r="A486" s="50" t="s">
        <v>2209</v>
      </c>
      <c r="B486" s="50" t="str">
        <f>IFERROR(__xludf.DUMMYFUNCTION("""COMPUTED_VALUE"""),"SES-0003")</f>
        <v>SES-0003</v>
      </c>
      <c r="C486" s="50" t="str">
        <f>IFERROR(__xludf.DUMMYFUNCTION("""COMPUTED_VALUE"""),"ythiery@ucpa.asso.fr")</f>
        <v>ythiery@ucpa.asso.fr</v>
      </c>
      <c r="D486" s="127" t="str">
        <f>IFERROR(__xludf.DUMMYFUNCTION("""COMPUTED_VALUE"""),"https://drive.google.com/file/d/1uEWDpez-NpqtgWYWR0DNEyyLg72glI8y/view?usp=drivesdk")</f>
        <v>https://drive.google.com/file/d/1uEWDpez-NpqtgWYWR0DNEyyLg72glI8y/view?usp=drivesdk</v>
      </c>
    </row>
    <row r="487">
      <c r="A487" s="50" t="s">
        <v>2212</v>
      </c>
      <c r="B487" s="50" t="str">
        <f>IFERROR(__xludf.DUMMYFUNCTION("""COMPUTED_VALUE"""),"SES-0003")</f>
        <v>SES-0003</v>
      </c>
      <c r="C487" s="50" t="str">
        <f>IFERROR(__xludf.DUMMYFUNCTION("""COMPUTED_VALUE"""),"veronique.gentillet@labalaguere.com")</f>
        <v>veronique.gentillet@labalaguere.com</v>
      </c>
      <c r="D487" s="127" t="str">
        <f>IFERROR(__xludf.DUMMYFUNCTION("""COMPUTED_VALUE"""),"https://drive.google.com/file/d/1sVn5nfknJs3SVlK20hH9CP9MzZMO41A-/view?usp=drivesdk")</f>
        <v>https://drive.google.com/file/d/1sVn5nfknJs3SVlK20hH9CP9MzZMO41A-/view?usp=drivesdk</v>
      </c>
    </row>
    <row r="488">
      <c r="A488" s="50" t="s">
        <v>2215</v>
      </c>
      <c r="B488" s="50" t="str">
        <f>IFERROR(__xludf.DUMMYFUNCTION("""COMPUTED_VALUE"""),"SES-0005")</f>
        <v>SES-0005</v>
      </c>
      <c r="C488" s="50" t="str">
        <f>IFERROR(__xludf.DUMMYFUNCTION("""COMPUTED_VALUE"""),"veronique.gentillet@labalaguere.com")</f>
        <v>veronique.gentillet@labalaguere.com</v>
      </c>
      <c r="D488" s="127" t="str">
        <f>IFERROR(__xludf.DUMMYFUNCTION("""COMPUTED_VALUE"""),"https://drive.google.com/file/d/1bMBogpPHu-w6_PkW_w2tdBep6xrLDz9S/view?usp=drivesdk")</f>
        <v>https://drive.google.com/file/d/1bMBogpPHu-w6_PkW_w2tdBep6xrLDz9S/view?usp=drivesdk</v>
      </c>
    </row>
    <row r="489">
      <c r="A489" s="50" t="s">
        <v>2218</v>
      </c>
      <c r="B489" s="50" t="str">
        <f>IFERROR(__xludf.DUMMYFUNCTION("""COMPUTED_VALUE"""),"SES-0003")</f>
        <v>SES-0003</v>
      </c>
      <c r="C489" s="50" t="str">
        <f>IFERROR(__xludf.DUMMYFUNCTION("""COMPUTED_VALUE"""),"mattiasnilsson@labalaguere.com")</f>
        <v>mattiasnilsson@labalaguere.com</v>
      </c>
      <c r="D489" s="127" t="str">
        <f>IFERROR(__xludf.DUMMYFUNCTION("""COMPUTED_VALUE"""),"https://drive.google.com/file/d/1l39D6hWcUaP5MtN9wmfXezs6i0rHLErz/view?usp=drivesdk")</f>
        <v>https://drive.google.com/file/d/1l39D6hWcUaP5MtN9wmfXezs6i0rHLErz/view?usp=drivesdk</v>
      </c>
    </row>
    <row r="490">
      <c r="A490" s="50" t="s">
        <v>2221</v>
      </c>
      <c r="B490" s="50" t="str">
        <f>IFERROR(__xludf.DUMMYFUNCTION("""COMPUTED_VALUE"""),"SES-0004")</f>
        <v>SES-0004</v>
      </c>
      <c r="C490" s="50" t="str">
        <f>IFERROR(__xludf.DUMMYFUNCTION("""COMPUTED_VALUE"""),"mnilsson@free.fr")</f>
        <v>mnilsson@free.fr</v>
      </c>
      <c r="D490" s="127" t="str">
        <f>IFERROR(__xludf.DUMMYFUNCTION("""COMPUTED_VALUE"""),"https://drive.google.com/file/d/11jETUwIslEs-shrE6JBCCYKEnNfT4lIy/view?usp=drivesdk")</f>
        <v>https://drive.google.com/file/d/11jETUwIslEs-shrE6JBCCYKEnNfT4lIy/view?usp=drivesdk</v>
      </c>
    </row>
    <row r="491">
      <c r="A491" s="50" t="s">
        <v>2224</v>
      </c>
      <c r="B491" s="50" t="str">
        <f>IFERROR(__xludf.DUMMYFUNCTION("""COMPUTED_VALUE"""),"SES-0005")</f>
        <v>SES-0005</v>
      </c>
      <c r="C491" s="50" t="str">
        <f>IFERROR(__xludf.DUMMYFUNCTION("""COMPUTED_VALUE"""),"mattiasnilsson@labalaguere.com")</f>
        <v>mattiasnilsson@labalaguere.com</v>
      </c>
      <c r="D491" s="127" t="str">
        <f>IFERROR(__xludf.DUMMYFUNCTION("""COMPUTED_VALUE"""),"https://drive.google.com/file/d/1SSi9dOp6SWoIVJjkNwq_HiF0cd1T7tK6/view?usp=drivesdk")</f>
        <v>https://drive.google.com/file/d/1SSi9dOp6SWoIVJjkNwq_HiF0cd1T7tK6/view?usp=drivesdk</v>
      </c>
    </row>
    <row r="492">
      <c r="A492" s="50" t="s">
        <v>2227</v>
      </c>
      <c r="B492" s="50" t="str">
        <f>IFERROR(__xludf.DUMMYFUNCTION("""COMPUTED_VALUE"""),"SES-0003")</f>
        <v>SES-0003</v>
      </c>
      <c r="C492" s="50" t="str">
        <f>IFERROR(__xludf.DUMMYFUNCTION("""COMPUTED_VALUE"""),"lmosnier@ucpa.asso.fr")</f>
        <v>lmosnier@ucpa.asso.fr</v>
      </c>
      <c r="D492" s="127" t="str">
        <f>IFERROR(__xludf.DUMMYFUNCTION("""COMPUTED_VALUE"""),"https://drive.google.com/file/d/1OgnNqcwdfxcizc1GRxgAs3cKGmFTkrwa/view?usp=drivesdk")</f>
        <v>https://drive.google.com/file/d/1OgnNqcwdfxcizc1GRxgAs3cKGmFTkrwa/view?usp=drivesdk</v>
      </c>
    </row>
    <row r="493">
      <c r="A493" s="50" t="s">
        <v>2230</v>
      </c>
      <c r="B493" s="50" t="str">
        <f>IFERROR(__xludf.DUMMYFUNCTION("""COMPUTED_VALUE"""),"SES-0004")</f>
        <v>SES-0004</v>
      </c>
      <c r="C493" s="50" t="str">
        <f>IFERROR(__xludf.DUMMYFUNCTION("""COMPUTED_VALUE"""),"lmosnier@ucpa.asso.fr")</f>
        <v>lmosnier@ucpa.asso.fr</v>
      </c>
      <c r="D493" s="127" t="str">
        <f>IFERROR(__xludf.DUMMYFUNCTION("""COMPUTED_VALUE"""),"https://drive.google.com/file/d/17DYMxjjrk0ITXPUO2wSzMVx2_4YGUF3R/view?usp=drivesdk")</f>
        <v>https://drive.google.com/file/d/17DYMxjjrk0ITXPUO2wSzMVx2_4YGUF3R/view?usp=drivesdk</v>
      </c>
    </row>
    <row r="494">
      <c r="A494" s="50" t="s">
        <v>2231</v>
      </c>
      <c r="B494" s="50" t="str">
        <f>IFERROR(__xludf.DUMMYFUNCTION("""COMPUTED_VALUE"""),"SES-0005")</f>
        <v>SES-0005</v>
      </c>
      <c r="C494" s="50" t="str">
        <f>IFERROR(__xludf.DUMMYFUNCTION("""COMPUTED_VALUE"""),"lmosnier@ucpa.asso.fr")</f>
        <v>lmosnier@ucpa.asso.fr</v>
      </c>
      <c r="D494" s="127" t="str">
        <f>IFERROR(__xludf.DUMMYFUNCTION("""COMPUTED_VALUE"""),"https://drive.google.com/file/d/1SZ0yI52-QqVgZf2RwUU5YdBHSYCupGC6/view?usp=drivesdk")</f>
        <v>https://drive.google.com/file/d/1SZ0yI52-QqVgZf2RwUU5YdBHSYCupGC6/view?usp=drivesdk</v>
      </c>
    </row>
    <row r="495">
      <c r="A495" s="50" t="s">
        <v>2232</v>
      </c>
      <c r="B495" s="50" t="str">
        <f>IFERROR(__xludf.DUMMYFUNCTION("""COMPUTED_VALUE"""),"SES-0004")</f>
        <v>SES-0004</v>
      </c>
      <c r="C495" s="50" t="str">
        <f>IFERROR(__xludf.DUMMYFUNCTION("""COMPUTED_VALUE"""),"mattiasnilsson@labalaguere.com")</f>
        <v>mattiasnilsson@labalaguere.com</v>
      </c>
      <c r="D495" s="127" t="str">
        <f>IFERROR(__xludf.DUMMYFUNCTION("""COMPUTED_VALUE"""),"https://drive.google.com/file/d/1JmeFm0Rdvf2e3tzFOn2RkyqmvDz36xQJ/view?usp=drivesdk")</f>
        <v>https://drive.google.com/file/d/1JmeFm0Rdvf2e3tzFOn2RkyqmvDz36xQJ/view?usp=drivesdk</v>
      </c>
    </row>
    <row r="496">
      <c r="A496" s="50" t="s">
        <v>2235</v>
      </c>
      <c r="B496" s="50" t="str">
        <f>IFERROR(__xludf.DUMMYFUNCTION("""COMPUTED_VALUE"""),"SES-0003")</f>
        <v>SES-0003</v>
      </c>
      <c r="C496" s="50" t="str">
        <f>IFERROR(__xludf.DUMMYFUNCTION("""COMPUTED_VALUE"""),"amelique@uca.asso.fr")</f>
        <v>amelique@uca.asso.fr</v>
      </c>
      <c r="D496" s="127" t="str">
        <f>IFERROR(__xludf.DUMMYFUNCTION("""COMPUTED_VALUE"""),"https://drive.google.com/file/d/1f2CEYVLOMld3BYtHzMoul8cZaEgX-q__/view?usp=drivesdk")</f>
        <v>https://drive.google.com/file/d/1f2CEYVLOMld3BYtHzMoul8cZaEgX-q__/view?usp=drivesdk</v>
      </c>
    </row>
    <row r="497">
      <c r="A497" s="50" t="s">
        <v>2237</v>
      </c>
      <c r="B497" s="50" t="str">
        <f>IFERROR(__xludf.DUMMYFUNCTION("""COMPUTED_VALUE"""),"SES-0004")</f>
        <v>SES-0004</v>
      </c>
      <c r="C497" s="50" t="str">
        <f>IFERROR(__xludf.DUMMYFUNCTION("""COMPUTED_VALUE"""),"amelique@ucpa.asso.fr")</f>
        <v>amelique@ucpa.asso.fr</v>
      </c>
      <c r="D497" s="127" t="str">
        <f>IFERROR(__xludf.DUMMYFUNCTION("""COMPUTED_VALUE"""),"https://drive.google.com/file/d/1WYj2rZLif0lGepQQL9vCpCrJPFfbjW49/view?usp=drivesdk")</f>
        <v>https://drive.google.com/file/d/1WYj2rZLif0lGepQQL9vCpCrJPFfbjW49/view?usp=drivesdk</v>
      </c>
    </row>
    <row r="498">
      <c r="A498" s="50" t="s">
        <v>2239</v>
      </c>
      <c r="B498" s="50" t="str">
        <f>IFERROR(__xludf.DUMMYFUNCTION("""COMPUTED_VALUE"""),"SES-0003")</f>
        <v>SES-0003</v>
      </c>
      <c r="C498" s="50" t="str">
        <f>IFERROR(__xludf.DUMMYFUNCTION("""COMPUTED_VALUE"""),"melanie.legrand@tootazimut.fr")</f>
        <v>melanie.legrand@tootazimut.fr</v>
      </c>
      <c r="D498" s="127" t="str">
        <f>IFERROR(__xludf.DUMMYFUNCTION("""COMPUTED_VALUE"""),"https://drive.google.com/file/d/1Um4PZYlcU4RbTUMbAdaWmvgj6qAsxTRG/view?usp=drivesdk")</f>
        <v>https://drive.google.com/file/d/1Um4PZYlcU4RbTUMbAdaWmvgj6qAsxTRG/view?usp=drivesdk</v>
      </c>
    </row>
    <row r="499">
      <c r="A499" s="50" t="s">
        <v>2242</v>
      </c>
      <c r="B499" s="50" t="str">
        <f>IFERROR(__xludf.DUMMYFUNCTION("""COMPUTED_VALUE"""),"SES-0004")</f>
        <v>SES-0004</v>
      </c>
      <c r="C499" s="50" t="str">
        <f>IFERROR(__xludf.DUMMYFUNCTION("""COMPUTED_VALUE"""),"melanie.legrand@tootazimut.fr")</f>
        <v>melanie.legrand@tootazimut.fr</v>
      </c>
      <c r="D499" s="127" t="str">
        <f>IFERROR(__xludf.DUMMYFUNCTION("""COMPUTED_VALUE"""),"https://drive.google.com/file/d/1EyJbsdsZ1XfQ_-XiYs5eSh0mahbXtJmN/view?usp=drivesdk")</f>
        <v>https://drive.google.com/file/d/1EyJbsdsZ1XfQ_-XiYs5eSh0mahbXtJmN/view?usp=drivesdk</v>
      </c>
    </row>
    <row r="500">
      <c r="A500" s="50" t="s">
        <v>2247</v>
      </c>
      <c r="B500" s="50" t="str">
        <f>IFERROR(__xludf.DUMMYFUNCTION("""COMPUTED_VALUE"""),"SES-0003")</f>
        <v>SES-0003</v>
      </c>
      <c r="C500" s="50" t="str">
        <f>IFERROR(__xludf.DUMMYFUNCTION("""COMPUTED_VALUE"""),"fratard@ucpa.asso.fr")</f>
        <v>fratard@ucpa.asso.fr</v>
      </c>
      <c r="D500" s="127" t="str">
        <f>IFERROR(__xludf.DUMMYFUNCTION("""COMPUTED_VALUE"""),"https://drive.google.com/file/d/1-Q-0hU7480uQtld1kF8uRJzMYQsQqev5/view?usp=drivesdk")</f>
        <v>https://drive.google.com/file/d/1-Q-0hU7480uQtld1kF8uRJzMYQsQqev5/view?usp=drivesdk</v>
      </c>
    </row>
    <row r="501">
      <c r="A501" s="50" t="s">
        <v>2250</v>
      </c>
      <c r="B501" s="50" t="str">
        <f>IFERROR(__xludf.DUMMYFUNCTION("""COMPUTED_VALUE"""),"SES-0004")</f>
        <v>SES-0004</v>
      </c>
      <c r="C501" s="50" t="str">
        <f>IFERROR(__xludf.DUMMYFUNCTION("""COMPUTED_VALUE"""),"fratard@ucpa.asso.fr")</f>
        <v>fratard@ucpa.asso.fr</v>
      </c>
      <c r="D501" s="127" t="str">
        <f>IFERROR(__xludf.DUMMYFUNCTION("""COMPUTED_VALUE"""),"https://drive.google.com/file/d/1n0YwYsfhzXIhx_O1rswPSBG-3ULAwTDa/view?usp=drivesdk")</f>
        <v>https://drive.google.com/file/d/1n0YwYsfhzXIhx_O1rswPSBG-3ULAwTDa/view?usp=drivesdk</v>
      </c>
    </row>
    <row r="502">
      <c r="A502" s="50" t="s">
        <v>2252</v>
      </c>
      <c r="B502" s="50" t="str">
        <f>IFERROR(__xludf.DUMMYFUNCTION("""COMPUTED_VALUE"""),"SES-0003")</f>
        <v>SES-0003</v>
      </c>
      <c r="C502" s="50" t="str">
        <f>IFERROR(__xludf.DUMMYFUNCTION("""COMPUTED_VALUE"""),"pgaudin@ucpa.asso.fr")</f>
        <v>pgaudin@ucpa.asso.fr</v>
      </c>
      <c r="D502" s="127" t="str">
        <f>IFERROR(__xludf.DUMMYFUNCTION("""COMPUTED_VALUE"""),"https://drive.google.com/file/d/1tGYHra4ty3Sk8B7hEQWGT1Uf9AzmWGVp/view?usp=drivesdk")</f>
        <v>https://drive.google.com/file/d/1tGYHra4ty3Sk8B7hEQWGT1Uf9AzmWGVp/view?usp=drivesdk</v>
      </c>
    </row>
    <row r="503">
      <c r="A503" s="50" t="s">
        <v>2253</v>
      </c>
      <c r="B503" s="50" t="str">
        <f>IFERROR(__xludf.DUMMYFUNCTION("""COMPUTED_VALUE"""),"SES-0004")</f>
        <v>SES-0004</v>
      </c>
      <c r="C503" s="50" t="str">
        <f>IFERROR(__xludf.DUMMYFUNCTION("""COMPUTED_VALUE"""),"pgaudin@ucpa.asso.fr")</f>
        <v>pgaudin@ucpa.asso.fr</v>
      </c>
      <c r="D503" s="127" t="str">
        <f>IFERROR(__xludf.DUMMYFUNCTION("""COMPUTED_VALUE"""),"https://drive.google.com/file/d/1m6NhJji_K1W5lSLRUsdLvKIPQvxhpXSG/view?usp=drivesdk")</f>
        <v>https://drive.google.com/file/d/1m6NhJji_K1W5lSLRUsdLvKIPQvxhpXSG/view?usp=drivesdk</v>
      </c>
    </row>
    <row r="504">
      <c r="A504" s="50" t="s">
        <v>2255</v>
      </c>
      <c r="B504" s="50" t="str">
        <f>IFERROR(__xludf.DUMMYFUNCTION("""COMPUTED_VALUE"""),"SES-0005")</f>
        <v>SES-0005</v>
      </c>
      <c r="C504" s="50" t="str">
        <f>IFERROR(__xludf.DUMMYFUNCTION("""COMPUTED_VALUE"""),"adanican@ucpa.asso.fr")</f>
        <v>adanican@ucpa.asso.fr</v>
      </c>
      <c r="D504" s="127" t="str">
        <f>IFERROR(__xludf.DUMMYFUNCTION("""COMPUTED_VALUE"""),"https://drive.google.com/file/d/1HO8wuqvsRhgbw7X_a8UMiv8oPFLORghi/view?usp=drivesdk")</f>
        <v>https://drive.google.com/file/d/1HO8wuqvsRhgbw7X_a8UMiv8oPFLORghi/view?usp=drivesdk</v>
      </c>
    </row>
    <row r="505">
      <c r="A505" s="50" t="s">
        <v>2258</v>
      </c>
      <c r="B505" s="50" t="str">
        <f>IFERROR(__xludf.DUMMYFUNCTION("""COMPUTED_VALUE"""),"SES-0003")</f>
        <v>SES-0003</v>
      </c>
      <c r="C505" s="50" t="str">
        <f>IFERROR(__xludf.DUMMYFUNCTION("""COMPUTED_VALUE"""),"aderivet@ucpa.asso.fr")</f>
        <v>aderivet@ucpa.asso.fr</v>
      </c>
      <c r="D505" s="127" t="str">
        <f>IFERROR(__xludf.DUMMYFUNCTION("""COMPUTED_VALUE"""),"https://drive.google.com/file/d/1QTBQ-X3k6G_8lA2LSrMf1jVq24jBpQR7/view?usp=drivesdk")</f>
        <v>https://drive.google.com/file/d/1QTBQ-X3k6G_8lA2LSrMf1jVq24jBpQR7/view?usp=drivesdk</v>
      </c>
    </row>
    <row r="506">
      <c r="A506" s="50" t="s">
        <v>2261</v>
      </c>
      <c r="B506" s="50" t="str">
        <f>IFERROR(__xludf.DUMMYFUNCTION("""COMPUTED_VALUE"""),"SES-0004")</f>
        <v>SES-0004</v>
      </c>
      <c r="C506" s="50" t="str">
        <f>IFERROR(__xludf.DUMMYFUNCTION("""COMPUTED_VALUE"""),"aderivet@ucpa.asso.fr")</f>
        <v>aderivet@ucpa.asso.fr</v>
      </c>
      <c r="D506" s="127" t="str">
        <f>IFERROR(__xludf.DUMMYFUNCTION("""COMPUTED_VALUE"""),"https://drive.google.com/file/d/1hrLE9tmC6woOgAnczozM7tjmLaJHfA3X/view?usp=drivesdk")</f>
        <v>https://drive.google.com/file/d/1hrLE9tmC6woOgAnczozM7tjmLaJHfA3X/view?usp=drivesdk</v>
      </c>
    </row>
    <row r="507">
      <c r="A507" s="50" t="s">
        <v>2264</v>
      </c>
      <c r="B507" s="50" t="str">
        <f>IFERROR(__xludf.DUMMYFUNCTION("""COMPUTED_VALUE"""),"SES-0005")</f>
        <v>SES-0005</v>
      </c>
      <c r="C507" s="50" t="str">
        <f>IFERROR(__xludf.DUMMYFUNCTION("""COMPUTED_VALUE"""),"aderivet@ucpa.asso.fr")</f>
        <v>aderivet@ucpa.asso.fr</v>
      </c>
      <c r="D507" s="127" t="str">
        <f>IFERROR(__xludf.DUMMYFUNCTION("""COMPUTED_VALUE"""),"https://drive.google.com/file/d/1KSZMZxw5aYIgBv_oC1bw-YDnRy_i3CEv/view?usp=drivesdk")</f>
        <v>https://drive.google.com/file/d/1KSZMZxw5aYIgBv_oC1bw-YDnRy_i3CEv/view?usp=drivesdk</v>
      </c>
    </row>
    <row r="508">
      <c r="A508" s="50" t="s">
        <v>2266</v>
      </c>
      <c r="B508" s="50" t="str">
        <f>IFERROR(__xludf.DUMMYFUNCTION("""COMPUTED_VALUE"""),"SES-0003")</f>
        <v>SES-0003</v>
      </c>
      <c r="C508" s="50" t="str">
        <f>IFERROR(__xludf.DUMMYFUNCTION("""COMPUTED_VALUE"""),"csebany@ucpa.asso.fr")</f>
        <v>csebany@ucpa.asso.fr</v>
      </c>
      <c r="D508" s="127" t="str">
        <f>IFERROR(__xludf.DUMMYFUNCTION("""COMPUTED_VALUE"""),"https://drive.google.com/file/d/1hwGcB-p_K6R7kAYBqyAiXZW33AxQryJ3/view?usp=drivesdk")</f>
        <v>https://drive.google.com/file/d/1hwGcB-p_K6R7kAYBqyAiXZW33AxQryJ3/view?usp=drivesdk</v>
      </c>
    </row>
    <row r="509">
      <c r="A509" s="50" t="s">
        <v>2269</v>
      </c>
      <c r="B509" s="50" t="str">
        <f>IFERROR(__xludf.DUMMYFUNCTION("""COMPUTED_VALUE"""),"SES-0004")</f>
        <v>SES-0004</v>
      </c>
      <c r="C509" s="50" t="str">
        <f>IFERROR(__xludf.DUMMYFUNCTION("""COMPUTED_VALUE"""),"csebany@ucpa.asso.fr")</f>
        <v>csebany@ucpa.asso.fr</v>
      </c>
      <c r="D509" s="127" t="str">
        <f>IFERROR(__xludf.DUMMYFUNCTION("""COMPUTED_VALUE"""),"https://drive.google.com/file/d/1Yk5ctTSyTiOOmygYo0W1ukHH2-eqZIcm/view?usp=drivesdk")</f>
        <v>https://drive.google.com/file/d/1Yk5ctTSyTiOOmygYo0W1ukHH2-eqZIcm/view?usp=drivesdk</v>
      </c>
    </row>
    <row r="510">
      <c r="A510" s="50" t="s">
        <v>2271</v>
      </c>
      <c r="B510" s="50" t="str">
        <f>IFERROR(__xludf.DUMMYFUNCTION("""COMPUTED_VALUE"""),"SES-0005")</f>
        <v>SES-0005</v>
      </c>
      <c r="C510" s="50" t="str">
        <f>IFERROR(__xludf.DUMMYFUNCTION("""COMPUTED_VALUE"""),"csebany@ucpa.asso.fr")</f>
        <v>csebany@ucpa.asso.fr</v>
      </c>
      <c r="D510" s="127" t="str">
        <f>IFERROR(__xludf.DUMMYFUNCTION("""COMPUTED_VALUE"""),"https://drive.google.com/file/d/1FAaHZOFWLOwCpRNAkx74X2chbTxJe-CV/view?usp=drivesdk")</f>
        <v>https://drive.google.com/file/d/1FAaHZOFWLOwCpRNAkx74X2chbTxJe-CV/view?usp=drivesdk</v>
      </c>
    </row>
    <row r="511">
      <c r="A511" s="50" t="s">
        <v>2274</v>
      </c>
      <c r="B511" s="50" t="str">
        <f>IFERROR(__xludf.DUMMYFUNCTION("""COMPUTED_VALUE"""),"SES-0003")</f>
        <v>SES-0003</v>
      </c>
      <c r="C511" s="50" t="str">
        <f>IFERROR(__xludf.DUMMYFUNCTION("""COMPUTED_VALUE"""),"jpartouche@ucpasl.com")</f>
        <v>jpartouche@ucpasl.com</v>
      </c>
      <c r="D511" s="127" t="str">
        <f>IFERROR(__xludf.DUMMYFUNCTION("""COMPUTED_VALUE"""),"https://drive.google.com/file/d/1ElytO8UbrxiJUQidGmGzTMFp6tIpskF4/view?usp=drivesdk")</f>
        <v>https://drive.google.com/file/d/1ElytO8UbrxiJUQidGmGzTMFp6tIpskF4/view?usp=drivesdk</v>
      </c>
    </row>
    <row r="512">
      <c r="A512" s="50" t="s">
        <v>2278</v>
      </c>
      <c r="B512" s="50" t="str">
        <f>IFERROR(__xludf.DUMMYFUNCTION("""COMPUTED_VALUE"""),"SES-0004")</f>
        <v>SES-0004</v>
      </c>
      <c r="C512" s="50" t="str">
        <f>IFERROR(__xludf.DUMMYFUNCTION("""COMPUTED_VALUE"""),"jpartouche@ucpasl.com")</f>
        <v>jpartouche@ucpasl.com</v>
      </c>
      <c r="D512" s="127" t="str">
        <f>IFERROR(__xludf.DUMMYFUNCTION("""COMPUTED_VALUE"""),"https://drive.google.com/file/d/1UNyNy03V7ZXzCO8xqqfzwprae-nuBvRr/view?usp=drivesdk")</f>
        <v>https://drive.google.com/file/d/1UNyNy03V7ZXzCO8xqqfzwprae-nuBvRr/view?usp=drivesdk</v>
      </c>
    </row>
    <row r="513">
      <c r="A513" s="50" t="s">
        <v>2280</v>
      </c>
      <c r="B513" s="50" t="str">
        <f>IFERROR(__xludf.DUMMYFUNCTION("""COMPUTED_VALUE"""),"SES-0005")</f>
        <v>SES-0005</v>
      </c>
      <c r="C513" s="50" t="str">
        <f>IFERROR(__xludf.DUMMYFUNCTION("""COMPUTED_VALUE"""),"jpartouche@ucpasl.com")</f>
        <v>jpartouche@ucpasl.com</v>
      </c>
      <c r="D513" s="127" t="str">
        <f>IFERROR(__xludf.DUMMYFUNCTION("""COMPUTED_VALUE"""),"https://drive.google.com/file/d/12XwZs4v4KzRkuxHJIXNN0KPaDTekdM_3/view?usp=drivesdk")</f>
        <v>https://drive.google.com/file/d/12XwZs4v4KzRkuxHJIXNN0KPaDTekdM_3/view?usp=drivesdk</v>
      </c>
    </row>
    <row r="514">
      <c r="A514" s="50" t="s">
        <v>2282</v>
      </c>
      <c r="B514" s="50" t="str">
        <f>IFERROR(__xludf.DUMMYFUNCTION("""COMPUTED_VALUE"""),"SES-0003")</f>
        <v>SES-0003</v>
      </c>
      <c r="C514" s="50" t="str">
        <f>IFERROR(__xludf.DUMMYFUNCTION("""COMPUTED_VALUE"""),"yfunke@ucpasl.com")</f>
        <v>yfunke@ucpasl.com</v>
      </c>
      <c r="D514" s="127" t="str">
        <f>IFERROR(__xludf.DUMMYFUNCTION("""COMPUTED_VALUE"""),"https://drive.google.com/file/d/1vwvYoACLP9NYefNsE_kbwGkgw8jz8piw/view?usp=drivesdk")</f>
        <v>https://drive.google.com/file/d/1vwvYoACLP9NYefNsE_kbwGkgw8jz8piw/view?usp=drivesdk</v>
      </c>
    </row>
    <row r="515">
      <c r="A515" s="50" t="s">
        <v>2286</v>
      </c>
      <c r="B515" s="50" t="str">
        <f>IFERROR(__xludf.DUMMYFUNCTION("""COMPUTED_VALUE"""),"SES-0004")</f>
        <v>SES-0004</v>
      </c>
      <c r="C515" s="50" t="str">
        <f>IFERROR(__xludf.DUMMYFUNCTION("""COMPUTED_VALUE"""),"yfunke@ucpasl.com")</f>
        <v>yfunke@ucpasl.com</v>
      </c>
      <c r="D515" s="127" t="str">
        <f>IFERROR(__xludf.DUMMYFUNCTION("""COMPUTED_VALUE"""),"https://drive.google.com/file/d/1L8jYGmoCbnUv8fU2a3BEMvsq_-OhOPgQ/view?usp=drivesdk")</f>
        <v>https://drive.google.com/file/d/1L8jYGmoCbnUv8fU2a3BEMvsq_-OhOPgQ/view?usp=drivesdk</v>
      </c>
    </row>
    <row r="516">
      <c r="A516" s="50" t="s">
        <v>2289</v>
      </c>
      <c r="B516" s="50" t="str">
        <f>IFERROR(__xludf.DUMMYFUNCTION("""COMPUTED_VALUE"""),"SES-0005")</f>
        <v>SES-0005</v>
      </c>
      <c r="C516" s="50" t="str">
        <f>IFERROR(__xludf.DUMMYFUNCTION("""COMPUTED_VALUE"""),"yfunke@ucpasl.com")</f>
        <v>yfunke@ucpasl.com</v>
      </c>
      <c r="D516" s="127" t="str">
        <f>IFERROR(__xludf.DUMMYFUNCTION("""COMPUTED_VALUE"""),"https://drive.google.com/file/d/1UJHnNsFvIU-_p4wOIHM9qwADIxtYFoNg/view?usp=drivesdk")</f>
        <v>https://drive.google.com/file/d/1UJHnNsFvIU-_p4wOIHM9qwADIxtYFoNg/view?usp=drivesdk</v>
      </c>
    </row>
    <row r="517">
      <c r="A517" s="50" t="s">
        <v>2291</v>
      </c>
      <c r="B517" s="50" t="str">
        <f>IFERROR(__xludf.DUMMYFUNCTION("""COMPUTED_VALUE"""),"SES-0003")</f>
        <v>SES-0003</v>
      </c>
      <c r="C517" s="50" t="str">
        <f>IFERROR(__xludf.DUMMYFUNCTION("""COMPUTED_VALUE"""),"mmoulier@ucpasl.com")</f>
        <v>mmoulier@ucpasl.com</v>
      </c>
      <c r="D517" s="127" t="str">
        <f>IFERROR(__xludf.DUMMYFUNCTION("""COMPUTED_VALUE"""),"https://drive.google.com/file/d/1eWOwL6d6iy-OPGAYPFMMk239A9OwZS3b/view?usp=drivesdk")</f>
        <v>https://drive.google.com/file/d/1eWOwL6d6iy-OPGAYPFMMk239A9OwZS3b/view?usp=drivesdk</v>
      </c>
    </row>
    <row r="518">
      <c r="A518" s="50" t="s">
        <v>2294</v>
      </c>
      <c r="B518" s="50" t="str">
        <f>IFERROR(__xludf.DUMMYFUNCTION("""COMPUTED_VALUE"""),"SES-0004")</f>
        <v>SES-0004</v>
      </c>
      <c r="C518" s="50" t="str">
        <f>IFERROR(__xludf.DUMMYFUNCTION("""COMPUTED_VALUE"""),"mmoulier@ucpasl.com")</f>
        <v>mmoulier@ucpasl.com</v>
      </c>
      <c r="D518" s="127" t="str">
        <f>IFERROR(__xludf.DUMMYFUNCTION("""COMPUTED_VALUE"""),"https://drive.google.com/file/d/1x_s-nnza5MAx9P3IgHQuMjSpm6iNAqh1/view?usp=drivesdk")</f>
        <v>https://drive.google.com/file/d/1x_s-nnza5MAx9P3IgHQuMjSpm6iNAqh1/view?usp=drivesdk</v>
      </c>
    </row>
    <row r="519">
      <c r="A519" s="50" t="s">
        <v>2297</v>
      </c>
      <c r="B519" s="50" t="str">
        <f>IFERROR(__xludf.DUMMYFUNCTION("""COMPUTED_VALUE"""),"SES-0005")</f>
        <v>SES-0005</v>
      </c>
      <c r="C519" s="50" t="str">
        <f>IFERROR(__xludf.DUMMYFUNCTION("""COMPUTED_VALUE"""),"mmoulier@ucpasl.com")</f>
        <v>mmoulier@ucpasl.com</v>
      </c>
      <c r="D519" s="127" t="str">
        <f>IFERROR(__xludf.DUMMYFUNCTION("""COMPUTED_VALUE"""),"https://drive.google.com/file/d/1n_lm9AMDcxljMUUiJ_ky0EB-JK5Cwuvp/view?usp=drivesdk")</f>
        <v>https://drive.google.com/file/d/1n_lm9AMDcxljMUUiJ_ky0EB-JK5Cwuvp/view?usp=drivesdk</v>
      </c>
    </row>
    <row r="520">
      <c r="A520" s="50" t="s">
        <v>2300</v>
      </c>
      <c r="B520" s="50" t="str">
        <f>IFERROR(__xludf.DUMMYFUNCTION("""COMPUTED_VALUE"""),"SES-0003")</f>
        <v>SES-0003</v>
      </c>
      <c r="C520" s="50" t="str">
        <f>IFERROR(__xludf.DUMMYFUNCTION("""COMPUTED_VALUE"""),"benoit_massin@hotmail.com")</f>
        <v>benoit_massin@hotmail.com</v>
      </c>
      <c r="D520" s="127" t="str">
        <f>IFERROR(__xludf.DUMMYFUNCTION("""COMPUTED_VALUE"""),"https://drive.google.com/file/d/1WILgo7Bf2BDBolWguczsUa5TW4l4NZdz/view?usp=drivesdk")</f>
        <v>https://drive.google.com/file/d/1WILgo7Bf2BDBolWguczsUa5TW4l4NZdz/view?usp=drivesdk</v>
      </c>
    </row>
    <row r="521">
      <c r="A521" s="50" t="s">
        <v>2302</v>
      </c>
      <c r="B521" s="50" t="str">
        <f>IFERROR(__xludf.DUMMYFUNCTION("""COMPUTED_VALUE"""),"SES-0004")</f>
        <v>SES-0004</v>
      </c>
      <c r="C521" s="50" t="str">
        <f>IFERROR(__xludf.DUMMYFUNCTION("""COMPUTED_VALUE"""),"benoit_massin@hotmail.com")</f>
        <v>benoit_massin@hotmail.com</v>
      </c>
      <c r="D521" s="127" t="str">
        <f>IFERROR(__xludf.DUMMYFUNCTION("""COMPUTED_VALUE"""),"https://drive.google.com/file/d/1xmC4FYmyDWcFu72XItmvkS-rSMrn2yxt/view?usp=drivesdk")</f>
        <v>https://drive.google.com/file/d/1xmC4FYmyDWcFu72XItmvkS-rSMrn2yxt/view?usp=drivesdk</v>
      </c>
    </row>
    <row r="522">
      <c r="A522" s="50" t="s">
        <v>2305</v>
      </c>
      <c r="B522" s="50" t="str">
        <f>IFERROR(__xludf.DUMMYFUNCTION("""COMPUTED_VALUE"""),"SES-0005")</f>
        <v>SES-0005</v>
      </c>
      <c r="C522" s="50" t="str">
        <f>IFERROR(__xludf.DUMMYFUNCTION("""COMPUTED_VALUE"""),"benoit_massin@hotmail.com")</f>
        <v>benoit_massin@hotmail.com</v>
      </c>
      <c r="D522" s="127" t="str">
        <f>IFERROR(__xludf.DUMMYFUNCTION("""COMPUTED_VALUE"""),"https://drive.google.com/file/d/1x8DU19ZF-h1XA8TwGFT9Xy5trtjKD0m6/view?usp=drivesdk")</f>
        <v>https://drive.google.com/file/d/1x8DU19ZF-h1XA8TwGFT9Xy5trtjKD0m6/view?usp=drivesdk</v>
      </c>
    </row>
    <row r="523">
      <c r="A523" s="50" t="s">
        <v>2309</v>
      </c>
      <c r="B523" s="50" t="str">
        <f>IFERROR(__xludf.DUMMYFUNCTION("""COMPUTED_VALUE"""),"SES-0003")</f>
        <v>SES-0003</v>
      </c>
      <c r="C523" s="50" t="str">
        <f>IFERROR(__xludf.DUMMYFUNCTION("""COMPUTED_VALUE"""),"epacull@ucpa.asso.fr")</f>
        <v>epacull@ucpa.asso.fr</v>
      </c>
      <c r="D523" s="127" t="str">
        <f>IFERROR(__xludf.DUMMYFUNCTION("""COMPUTED_VALUE"""),"https://drive.google.com/file/d/1qm7s1j1acxWo1TkAb8I1Q4TrqoU_AJZU/view?usp=drivesdk")</f>
        <v>https://drive.google.com/file/d/1qm7s1j1acxWo1TkAb8I1Q4TrqoU_AJZU/view?usp=drivesdk</v>
      </c>
    </row>
    <row r="524">
      <c r="A524" s="50" t="s">
        <v>2313</v>
      </c>
      <c r="B524" s="50" t="str">
        <f>IFERROR(__xludf.DUMMYFUNCTION("""COMPUTED_VALUE"""),"SES-0004")</f>
        <v>SES-0004</v>
      </c>
      <c r="C524" s="50" t="str">
        <f>IFERROR(__xludf.DUMMYFUNCTION("""COMPUTED_VALUE"""),"epacull@ucpa.asso.fr")</f>
        <v>epacull@ucpa.asso.fr</v>
      </c>
      <c r="D524" s="127" t="str">
        <f>IFERROR(__xludf.DUMMYFUNCTION("""COMPUTED_VALUE"""),"https://drive.google.com/file/d/1rhop4LbH87qj06Ygp7YOtVAFcQbdHnWj/view?usp=drivesdk")</f>
        <v>https://drive.google.com/file/d/1rhop4LbH87qj06Ygp7YOtVAFcQbdHnWj/view?usp=drivesdk</v>
      </c>
    </row>
    <row r="525">
      <c r="A525" s="50" t="s">
        <v>2317</v>
      </c>
      <c r="B525" s="50" t="str">
        <f>IFERROR(__xludf.DUMMYFUNCTION("""COMPUTED_VALUE"""),"SES-0003")</f>
        <v>SES-0003</v>
      </c>
      <c r="C525" s="50" t="str">
        <f>IFERROR(__xludf.DUMMYFUNCTION("""COMPUTED_VALUE"""),"snobis@ucpa.asso.fr")</f>
        <v>snobis@ucpa.asso.fr</v>
      </c>
      <c r="D525" s="127" t="str">
        <f>IFERROR(__xludf.DUMMYFUNCTION("""COMPUTED_VALUE"""),"https://drive.google.com/file/d/1PZm5D4o0iOlGkkaiyBFYlCRK4dOtlh1G/view?usp=drivesdk")</f>
        <v>https://drive.google.com/file/d/1PZm5D4o0iOlGkkaiyBFYlCRK4dOtlh1G/view?usp=drivesdk</v>
      </c>
    </row>
    <row r="526">
      <c r="A526" s="50" t="s">
        <v>2321</v>
      </c>
      <c r="B526" s="50" t="str">
        <f>IFERROR(__xludf.DUMMYFUNCTION("""COMPUTED_VALUE"""),"SES-0005")</f>
        <v>SES-0005</v>
      </c>
      <c r="C526" s="50" t="str">
        <f>IFERROR(__xludf.DUMMYFUNCTION("""COMPUTED_VALUE"""),"cchardin@ucpa.asso.fr")</f>
        <v>cchardin@ucpa.asso.fr</v>
      </c>
      <c r="D526" s="127" t="str">
        <f>IFERROR(__xludf.DUMMYFUNCTION("""COMPUTED_VALUE"""),"https://drive.google.com/file/d/122-Sm2m1ABUtwUCrntQE1dQnX_oLKHjy/view?usp=drivesdk")</f>
        <v>https://drive.google.com/file/d/122-Sm2m1ABUtwUCrntQE1dQnX_oLKHjy/view?usp=drivesdk</v>
      </c>
    </row>
    <row r="527">
      <c r="A527" s="50" t="s">
        <v>2324</v>
      </c>
      <c r="B527" s="50" t="str">
        <f>IFERROR(__xludf.DUMMYFUNCTION("""COMPUTED_VALUE"""),"SES-0003")</f>
        <v>SES-0003</v>
      </c>
      <c r="C527" s="50" t="str">
        <f>IFERROR(__xludf.DUMMYFUNCTION("""COMPUTED_VALUE"""),"fgarcin@ucpa.asso.fr")</f>
        <v>fgarcin@ucpa.asso.fr</v>
      </c>
      <c r="D527" s="127" t="str">
        <f>IFERROR(__xludf.DUMMYFUNCTION("""COMPUTED_VALUE"""),"https://drive.google.com/file/d/1_zdaT-jZ07Nxn9eNGBbSaggQFU5gsF8v/view?usp=drivesdk")</f>
        <v>https://drive.google.com/file/d/1_zdaT-jZ07Nxn9eNGBbSaggQFU5gsF8v/view?usp=drivesdk</v>
      </c>
    </row>
    <row r="528">
      <c r="A528" s="50" t="s">
        <v>2327</v>
      </c>
      <c r="B528" s="50" t="str">
        <f>IFERROR(__xludf.DUMMYFUNCTION("""COMPUTED_VALUE"""),"SES-0003")</f>
        <v>SES-0003</v>
      </c>
      <c r="C528" s="50" t="str">
        <f>IFERROR(__xludf.DUMMYFUNCTION("""COMPUTED_VALUE"""),"clecain@ucpa.asso.fr")</f>
        <v>clecain@ucpa.asso.fr</v>
      </c>
      <c r="D528" s="127" t="str">
        <f>IFERROR(__xludf.DUMMYFUNCTION("""COMPUTED_VALUE"""),"https://drive.google.com/file/d/1p9LdMav26QTnoPfljCN6qlglgiW9WMH9/view?usp=drivesdk")</f>
        <v>https://drive.google.com/file/d/1p9LdMav26QTnoPfljCN6qlglgiW9WMH9/view?usp=drivesdk</v>
      </c>
    </row>
    <row r="529">
      <c r="A529" s="50" t="s">
        <v>2330</v>
      </c>
      <c r="B529" s="50" t="str">
        <f>IFERROR(__xludf.DUMMYFUNCTION("""COMPUTED_VALUE"""),"SES-0004")</f>
        <v>SES-0004</v>
      </c>
      <c r="C529" s="50" t="str">
        <f>IFERROR(__xludf.DUMMYFUNCTION("""COMPUTED_VALUE"""),"clecain@ucpa.asso.fr")</f>
        <v>clecain@ucpa.asso.fr</v>
      </c>
      <c r="D529" s="127" t="str">
        <f>IFERROR(__xludf.DUMMYFUNCTION("""COMPUTED_VALUE"""),"https://drive.google.com/file/d/1Ok-qMr_zvblE6jN3JZ0pb4Rx--DZ9_7K/view?usp=drivesdk")</f>
        <v>https://drive.google.com/file/d/1Ok-qMr_zvblE6jN3JZ0pb4Rx--DZ9_7K/view?usp=drivesdk</v>
      </c>
    </row>
    <row r="530">
      <c r="A530" s="50" t="s">
        <v>2333</v>
      </c>
      <c r="B530" s="50" t="str">
        <f>IFERROR(__xludf.DUMMYFUNCTION("""COMPUTED_VALUE"""),"SES-0005")</f>
        <v>SES-0005</v>
      </c>
      <c r="C530" s="50" t="str">
        <f>IFERROR(__xludf.DUMMYFUNCTION("""COMPUTED_VALUE"""),"clecain@ucpa.asso.fr")</f>
        <v>clecain@ucpa.asso.fr</v>
      </c>
      <c r="D530" s="127" t="str">
        <f>IFERROR(__xludf.DUMMYFUNCTION("""COMPUTED_VALUE"""),"https://drive.google.com/file/d/1fR231AJPOIgqOB3N_rR5UmPj8ysz2wxl/view?usp=drivesdk")</f>
        <v>https://drive.google.com/file/d/1fR231AJPOIgqOB3N_rR5UmPj8ysz2wxl/view?usp=drivesdk</v>
      </c>
    </row>
    <row r="531">
      <c r="A531" s="50" t="s">
        <v>2336</v>
      </c>
      <c r="B531" s="50" t="str">
        <f>IFERROR(__xludf.DUMMYFUNCTION("""COMPUTED_VALUE"""),"SES-0003")</f>
        <v>SES-0003</v>
      </c>
      <c r="C531" s="50" t="str">
        <f>IFERROR(__xludf.DUMMYFUNCTION("""COMPUTED_VALUE"""),"pamaury@ucpa.asso.fr")</f>
        <v>pamaury@ucpa.asso.fr</v>
      </c>
      <c r="D531" s="127" t="str">
        <f>IFERROR(__xludf.DUMMYFUNCTION("""COMPUTED_VALUE"""),"https://drive.google.com/file/d/1Fxv_3I6RUngPWfPDLE4VrOvCmEaFb9LQ/view?usp=drivesdk")</f>
        <v>https://drive.google.com/file/d/1Fxv_3I6RUngPWfPDLE4VrOvCmEaFb9LQ/view?usp=drivesdk</v>
      </c>
    </row>
    <row r="532">
      <c r="A532" s="50" t="s">
        <v>2338</v>
      </c>
      <c r="B532" s="50" t="str">
        <f>IFERROR(__xludf.DUMMYFUNCTION("""COMPUTED_VALUE"""),"SES-0003")</f>
        <v>SES-0003</v>
      </c>
      <c r="C532" s="50" t="str">
        <f>IFERROR(__xludf.DUMMYFUNCTION("""COMPUTED_VALUE"""),"ebenet@ucpa.asso.fr")</f>
        <v>ebenet@ucpa.asso.fr</v>
      </c>
      <c r="D532" s="127" t="str">
        <f>IFERROR(__xludf.DUMMYFUNCTION("""COMPUTED_VALUE"""),"https://drive.google.com/file/d/1rDuoDDafAm7Y4UMqJkjC9bEMTtkdGywA/view?usp=drivesdk")</f>
        <v>https://drive.google.com/file/d/1rDuoDDafAm7Y4UMqJkjC9bEMTtkdGywA/view?usp=drivesdk</v>
      </c>
    </row>
    <row r="533">
      <c r="A533" s="50" t="s">
        <v>2341</v>
      </c>
      <c r="B533" s="50" t="str">
        <f>IFERROR(__xludf.DUMMYFUNCTION("""COMPUTED_VALUE"""),"SES-0004")</f>
        <v>SES-0004</v>
      </c>
      <c r="C533" s="50" t="str">
        <f>IFERROR(__xludf.DUMMYFUNCTION("""COMPUTED_VALUE"""),"ebenet@ucpa.asso.fr")</f>
        <v>ebenet@ucpa.asso.fr</v>
      </c>
      <c r="D533" s="127" t="str">
        <f>IFERROR(__xludf.DUMMYFUNCTION("""COMPUTED_VALUE"""),"https://drive.google.com/file/d/1zVjqC_hWqSRVTLRfiqIQixbpx0ZKJLyF/view?usp=drivesdk")</f>
        <v>https://drive.google.com/file/d/1zVjqC_hWqSRVTLRfiqIQixbpx0ZKJLyF/view?usp=drivesdk</v>
      </c>
    </row>
    <row r="534">
      <c r="A534" s="50" t="s">
        <v>2345</v>
      </c>
      <c r="B534" s="50" t="str">
        <f>IFERROR(__xludf.DUMMYFUNCTION("""COMPUTED_VALUE"""),"SES-0005")</f>
        <v>SES-0005</v>
      </c>
      <c r="C534" s="50" t="str">
        <f>IFERROR(__xludf.DUMMYFUNCTION("""COMPUTED_VALUE"""),"ebenet@ucpa.asso.fr")</f>
        <v>ebenet@ucpa.asso.fr</v>
      </c>
      <c r="D534" s="127" t="str">
        <f>IFERROR(__xludf.DUMMYFUNCTION("""COMPUTED_VALUE"""),"https://drive.google.com/file/d/10cZWmcNssbtO6NYyInMcvlKd8xToXqqL/view?usp=drivesdk")</f>
        <v>https://drive.google.com/file/d/10cZWmcNssbtO6NYyInMcvlKd8xToXqqL/view?usp=drivesdk</v>
      </c>
    </row>
    <row r="535">
      <c r="A535" s="50" t="s">
        <v>2348</v>
      </c>
      <c r="B535" s="50" t="str">
        <f>IFERROR(__xludf.DUMMYFUNCTION("""COMPUTED_VALUE"""),"SES-0005")</f>
        <v>SES-0005</v>
      </c>
      <c r="C535" s="50" t="str">
        <f>IFERROR(__xludf.DUMMYFUNCTION("""COMPUTED_VALUE"""),"ylesueur@ucpa.asso.fr")</f>
        <v>ylesueur@ucpa.asso.fr</v>
      </c>
      <c r="D535" s="127" t="str">
        <f>IFERROR(__xludf.DUMMYFUNCTION("""COMPUTED_VALUE"""),"https://drive.google.com/file/d/1yMBumSPJMYaEx3mbNjnDP-FzlFvYROQ9/view?usp=drivesdk")</f>
        <v>https://drive.google.com/file/d/1yMBumSPJMYaEx3mbNjnDP-FzlFvYROQ9/view?usp=drivesdk</v>
      </c>
    </row>
    <row r="536">
      <c r="A536" s="50" t="s">
        <v>2351</v>
      </c>
      <c r="B536" s="50" t="str">
        <f>IFERROR(__xludf.DUMMYFUNCTION("""COMPUTED_VALUE"""),"SES-0004")</f>
        <v>SES-0004</v>
      </c>
      <c r="C536" s="50" t="str">
        <f>IFERROR(__xludf.DUMMYFUNCTION("""COMPUTED_VALUE"""),"ylesueur@ucpa.asso.fr")</f>
        <v>ylesueur@ucpa.asso.fr</v>
      </c>
      <c r="D536" s="127" t="str">
        <f>IFERROR(__xludf.DUMMYFUNCTION("""COMPUTED_VALUE"""),"https://drive.google.com/file/d/1cPLcKqBU3Z3hIT1P5sRM1w4EFMovq_WO/view?usp=drivesdk")</f>
        <v>https://drive.google.com/file/d/1cPLcKqBU3Z3hIT1P5sRM1w4EFMovq_WO/view?usp=drivesdk</v>
      </c>
    </row>
    <row r="537">
      <c r="A537" s="50" t="s">
        <v>2355</v>
      </c>
      <c r="B537" s="50" t="str">
        <f>IFERROR(__xludf.DUMMYFUNCTION("""COMPUTED_VALUE"""),"SES-0003")</f>
        <v>SES-0003</v>
      </c>
      <c r="C537" s="50" t="str">
        <f>IFERROR(__xludf.DUMMYFUNCTION("""COMPUTED_VALUE"""),"ylesueur@ucpa.asso.fr")</f>
        <v>ylesueur@ucpa.asso.fr</v>
      </c>
      <c r="D537" s="127" t="str">
        <f>IFERROR(__xludf.DUMMYFUNCTION("""COMPUTED_VALUE"""),"https://drive.google.com/file/d/1L0QLXoWBWGAmiYlq0vNHa4rUrLKpVq7a/view?usp=drivesdk")</f>
        <v>https://drive.google.com/file/d/1L0QLXoWBWGAmiYlq0vNHa4rUrLKpVq7a/view?usp=drivesdk</v>
      </c>
    </row>
    <row r="538">
      <c r="A538" s="50" t="s">
        <v>2358</v>
      </c>
      <c r="B538" s="50" t="str">
        <f>IFERROR(__xludf.DUMMYFUNCTION("""COMPUTED_VALUE"""),"SES-0003")</f>
        <v>SES-0003</v>
      </c>
      <c r="C538" s="50" t="str">
        <f>IFERROR(__xludf.DUMMYFUNCTION("""COMPUTED_VALUE"""),"catherine.mouton@tootazimut.fr")</f>
        <v>catherine.mouton@tootazimut.fr</v>
      </c>
      <c r="D538" s="127" t="str">
        <f>IFERROR(__xludf.DUMMYFUNCTION("""COMPUTED_VALUE"""),"https://drive.google.com/file/d/1eNqQX0LHhg87PQzyxpkTmaLMFMsFPzfs/view?usp=drivesdk")</f>
        <v>https://drive.google.com/file/d/1eNqQX0LHhg87PQzyxpkTmaLMFMsFPzfs/view?usp=drivesdk</v>
      </c>
    </row>
    <row r="539">
      <c r="A539" s="50" t="s">
        <v>2360</v>
      </c>
      <c r="B539" s="50" t="str">
        <f>IFERROR(__xludf.DUMMYFUNCTION("""COMPUTED_VALUE"""),"SES-0004")</f>
        <v>SES-0004</v>
      </c>
      <c r="C539" s="50" t="str">
        <f>IFERROR(__xludf.DUMMYFUNCTION("""COMPUTED_VALUE"""),"catherine.mouton@tootazimut.fr")</f>
        <v>catherine.mouton@tootazimut.fr</v>
      </c>
      <c r="D539" s="127" t="str">
        <f>IFERROR(__xludf.DUMMYFUNCTION("""COMPUTED_VALUE"""),"https://drive.google.com/file/d/1ynNWfE5dYu1ZgjB3NRpP5DUdQhRhylsh/view?usp=drivesdk")</f>
        <v>https://drive.google.com/file/d/1ynNWfE5dYu1ZgjB3NRpP5DUdQhRhylsh/view?usp=drivesdk</v>
      </c>
    </row>
    <row r="540">
      <c r="A540" s="50" t="s">
        <v>2363</v>
      </c>
      <c r="B540" s="50" t="str">
        <f>IFERROR(__xludf.DUMMYFUNCTION("""COMPUTED_VALUE"""),"SES-0005")</f>
        <v>SES-0005</v>
      </c>
      <c r="C540" s="50" t="str">
        <f>IFERROR(__xludf.DUMMYFUNCTION("""COMPUTED_VALUE"""),"catherine.mouton@tootazimut.fr")</f>
        <v>catherine.mouton@tootazimut.fr</v>
      </c>
      <c r="D540" s="127" t="str">
        <f>IFERROR(__xludf.DUMMYFUNCTION("""COMPUTED_VALUE"""),"https://drive.google.com/file/d/1LXYOQDI4j86WFQHJ3Q9tpM3pEmn3LB0F/view?usp=drivesdk")</f>
        <v>https://drive.google.com/file/d/1LXYOQDI4j86WFQHJ3Q9tpM3pEmn3LB0F/view?usp=drivesdk</v>
      </c>
    </row>
    <row r="541">
      <c r="A541" s="50" t="s">
        <v>2366</v>
      </c>
      <c r="B541" s="50" t="str">
        <f>IFERROR(__xludf.DUMMYFUNCTION("""COMPUTED_VALUE"""),"SES-0003")</f>
        <v>SES-0003</v>
      </c>
      <c r="C541" s="50" t="str">
        <f>IFERROR(__xludf.DUMMYFUNCTION("""COMPUTED_VALUE"""),"nathalie_leturcq@yahoo.fr")</f>
        <v>nathalie_leturcq@yahoo.fr</v>
      </c>
      <c r="D541" s="127" t="str">
        <f>IFERROR(__xludf.DUMMYFUNCTION("""COMPUTED_VALUE"""),"https://drive.google.com/file/d/1Cbe8BsL36OS5-YfDjWdn_K8jB0Ys9oM2/view?usp=drivesdk")</f>
        <v>https://drive.google.com/file/d/1Cbe8BsL36OS5-YfDjWdn_K8jB0Ys9oM2/view?usp=drivesdk</v>
      </c>
    </row>
    <row r="542">
      <c r="A542" s="50" t="s">
        <v>2366</v>
      </c>
      <c r="B542" s="50" t="str">
        <f>IFERROR(__xludf.DUMMYFUNCTION("""COMPUTED_VALUE"""),"SES-0003")</f>
        <v>SES-0003</v>
      </c>
      <c r="C542" s="50" t="str">
        <f>IFERROR(__xludf.DUMMYFUNCTION("""COMPUTED_VALUE"""),"nathalie_leturcq@yahoo.fr")</f>
        <v>nathalie_leturcq@yahoo.fr</v>
      </c>
      <c r="D542" s="127" t="str">
        <f>IFERROR(__xludf.DUMMYFUNCTION("""COMPUTED_VALUE"""),"https://drive.google.com/file/d/1t_SiZmn0BmZTtvCRD5vomEjmmPGHziiZ/view?usp=drivesdk")</f>
        <v>https://drive.google.com/file/d/1t_SiZmn0BmZTtvCRD5vomEjmmPGHziiZ/view?usp=drivesdk</v>
      </c>
    </row>
    <row r="543">
      <c r="A543" s="50" t="s">
        <v>2371</v>
      </c>
      <c r="B543" s="50" t="str">
        <f>IFERROR(__xludf.DUMMYFUNCTION("""COMPUTED_VALUE"""),"SES-0004")</f>
        <v>SES-0004</v>
      </c>
      <c r="C543" s="50" t="str">
        <f>IFERROR(__xludf.DUMMYFUNCTION("""COMPUTED_VALUE"""),"nathalie_leturcq@yahoo.fr")</f>
        <v>nathalie_leturcq@yahoo.fr</v>
      </c>
      <c r="D543" s="127" t="str">
        <f>IFERROR(__xludf.DUMMYFUNCTION("""COMPUTED_VALUE"""),"https://drive.google.com/file/d/1Qr3f6l83NR2xdhUjfJttdtTIlJZ8ja46/view?usp=drivesdk")</f>
        <v>https://drive.google.com/file/d/1Qr3f6l83NR2xdhUjfJttdtTIlJZ8ja46/view?usp=drivesdk</v>
      </c>
    </row>
    <row r="544">
      <c r="A544" s="50" t="s">
        <v>2374</v>
      </c>
      <c r="B544" s="50" t="str">
        <f>IFERROR(__xludf.DUMMYFUNCTION("""COMPUTED_VALUE"""),"SES-0005")</f>
        <v>SES-0005</v>
      </c>
      <c r="C544" s="50" t="str">
        <f>IFERROR(__xludf.DUMMYFUNCTION("""COMPUTED_VALUE"""),"nathalie_leturcq@yahoo.fr")</f>
        <v>nathalie_leturcq@yahoo.fr</v>
      </c>
      <c r="D544" s="127" t="str">
        <f>IFERROR(__xludf.DUMMYFUNCTION("""COMPUTED_VALUE"""),"https://drive.google.com/file/d/19VsqW31w4cA32yDqdiP6JVuqJy1t-5im/view?usp=drivesdk")</f>
        <v>https://drive.google.com/file/d/19VsqW31w4cA32yDqdiP6JVuqJy1t-5im/view?usp=drivesdk</v>
      </c>
    </row>
    <row r="545">
      <c r="A545" s="50" t="s">
        <v>2377</v>
      </c>
      <c r="B545" s="50" t="str">
        <f>IFERROR(__xludf.DUMMYFUNCTION("""COMPUTED_VALUE"""),"SES-0004")</f>
        <v>SES-0004</v>
      </c>
      <c r="C545" s="50" t="str">
        <f>IFERROR(__xludf.DUMMYFUNCTION("""COMPUTED_VALUE"""),"mvaujany@ucpa.asso.fr")</f>
        <v>mvaujany@ucpa.asso.fr</v>
      </c>
      <c r="D545" s="127" t="str">
        <f>IFERROR(__xludf.DUMMYFUNCTION("""COMPUTED_VALUE"""),"https://drive.google.com/file/d/1KVxj6ymLv9ulLJahfXaHm104CnrQ0UxI/view?usp=drivesdk")</f>
        <v>https://drive.google.com/file/d/1KVxj6ymLv9ulLJahfXaHm104CnrQ0UxI/view?usp=drivesdk</v>
      </c>
    </row>
    <row r="546">
      <c r="A546" s="50" t="s">
        <v>2380</v>
      </c>
      <c r="B546" s="50" t="str">
        <f>IFERROR(__xludf.DUMMYFUNCTION("""COMPUTED_VALUE"""),"SES-0005")</f>
        <v>SES-0005</v>
      </c>
      <c r="C546" s="50" t="str">
        <f>IFERROR(__xludf.DUMMYFUNCTION("""COMPUTED_VALUE"""),"mvaujany@ucpa.asso.fr")</f>
        <v>mvaujany@ucpa.asso.fr</v>
      </c>
      <c r="D546" s="127" t="str">
        <f>IFERROR(__xludf.DUMMYFUNCTION("""COMPUTED_VALUE"""),"https://drive.google.com/file/d/1a8-DEaZeLwwQV8sEE1GU6KL_a9-SfV7T/view?usp=drivesdk")</f>
        <v>https://drive.google.com/file/d/1a8-DEaZeLwwQV8sEE1GU6KL_a9-SfV7T/view?usp=drivesdk</v>
      </c>
    </row>
    <row r="547">
      <c r="A547" s="50" t="s">
        <v>2383</v>
      </c>
      <c r="B547" s="50" t="str">
        <f>IFERROR(__xludf.DUMMYFUNCTION("""COMPUTED_VALUE"""),"SES-0003")</f>
        <v>SES-0003</v>
      </c>
      <c r="C547" s="50" t="str">
        <f>IFERROR(__xludf.DUMMYFUNCTION("""COMPUTED_VALUE"""),"aurelien.fouquet@tootazimut.fr")</f>
        <v>aurelien.fouquet@tootazimut.fr</v>
      </c>
      <c r="D547" s="127" t="str">
        <f>IFERROR(__xludf.DUMMYFUNCTION("""COMPUTED_VALUE"""),"https://drive.google.com/file/d/1MBvd0v7neU-FUViQB2w4GaQAJtMxCZBq/view?usp=drivesdk")</f>
        <v>https://drive.google.com/file/d/1MBvd0v7neU-FUViQB2w4GaQAJtMxCZBq/view?usp=drivesdk</v>
      </c>
    </row>
    <row r="548">
      <c r="A548" s="50" t="s">
        <v>2386</v>
      </c>
      <c r="B548" s="50" t="str">
        <f>IFERROR(__xludf.DUMMYFUNCTION("""COMPUTED_VALUE"""),"SES-0004")</f>
        <v>SES-0004</v>
      </c>
      <c r="C548" s="50" t="str">
        <f>IFERROR(__xludf.DUMMYFUNCTION("""COMPUTED_VALUE"""),"aurelien.fouquet@tootazimut.fr")</f>
        <v>aurelien.fouquet@tootazimut.fr</v>
      </c>
      <c r="D548" s="127" t="str">
        <f>IFERROR(__xludf.DUMMYFUNCTION("""COMPUTED_VALUE"""),"https://drive.google.com/file/d/1LMdwlc54u39C0pl-zU6z2Dvr8qB-JJBA/view?usp=drivesdk")</f>
        <v>https://drive.google.com/file/d/1LMdwlc54u39C0pl-zU6z2Dvr8qB-JJBA/view?usp=drivesdk</v>
      </c>
    </row>
    <row r="549">
      <c r="A549" s="50" t="s">
        <v>2390</v>
      </c>
      <c r="B549" s="50" t="str">
        <f>IFERROR(__xludf.DUMMYFUNCTION("""COMPUTED_VALUE"""),"SES-0003")</f>
        <v>SES-0003</v>
      </c>
      <c r="C549" s="50" t="str">
        <f>IFERROR(__xludf.DUMMYFUNCTION("""COMPUTED_VALUE"""),"mfloury1@ucpasl.com")</f>
        <v>mfloury1@ucpasl.com</v>
      </c>
      <c r="D549" s="127" t="str">
        <f>IFERROR(__xludf.DUMMYFUNCTION("""COMPUTED_VALUE"""),"https://drive.google.com/file/d/1uY8R2lyLxqy4fl8Jj10nvMoQ-FRQDcC7/view?usp=drivesdk")</f>
        <v>https://drive.google.com/file/d/1uY8R2lyLxqy4fl8Jj10nvMoQ-FRQDcC7/view?usp=drivesdk</v>
      </c>
    </row>
    <row r="550">
      <c r="A550" s="50" t="s">
        <v>2393</v>
      </c>
      <c r="B550" s="50" t="str">
        <f>IFERROR(__xludf.DUMMYFUNCTION("""COMPUTED_VALUE"""),"SES-0004")</f>
        <v>SES-0004</v>
      </c>
      <c r="C550" s="50" t="str">
        <f>IFERROR(__xludf.DUMMYFUNCTION("""COMPUTED_VALUE"""),"mfloury1@ucpasl.com")</f>
        <v>mfloury1@ucpasl.com</v>
      </c>
      <c r="D550" s="127" t="str">
        <f>IFERROR(__xludf.DUMMYFUNCTION("""COMPUTED_VALUE"""),"https://drive.google.com/file/d/1Mvjf0QK7EWsVTh1Qvy9FjSE9L1niehin/view?usp=drivesdk")</f>
        <v>https://drive.google.com/file/d/1Mvjf0QK7EWsVTh1Qvy9FjSE9L1niehin/view?usp=drivesdk</v>
      </c>
    </row>
    <row r="551">
      <c r="A551" s="50" t="s">
        <v>2397</v>
      </c>
      <c r="B551" s="50" t="str">
        <f>IFERROR(__xludf.DUMMYFUNCTION("""COMPUTED_VALUE"""),"SES-0005")</f>
        <v>SES-0005</v>
      </c>
      <c r="C551" s="50" t="str">
        <f>IFERROR(__xludf.DUMMYFUNCTION("""COMPUTED_VALUE"""),"mfloury1@ucpasl.com")</f>
        <v>mfloury1@ucpasl.com</v>
      </c>
      <c r="D551" s="127" t="str">
        <f>IFERROR(__xludf.DUMMYFUNCTION("""COMPUTED_VALUE"""),"https://drive.google.com/file/d/1l7ctssJ-zM7iaH20afN5MKb4tZL-gVY1/view?usp=drivesdk")</f>
        <v>https://drive.google.com/file/d/1l7ctssJ-zM7iaH20afN5MKb4tZL-gVY1/view?usp=drivesdk</v>
      </c>
    </row>
    <row r="552">
      <c r="A552" s="50" t="s">
        <v>2401</v>
      </c>
      <c r="B552" s="50" t="str">
        <f>IFERROR(__xludf.DUMMYFUNCTION("""COMPUTED_VALUE"""),"SES-0003")</f>
        <v>SES-0003</v>
      </c>
      <c r="C552" s="50" t="str">
        <f>IFERROR(__xludf.DUMMYFUNCTION("""COMPUTED_VALUE"""),"cgex@ucpa.asso.ff")</f>
        <v>cgex@ucpa.asso.ff</v>
      </c>
      <c r="D552" s="127" t="str">
        <f>IFERROR(__xludf.DUMMYFUNCTION("""COMPUTED_VALUE"""),"https://drive.google.com/file/d/1ZWpaFftVSHhhFTgOI5C20rwK0-SC15uq/view?usp=drivesdk")</f>
        <v>https://drive.google.com/file/d/1ZWpaFftVSHhhFTgOI5C20rwK0-SC15uq/view?usp=drivesdk</v>
      </c>
    </row>
    <row r="553">
      <c r="A553" s="50" t="s">
        <v>2404</v>
      </c>
      <c r="B553" s="50" t="str">
        <f>IFERROR(__xludf.DUMMYFUNCTION("""COMPUTED_VALUE"""),"SES-0004")</f>
        <v>SES-0004</v>
      </c>
      <c r="C553" s="50" t="str">
        <f>IFERROR(__xludf.DUMMYFUNCTION("""COMPUTED_VALUE"""),"vmorin@ucpa.asso.fr")</f>
        <v>vmorin@ucpa.asso.fr</v>
      </c>
      <c r="D553" s="127" t="str">
        <f>IFERROR(__xludf.DUMMYFUNCTION("""COMPUTED_VALUE"""),"https://drive.google.com/file/d/1_TBNyQvCPozmJ0fMswsIeJGIc1xoizjG/view?usp=drivesdk")</f>
        <v>https://drive.google.com/file/d/1_TBNyQvCPozmJ0fMswsIeJGIc1xoizjG/view?usp=drivesdk</v>
      </c>
    </row>
    <row r="554">
      <c r="A554" s="50" t="s">
        <v>2406</v>
      </c>
      <c r="B554" s="50" t="str">
        <f>IFERROR(__xludf.DUMMYFUNCTION("""COMPUTED_VALUE"""),"SES-0005")</f>
        <v>SES-0005</v>
      </c>
      <c r="C554" s="50" t="str">
        <f>IFERROR(__xludf.DUMMYFUNCTION("""COMPUTED_VALUE"""),"vmorin@ucpa.asso.fr")</f>
        <v>vmorin@ucpa.asso.fr</v>
      </c>
      <c r="D554" s="127" t="str">
        <f>IFERROR(__xludf.DUMMYFUNCTION("""COMPUTED_VALUE"""),"https://drive.google.com/file/d/1w1lXBua-EuZDDCg54BayAiUiSdlfG5tu/view?usp=drivesdk")</f>
        <v>https://drive.google.com/file/d/1w1lXBua-EuZDDCg54BayAiUiSdlfG5tu/view?usp=drivesdk</v>
      </c>
    </row>
    <row r="555">
      <c r="A555" s="50" t="s">
        <v>2409</v>
      </c>
      <c r="B555" s="50" t="str">
        <f>IFERROR(__xludf.DUMMYFUNCTION("""COMPUTED_VALUE"""),"SES-0003")</f>
        <v>SES-0003</v>
      </c>
      <c r="C555" s="50" t="str">
        <f>IFERROR(__xludf.DUMMYFUNCTION("""COMPUTED_VALUE"""),"lgrosjean@ucpa.asso.fr")</f>
        <v>lgrosjean@ucpa.asso.fr</v>
      </c>
      <c r="D555" s="127" t="str">
        <f>IFERROR(__xludf.DUMMYFUNCTION("""COMPUTED_VALUE"""),"https://drive.google.com/file/d/1pJWYWBraBt-9a8-4rGJklRvuCP5LJ9vq/view?usp=drivesdk")</f>
        <v>https://drive.google.com/file/d/1pJWYWBraBt-9a8-4rGJklRvuCP5LJ9vq/view?usp=drivesdk</v>
      </c>
    </row>
    <row r="556">
      <c r="A556" s="50" t="s">
        <v>2411</v>
      </c>
      <c r="B556" s="50" t="str">
        <f>IFERROR(__xludf.DUMMYFUNCTION("""COMPUTED_VALUE"""),"SES-0004")</f>
        <v>SES-0004</v>
      </c>
      <c r="C556" s="50" t="str">
        <f>IFERROR(__xludf.DUMMYFUNCTION("""COMPUTED_VALUE"""),"blecomte@ucpa.asso.fr")</f>
        <v>blecomte@ucpa.asso.fr</v>
      </c>
      <c r="D556" s="127" t="str">
        <f>IFERROR(__xludf.DUMMYFUNCTION("""COMPUTED_VALUE"""),"https://drive.google.com/file/d/1iuAvbFnMIXnD9pOHMl0UbwecznrlJ32m/view?usp=drivesdk")</f>
        <v>https://drive.google.com/file/d/1iuAvbFnMIXnD9pOHMl0UbwecznrlJ32m/view?usp=drivesdk</v>
      </c>
    </row>
    <row r="557">
      <c r="A557" s="50" t="s">
        <v>2414</v>
      </c>
      <c r="B557" s="50" t="str">
        <f>IFERROR(__xludf.DUMMYFUNCTION("""COMPUTED_VALUE"""),"SES-0003")</f>
        <v>SES-0003</v>
      </c>
      <c r="C557" s="50" t="str">
        <f>IFERROR(__xludf.DUMMYFUNCTION("""COMPUTED_VALUE"""),"jmporcher@ucpa.asso.fr")</f>
        <v>jmporcher@ucpa.asso.fr</v>
      </c>
      <c r="D557" s="127" t="str">
        <f>IFERROR(__xludf.DUMMYFUNCTION("""COMPUTED_VALUE"""),"https://drive.google.com/file/d/1mTPsT5B-oCaTTZoqNTXU808t2qDrnmjk/view?usp=drivesdk")</f>
        <v>https://drive.google.com/file/d/1mTPsT5B-oCaTTZoqNTXU808t2qDrnmjk/view?usp=drivesdk</v>
      </c>
    </row>
    <row r="558">
      <c r="A558" s="50" t="s">
        <v>2417</v>
      </c>
      <c r="B558" s="50" t="str">
        <f>IFERROR(__xludf.DUMMYFUNCTION("""COMPUTED_VALUE"""),"SES-0004")</f>
        <v>SES-0004</v>
      </c>
      <c r="C558" s="50" t="str">
        <f>IFERROR(__xludf.DUMMYFUNCTION("""COMPUTED_VALUE"""),"jmporcher@ucpa.asso.fr")</f>
        <v>jmporcher@ucpa.asso.fr</v>
      </c>
      <c r="D558" s="127" t="str">
        <f>IFERROR(__xludf.DUMMYFUNCTION("""COMPUTED_VALUE"""),"https://drive.google.com/file/d/1N0PfpMd9alWvjXSeXz35OV8LagWjofRR/view?usp=drivesdk")</f>
        <v>https://drive.google.com/file/d/1N0PfpMd9alWvjXSeXz35OV8LagWjofRR/view?usp=drivesdk</v>
      </c>
    </row>
    <row r="559">
      <c r="A559" s="50" t="s">
        <v>2418</v>
      </c>
      <c r="B559" s="50" t="str">
        <f>IFERROR(__xludf.DUMMYFUNCTION("""COMPUTED_VALUE"""),"SES-0005")</f>
        <v>SES-0005</v>
      </c>
      <c r="C559" s="50" t="str">
        <f>IFERROR(__xludf.DUMMYFUNCTION("""COMPUTED_VALUE"""),"jmporcher@ucpa.asso.fr")</f>
        <v>jmporcher@ucpa.asso.fr</v>
      </c>
      <c r="D559" s="127" t="str">
        <f>IFERROR(__xludf.DUMMYFUNCTION("""COMPUTED_VALUE"""),"https://drive.google.com/file/d/1I-0rrY_vY_crauRu_v9BmwJUblt9NJXy/view?usp=drivesdk")</f>
        <v>https://drive.google.com/file/d/1I-0rrY_vY_crauRu_v9BmwJUblt9NJXy/view?usp=drivesdk</v>
      </c>
    </row>
    <row r="560">
      <c r="A560" s="50" t="s">
        <v>2419</v>
      </c>
      <c r="B560" s="50" t="str">
        <f>IFERROR(__xludf.DUMMYFUNCTION("""COMPUTED_VALUE"""),"SES-0003")</f>
        <v>SES-0003</v>
      </c>
      <c r="C560" s="50" t="str">
        <f>IFERROR(__xludf.DUMMYFUNCTION("""COMPUTED_VALUE"""),"jlanson@ucpa.asso.fr")</f>
        <v>jlanson@ucpa.asso.fr</v>
      </c>
      <c r="D560" s="127" t="str">
        <f>IFERROR(__xludf.DUMMYFUNCTION("""COMPUTED_VALUE"""),"https://drive.google.com/file/d/1v89vgyylT9Qnekra4V0WU_ahXkfuKlOL/view?usp=drivesdk")</f>
        <v>https://drive.google.com/file/d/1v89vgyylT9Qnekra4V0WU_ahXkfuKlOL/view?usp=drivesdk</v>
      </c>
    </row>
    <row r="561">
      <c r="A561" s="50" t="s">
        <v>2420</v>
      </c>
      <c r="B561" s="50" t="str">
        <f>IFERROR(__xludf.DUMMYFUNCTION("""COMPUTED_VALUE"""),"SES-0004")</f>
        <v>SES-0004</v>
      </c>
      <c r="C561" s="50" t="str">
        <f>IFERROR(__xludf.DUMMYFUNCTION("""COMPUTED_VALUE"""),"jlanson@ucpa.asso.fr")</f>
        <v>jlanson@ucpa.asso.fr</v>
      </c>
      <c r="D561" s="127" t="str">
        <f>IFERROR(__xludf.DUMMYFUNCTION("""COMPUTED_VALUE"""),"https://drive.google.com/file/d/19UjzTRwcAK_mv5d7Upr4wiloQds0iOr4/view?usp=drivesdk")</f>
        <v>https://drive.google.com/file/d/19UjzTRwcAK_mv5d7Upr4wiloQds0iOr4/view?usp=drivesdk</v>
      </c>
    </row>
    <row r="562">
      <c r="A562" s="50" t="s">
        <v>2421</v>
      </c>
      <c r="B562" s="50" t="str">
        <f>IFERROR(__xludf.DUMMYFUNCTION("""COMPUTED_VALUE"""),"SES-0005")</f>
        <v>SES-0005</v>
      </c>
      <c r="C562" s="50" t="str">
        <f>IFERROR(__xludf.DUMMYFUNCTION("""COMPUTED_VALUE"""),"jlanson@ucpa.asso.fr")</f>
        <v>jlanson@ucpa.asso.fr</v>
      </c>
      <c r="D562" s="127" t="str">
        <f>IFERROR(__xludf.DUMMYFUNCTION("""COMPUTED_VALUE"""),"https://drive.google.com/file/d/19TqOGmxg8qepMoOImhbMmmNfe5BmEOia/view?usp=drivesdk")</f>
        <v>https://drive.google.com/file/d/19TqOGmxg8qepMoOImhbMmmNfe5BmEOia/view?usp=drivesdk</v>
      </c>
    </row>
    <row r="563">
      <c r="A563" s="50" t="s">
        <v>2422</v>
      </c>
      <c r="B563" s="50" t="str">
        <f>IFERROR(__xludf.DUMMYFUNCTION("""COMPUTED_VALUE"""),"SES-0005")</f>
        <v>SES-0005</v>
      </c>
      <c r="C563" s="50" t="str">
        <f>IFERROR(__xludf.DUMMYFUNCTION("""COMPUTED_VALUE"""),"mpoque@ucpa.asso.fr")</f>
        <v>mpoque@ucpa.asso.fr</v>
      </c>
      <c r="D563" s="127" t="str">
        <f>IFERROR(__xludf.DUMMYFUNCTION("""COMPUTED_VALUE"""),"https://drive.google.com/file/d/1QTcV7TJWIc6IXNvmuhK63dh_x_9_pKGo/view?usp=drivesdk")</f>
        <v>https://drive.google.com/file/d/1QTcV7TJWIc6IXNvmuhK63dh_x_9_pKGo/view?usp=drivesdk</v>
      </c>
    </row>
    <row r="564">
      <c r="A564" s="50" t="s">
        <v>2425</v>
      </c>
      <c r="B564" s="50" t="str">
        <f>IFERROR(__xludf.DUMMYFUNCTION("""COMPUTED_VALUE"""),"SES-0004")</f>
        <v>SES-0004</v>
      </c>
      <c r="C564" s="50" t="str">
        <f>IFERROR(__xludf.DUMMYFUNCTION("""COMPUTED_VALUE"""),"criva@ucpasl.com")</f>
        <v>criva@ucpasl.com</v>
      </c>
      <c r="D564" s="127" t="str">
        <f>IFERROR(__xludf.DUMMYFUNCTION("""COMPUTED_VALUE"""),"https://drive.google.com/file/d/1Nyv91knhZPKqyrO4kHHV2HyZs2faHSMd/view?usp=drivesdk")</f>
        <v>https://drive.google.com/file/d/1Nyv91knhZPKqyrO4kHHV2HyZs2faHSMd/view?usp=drivesdk</v>
      </c>
    </row>
    <row r="565">
      <c r="A565" s="50" t="s">
        <v>2428</v>
      </c>
      <c r="B565" s="50" t="str">
        <f>IFERROR(__xludf.DUMMYFUNCTION("""COMPUTED_VALUE"""),"SES-0004")</f>
        <v>SES-0004</v>
      </c>
      <c r="C565" s="50" t="str">
        <f>IFERROR(__xludf.DUMMYFUNCTION("""COMPUTED_VALUE"""),"jmathlouthi@ucpa.asso.fr")</f>
        <v>jmathlouthi@ucpa.asso.fr</v>
      </c>
      <c r="D565" s="127" t="str">
        <f>IFERROR(__xludf.DUMMYFUNCTION("""COMPUTED_VALUE"""),"https://drive.google.com/file/d/1Lk5rpM3oHXydSuvKFykAsTyOJ-xfRd3E/view?usp=drivesdk")</f>
        <v>https://drive.google.com/file/d/1Lk5rpM3oHXydSuvKFykAsTyOJ-xfRd3E/view?usp=drivesdk</v>
      </c>
    </row>
    <row r="566">
      <c r="A566" s="50" t="s">
        <v>2431</v>
      </c>
      <c r="B566" s="50" t="str">
        <f>IFERROR(__xludf.DUMMYFUNCTION("""COMPUTED_VALUE"""),"SES-0005")</f>
        <v>SES-0005</v>
      </c>
      <c r="C566" s="50" t="str">
        <f>IFERROR(__xludf.DUMMYFUNCTION("""COMPUTED_VALUE"""),"jmathlouthi@ucpa.asso.fr")</f>
        <v>jmathlouthi@ucpa.asso.fr</v>
      </c>
      <c r="D566" s="127" t="str">
        <f>IFERROR(__xludf.DUMMYFUNCTION("""COMPUTED_VALUE"""),"https://drive.google.com/file/d/1Sld4LneTy970dZeagu3K9pgq5PjoutgC/view?usp=drivesdk")</f>
        <v>https://drive.google.com/file/d/1Sld4LneTy970dZeagu3K9pgq5PjoutgC/view?usp=drivesdk</v>
      </c>
    </row>
    <row r="567">
      <c r="A567" s="50" t="s">
        <v>2435</v>
      </c>
      <c r="B567" s="50" t="str">
        <f>IFERROR(__xludf.DUMMYFUNCTION("""COMPUTED_VALUE"""),"SES-0004")</f>
        <v>SES-0004</v>
      </c>
      <c r="C567" s="50" t="str">
        <f>IFERROR(__xludf.DUMMYFUNCTION("""COMPUTED_VALUE"""),"vmathelin@ucpa.asso.fr")</f>
        <v>vmathelin@ucpa.asso.fr</v>
      </c>
      <c r="D567" s="127" t="str">
        <f>IFERROR(__xludf.DUMMYFUNCTION("""COMPUTED_VALUE"""),"https://drive.google.com/file/d/1NlstKV2myYrxqVH7palFjXnd5s-egVkV/view?usp=drivesdk")</f>
        <v>https://drive.google.com/file/d/1NlstKV2myYrxqVH7palFjXnd5s-egVkV/view?usp=drivesdk</v>
      </c>
    </row>
    <row r="568">
      <c r="A568" s="50" t="s">
        <v>2438</v>
      </c>
      <c r="B568" s="50" t="str">
        <f>IFERROR(__xludf.DUMMYFUNCTION("""COMPUTED_VALUE"""),"SES-0005")</f>
        <v>SES-0005</v>
      </c>
      <c r="C568" s="50" t="str">
        <f>IFERROR(__xludf.DUMMYFUNCTION("""COMPUTED_VALUE"""),"vmathelin@ucpa.asso.fr")</f>
        <v>vmathelin@ucpa.asso.fr</v>
      </c>
      <c r="D568" s="127" t="str">
        <f>IFERROR(__xludf.DUMMYFUNCTION("""COMPUTED_VALUE"""),"https://drive.google.com/file/d/15QAv4M6PNdG1pgFj7uT3ns_043Y9aqJD/view?usp=drivesdk")</f>
        <v>https://drive.google.com/file/d/15QAv4M6PNdG1pgFj7uT3ns_043Y9aqJD/view?usp=drivesdk</v>
      </c>
    </row>
    <row r="569">
      <c r="A569" s="50" t="s">
        <v>2441</v>
      </c>
      <c r="B569" s="50" t="str">
        <f>IFERROR(__xludf.DUMMYFUNCTION("""COMPUTED_VALUE"""),"SES-0004")</f>
        <v>SES-0004</v>
      </c>
      <c r="C569" s="50" t="str">
        <f>IFERROR(__xludf.DUMMYFUNCTION("""COMPUTED_VALUE"""),"afrigo@ucpa.asso.fr")</f>
        <v>afrigo@ucpa.asso.fr</v>
      </c>
      <c r="D569" s="127" t="str">
        <f>IFERROR(__xludf.DUMMYFUNCTION("""COMPUTED_VALUE"""),"https://drive.google.com/file/d/1xAmIP16iVLiBqjVVwMcExCjDLCexNoHS/view?usp=drivesdk")</f>
        <v>https://drive.google.com/file/d/1xAmIP16iVLiBqjVVwMcExCjDLCexNoHS/view?usp=drivesdk</v>
      </c>
    </row>
    <row r="570">
      <c r="A570" s="50" t="s">
        <v>2444</v>
      </c>
      <c r="B570" s="50" t="str">
        <f>IFERROR(__xludf.DUMMYFUNCTION("""COMPUTED_VALUE"""),"SES-0004")</f>
        <v>SES-0004</v>
      </c>
      <c r="C570" s="50" t="str">
        <f>IFERROR(__xludf.DUMMYFUNCTION("""COMPUTED_VALUE"""),"rseguin@ucpa.asso.fr")</f>
        <v>rseguin@ucpa.asso.fr</v>
      </c>
      <c r="D570" s="127" t="str">
        <f>IFERROR(__xludf.DUMMYFUNCTION("""COMPUTED_VALUE"""),"https://drive.google.com/file/d/1FVuBK4B3s-hKrgmhZC5hpx9eOfxb1nt0/view?usp=drivesdk")</f>
        <v>https://drive.google.com/file/d/1FVuBK4B3s-hKrgmhZC5hpx9eOfxb1nt0/view?usp=drivesdk</v>
      </c>
    </row>
    <row r="571">
      <c r="A571" s="50" t="s">
        <v>2447</v>
      </c>
      <c r="B571" s="50" t="str">
        <f>IFERROR(__xludf.DUMMYFUNCTION("""COMPUTED_VALUE"""),"SES-0005")</f>
        <v>SES-0005</v>
      </c>
      <c r="C571" s="50" t="str">
        <f>IFERROR(__xludf.DUMMYFUNCTION("""COMPUTED_VALUE"""),"rseguin@ucpa.asso.fr")</f>
        <v>rseguin@ucpa.asso.fr</v>
      </c>
      <c r="D571" s="127" t="str">
        <f>IFERROR(__xludf.DUMMYFUNCTION("""COMPUTED_VALUE"""),"https://drive.google.com/file/d/1n5lyvY_mgCf-ccw-M8WgK9ZAWGBul9s5/view?usp=drivesdk")</f>
        <v>https://drive.google.com/file/d/1n5lyvY_mgCf-ccw-M8WgK9ZAWGBul9s5/view?usp=drivesdk</v>
      </c>
    </row>
    <row r="572">
      <c r="A572" s="50" t="s">
        <v>2450</v>
      </c>
      <c r="B572" s="50" t="str">
        <f>IFERROR(__xludf.DUMMYFUNCTION("""COMPUTED_VALUE"""),"SES-0004")</f>
        <v>SES-0004</v>
      </c>
      <c r="C572" s="50" t="str">
        <f>IFERROR(__xludf.DUMMYFUNCTION("""COMPUTED_VALUE"""),"lguitton@ucpasl.com")</f>
        <v>lguitton@ucpasl.com</v>
      </c>
      <c r="D572" s="127" t="str">
        <f>IFERROR(__xludf.DUMMYFUNCTION("""COMPUTED_VALUE"""),"https://drive.google.com/file/d/1XA9uH9LprWLP6Yd9dCjssGbKkH7D3Vzj/view?usp=drivesdk")</f>
        <v>https://drive.google.com/file/d/1XA9uH9LprWLP6Yd9dCjssGbKkH7D3Vzj/view?usp=drivesdk</v>
      </c>
    </row>
    <row r="573">
      <c r="A573" s="50" t="s">
        <v>2453</v>
      </c>
      <c r="B573" s="50" t="str">
        <f>IFERROR(__xludf.DUMMYFUNCTION("""COMPUTED_VALUE"""),"SES-0004")</f>
        <v>SES-0004</v>
      </c>
      <c r="C573" s="50" t="str">
        <f>IFERROR(__xludf.DUMMYFUNCTION("""COMPUTED_VALUE"""),"amelie.guindon@telligo.fr")</f>
        <v>amelie.guindon@telligo.fr</v>
      </c>
      <c r="D573" s="127" t="str">
        <f>IFERROR(__xludf.DUMMYFUNCTION("""COMPUTED_VALUE"""),"https://drive.google.com/file/d/1Y0t-9MXUzrX1LwI8e3s3RJ4Bhmi6Xo2u/view?usp=drivesdk")</f>
        <v>https://drive.google.com/file/d/1Y0t-9MXUzrX1LwI8e3s3RJ4Bhmi6Xo2u/view?usp=drivesdk</v>
      </c>
    </row>
    <row r="574">
      <c r="A574" s="50" t="s">
        <v>2456</v>
      </c>
      <c r="B574" s="50" t="str">
        <f>IFERROR(__xludf.DUMMYFUNCTION("""COMPUTED_VALUE"""),"SES-0005")</f>
        <v>SES-0005</v>
      </c>
      <c r="C574" s="50" t="str">
        <f>IFERROR(__xludf.DUMMYFUNCTION("""COMPUTED_VALUE"""),"amelie.guindon@telligo.fr")</f>
        <v>amelie.guindon@telligo.fr</v>
      </c>
      <c r="D574" s="127" t="str">
        <f>IFERROR(__xludf.DUMMYFUNCTION("""COMPUTED_VALUE"""),"https://drive.google.com/file/d/1Oo80ytYD6ofy3l9811IG_cdg-IL1KAM7/view?usp=drivesdk")</f>
        <v>https://drive.google.com/file/d/1Oo80ytYD6ofy3l9811IG_cdg-IL1KAM7/view?usp=drivesdk</v>
      </c>
    </row>
    <row r="575">
      <c r="A575" s="50" t="s">
        <v>2459</v>
      </c>
      <c r="B575" s="50" t="str">
        <f>IFERROR(__xludf.DUMMYFUNCTION("""COMPUTED_VALUE"""),"SES-0005")</f>
        <v>SES-0005</v>
      </c>
      <c r="C575" s="50" t="str">
        <f>IFERROR(__xludf.DUMMYFUNCTION("""COMPUTED_VALUE"""),"lguitton@ucpasl.com")</f>
        <v>lguitton@ucpasl.com</v>
      </c>
      <c r="D575" s="127" t="str">
        <f>IFERROR(__xludf.DUMMYFUNCTION("""COMPUTED_VALUE"""),"https://drive.google.com/file/d/1KiBOA-ezi0OJ58IIRpyzoOY65VZ8mrDH/view?usp=drivesdk")</f>
        <v>https://drive.google.com/file/d/1KiBOA-ezi0OJ58IIRpyzoOY65VZ8mrDH/view?usp=drivesdk</v>
      </c>
    </row>
    <row r="576">
      <c r="A576" s="50" t="s">
        <v>2462</v>
      </c>
      <c r="B576" s="50" t="str">
        <f>IFERROR(__xludf.DUMMYFUNCTION("""COMPUTED_VALUE"""),"SES-0004")</f>
        <v>SES-0004</v>
      </c>
      <c r="C576" s="50" t="str">
        <f>IFERROR(__xludf.DUMMYFUNCTION("""COMPUTED_VALUE"""),"apauletcatrin@ucpa.asso.fr")</f>
        <v>apauletcatrin@ucpa.asso.fr</v>
      </c>
      <c r="D576" s="127" t="str">
        <f>IFERROR(__xludf.DUMMYFUNCTION("""COMPUTED_VALUE"""),"https://drive.google.com/file/d/11o4d3re2tCNdxH0NVoI_taQOlKbhyupy/view?usp=drivesdk")</f>
        <v>https://drive.google.com/file/d/11o4d3re2tCNdxH0NVoI_taQOlKbhyupy/view?usp=drivesdk</v>
      </c>
    </row>
    <row r="577">
      <c r="A577" s="50" t="s">
        <v>2465</v>
      </c>
      <c r="B577" s="50" t="str">
        <f>IFERROR(__xludf.DUMMYFUNCTION("""COMPUTED_VALUE"""),"SES-0005")</f>
        <v>SES-0005</v>
      </c>
      <c r="C577" s="50" t="str">
        <f>IFERROR(__xludf.DUMMYFUNCTION("""COMPUTED_VALUE"""),"apauletcatrin@ucpa.asso.fr")</f>
        <v>apauletcatrin@ucpa.asso.fr</v>
      </c>
      <c r="D577" s="127" t="str">
        <f>IFERROR(__xludf.DUMMYFUNCTION("""COMPUTED_VALUE"""),"https://drive.google.com/file/d/1TxV1Zoo5zs_JZfiKcF_3f43Oy0bmSjtr/view?usp=drivesdk")</f>
        <v>https://drive.google.com/file/d/1TxV1Zoo5zs_JZfiKcF_3f43Oy0bmSjtr/view?usp=drivesdk</v>
      </c>
    </row>
    <row r="578">
      <c r="A578" s="50" t="s">
        <v>2469</v>
      </c>
      <c r="B578" s="50" t="str">
        <f>IFERROR(__xludf.DUMMYFUNCTION("""COMPUTED_VALUE"""),"SES-0004")</f>
        <v>SES-0004</v>
      </c>
      <c r="C578" s="50" t="str">
        <f>IFERROR(__xludf.DUMMYFUNCTION("""COMPUTED_VALUE"""),"stephane.tavernier@telligo.fr")</f>
        <v>stephane.tavernier@telligo.fr</v>
      </c>
      <c r="D578" s="127" t="str">
        <f>IFERROR(__xludf.DUMMYFUNCTION("""COMPUTED_VALUE"""),"https://drive.google.com/file/d/1ilV_OQxHr_JQdfkJ5OrTNmsQXTpdAdZe/view?usp=drivesdk")</f>
        <v>https://drive.google.com/file/d/1ilV_OQxHr_JQdfkJ5OrTNmsQXTpdAdZe/view?usp=drivesdk</v>
      </c>
    </row>
    <row r="579">
      <c r="A579" s="50" t="s">
        <v>2475</v>
      </c>
      <c r="B579" s="50" t="str">
        <f>IFERROR(__xludf.DUMMYFUNCTION("""COMPUTED_VALUE"""),"SES-0005")</f>
        <v>SES-0005</v>
      </c>
      <c r="C579" s="50" t="str">
        <f>IFERROR(__xludf.DUMMYFUNCTION("""COMPUTED_VALUE"""),"stephane.tavernier@telligo.fr")</f>
        <v>stephane.tavernier@telligo.fr</v>
      </c>
      <c r="D579" s="127" t="str">
        <f>IFERROR(__xludf.DUMMYFUNCTION("""COMPUTED_VALUE"""),"https://drive.google.com/file/d/1Xs_CMZLmT5eRGFlFieocTjRryEkWEpp3/view?usp=drivesdk")</f>
        <v>https://drive.google.com/file/d/1Xs_CMZLmT5eRGFlFieocTjRryEkWEpp3/view?usp=drivesdk</v>
      </c>
    </row>
    <row r="580">
      <c r="A580" s="50" t="s">
        <v>2479</v>
      </c>
      <c r="B580" s="50" t="str">
        <f>IFERROR(__xludf.DUMMYFUNCTION("""COMPUTED_VALUE"""),"SES-0004")</f>
        <v>SES-0004</v>
      </c>
      <c r="C580" s="50" t="str">
        <f>IFERROR(__xludf.DUMMYFUNCTION("""COMPUTED_VALUE"""),"jlaureau@ucpa.asso.fr")</f>
        <v>jlaureau@ucpa.asso.fr</v>
      </c>
      <c r="D580" s="127" t="str">
        <f>IFERROR(__xludf.DUMMYFUNCTION("""COMPUTED_VALUE"""),"https://drive.google.com/file/d/1arE0ciCYdUELL6uILdFbB2J7QW4s2oNW/view?usp=drivesdk")</f>
        <v>https://drive.google.com/file/d/1arE0ciCYdUELL6uILdFbB2J7QW4s2oNW/view?usp=drivesdk</v>
      </c>
    </row>
    <row r="581">
      <c r="A581" s="50" t="s">
        <v>2482</v>
      </c>
      <c r="B581" s="50" t="str">
        <f>IFERROR(__xludf.DUMMYFUNCTION("""COMPUTED_VALUE"""),"SES-0005")</f>
        <v>SES-0005</v>
      </c>
      <c r="C581" s="50" t="str">
        <f>IFERROR(__xludf.DUMMYFUNCTION("""COMPUTED_VALUE"""),"jlaureau@ucpa.asso.fr")</f>
        <v>jlaureau@ucpa.asso.fr</v>
      </c>
      <c r="D581" s="127" t="str">
        <f>IFERROR(__xludf.DUMMYFUNCTION("""COMPUTED_VALUE"""),"https://drive.google.com/file/d/1PiPg5WySyM6etiUypEATflM4M4JNI4r8/view?usp=drivesdk")</f>
        <v>https://drive.google.com/file/d/1PiPg5WySyM6etiUypEATflM4M4JNI4r8/view?usp=drivesdk</v>
      </c>
    </row>
    <row r="582">
      <c r="A582" s="50" t="s">
        <v>2485</v>
      </c>
      <c r="B582" s="50" t="str">
        <f>IFERROR(__xludf.DUMMYFUNCTION("""COMPUTED_VALUE"""),"SES-0004")</f>
        <v>SES-0004</v>
      </c>
      <c r="C582" s="50" t="str">
        <f>IFERROR(__xludf.DUMMYFUNCTION("""COMPUTED_VALUE"""),"apequignot@ucpa.asso.fr")</f>
        <v>apequignot@ucpa.asso.fr</v>
      </c>
      <c r="D582" s="127" t="str">
        <f>IFERROR(__xludf.DUMMYFUNCTION("""COMPUTED_VALUE"""),"https://drive.google.com/file/d/17sOtapDycQtRabsaaS075PZf9FA3YVRg/view?usp=drivesdk")</f>
        <v>https://drive.google.com/file/d/17sOtapDycQtRabsaaS075PZf9FA3YVRg/view?usp=drivesdk</v>
      </c>
    </row>
    <row r="583">
      <c r="A583" s="50" t="s">
        <v>2488</v>
      </c>
      <c r="B583" s="50" t="str">
        <f>IFERROR(__xludf.DUMMYFUNCTION("""COMPUTED_VALUE"""),"SES-0004")</f>
        <v>SES-0004</v>
      </c>
      <c r="C583" s="50" t="str">
        <f>IFERROR(__xludf.DUMMYFUNCTION("""COMPUTED_VALUE"""),"ajudas@ucpasl.com")</f>
        <v>ajudas@ucpasl.com</v>
      </c>
      <c r="D583" s="127" t="str">
        <f>IFERROR(__xludf.DUMMYFUNCTION("""COMPUTED_VALUE"""),"https://drive.google.com/file/d/1r8hKHS_5Q1fyVAGsa6sZCXbaKmJ_f9JG/view?usp=drivesdk")</f>
        <v>https://drive.google.com/file/d/1r8hKHS_5Q1fyVAGsa6sZCXbaKmJ_f9JG/view?usp=drivesdk</v>
      </c>
    </row>
    <row r="584">
      <c r="A584" s="50" t="s">
        <v>2489</v>
      </c>
      <c r="B584" s="50" t="str">
        <f>IFERROR(__xludf.DUMMYFUNCTION("""COMPUTED_VALUE"""),"SES-0005")</f>
        <v>SES-0005</v>
      </c>
      <c r="C584" s="50" t="str">
        <f>IFERROR(__xludf.DUMMYFUNCTION("""COMPUTED_VALUE"""),"ajudas@ucpasl.com")</f>
        <v>ajudas@ucpasl.com</v>
      </c>
      <c r="D584" s="127" t="str">
        <f>IFERROR(__xludf.DUMMYFUNCTION("""COMPUTED_VALUE"""),"https://drive.google.com/file/d/1ku_Ugh6P9AAR0CqUpf-mUH5uKkqgibiH/view?usp=drivesdk")</f>
        <v>https://drive.google.com/file/d/1ku_Ugh6P9AAR0CqUpf-mUH5uKkqgibiH/view?usp=drivesdk</v>
      </c>
    </row>
    <row r="585">
      <c r="A585" s="50" t="s">
        <v>2492</v>
      </c>
      <c r="B585" s="50" t="str">
        <f>IFERROR(__xludf.DUMMYFUNCTION("""COMPUTED_VALUE"""),"SES-0005")</f>
        <v>SES-0005</v>
      </c>
      <c r="C585" s="50" t="str">
        <f>IFERROR(__xludf.DUMMYFUNCTION("""COMPUTED_VALUE"""),"apequignot@ucpa.asso.fr")</f>
        <v>apequignot@ucpa.asso.fr</v>
      </c>
      <c r="D585" s="127" t="str">
        <f>IFERROR(__xludf.DUMMYFUNCTION("""COMPUTED_VALUE"""),"https://drive.google.com/file/d/1w5tVWbmkwAy7HoKFforyHOvAnM2KnoSI/view?usp=drivesdk")</f>
        <v>https://drive.google.com/file/d/1w5tVWbmkwAy7HoKFforyHOvAnM2KnoSI/view?usp=drivesdk</v>
      </c>
    </row>
    <row r="586">
      <c r="A586" s="50" t="s">
        <v>2495</v>
      </c>
      <c r="B586" s="50" t="str">
        <f>IFERROR(__xludf.DUMMYFUNCTION("""COMPUTED_VALUE"""),"SES-0004")</f>
        <v>SES-0004</v>
      </c>
      <c r="C586" s="50" t="str">
        <f>IFERROR(__xludf.DUMMYFUNCTION("""COMPUTED_VALUE"""),"llecacheur@ucpasl.com")</f>
        <v>llecacheur@ucpasl.com</v>
      </c>
      <c r="D586" s="127" t="str">
        <f>IFERROR(__xludf.DUMMYFUNCTION("""COMPUTED_VALUE"""),"https://drive.google.com/file/d/1oXRbQKgLSZl5ixltDa2Xhs3sxBVxVANf/view?usp=drivesdk")</f>
        <v>https://drive.google.com/file/d/1oXRbQKgLSZl5ixltDa2Xhs3sxBVxVANf/view?usp=drivesdk</v>
      </c>
    </row>
    <row r="587">
      <c r="A587" s="50" t="s">
        <v>2498</v>
      </c>
      <c r="B587" s="50" t="str">
        <f>IFERROR(__xludf.DUMMYFUNCTION("""COMPUTED_VALUE"""),"SES-0004")</f>
        <v>SES-0004</v>
      </c>
      <c r="C587" s="50" t="str">
        <f>IFERROR(__xludf.DUMMYFUNCTION("""COMPUTED_VALUE"""),"cchardin@ucpa.asso.fr")</f>
        <v>cchardin@ucpa.asso.fr</v>
      </c>
      <c r="D587" s="127" t="str">
        <f>IFERROR(__xludf.DUMMYFUNCTION("""COMPUTED_VALUE"""),"https://drive.google.com/file/d/19_IDKHkRbubc5iWzfkOGYbNo6o2fPitz/view?usp=drivesdk")</f>
        <v>https://drive.google.com/file/d/19_IDKHkRbubc5iWzfkOGYbNo6o2fPitz/view?usp=drivesdk</v>
      </c>
    </row>
    <row r="588">
      <c r="A588" s="50" t="s">
        <v>2503</v>
      </c>
      <c r="B588" s="50" t="str">
        <f>IFERROR(__xludf.DUMMYFUNCTION("""COMPUTED_VALUE"""),"SES-0004")</f>
        <v>SES-0004</v>
      </c>
      <c r="C588" s="50" t="str">
        <f>IFERROR(__xludf.DUMMYFUNCTION("""COMPUTED_VALUE"""),"fprost@ucpa.asso.fr")</f>
        <v>fprost@ucpa.asso.fr</v>
      </c>
      <c r="D588" s="127" t="str">
        <f>IFERROR(__xludf.DUMMYFUNCTION("""COMPUTED_VALUE"""),"https://drive.google.com/file/d/1-pXFfpT2tFvWD4yTKxSR0pKpBYhpip3d/view?usp=drivesdk")</f>
        <v>https://drive.google.com/file/d/1-pXFfpT2tFvWD4yTKxSR0pKpBYhpip3d/view?usp=drivesdk</v>
      </c>
    </row>
    <row r="589">
      <c r="A589" s="50" t="s">
        <v>2510</v>
      </c>
      <c r="B589" s="50" t="str">
        <f>IFERROR(__xludf.DUMMYFUNCTION("""COMPUTED_VALUE"""),"SES-0005")</f>
        <v>SES-0005</v>
      </c>
      <c r="C589" s="50" t="str">
        <f>IFERROR(__xludf.DUMMYFUNCTION("""COMPUTED_VALUE"""),"fprost@asso.ucpa.fr")</f>
        <v>fprost@asso.ucpa.fr</v>
      </c>
      <c r="D589" s="127" t="str">
        <f>IFERROR(__xludf.DUMMYFUNCTION("""COMPUTED_VALUE"""),"https://drive.google.com/file/d/1-C-eYD7UWOHznndAhlKZB3ue-0x8l4m9/view?usp=drivesdk")</f>
        <v>https://drive.google.com/file/d/1-C-eYD7UWOHznndAhlKZB3ue-0x8l4m9/view?usp=drivesdk</v>
      </c>
    </row>
    <row r="590">
      <c r="A590" s="50" t="s">
        <v>2512</v>
      </c>
      <c r="B590" s="50" t="str">
        <f>IFERROR(__xludf.DUMMYFUNCTION("""COMPUTED_VALUE"""),"SES-0005")</f>
        <v>SES-0005</v>
      </c>
      <c r="C590" s="50" t="str">
        <f>IFERROR(__xludf.DUMMYFUNCTION("""COMPUTED_VALUE"""),"fprost@ucpa.asso.fr")</f>
        <v>fprost@ucpa.asso.fr</v>
      </c>
      <c r="D590" s="127" t="str">
        <f>IFERROR(__xludf.DUMMYFUNCTION("""COMPUTED_VALUE"""),"https://drive.google.com/file/d/1GGGZuF2aZVNDjVsz559fgma1SRO6e2ts/view?usp=drivesdk")</f>
        <v>https://drive.google.com/file/d/1GGGZuF2aZVNDjVsz559fgma1SRO6e2ts/view?usp=drivesdk</v>
      </c>
    </row>
    <row r="591">
      <c r="A591" s="50" t="s">
        <v>2515</v>
      </c>
      <c r="B591" s="50" t="str">
        <f>IFERROR(__xludf.DUMMYFUNCTION("""COMPUTED_VALUE"""),"SES-0004")</f>
        <v>SES-0004</v>
      </c>
      <c r="C591" s="50" t="str">
        <f>IFERROR(__xludf.DUMMYFUNCTION("""COMPUTED_VALUE"""),"aurore.geudin@tootazimut.fr")</f>
        <v>aurore.geudin@tootazimut.fr</v>
      </c>
      <c r="D591" s="127" t="str">
        <f>IFERROR(__xludf.DUMMYFUNCTION("""COMPUTED_VALUE"""),"https://drive.google.com/file/d/1ie_XvGPGgIGdKqUFDfEttn8aqOGiJK4w/view?usp=drivesdk")</f>
        <v>https://drive.google.com/file/d/1ie_XvGPGgIGdKqUFDfEttn8aqOGiJK4w/view?usp=drivesdk</v>
      </c>
    </row>
    <row r="592">
      <c r="A592" s="50" t="s">
        <v>2518</v>
      </c>
      <c r="B592" s="50" t="str">
        <f>IFERROR(__xludf.DUMMYFUNCTION("""COMPUTED_VALUE"""),"SES-0004")</f>
        <v>SES-0004</v>
      </c>
      <c r="C592" s="50" t="str">
        <f>IFERROR(__xludf.DUMMYFUNCTION("""COMPUTED_VALUE"""),"smoyou@ucpasl.com")</f>
        <v>smoyou@ucpasl.com</v>
      </c>
      <c r="D592" s="127" t="str">
        <f>IFERROR(__xludf.DUMMYFUNCTION("""COMPUTED_VALUE"""),"https://drive.google.com/file/d/1hawU69lVIUfpr5WJBdlddoXL9FjPEwV5/view?usp=drivesdk")</f>
        <v>https://drive.google.com/file/d/1hawU69lVIUfpr5WJBdlddoXL9FjPEwV5/view?usp=drivesdk</v>
      </c>
    </row>
    <row r="593">
      <c r="A593" s="50" t="s">
        <v>2522</v>
      </c>
      <c r="B593" s="50" t="str">
        <f>IFERROR(__xludf.DUMMYFUNCTION("""COMPUTED_VALUE"""),"SES-0005")</f>
        <v>SES-0005</v>
      </c>
      <c r="C593" s="50" t="str">
        <f>IFERROR(__xludf.DUMMYFUNCTION("""COMPUTED_VALUE"""),"smoyou@ucpasl.com")</f>
        <v>smoyou@ucpasl.com</v>
      </c>
      <c r="D593" s="127" t="str">
        <f>IFERROR(__xludf.DUMMYFUNCTION("""COMPUTED_VALUE"""),"https://drive.google.com/file/d/1d4KmZFYXuq2n-AgTqZSaH-VCjTFu4uwa/view?usp=drivesdk")</f>
        <v>https://drive.google.com/file/d/1d4KmZFYXuq2n-AgTqZSaH-VCjTFu4uwa/view?usp=drivesdk</v>
      </c>
    </row>
    <row r="594">
      <c r="A594" s="50" t="s">
        <v>2525</v>
      </c>
      <c r="B594" s="50" t="str">
        <f>IFERROR(__xludf.DUMMYFUNCTION("""COMPUTED_VALUE"""),"SES-0004")</f>
        <v>SES-0004</v>
      </c>
      <c r="C594" s="50" t="str">
        <f>IFERROR(__xludf.DUMMYFUNCTION("""COMPUTED_VALUE"""),"amandine@labalaguere.com")</f>
        <v>amandine@labalaguere.com</v>
      </c>
      <c r="D594" s="127" t="str">
        <f>IFERROR(__xludf.DUMMYFUNCTION("""COMPUTED_VALUE"""),"https://drive.google.com/file/d/1Pj4bBE4RWooDYJaE7prno5oPTeSiHppR/view?usp=drivesdk")</f>
        <v>https://drive.google.com/file/d/1Pj4bBE4RWooDYJaE7prno5oPTeSiHppR/view?usp=drivesdk</v>
      </c>
    </row>
    <row r="595">
      <c r="A595" s="50" t="s">
        <v>2525</v>
      </c>
      <c r="B595" s="50" t="str">
        <f>IFERROR(__xludf.DUMMYFUNCTION("""COMPUTED_VALUE"""),"SES-0004")</f>
        <v>SES-0004</v>
      </c>
      <c r="C595" s="50" t="str">
        <f>IFERROR(__xludf.DUMMYFUNCTION("""COMPUTED_VALUE"""),"amandine@labalaguere.com")</f>
        <v>amandine@labalaguere.com</v>
      </c>
      <c r="D595" s="127" t="str">
        <f>IFERROR(__xludf.DUMMYFUNCTION("""COMPUTED_VALUE"""),"https://drive.google.com/file/d/1M2hG1mH2gtQytRQQrNc8DX2djB0abIXp/view?usp=drivesdk")</f>
        <v>https://drive.google.com/file/d/1M2hG1mH2gtQytRQQrNc8DX2djB0abIXp/view?usp=drivesdk</v>
      </c>
    </row>
    <row r="596">
      <c r="A596" s="50" t="s">
        <v>2525</v>
      </c>
      <c r="B596" s="50" t="str">
        <f>IFERROR(__xludf.DUMMYFUNCTION("""COMPUTED_VALUE"""),"SES-0004")</f>
        <v>SES-0004</v>
      </c>
      <c r="C596" s="50" t="str">
        <f>IFERROR(__xludf.DUMMYFUNCTION("""COMPUTED_VALUE"""),"amandine@labalaguere.com")</f>
        <v>amandine@labalaguere.com</v>
      </c>
      <c r="D596" s="127" t="str">
        <f>IFERROR(__xludf.DUMMYFUNCTION("""COMPUTED_VALUE"""),"https://drive.google.com/file/d/1m29Ndsh3fp3rtKoVaHQsNguA3TvHzw0f/view?usp=drivesdk")</f>
        <v>https://drive.google.com/file/d/1m29Ndsh3fp3rtKoVaHQsNguA3TvHzw0f/view?usp=drivesdk</v>
      </c>
    </row>
    <row r="597">
      <c r="A597" s="50" t="s">
        <v>2532</v>
      </c>
      <c r="B597" s="50" t="str">
        <f>IFERROR(__xludf.DUMMYFUNCTION("""COMPUTED_VALUE"""),"SES-0004")</f>
        <v>SES-0004</v>
      </c>
      <c r="C597" s="50" t="str">
        <f>IFERROR(__xludf.DUMMYFUNCTION("""COMPUTED_VALUE"""),"cgex@ucpa.asso.fr")</f>
        <v>cgex@ucpa.asso.fr</v>
      </c>
      <c r="D597" s="127" t="str">
        <f>IFERROR(__xludf.DUMMYFUNCTION("""COMPUTED_VALUE"""),"https://drive.google.com/file/d/1wLJ_xJY0QJLFcOLqqDJDxYqzMPDkEKzB/view?usp=drivesdk")</f>
        <v>https://drive.google.com/file/d/1wLJ_xJY0QJLFcOLqqDJDxYqzMPDkEKzB/view?usp=drivesdk</v>
      </c>
    </row>
    <row r="598">
      <c r="A598" s="50" t="s">
        <v>2533</v>
      </c>
      <c r="B598" s="50" t="str">
        <f>IFERROR(__xludf.DUMMYFUNCTION("""COMPUTED_VALUE"""),"SES-0005")</f>
        <v>SES-0005</v>
      </c>
      <c r="C598" s="50" t="str">
        <f>IFERROR(__xludf.DUMMYFUNCTION("""COMPUTED_VALUE"""),"vcroue@ucpa.asso.fr")</f>
        <v>vcroue@ucpa.asso.fr</v>
      </c>
      <c r="D598" s="127" t="str">
        <f>IFERROR(__xludf.DUMMYFUNCTION("""COMPUTED_VALUE"""),"https://drive.google.com/file/d/18hCeoz-wanIRK0pTuzHh5rGb6aXQ_leo/view?usp=drivesdk")</f>
        <v>https://drive.google.com/file/d/18hCeoz-wanIRK0pTuzHh5rGb6aXQ_leo/view?usp=drivesdk</v>
      </c>
    </row>
    <row r="599">
      <c r="A599" s="50" t="s">
        <v>2536</v>
      </c>
      <c r="B599" s="50" t="str">
        <f>IFERROR(__xludf.DUMMYFUNCTION("""COMPUTED_VALUE"""),"SES-0004")</f>
        <v>SES-0004</v>
      </c>
      <c r="C599" s="50" t="str">
        <f>IFERROR(__xludf.DUMMYFUNCTION("""COMPUTED_VALUE"""),"dsnaidero@ucpa.asso.fr")</f>
        <v>dsnaidero@ucpa.asso.fr</v>
      </c>
      <c r="D599" s="127" t="str">
        <f>IFERROR(__xludf.DUMMYFUNCTION("""COMPUTED_VALUE"""),"https://drive.google.com/file/d/14Xj2EaaX7L4E1pOMnuThOBqiY_-yRL8F/view?usp=drivesdk")</f>
        <v>https://drive.google.com/file/d/14Xj2EaaX7L4E1pOMnuThOBqiY_-yRL8F/view?usp=drivesdk</v>
      </c>
    </row>
    <row r="600">
      <c r="A600" s="50" t="s">
        <v>2537</v>
      </c>
      <c r="B600" s="50" t="str">
        <f>IFERROR(__xludf.DUMMYFUNCTION("""COMPUTED_VALUE"""),"SES-0004")</f>
        <v>SES-0004</v>
      </c>
      <c r="C600" s="50" t="str">
        <f>IFERROR(__xludf.DUMMYFUNCTION("""COMPUTED_VALUE"""),"laurine.llop@gmail.com")</f>
        <v>laurine.llop@gmail.com</v>
      </c>
      <c r="D600" s="127" t="str">
        <f>IFERROR(__xludf.DUMMYFUNCTION("""COMPUTED_VALUE"""),"https://drive.google.com/file/d/1eRwac-UqjH6rK0c7CA6qvACVg_h90pBq/view?usp=drivesdk")</f>
        <v>https://drive.google.com/file/d/1eRwac-UqjH6rK0c7CA6qvACVg_h90pBq/view?usp=drivesdk</v>
      </c>
    </row>
    <row r="601">
      <c r="A601" s="50" t="s">
        <v>2540</v>
      </c>
      <c r="B601" s="50" t="str">
        <f>IFERROR(__xludf.DUMMYFUNCTION("""COMPUTED_VALUE"""),"SES-0005")</f>
        <v>SES-0005</v>
      </c>
      <c r="C601" s="50" t="str">
        <f>IFERROR(__xludf.DUMMYFUNCTION("""COMPUTED_VALUE"""),"laurine.llop@gmail.com")</f>
        <v>laurine.llop@gmail.com</v>
      </c>
      <c r="D601" s="127" t="str">
        <f>IFERROR(__xludf.DUMMYFUNCTION("""COMPUTED_VALUE"""),"https://drive.google.com/file/d/1QbTATlCukCZK3d13L7Bc1cPwFqhV08sX/view?usp=drivesdk")</f>
        <v>https://drive.google.com/file/d/1QbTATlCukCZK3d13L7Bc1cPwFqhV08sX/view?usp=drivesdk</v>
      </c>
    </row>
    <row r="602">
      <c r="A602" s="50" t="s">
        <v>2543</v>
      </c>
      <c r="B602" s="50" t="str">
        <f>IFERROR(__xludf.DUMMYFUNCTION("""COMPUTED_VALUE"""),"SES-0004")</f>
        <v>SES-0004</v>
      </c>
      <c r="C602" s="50" t="str">
        <f>IFERROR(__xludf.DUMMYFUNCTION("""COMPUTED_VALUE"""),"ctaverne@ucpa.asso.fr")</f>
        <v>ctaverne@ucpa.asso.fr</v>
      </c>
      <c r="D602" s="127" t="str">
        <f>IFERROR(__xludf.DUMMYFUNCTION("""COMPUTED_VALUE"""),"https://drive.google.com/file/d/14TW83JObA4U3fCHrbDK8ajvYqAI7odqh/view?usp=drivesdk")</f>
        <v>https://drive.google.com/file/d/14TW83JObA4U3fCHrbDK8ajvYqAI7odqh/view?usp=drivesdk</v>
      </c>
    </row>
    <row r="603">
      <c r="A603" s="50" t="s">
        <v>2546</v>
      </c>
      <c r="B603" s="50" t="str">
        <f>IFERROR(__xludf.DUMMYFUNCTION("""COMPUTED_VALUE"""),"SES-0005")</f>
        <v>SES-0005</v>
      </c>
      <c r="C603" s="50" t="str">
        <f>IFERROR(__xludf.DUMMYFUNCTION("""COMPUTED_VALUE"""),"ctaverne@ucpa.asso.fr")</f>
        <v>ctaverne@ucpa.asso.fr</v>
      </c>
      <c r="D603" s="127" t="str">
        <f>IFERROR(__xludf.DUMMYFUNCTION("""COMPUTED_VALUE"""),"https://drive.google.com/file/d/1nsFF8X2gIYqJRnyPU_g2-EiV7MGTMAk6/view?usp=drivesdk")</f>
        <v>https://drive.google.com/file/d/1nsFF8X2gIYqJRnyPU_g2-EiV7MGTMAk6/view?usp=drivesdk</v>
      </c>
    </row>
    <row r="604">
      <c r="A604" s="50" t="s">
        <v>2549</v>
      </c>
      <c r="B604" s="50" t="str">
        <f>IFERROR(__xludf.DUMMYFUNCTION("""COMPUTED_VALUE"""),"SES-0004")</f>
        <v>SES-0004</v>
      </c>
      <c r="C604" s="50" t="str">
        <f>IFERROR(__xludf.DUMMYFUNCTION("""COMPUTED_VALUE"""),"edidier@ucpa.asso.fr")</f>
        <v>edidier@ucpa.asso.fr</v>
      </c>
      <c r="D604" s="127" t="str">
        <f>IFERROR(__xludf.DUMMYFUNCTION("""COMPUTED_VALUE"""),"https://drive.google.com/file/d/1wa5MNk1ji0rfjraFHyzwTOjENsJCvhuZ/view?usp=drivesdk")</f>
        <v>https://drive.google.com/file/d/1wa5MNk1ji0rfjraFHyzwTOjENsJCvhuZ/view?usp=drivesdk</v>
      </c>
    </row>
    <row r="605">
      <c r="A605" s="50" t="s">
        <v>2552</v>
      </c>
      <c r="B605" s="50" t="str">
        <f>IFERROR(__xludf.DUMMYFUNCTION("""COMPUTED_VALUE"""),"SES-0005")</f>
        <v>SES-0005</v>
      </c>
      <c r="C605" s="50" t="str">
        <f>IFERROR(__xludf.DUMMYFUNCTION("""COMPUTED_VALUE"""),"edidier@ucpa.asso.fr")</f>
        <v>edidier@ucpa.asso.fr</v>
      </c>
      <c r="D605" s="127" t="str">
        <f>IFERROR(__xludf.DUMMYFUNCTION("""COMPUTED_VALUE"""),"https://drive.google.com/file/d/1fW7nkGvtA_5-QxAx-sQ649kGX0mpJhHe/view?usp=drivesdk")</f>
        <v>https://drive.google.com/file/d/1fW7nkGvtA_5-QxAx-sQ649kGX0mpJhHe/view?usp=drivesdk</v>
      </c>
    </row>
    <row r="606">
      <c r="A606" s="50" t="s">
        <v>2555</v>
      </c>
      <c r="B606" s="50" t="str">
        <f>IFERROR(__xludf.DUMMYFUNCTION("""COMPUTED_VALUE"""),"SES-0004")</f>
        <v>SES-0004</v>
      </c>
      <c r="C606" s="50" t="str">
        <f>IFERROR(__xludf.DUMMYFUNCTION("""COMPUTED_VALUE"""),"nlienard@ucpa.asso.fr")</f>
        <v>nlienard@ucpa.asso.fr</v>
      </c>
      <c r="D606" s="127" t="str">
        <f>IFERROR(__xludf.DUMMYFUNCTION("""COMPUTED_VALUE"""),"https://drive.google.com/file/d/1eZVD5VIMRXjj-o44sHUYgPPMkDAVYdYU/view?usp=drivesdk")</f>
        <v>https://drive.google.com/file/d/1eZVD5VIMRXjj-o44sHUYgPPMkDAVYdYU/view?usp=drivesdk</v>
      </c>
    </row>
    <row r="607">
      <c r="A607" s="50" t="s">
        <v>2558</v>
      </c>
      <c r="B607" s="50" t="str">
        <f>IFERROR(__xludf.DUMMYFUNCTION("""COMPUTED_VALUE"""),"SES-0005")</f>
        <v>SES-0005</v>
      </c>
      <c r="C607" s="50" t="str">
        <f>IFERROR(__xludf.DUMMYFUNCTION("""COMPUTED_VALUE"""),"nlienard@ucpa.asso.fr")</f>
        <v>nlienard@ucpa.asso.fr</v>
      </c>
      <c r="D607" s="127" t="str">
        <f>IFERROR(__xludf.DUMMYFUNCTION("""COMPUTED_VALUE"""),"https://drive.google.com/file/d/18ieULr1xWEQjY2cC5IlFsbT0cn61eRQX/view?usp=drivesdk")</f>
        <v>https://drive.google.com/file/d/18ieULr1xWEQjY2cC5IlFsbT0cn61eRQX/view?usp=drivesdk</v>
      </c>
    </row>
    <row r="608">
      <c r="A608" s="50" t="s">
        <v>2561</v>
      </c>
      <c r="B608" s="50" t="str">
        <f>IFERROR(__xludf.DUMMYFUNCTION("""COMPUTED_VALUE"""),"SES-0004")</f>
        <v>SES-0004</v>
      </c>
      <c r="C608" s="50" t="str">
        <f>IFERROR(__xludf.DUMMYFUNCTION("""COMPUTED_VALUE"""),"nkhoulalene@ucpa.asso.fr")</f>
        <v>nkhoulalene@ucpa.asso.fr</v>
      </c>
      <c r="D608" s="127" t="str">
        <f>IFERROR(__xludf.DUMMYFUNCTION("""COMPUTED_VALUE"""),"https://drive.google.com/file/d/10KRMK_p70w0JX9Nwb3TSst_cHQRH2XLx/view?usp=drivesdk")</f>
        <v>https://drive.google.com/file/d/10KRMK_p70w0JX9Nwb3TSst_cHQRH2XLx/view?usp=drivesdk</v>
      </c>
    </row>
    <row r="609">
      <c r="A609" s="50" t="s">
        <v>2564</v>
      </c>
      <c r="B609" s="50" t="str">
        <f>IFERROR(__xludf.DUMMYFUNCTION("""COMPUTED_VALUE"""),"SES-0005")</f>
        <v>SES-0005</v>
      </c>
      <c r="C609" s="50" t="str">
        <f>IFERROR(__xludf.DUMMYFUNCTION("""COMPUTED_VALUE"""),"nkhoulalene@ucpa.asso.fr")</f>
        <v>nkhoulalene@ucpa.asso.fr</v>
      </c>
      <c r="D609" s="127" t="str">
        <f>IFERROR(__xludf.DUMMYFUNCTION("""COMPUTED_VALUE"""),"https://drive.google.com/file/d/1E3y-nOe-HoOMcPmInezPNCKWLgqb1Jq7/view?usp=drivesdk")</f>
        <v>https://drive.google.com/file/d/1E3y-nOe-HoOMcPmInezPNCKWLgqb1Jq7/view?usp=drivesdk</v>
      </c>
    </row>
    <row r="610">
      <c r="A610" s="50" t="s">
        <v>2567</v>
      </c>
      <c r="B610" s="50" t="str">
        <f>IFERROR(__xludf.DUMMYFUNCTION("""COMPUTED_VALUE"""),"SES-0004")</f>
        <v>SES-0004</v>
      </c>
      <c r="C610" s="50" t="str">
        <f>IFERROR(__xludf.DUMMYFUNCTION("""COMPUTED_VALUE"""),"lcaron@ucpa.asso.fr")</f>
        <v>lcaron@ucpa.asso.fr</v>
      </c>
      <c r="D610" s="127" t="str">
        <f>IFERROR(__xludf.DUMMYFUNCTION("""COMPUTED_VALUE"""),"https://drive.google.com/file/d/1Ar73Hi1yRLVTfGMKXUp1xh_-AV8c4omx/view?usp=drivesdk")</f>
        <v>https://drive.google.com/file/d/1Ar73Hi1yRLVTfGMKXUp1xh_-AV8c4omx/view?usp=drivesdk</v>
      </c>
    </row>
    <row r="611">
      <c r="A611" s="50" t="s">
        <v>2570</v>
      </c>
      <c r="B611" s="50" t="str">
        <f>IFERROR(__xludf.DUMMYFUNCTION("""COMPUTED_VALUE"""),"SES-0004")</f>
        <v>SES-0004</v>
      </c>
      <c r="C611" s="50" t="str">
        <f>IFERROR(__xludf.DUMMYFUNCTION("""COMPUTED_VALUE"""),"bbrunelle@ucpa.asso.fr")</f>
        <v>bbrunelle@ucpa.asso.fr</v>
      </c>
      <c r="D611" s="127" t="str">
        <f>IFERROR(__xludf.DUMMYFUNCTION("""COMPUTED_VALUE"""),"https://drive.google.com/file/d/1FxQjG_GiC9lilaPBMZLN641GG1hS4i2S/view?usp=drivesdk")</f>
        <v>https://drive.google.com/file/d/1FxQjG_GiC9lilaPBMZLN641GG1hS4i2S/view?usp=drivesdk</v>
      </c>
    </row>
    <row r="612">
      <c r="A612" s="50" t="s">
        <v>2573</v>
      </c>
      <c r="B612" s="50" t="str">
        <f>IFERROR(__xludf.DUMMYFUNCTION("""COMPUTED_VALUE"""),"SES-0004")</f>
        <v>SES-0004</v>
      </c>
      <c r="C612" s="50" t="str">
        <f>IFERROR(__xludf.DUMMYFUNCTION("""COMPUTED_VALUE"""),"jorisriffaud@gmail.com")</f>
        <v>jorisriffaud@gmail.com</v>
      </c>
      <c r="D612" s="127" t="str">
        <f>IFERROR(__xludf.DUMMYFUNCTION("""COMPUTED_VALUE"""),"https://drive.google.com/file/d/1I8SRm4JZsk5GeCB9RAPXoq3MpD0IN9mW/view?usp=drivesdk")</f>
        <v>https://drive.google.com/file/d/1I8SRm4JZsk5GeCB9RAPXoq3MpD0IN9mW/view?usp=drivesdk</v>
      </c>
    </row>
    <row r="613">
      <c r="A613" s="50" t="s">
        <v>2576</v>
      </c>
      <c r="B613" s="50" t="str">
        <f>IFERROR(__xludf.DUMMYFUNCTION("""COMPUTED_VALUE"""),"SES-0005")</f>
        <v>SES-0005</v>
      </c>
      <c r="C613" s="50" t="str">
        <f>IFERROR(__xludf.DUMMYFUNCTION("""COMPUTED_VALUE"""),"jorisriffaud@gmail.com")</f>
        <v>jorisriffaud@gmail.com</v>
      </c>
      <c r="D613" s="127" t="str">
        <f>IFERROR(__xludf.DUMMYFUNCTION("""COMPUTED_VALUE"""),"https://drive.google.com/file/d/1X6gWfUyo9CnuhVxHcC-0sTk7XFjKycHq/view?usp=drivesdk")</f>
        <v>https://drive.google.com/file/d/1X6gWfUyo9CnuhVxHcC-0sTk7XFjKycHq/view?usp=drivesdk</v>
      </c>
    </row>
    <row r="614">
      <c r="A614" s="50" t="s">
        <v>2579</v>
      </c>
      <c r="B614" s="50" t="str">
        <f>IFERROR(__xludf.DUMMYFUNCTION("""COMPUTED_VALUE"""),"SES-0004")</f>
        <v>SES-0004</v>
      </c>
      <c r="C614" s="50" t="str">
        <f>IFERROR(__xludf.DUMMYFUNCTION("""COMPUTED_VALUE"""),"rrodriguez@ucpa.asso.fr")</f>
        <v>rrodriguez@ucpa.asso.fr</v>
      </c>
      <c r="D614" s="127" t="str">
        <f>IFERROR(__xludf.DUMMYFUNCTION("""COMPUTED_VALUE"""),"https://drive.google.com/file/d/14U3-gUoB_38zJbAObzG2r3NewyCB_m_r/view?usp=drivesdk")</f>
        <v>https://drive.google.com/file/d/14U3-gUoB_38zJbAObzG2r3NewyCB_m_r/view?usp=drivesdk</v>
      </c>
    </row>
    <row r="615">
      <c r="A615" s="50" t="s">
        <v>2582</v>
      </c>
      <c r="B615" s="50" t="str">
        <f>IFERROR(__xludf.DUMMYFUNCTION("""COMPUTED_VALUE"""),"SES-0005")</f>
        <v>SES-0005</v>
      </c>
      <c r="C615" s="50" t="str">
        <f>IFERROR(__xludf.DUMMYFUNCTION("""COMPUTED_VALUE"""),"rrodriguez@ucpa.asso.fr")</f>
        <v>rrodriguez@ucpa.asso.fr</v>
      </c>
      <c r="D615" s="127" t="str">
        <f>IFERROR(__xludf.DUMMYFUNCTION("""COMPUTED_VALUE"""),"https://drive.google.com/file/d/1HxWSRCgUETSt1cttnrBikc_z02zFq3tm/view?usp=drivesdk")</f>
        <v>https://drive.google.com/file/d/1HxWSRCgUETSt1cttnrBikc_z02zFq3tm/view?usp=drivesdk</v>
      </c>
    </row>
    <row r="616">
      <c r="A616" s="50" t="s">
        <v>2585</v>
      </c>
      <c r="B616" s="50" t="str">
        <f>IFERROR(__xludf.DUMMYFUNCTION("""COMPUTED_VALUE"""),"SES-0005")</f>
        <v>SES-0005</v>
      </c>
      <c r="C616" s="50" t="str">
        <f>IFERROR(__xludf.DUMMYFUNCTION("""COMPUTED_VALUE"""),"bbrunelle@ucpa.asso.fr")</f>
        <v>bbrunelle@ucpa.asso.fr</v>
      </c>
      <c r="D616" s="127" t="str">
        <f>IFERROR(__xludf.DUMMYFUNCTION("""COMPUTED_VALUE"""),"https://drive.google.com/file/d/1yyjKMXhxY6fkJSiXHcNQt-Cu-6kNdM3z/view?usp=drivesdk")</f>
        <v>https://drive.google.com/file/d/1yyjKMXhxY6fkJSiXHcNQt-Cu-6kNdM3z/view?usp=drivesdk</v>
      </c>
    </row>
    <row r="617">
      <c r="A617" s="50" t="s">
        <v>2588</v>
      </c>
      <c r="B617" s="50" t="str">
        <f>IFERROR(__xludf.DUMMYFUNCTION("""COMPUTED_VALUE"""),"SES-0004")</f>
        <v>SES-0004</v>
      </c>
      <c r="C617" s="50" t="str">
        <f>IFERROR(__xludf.DUMMYFUNCTION("""COMPUTED_VALUE"""),"dweinman@ucpa.asso.fr")</f>
        <v>dweinman@ucpa.asso.fr</v>
      </c>
      <c r="D617" s="127" t="str">
        <f>IFERROR(__xludf.DUMMYFUNCTION("""COMPUTED_VALUE"""),"https://drive.google.com/file/d/1S9pPHXHkmx2xDMsffz3Z0JfuhDd8npeO/view?usp=drivesdk")</f>
        <v>https://drive.google.com/file/d/1S9pPHXHkmx2xDMsffz3Z0JfuhDd8npeO/view?usp=drivesdk</v>
      </c>
    </row>
    <row r="618">
      <c r="A618" s="50" t="s">
        <v>2590</v>
      </c>
      <c r="B618" s="50" t="str">
        <f>IFERROR(__xludf.DUMMYFUNCTION("""COMPUTED_VALUE"""),"SES-0005")</f>
        <v>SES-0005</v>
      </c>
      <c r="C618" s="50" t="str">
        <f>IFERROR(__xludf.DUMMYFUNCTION("""COMPUTED_VALUE"""),"dweinman@ucpa.asso.fr")</f>
        <v>dweinman@ucpa.asso.fr</v>
      </c>
      <c r="D618" s="127" t="str">
        <f>IFERROR(__xludf.DUMMYFUNCTION("""COMPUTED_VALUE"""),"https://drive.google.com/file/d/1R0s_9AUVvi9v7gj0cpMqxM-29F6-Gdhv/view?usp=drivesdk")</f>
        <v>https://drive.google.com/file/d/1R0s_9AUVvi9v7gj0cpMqxM-29F6-Gdhv/view?usp=drivesdk</v>
      </c>
    </row>
    <row r="619">
      <c r="A619" s="50" t="s">
        <v>2592</v>
      </c>
      <c r="B619" s="50" t="str">
        <f>IFERROR(__xludf.DUMMYFUNCTION("""COMPUTED_VALUE"""),"SES-0004")</f>
        <v>SES-0004</v>
      </c>
      <c r="C619" s="50" t="str">
        <f>IFERROR(__xludf.DUMMYFUNCTION("""COMPUTED_VALUE"""),"sheurtel@ucpa.asso.fr")</f>
        <v>sheurtel@ucpa.asso.fr</v>
      </c>
      <c r="D619" s="127" t="str">
        <f>IFERROR(__xludf.DUMMYFUNCTION("""COMPUTED_VALUE"""),"https://drive.google.com/file/d/1-V5kMjLQQjtKlJwfktZiNMWkU8TUevh1/view?usp=drivesdk")</f>
        <v>https://drive.google.com/file/d/1-V5kMjLQQjtKlJwfktZiNMWkU8TUevh1/view?usp=drivesdk</v>
      </c>
    </row>
    <row r="620">
      <c r="A620" s="50" t="s">
        <v>2594</v>
      </c>
      <c r="B620" s="50" t="str">
        <f>IFERROR(__xludf.DUMMYFUNCTION("""COMPUTED_VALUE"""),"SES-0005")</f>
        <v>SES-0005</v>
      </c>
      <c r="C620" s="50" t="str">
        <f>IFERROR(__xludf.DUMMYFUNCTION("""COMPUTED_VALUE"""),"sheurtel@ucpa.asso.fr")</f>
        <v>sheurtel@ucpa.asso.fr</v>
      </c>
      <c r="D620" s="127" t="str">
        <f>IFERROR(__xludf.DUMMYFUNCTION("""COMPUTED_VALUE"""),"https://drive.google.com/file/d/10DBi4qrRVcAWCweJ-n6GiXGkasrSOtaz/view?usp=drivesdk")</f>
        <v>https://drive.google.com/file/d/10DBi4qrRVcAWCweJ-n6GiXGkasrSOtaz/view?usp=drivesdk</v>
      </c>
    </row>
    <row r="621">
      <c r="A621" s="50" t="s">
        <v>2596</v>
      </c>
      <c r="B621" s="50" t="str">
        <f>IFERROR(__xludf.DUMMYFUNCTION("""COMPUTED_VALUE"""),"SES-0004")</f>
        <v>SES-0004</v>
      </c>
      <c r="C621" s="50" t="str">
        <f>IFERROR(__xludf.DUMMYFUNCTION("""COMPUTED_VALUE"""),"dakhla@ucpaplanete.com")</f>
        <v>dakhla@ucpaplanete.com</v>
      </c>
      <c r="D621" s="127" t="str">
        <f>IFERROR(__xludf.DUMMYFUNCTION("""COMPUTED_VALUE"""),"https://drive.google.com/file/d/1ZNxUKsYEEurmWt0vN3G6_gi6Y0OVX95N/view?usp=drivesdk")</f>
        <v>https://drive.google.com/file/d/1ZNxUKsYEEurmWt0vN3G6_gi6Y0OVX95N/view?usp=drivesdk</v>
      </c>
    </row>
    <row r="622">
      <c r="A622" s="50" t="s">
        <v>2599</v>
      </c>
      <c r="B622" s="50" t="str">
        <f>IFERROR(__xludf.DUMMYFUNCTION("""COMPUTED_VALUE"""),"SES-0005")</f>
        <v>SES-0005</v>
      </c>
      <c r="C622" s="50" t="str">
        <f>IFERROR(__xludf.DUMMYFUNCTION("""COMPUTED_VALUE"""),"skerfyser@ucpasl.com")</f>
        <v>skerfyser@ucpasl.com</v>
      </c>
      <c r="D622" s="127" t="str">
        <f>IFERROR(__xludf.DUMMYFUNCTION("""COMPUTED_VALUE"""),"https://drive.google.com/file/d/1M0hdw5TjPdks2FPPmthdYgBEZAfuCbuH/view?usp=drivesdk")</f>
        <v>https://drive.google.com/file/d/1M0hdw5TjPdks2FPPmthdYgBEZAfuCbuH/view?usp=drivesdk</v>
      </c>
    </row>
    <row r="623">
      <c r="A623" s="50" t="s">
        <v>2602</v>
      </c>
      <c r="B623" s="50" t="str">
        <f>IFERROR(__xludf.DUMMYFUNCTION("""COMPUTED_VALUE"""),"SES-0006")</f>
        <v>SES-0006</v>
      </c>
      <c r="C623" s="50" t="str">
        <f>IFERROR(__xludf.DUMMYFUNCTION("""COMPUTED_VALUE"""),"thierry@numericoach.fr")</f>
        <v>thierry@numericoach.fr</v>
      </c>
      <c r="D623" s="127" t="str">
        <f>IFERROR(__xludf.DUMMYFUNCTION("""COMPUTED_VALUE"""),"https://drive.google.com/file/d/1ZEO-kzHKIW1-l_RZpgFo4-Yf9P-elYSL/view?usp=drivesdk")</f>
        <v>https://drive.google.com/file/d/1ZEO-kzHKIW1-l_RZpgFo4-Yf9P-elYSL/view?usp=drivesdk</v>
      </c>
    </row>
    <row r="624">
      <c r="A624" s="50" t="s">
        <v>2604</v>
      </c>
      <c r="B624" s="50" t="str">
        <f>IFERROR(__xludf.DUMMYFUNCTION("""COMPUTED_VALUE"""),"SES-0004")</f>
        <v>SES-0004</v>
      </c>
      <c r="C624" s="50" t="str">
        <f>IFERROR(__xludf.DUMMYFUNCTION("""COMPUTED_VALUE"""),"kevin.lagarde@labalaguere.com")</f>
        <v>kevin.lagarde@labalaguere.com</v>
      </c>
      <c r="D624" s="127" t="str">
        <f>IFERROR(__xludf.DUMMYFUNCTION("""COMPUTED_VALUE"""),"https://drive.google.com/file/d/1Qxm6utV51eGqkC_2IpCMUfTLpKVAh4Vn/view?usp=drivesdk")</f>
        <v>https://drive.google.com/file/d/1Qxm6utV51eGqkC_2IpCMUfTLpKVAh4Vn/view?usp=drivesdk</v>
      </c>
    </row>
    <row r="625">
      <c r="A625" s="50" t="s">
        <v>2606</v>
      </c>
      <c r="B625" s="50" t="str">
        <f>IFERROR(__xludf.DUMMYFUNCTION("""COMPUTED_VALUE"""),"SES-0005")</f>
        <v>SES-0005</v>
      </c>
      <c r="C625" s="50" t="str">
        <f>IFERROR(__xludf.DUMMYFUNCTION("""COMPUTED_VALUE"""),"kevin.lagarde@labalaguere.com")</f>
        <v>kevin.lagarde@labalaguere.com</v>
      </c>
      <c r="D625" s="127" t="str">
        <f>IFERROR(__xludf.DUMMYFUNCTION("""COMPUTED_VALUE"""),"https://drive.google.com/file/d/1kx590FtfkGfAJ4WexuGwtHt8Rqi2zEB2/view?usp=drivesdk")</f>
        <v>https://drive.google.com/file/d/1kx590FtfkGfAJ4WexuGwtHt8Rqi2zEB2/view?usp=drivesdk</v>
      </c>
    </row>
    <row r="626">
      <c r="A626" s="50" t="s">
        <v>2609</v>
      </c>
      <c r="B626" s="50" t="str">
        <f>IFERROR(__xludf.DUMMYFUNCTION("""COMPUTED_VALUE"""),"SES-0004")</f>
        <v>SES-0004</v>
      </c>
      <c r="C626" s="50" t="str">
        <f>IFERROR(__xludf.DUMMYFUNCTION("""COMPUTED_VALUE"""),"emert@ucpa.asso.fr")</f>
        <v>emert@ucpa.asso.fr</v>
      </c>
      <c r="D626" s="127" t="str">
        <f>IFERROR(__xludf.DUMMYFUNCTION("""COMPUTED_VALUE"""),"https://drive.google.com/file/d/11UeWXMoQGutJ3piXD9RUuFi3cdPgWTf0/view?usp=drivesdk")</f>
        <v>https://drive.google.com/file/d/11UeWXMoQGutJ3piXD9RUuFi3cdPgWTf0/view?usp=drivesdk</v>
      </c>
    </row>
    <row r="627">
      <c r="A627" s="50" t="s">
        <v>2613</v>
      </c>
      <c r="B627" s="50" t="str">
        <f>IFERROR(__xludf.DUMMYFUNCTION("""COMPUTED_VALUE"""),"SES-0022")</f>
        <v>SES-0022</v>
      </c>
      <c r="C627" s="50" t="str">
        <f>IFERROR(__xludf.DUMMYFUNCTION("""COMPUTED_VALUE"""),"antoine.martin@amcms.net")</f>
        <v>antoine.martin@amcms.net</v>
      </c>
      <c r="D627" s="127" t="str">
        <f>IFERROR(__xludf.DUMMYFUNCTION("""COMPUTED_VALUE"""),"https://drive.google.com/file/d/1SIcv-Bg0u49-Qisai_2BsD0yytPenMmz/view?usp=drivesdk")</f>
        <v>https://drive.google.com/file/d/1SIcv-Bg0u49-Qisai_2BsD0yytPenMmz/view?usp=drivesdk</v>
      </c>
    </row>
    <row r="628">
      <c r="A628" s="50" t="s">
        <v>2616</v>
      </c>
      <c r="B628" s="50" t="str">
        <f>IFERROR(__xludf.DUMMYFUNCTION("""COMPUTED_VALUE"""),"SES-0022")</f>
        <v>SES-0022</v>
      </c>
      <c r="C628" s="50" t="str">
        <f>IFERROR(__xludf.DUMMYFUNCTION("""COMPUTED_VALUE"""),"thierry@numericoach.fr")</f>
        <v>thierry@numericoach.fr</v>
      </c>
      <c r="D628" s="127" t="str">
        <f>IFERROR(__xludf.DUMMYFUNCTION("""COMPUTED_VALUE"""),"https://drive.google.com/file/d/1mEkAjZW8JsWmoU1EJB-xzQ8p3_F8dQgr/view?usp=drivesdk")</f>
        <v>https://drive.google.com/file/d/1mEkAjZW8JsWmoU1EJB-xzQ8p3_F8dQgr/view?usp=drivesdk</v>
      </c>
    </row>
    <row r="629">
      <c r="A629" s="50" t="s">
        <v>2618</v>
      </c>
      <c r="B629" s="50" t="str">
        <f>IFERROR(__xludf.DUMMYFUNCTION("""COMPUTED_VALUE"""),"SES-0004")</f>
        <v>SES-0004</v>
      </c>
      <c r="C629" s="50" t="str">
        <f>IFERROR(__xludf.DUMMYFUNCTION("""COMPUTED_VALUE"""),"mlavigne@ucpa.asso.fr")</f>
        <v>mlavigne@ucpa.asso.fr</v>
      </c>
      <c r="D629" s="127" t="str">
        <f>IFERROR(__xludf.DUMMYFUNCTION("""COMPUTED_VALUE"""),"https://drive.google.com/file/d/1F-cxvPD9lhkTwiefL6CW5OhjtS74NYpd/view?usp=drivesdk")</f>
        <v>https://drive.google.com/file/d/1F-cxvPD9lhkTwiefL6CW5OhjtS74NYpd/view?usp=drivesdk</v>
      </c>
    </row>
    <row r="630">
      <c r="A630" s="50" t="s">
        <v>2620</v>
      </c>
      <c r="B630" s="50" t="str">
        <f>IFERROR(__xludf.DUMMYFUNCTION("""COMPUTED_VALUE"""),"SES-0004")</f>
        <v>SES-0004</v>
      </c>
      <c r="C630" s="50" t="str">
        <f>IFERROR(__xludf.DUMMYFUNCTION("""COMPUTED_VALUE"""),"jkuylle@laposte.net")</f>
        <v>jkuylle@laposte.net</v>
      </c>
      <c r="D630" s="127" t="str">
        <f>IFERROR(__xludf.DUMMYFUNCTION("""COMPUTED_VALUE"""),"https://drive.google.com/file/d/1yg1d3XzfFfdNbfGBkVzcv3ebZWEFGj4b/view?usp=drivesdk")</f>
        <v>https://drive.google.com/file/d/1yg1d3XzfFfdNbfGBkVzcv3ebZWEFGj4b/view?usp=drivesdk</v>
      </c>
    </row>
    <row r="631">
      <c r="A631" s="50" t="s">
        <v>2623</v>
      </c>
      <c r="B631" s="50" t="str">
        <f>IFERROR(__xludf.DUMMYFUNCTION("""COMPUTED_VALUE"""),"SES-0006")</f>
        <v>SES-0006</v>
      </c>
      <c r="C631" s="50" t="str">
        <f>IFERROR(__xludf.DUMMYFUNCTION("""COMPUTED_VALUE"""),"formation@numericoach.fr")</f>
        <v>formation@numericoach.fr</v>
      </c>
      <c r="D631" s="127" t="str">
        <f>IFERROR(__xludf.DUMMYFUNCTION("""COMPUTED_VALUE"""),"https://drive.google.com/file/d/1RvzDTNnwD_MdOZ9eWr7lAMKoyEPxOo9h/view?usp=drivesdk")</f>
        <v>https://drive.google.com/file/d/1RvzDTNnwD_MdOZ9eWr7lAMKoyEPxOo9h/view?usp=drivesdk</v>
      </c>
    </row>
    <row r="632">
      <c r="A632" s="50" t="s">
        <v>2626</v>
      </c>
      <c r="B632" s="50" t="str">
        <f>IFERROR(__xludf.DUMMYFUNCTION("""COMPUTED_VALUE"""),"SES-0016")</f>
        <v>SES-0016</v>
      </c>
      <c r="C632" s="50" t="str">
        <f>IFERROR(__xludf.DUMMYFUNCTION("""COMPUTED_VALUE"""),"abonville@ucpa.asso.fr")</f>
        <v>abonville@ucpa.asso.fr</v>
      </c>
      <c r="D632" s="127" t="str">
        <f>IFERROR(__xludf.DUMMYFUNCTION("""COMPUTED_VALUE"""),"https://drive.google.com/file/d/1wlTRhpNRbGu5OdO7CR6hgZNVy5bPpt-T/view?usp=drivesdk")</f>
        <v>https://drive.google.com/file/d/1wlTRhpNRbGu5OdO7CR6hgZNVy5bPpt-T/view?usp=drivesdk</v>
      </c>
    </row>
    <row r="633">
      <c r="A633" s="50" t="s">
        <v>2629</v>
      </c>
      <c r="B633" s="50" t="str">
        <f>IFERROR(__xludf.DUMMYFUNCTION("""COMPUTED_VALUE"""),"SES-0019")</f>
        <v>SES-0019</v>
      </c>
      <c r="C633" s="50" t="str">
        <f>IFERROR(__xludf.DUMMYFUNCTION("""COMPUTED_VALUE"""),"abonville@ucpa.asso.fr")</f>
        <v>abonville@ucpa.asso.fr</v>
      </c>
      <c r="D633" s="127" t="str">
        <f>IFERROR(__xludf.DUMMYFUNCTION("""COMPUTED_VALUE"""),"https://drive.google.com/file/d/1sx6B-_0_fnPIkM8WBk-9co7hrBQFlX70/view?usp=drivesdk")</f>
        <v>https://drive.google.com/file/d/1sx6B-_0_fnPIkM8WBk-9co7hrBQFlX70/view?usp=drivesdk</v>
      </c>
    </row>
    <row r="634">
      <c r="A634" s="50" t="s">
        <v>2633</v>
      </c>
      <c r="B634" s="50" t="str">
        <f>IFERROR(__xludf.DUMMYFUNCTION("""COMPUTED_VALUE"""),"SES-0004")</f>
        <v>SES-0004</v>
      </c>
      <c r="C634" s="50" t="str">
        <f>IFERROR(__xludf.DUMMYFUNCTION("""COMPUTED_VALUE"""),"aborgies@ucpa.asso.fr")</f>
        <v>aborgies@ucpa.asso.fr</v>
      </c>
      <c r="D634" s="127" t="str">
        <f>IFERROR(__xludf.DUMMYFUNCTION("""COMPUTED_VALUE"""),"https://drive.google.com/file/d/19bvNLnMhnBx4AtHLCSPSGHoVqcvs_BrV/view?usp=drivesdk")</f>
        <v>https://drive.google.com/file/d/19bvNLnMhnBx4AtHLCSPSGHoVqcvs_BrV/view?usp=drivesdk</v>
      </c>
    </row>
    <row r="635">
      <c r="A635" s="50" t="s">
        <v>2636</v>
      </c>
      <c r="B635" s="50" t="str">
        <f>IFERROR(__xludf.DUMMYFUNCTION("""COMPUTED_VALUE"""),"SES-0004")</f>
        <v>SES-0004</v>
      </c>
      <c r="C635" s="50" t="str">
        <f>IFERROR(__xludf.DUMMYFUNCTION("""COMPUTED_VALUE"""),"victoria.debruyne@tootazimut.fr")</f>
        <v>victoria.debruyne@tootazimut.fr</v>
      </c>
      <c r="D635" s="127" t="str">
        <f>IFERROR(__xludf.DUMMYFUNCTION("""COMPUTED_VALUE"""),"https://drive.google.com/file/d/1r3TrhY_nY4ErSyh5LvNzNnTCNv_U_S5X/view?usp=drivesdk")</f>
        <v>https://drive.google.com/file/d/1r3TrhY_nY4ErSyh5LvNzNnTCNv_U_S5X/view?usp=drivesdk</v>
      </c>
    </row>
    <row r="636">
      <c r="A636" s="50" t="s">
        <v>2638</v>
      </c>
      <c r="B636" s="50" t="str">
        <f>IFERROR(__xludf.DUMMYFUNCTION("""COMPUTED_VALUE"""),"SES-0006")</f>
        <v>SES-0006</v>
      </c>
      <c r="C636" s="50" t="str">
        <f>IFERROR(__xludf.DUMMYFUNCTION("""COMPUTED_VALUE"""),"imuzellec@ucpa.asso.fr")</f>
        <v>imuzellec@ucpa.asso.fr</v>
      </c>
      <c r="D636" s="127" t="str">
        <f>IFERROR(__xludf.DUMMYFUNCTION("""COMPUTED_VALUE"""),"https://drive.google.com/file/d/1NybX6qyIRGz5OcVw0yw-qc4QQCU-p_wr/view?usp=drivesdk")</f>
        <v>https://drive.google.com/file/d/1NybX6qyIRGz5OcVw0yw-qc4QQCU-p_wr/view?usp=drivesdk</v>
      </c>
    </row>
    <row r="637">
      <c r="A637" s="50" t="s">
        <v>2641</v>
      </c>
      <c r="B637" s="50" t="str">
        <f>IFERROR(__xludf.DUMMYFUNCTION("""COMPUTED_VALUE"""),"SES-0004")</f>
        <v>SES-0004</v>
      </c>
      <c r="C637" s="50" t="str">
        <f>IFERROR(__xludf.DUMMYFUNCTION("""COMPUTED_VALUE"""),"imuzellec@ucpa.asso.fr")</f>
        <v>imuzellec@ucpa.asso.fr</v>
      </c>
      <c r="D637" s="127" t="str">
        <f>IFERROR(__xludf.DUMMYFUNCTION("""COMPUTED_VALUE"""),"https://drive.google.com/file/d/1QXpsIPR1kMuTf1nhvcBlypXFRloz2FkR/view?usp=drivesdk")</f>
        <v>https://drive.google.com/file/d/1QXpsIPR1kMuTf1nhvcBlypXFRloz2FkR/view?usp=drivesdk</v>
      </c>
    </row>
    <row r="638">
      <c r="A638" s="50" t="s">
        <v>2646</v>
      </c>
      <c r="B638" s="50" t="str">
        <f>IFERROR(__xludf.DUMMYFUNCTION("""COMPUTED_VALUE"""),"SES-0006")</f>
        <v>SES-0006</v>
      </c>
      <c r="C638" s="50" t="str">
        <f>IFERROR(__xludf.DUMMYFUNCTION("""COMPUTED_VALUE"""),"helsenechal@gmail.com")</f>
        <v>helsenechal@gmail.com</v>
      </c>
      <c r="D638" s="127" t="str">
        <f>IFERROR(__xludf.DUMMYFUNCTION("""COMPUTED_VALUE"""),"https://drive.google.com/file/d/17oJ6MO4-3i3CcV4CGXCs3uJfsZBjDxvW/view?usp=drivesdk")</f>
        <v>https://drive.google.com/file/d/17oJ6MO4-3i3CcV4CGXCs3uJfsZBjDxvW/view?usp=drivesdk</v>
      </c>
    </row>
    <row r="639">
      <c r="A639" s="50" t="s">
        <v>2649</v>
      </c>
      <c r="B639" s="50" t="str">
        <f>IFERROR(__xludf.DUMMYFUNCTION("""COMPUTED_VALUE"""),"SES-0012")</f>
        <v>SES-0012</v>
      </c>
      <c r="C639" s="50" t="str">
        <f>IFERROR(__xludf.DUMMYFUNCTION("""COMPUTED_VALUE"""),"hmaziere@ucpa.asso.fr")</f>
        <v>hmaziere@ucpa.asso.fr</v>
      </c>
      <c r="D639" s="127" t="str">
        <f>IFERROR(__xludf.DUMMYFUNCTION("""COMPUTED_VALUE"""),"https://drive.google.com/file/d/1NM9hE7naIQw4Qe0LBH5P-s-qg2HwjHID/view?usp=drivesdk")</f>
        <v>https://drive.google.com/file/d/1NM9hE7naIQw4Qe0LBH5P-s-qg2HwjHID/view?usp=drivesdk</v>
      </c>
    </row>
    <row r="640">
      <c r="A640" s="50" t="s">
        <v>2651</v>
      </c>
      <c r="B640" s="50" t="str">
        <f>IFERROR(__xludf.DUMMYFUNCTION("""COMPUTED_VALUE"""),"SES-0007")</f>
        <v>SES-0007</v>
      </c>
      <c r="C640" s="50" t="str">
        <f>IFERROR(__xludf.DUMMYFUNCTION("""COMPUTED_VALUE"""),"imaitrejean@ucpa.asso.fr")</f>
        <v>imaitrejean@ucpa.asso.fr</v>
      </c>
      <c r="D640" s="127" t="str">
        <f>IFERROR(__xludf.DUMMYFUNCTION("""COMPUTED_VALUE"""),"https://drive.google.com/file/d/1eqhBqLVDjXPHbqew_xmhBImXOplfdg1t/view?usp=drivesdk")</f>
        <v>https://drive.google.com/file/d/1eqhBqLVDjXPHbqew_xmhBImXOplfdg1t/view?usp=drivesdk</v>
      </c>
    </row>
    <row r="641">
      <c r="A641" s="50" t="s">
        <v>2655</v>
      </c>
      <c r="B641" s="50" t="str">
        <f>IFERROR(__xludf.DUMMYFUNCTION("""COMPUTED_VALUE"""),"SES-0008")</f>
        <v>SES-0008</v>
      </c>
      <c r="C641" s="50" t="str">
        <f>IFERROR(__xludf.DUMMYFUNCTION("""COMPUTED_VALUE"""),"ajudas@ucpasl.com")</f>
        <v>ajudas@ucpasl.com</v>
      </c>
      <c r="D641" s="127" t="str">
        <f>IFERROR(__xludf.DUMMYFUNCTION("""COMPUTED_VALUE"""),"https://drive.google.com/file/d/1IeEF-KwoRj70KwALBFfOoMf321plIIfN/view?usp=drivesdk")</f>
        <v>https://drive.google.com/file/d/1IeEF-KwoRj70KwALBFfOoMf321plIIfN/view?usp=drivesdk</v>
      </c>
    </row>
    <row r="642">
      <c r="A642" s="50" t="s">
        <v>2660</v>
      </c>
      <c r="B642" s="50" t="str">
        <f>IFERROR(__xludf.DUMMYFUNCTION("""COMPUTED_VALUE"""),"SES-0008")</f>
        <v>SES-0008</v>
      </c>
      <c r="C642" s="50" t="str">
        <f>IFERROR(__xludf.DUMMYFUNCTION("""COMPUTED_VALUE"""),"imaitrejean@ucpa.asso.fr")</f>
        <v>imaitrejean@ucpa.asso.fr</v>
      </c>
      <c r="D642" s="127" t="str">
        <f>IFERROR(__xludf.DUMMYFUNCTION("""COMPUTED_VALUE"""),"https://drive.google.com/file/d/1EsPueOgCHV8Dh1chhOmi4RerOx0G2zWs/view?usp=drivesdk")</f>
        <v>https://drive.google.com/file/d/1EsPueOgCHV8Dh1chhOmi4RerOx0G2zWs/view?usp=drivesdk</v>
      </c>
    </row>
    <row r="643">
      <c r="A643" s="50" t="s">
        <v>2661</v>
      </c>
      <c r="B643" s="50" t="str">
        <f>IFERROR(__xludf.DUMMYFUNCTION("""COMPUTED_VALUE"""),"SES-0014")</f>
        <v>SES-0014</v>
      </c>
      <c r="C643" s="50" t="str">
        <f>IFERROR(__xludf.DUMMYFUNCTION("""COMPUTED_VALUE"""),"imaitrejean@ucpa.asso.fr")</f>
        <v>imaitrejean@ucpa.asso.fr</v>
      </c>
      <c r="D643" s="127" t="str">
        <f>IFERROR(__xludf.DUMMYFUNCTION("""COMPUTED_VALUE"""),"https://drive.google.com/file/d/1QgEb-pKZ9y0QWHPkuKrX_G-kpM2s4hki/view?usp=drivesdk")</f>
        <v>https://drive.google.com/file/d/1QgEb-pKZ9y0QWHPkuKrX_G-kpM2s4hki/view?usp=drivesdk</v>
      </c>
    </row>
    <row r="644">
      <c r="A644" s="50" t="s">
        <v>2665</v>
      </c>
      <c r="B644" s="50" t="str">
        <f>IFERROR(__xludf.DUMMYFUNCTION("""COMPUTED_VALUE"""),"SES-0006")</f>
        <v>SES-0006</v>
      </c>
      <c r="C644" s="50" t="str">
        <f>IFERROR(__xludf.DUMMYFUNCTION("""COMPUTED_VALUE"""),"etissot@ucpasl.com")</f>
        <v>etissot@ucpasl.com</v>
      </c>
      <c r="D644" s="127" t="str">
        <f>IFERROR(__xludf.DUMMYFUNCTION("""COMPUTED_VALUE"""),"https://drive.google.com/file/d/1Z8op4lrljr3bHWpk4GyYA6iYV5HWZYIs/view?usp=drivesdk")</f>
        <v>https://drive.google.com/file/d/1Z8op4lrljr3bHWpk4GyYA6iYV5HWZYIs/view?usp=drivesdk</v>
      </c>
    </row>
    <row r="645">
      <c r="A645" s="50" t="s">
        <v>2668</v>
      </c>
      <c r="B645" s="50" t="str">
        <f>IFERROR(__xludf.DUMMYFUNCTION("""COMPUTED_VALUE"""),"SES-0009")</f>
        <v>SES-0009</v>
      </c>
      <c r="C645" s="50" t="str">
        <f>IFERROR(__xludf.DUMMYFUNCTION("""COMPUTED_VALUE"""),"etissot@ucpasl.com")</f>
        <v>etissot@ucpasl.com</v>
      </c>
      <c r="D645" s="127" t="str">
        <f>IFERROR(__xludf.DUMMYFUNCTION("""COMPUTED_VALUE"""),"https://drive.google.com/file/d/1eXGhHmhVn3fbD0iigwSQ3lJTXODITpvg/view?usp=drivesdk")</f>
        <v>https://drive.google.com/file/d/1eXGhHmhVn3fbD0iigwSQ3lJTXODITpvg/view?usp=drivesdk</v>
      </c>
    </row>
    <row r="646">
      <c r="A646" s="50" t="s">
        <v>2671</v>
      </c>
      <c r="B646" s="50" t="str">
        <f>IFERROR(__xludf.DUMMYFUNCTION("""COMPUTED_VALUE"""),"SES-0004")</f>
        <v>SES-0004</v>
      </c>
      <c r="C646" s="50" t="str">
        <f>IFERROR(__xludf.DUMMYFUNCTION("""COMPUTED_VALUE"""),"etissot@ucpasl.com")</f>
        <v>etissot@ucpasl.com</v>
      </c>
      <c r="D646" s="127" t="str">
        <f>IFERROR(__xludf.DUMMYFUNCTION("""COMPUTED_VALUE"""),"https://drive.google.com/file/d/1BCT0edHgPa4ChDoJzelZqLe--OS1etHi/view?usp=drivesdk")</f>
        <v>https://drive.google.com/file/d/1BCT0edHgPa4ChDoJzelZqLe--OS1etHi/view?usp=drivesdk</v>
      </c>
    </row>
    <row r="647">
      <c r="A647" s="50" t="s">
        <v>2674</v>
      </c>
      <c r="B647" s="50" t="str">
        <f>IFERROR(__xludf.DUMMYFUNCTION("""COMPUTED_VALUE"""),"SES-0007")</f>
        <v>SES-0007</v>
      </c>
      <c r="C647" s="50" t="str">
        <f>IFERROR(__xludf.DUMMYFUNCTION("""COMPUTED_VALUE"""),"aurore.geudin@tootazimut.fr")</f>
        <v>aurore.geudin@tootazimut.fr</v>
      </c>
      <c r="D647" s="127" t="str">
        <f>IFERROR(__xludf.DUMMYFUNCTION("""COMPUTED_VALUE"""),"https://drive.google.com/file/d/1m27rUHF1IkfqU3PXUAwV_ASQvC2T-Ymc/view?usp=drivesdk")</f>
        <v>https://drive.google.com/file/d/1m27rUHF1IkfqU3PXUAwV_ASQvC2T-Ymc/view?usp=drivesdk</v>
      </c>
    </row>
    <row r="648">
      <c r="A648" s="50" t="s">
        <v>2678</v>
      </c>
      <c r="B648" s="50" t="str">
        <f>IFERROR(__xludf.DUMMYFUNCTION("""COMPUTED_VALUE"""),"SES-0010")</f>
        <v>SES-0010</v>
      </c>
      <c r="C648" s="50" t="str">
        <f>IFERROR(__xludf.DUMMYFUNCTION("""COMPUTED_VALUE"""),"aurore.geudin@tootazimut.fr")</f>
        <v>aurore.geudin@tootazimut.fr</v>
      </c>
      <c r="D648" s="127" t="str">
        <f>IFERROR(__xludf.DUMMYFUNCTION("""COMPUTED_VALUE"""),"https://drive.google.com/file/d/1zAB7FrJxjEKNAXq45bYTmaoQioqvm5pY/view?usp=drivesdk")</f>
        <v>https://drive.google.com/file/d/1zAB7FrJxjEKNAXq45bYTmaoQioqvm5pY/view?usp=drivesdk</v>
      </c>
    </row>
    <row r="649">
      <c r="A649" s="50" t="s">
        <v>2681</v>
      </c>
      <c r="B649" s="50" t="str">
        <f>IFERROR(__xludf.DUMMYFUNCTION("""COMPUTED_VALUE"""),"SES-0017")</f>
        <v>SES-0017</v>
      </c>
      <c r="C649" s="50" t="str">
        <f>IFERROR(__xludf.DUMMYFUNCTION("""COMPUTED_VALUE"""),"aurore.geudin@tootazimut.fr")</f>
        <v>aurore.geudin@tootazimut.fr</v>
      </c>
      <c r="D649" s="127" t="str">
        <f>IFERROR(__xludf.DUMMYFUNCTION("""COMPUTED_VALUE"""),"https://drive.google.com/file/d/1wP3ztjznMdhYLC4f-75rGF4eL1Q1baJ2/view?usp=drivesdk")</f>
        <v>https://drive.google.com/file/d/1wP3ztjznMdhYLC4f-75rGF4eL1Q1baJ2/view?usp=drivesdk</v>
      </c>
    </row>
    <row r="650">
      <c r="A650" s="50" t="s">
        <v>2684</v>
      </c>
      <c r="B650" s="50" t="str">
        <f>IFERROR(__xludf.DUMMYFUNCTION("""COMPUTED_VALUE"""),"SES-0019")</f>
        <v>SES-0019</v>
      </c>
      <c r="C650" s="50" t="str">
        <f>IFERROR(__xludf.DUMMYFUNCTION("""COMPUTED_VALUE"""),"aurore.geudin@tootazimut.fr")</f>
        <v>aurore.geudin@tootazimut.fr</v>
      </c>
      <c r="D650" s="127" t="str">
        <f>IFERROR(__xludf.DUMMYFUNCTION("""COMPUTED_VALUE"""),"https://drive.google.com/file/d/1fLJ_KBsiK-R1oVTp1ye0o9az_ZHPo2sP/view?usp=drivesdk")</f>
        <v>https://drive.google.com/file/d/1fLJ_KBsiK-R1oVTp1ye0o9az_ZHPo2sP/view?usp=drivesdk</v>
      </c>
    </row>
    <row r="651">
      <c r="A651" s="50" t="s">
        <v>2688</v>
      </c>
      <c r="B651" s="50" t="str">
        <f>IFERROR(__xludf.DUMMYFUNCTION("""COMPUTED_VALUE"""),"SES-0006")</f>
        <v>SES-0006</v>
      </c>
      <c r="C651" s="50" t="str">
        <f>IFERROR(__xludf.DUMMYFUNCTION("""COMPUTED_VALUE"""),"imaitrejean@ucpa.asso.fr")</f>
        <v>imaitrejean@ucpa.asso.fr</v>
      </c>
      <c r="D651" s="127" t="str">
        <f>IFERROR(__xludf.DUMMYFUNCTION("""COMPUTED_VALUE"""),"https://drive.google.com/file/d/1bN-bMKiKXitnTPNvKM4ITuDakzbFIJuu/view?usp=drivesdk")</f>
        <v>https://drive.google.com/file/d/1bN-bMKiKXitnTPNvKM4ITuDakzbFIJuu/view?usp=drivesdk</v>
      </c>
    </row>
    <row r="652">
      <c r="A652" s="50" t="s">
        <v>2691</v>
      </c>
      <c r="B652" s="50" t="str">
        <f>IFERROR(__xludf.DUMMYFUNCTION("""COMPUTED_VALUE"""),"SES-0016")</f>
        <v>SES-0016</v>
      </c>
      <c r="C652" s="50" t="str">
        <f>IFERROR(__xludf.DUMMYFUNCTION("""COMPUTED_VALUE"""),"imaitrejean@ucpa.asso.fr")</f>
        <v>imaitrejean@ucpa.asso.fr</v>
      </c>
      <c r="D652" s="127" t="str">
        <f>IFERROR(__xludf.DUMMYFUNCTION("""COMPUTED_VALUE"""),"https://drive.google.com/file/d/1xIXcrghzKbHJVrhBVYMf-lCIkAIC7qUM/view?usp=drivesdk")</f>
        <v>https://drive.google.com/file/d/1xIXcrghzKbHJVrhBVYMf-lCIkAIC7qUM/view?usp=drivesdk</v>
      </c>
    </row>
    <row r="653">
      <c r="A653" s="50" t="s">
        <v>2695</v>
      </c>
      <c r="B653" s="50" t="str">
        <f>IFERROR(__xludf.DUMMYFUNCTION("""COMPUTED_VALUE"""),"SES-0006")</f>
        <v>SES-0006</v>
      </c>
      <c r="C653" s="50" t="str">
        <f>IFERROR(__xludf.DUMMYFUNCTION("""COMPUTED_VALUE"""),"skerfyser@ucpasl.com")</f>
        <v>skerfyser@ucpasl.com</v>
      </c>
      <c r="D653" s="127" t="str">
        <f>IFERROR(__xludf.DUMMYFUNCTION("""COMPUTED_VALUE"""),"https://drive.google.com/file/d/1Nm3F5N0pbq8cs-7PoRdlBNuc727FAJen/view?usp=drivesdk")</f>
        <v>https://drive.google.com/file/d/1Nm3F5N0pbq8cs-7PoRdlBNuc727FAJen/view?usp=drivesdk</v>
      </c>
    </row>
    <row r="654">
      <c r="A654" s="50" t="s">
        <v>2698</v>
      </c>
      <c r="B654" s="50" t="str">
        <f>IFERROR(__xludf.DUMMYFUNCTION("""COMPUTED_VALUE"""),"SES-0008")</f>
        <v>SES-0008</v>
      </c>
      <c r="C654" s="50" t="str">
        <f>IFERROR(__xludf.DUMMYFUNCTION("""COMPUTED_VALUE"""),"etissot@ucpasl.com")</f>
        <v>etissot@ucpasl.com</v>
      </c>
      <c r="D654" s="127" t="str">
        <f>IFERROR(__xludf.DUMMYFUNCTION("""COMPUTED_VALUE"""),"https://drive.google.com/file/d/1t0ivAuWGhOL-bIdthuZ8hruEpsAu6-ke/view?usp=drivesdk")</f>
        <v>https://drive.google.com/file/d/1t0ivAuWGhOL-bIdthuZ8hruEpsAu6-ke/view?usp=drivesdk</v>
      </c>
    </row>
    <row r="655">
      <c r="A655" s="50" t="s">
        <v>2701</v>
      </c>
      <c r="B655" s="50" t="str">
        <f>IFERROR(__xludf.DUMMYFUNCTION("""COMPUTED_VALUE"""),"SES-0019")</f>
        <v>SES-0019</v>
      </c>
      <c r="C655" s="50" t="str">
        <f>IFERROR(__xludf.DUMMYFUNCTION("""COMPUTED_VALUE"""),"imaitrejean@ucpa.asso.fr")</f>
        <v>imaitrejean@ucpa.asso.fr</v>
      </c>
      <c r="D655" s="127" t="str">
        <f>IFERROR(__xludf.DUMMYFUNCTION("""COMPUTED_VALUE"""),"https://drive.google.com/file/d/1CJalXErOdTUHsF6sHgt3gmjHhCiyG8_j/view?usp=drivesdk")</f>
        <v>https://drive.google.com/file/d/1CJalXErOdTUHsF6sHgt3gmjHhCiyG8_j/view?usp=drivesdk</v>
      </c>
    </row>
    <row r="656">
      <c r="A656" s="50" t="s">
        <v>2703</v>
      </c>
      <c r="B656" s="50" t="str">
        <f>IFERROR(__xludf.DUMMYFUNCTION("""COMPUTED_VALUE"""),"SES-0020")</f>
        <v>SES-0020</v>
      </c>
      <c r="C656" s="50" t="str">
        <f>IFERROR(__xludf.DUMMYFUNCTION("""COMPUTED_VALUE"""),"imaitrejean@ucpa.asso.fr")</f>
        <v>imaitrejean@ucpa.asso.fr</v>
      </c>
      <c r="D656" s="127" t="str">
        <f>IFERROR(__xludf.DUMMYFUNCTION("""COMPUTED_VALUE"""),"https://drive.google.com/file/d/1ae5f1z9AtHlXy5Njr-abN48HLKEqocza/view?usp=drivesdk")</f>
        <v>https://drive.google.com/file/d/1ae5f1z9AtHlXy5Njr-abN48HLKEqocza/view?usp=drivesdk</v>
      </c>
    </row>
    <row r="657">
      <c r="A657" s="50" t="s">
        <v>2708</v>
      </c>
      <c r="B657" s="50" t="str">
        <f>IFERROR(__xludf.DUMMYFUNCTION("""COMPUTED_VALUE"""),"SES-0005")</f>
        <v>SES-0005</v>
      </c>
      <c r="C657" s="50" t="str">
        <f>IFERROR(__xludf.DUMMYFUNCTION("""COMPUTED_VALUE"""),"etissot@ucpasl.com")</f>
        <v>etissot@ucpasl.com</v>
      </c>
      <c r="D657" s="127" t="str">
        <f>IFERROR(__xludf.DUMMYFUNCTION("""COMPUTED_VALUE"""),"https://drive.google.com/file/d/1plT7Xip9oL27xr6WS_btKn1E3zOJ7U16/view?usp=drivesdk")</f>
        <v>https://drive.google.com/file/d/1plT7Xip9oL27xr6WS_btKn1E3zOJ7U16/view?usp=drivesdk</v>
      </c>
    </row>
    <row r="658">
      <c r="A658" s="50" t="s">
        <v>2710</v>
      </c>
      <c r="B658" s="50" t="str">
        <f>IFERROR(__xludf.DUMMYFUNCTION("""COMPUTED_VALUE"""),"SES-0016")</f>
        <v>SES-0016</v>
      </c>
      <c r="C658" s="50" t="str">
        <f>IFERROR(__xludf.DUMMYFUNCTION("""COMPUTED_VALUE"""),"etissot@ucpasl.com")</f>
        <v>etissot@ucpasl.com</v>
      </c>
      <c r="D658" s="127" t="str">
        <f>IFERROR(__xludf.DUMMYFUNCTION("""COMPUTED_VALUE"""),"https://drive.google.com/file/d/1Lb_4VWiEwrTlEF5FxbjCijkISTS_qhnW/view?usp=drivesdk")</f>
        <v>https://drive.google.com/file/d/1Lb_4VWiEwrTlEF5FxbjCijkISTS_qhnW/view?usp=drivesdk</v>
      </c>
    </row>
    <row r="659">
      <c r="A659" s="50" t="s">
        <v>2712</v>
      </c>
      <c r="B659" s="50" t="str">
        <f>IFERROR(__xludf.DUMMYFUNCTION("""COMPUTED_VALUE"""),"SES-0015")</f>
        <v>SES-0015</v>
      </c>
      <c r="C659" s="50" t="str">
        <f>IFERROR(__xludf.DUMMYFUNCTION("""COMPUTED_VALUE"""),"aurore.geudin@tootazimut.fr")</f>
        <v>aurore.geudin@tootazimut.fr</v>
      </c>
      <c r="D659" s="127" t="str">
        <f>IFERROR(__xludf.DUMMYFUNCTION("""COMPUTED_VALUE"""),"https://drive.google.com/file/d/1rRuNjLjbPjGgPMp0hTjSDrWFp0BIjpJz/view?usp=drivesdk")</f>
        <v>https://drive.google.com/file/d/1rRuNjLjbPjGgPMp0hTjSDrWFp0BIjpJz/view?usp=drivesdk</v>
      </c>
    </row>
    <row r="660">
      <c r="A660" s="50" t="s">
        <v>2715</v>
      </c>
      <c r="B660" s="50" t="str">
        <f>IFERROR(__xludf.DUMMYFUNCTION("""COMPUTED_VALUE"""),"SES-0018")</f>
        <v>SES-0018</v>
      </c>
      <c r="C660" s="50" t="str">
        <f>IFERROR(__xludf.DUMMYFUNCTION("""COMPUTED_VALUE"""),"alison.tomine@gmail.com")</f>
        <v>alison.tomine@gmail.com</v>
      </c>
      <c r="D660" s="127" t="str">
        <f>IFERROR(__xludf.DUMMYFUNCTION("""COMPUTED_VALUE"""),"https://drive.google.com/file/d/1S-5Zg-ZrHjJCUQMdjooGF0s-SfboVp3R/view?usp=drivesdk")</f>
        <v>https://drive.google.com/file/d/1S-5Zg-ZrHjJCUQMdjooGF0s-SfboVp3R/view?usp=drivesdk</v>
      </c>
    </row>
    <row r="661">
      <c r="A661" s="50" t="s">
        <v>2718</v>
      </c>
      <c r="B661" s="50" t="str">
        <f>IFERROR(__xludf.DUMMYFUNCTION("""COMPUTED_VALUE"""),"SES-0020")</f>
        <v>SES-0020</v>
      </c>
      <c r="C661" s="50" t="str">
        <f>IFERROR(__xludf.DUMMYFUNCTION("""COMPUTED_VALUE"""),"etissot@ucpasl.com")</f>
        <v>etissot@ucpasl.com</v>
      </c>
      <c r="D661" s="127" t="str">
        <f>IFERROR(__xludf.DUMMYFUNCTION("""COMPUTED_VALUE"""),"https://drive.google.com/file/d/1Al3lOUHGFRzwm9Ai37mwEVXvgLc5R8An/view?usp=drivesdk")</f>
        <v>https://drive.google.com/file/d/1Al3lOUHGFRzwm9Ai37mwEVXvgLc5R8An/view?usp=drivesdk</v>
      </c>
    </row>
    <row r="662">
      <c r="A662" s="50" t="s">
        <v>2721</v>
      </c>
      <c r="B662" s="50" t="str">
        <f>IFERROR(__xludf.DUMMYFUNCTION("""COMPUTED_VALUE"""),"SES-0021")</f>
        <v>SES-0021</v>
      </c>
      <c r="C662" s="50" t="str">
        <f>IFERROR(__xludf.DUMMYFUNCTION("""COMPUTED_VALUE"""),"imaitrejean@ucpa.asso.fr")</f>
        <v>imaitrejean@ucpa.asso.fr</v>
      </c>
      <c r="D662" s="127" t="str">
        <f>IFERROR(__xludf.DUMMYFUNCTION("""COMPUTED_VALUE"""),"https://drive.google.com/file/d/129ztC3Rx9Cj_pnwes0uz4ucA-9f0EBYk/view?usp=drivesdk")</f>
        <v>https://drive.google.com/file/d/129ztC3Rx9Cj_pnwes0uz4ucA-9f0EBYk/view?usp=drivesdk</v>
      </c>
    </row>
    <row r="663">
      <c r="A663" s="50" t="s">
        <v>2724</v>
      </c>
      <c r="B663" s="50" t="str">
        <f>IFERROR(__xludf.DUMMYFUNCTION("""COMPUTED_VALUE"""),"SES-0014")</f>
        <v>SES-0014</v>
      </c>
      <c r="C663" s="50" t="str">
        <f>IFERROR(__xludf.DUMMYFUNCTION("""COMPUTED_VALUE"""),"laure.boubehira@labalaguere.com")</f>
        <v>laure.boubehira@labalaguere.com</v>
      </c>
      <c r="D663" s="127" t="str">
        <f>IFERROR(__xludf.DUMMYFUNCTION("""COMPUTED_VALUE"""),"https://drive.google.com/file/d/1-N_4khuk9yONdmdRcO93exJaswC70ZzB/view?usp=drivesdk")</f>
        <v>https://drive.google.com/file/d/1-N_4khuk9yONdmdRcO93exJaswC70ZzB/view?usp=drivesdk</v>
      </c>
    </row>
    <row r="664">
      <c r="A664" s="50" t="s">
        <v>2726</v>
      </c>
      <c r="B664" s="50" t="str">
        <f>IFERROR(__xludf.DUMMYFUNCTION("""COMPUTED_VALUE"""),"SES-0019")</f>
        <v>SES-0019</v>
      </c>
      <c r="C664" s="50" t="str">
        <f>IFERROR(__xludf.DUMMYFUNCTION("""COMPUTED_VALUE"""),"aurelien.fouquet@tootazimut.fr")</f>
        <v>aurelien.fouquet@tootazimut.fr</v>
      </c>
      <c r="D664" s="127" t="str">
        <f>IFERROR(__xludf.DUMMYFUNCTION("""COMPUTED_VALUE"""),"https://drive.google.com/file/d/1RzqNcWzQJd4ulsGpdYlT0HGju8HCgYQf/view?usp=drivesdk")</f>
        <v>https://drive.google.com/file/d/1RzqNcWzQJd4ulsGpdYlT0HGju8HCgYQf/view?usp=drivesdk</v>
      </c>
    </row>
    <row r="665">
      <c r="A665" s="50" t="s">
        <v>2728</v>
      </c>
      <c r="B665" s="50" t="str">
        <f>IFERROR(__xludf.DUMMYFUNCTION("""COMPUTED_VALUE"""),"SES-0008")</f>
        <v>SES-0008</v>
      </c>
      <c r="C665" s="50" t="str">
        <f>IFERROR(__xludf.DUMMYFUNCTION("""COMPUTED_VALUE"""),"aurelien.fouquet@tootazimut.fr")</f>
        <v>aurelien.fouquet@tootazimut.fr</v>
      </c>
      <c r="D665" s="127" t="str">
        <f>IFERROR(__xludf.DUMMYFUNCTION("""COMPUTED_VALUE"""),"https://drive.google.com/file/d/1RJgjTY1nkHjhjMF4oKddLdm8x27jrQ4z/view?usp=drivesdk")</f>
        <v>https://drive.google.com/file/d/1RJgjTY1nkHjhjMF4oKddLdm8x27jrQ4z/view?usp=drivesdk</v>
      </c>
    </row>
    <row r="666">
      <c r="A666" s="50" t="s">
        <v>2732</v>
      </c>
      <c r="B666" s="50" t="str">
        <f>IFERROR(__xludf.DUMMYFUNCTION("""COMPUTED_VALUE"""),"SES-0004")</f>
        <v>SES-0004</v>
      </c>
      <c r="C666" s="50" t="str">
        <f>IFERROR(__xludf.DUMMYFUNCTION("""COMPUTED_VALUE"""),"crios@ucpa.asso.fr")</f>
        <v>crios@ucpa.asso.fr</v>
      </c>
      <c r="D666" s="127" t="str">
        <f>IFERROR(__xludf.DUMMYFUNCTION("""COMPUTED_VALUE"""),"https://drive.google.com/file/d/1-KS2mgkQZVku7mKSe3RB9qj4K6H_0LNs/view?usp=drivesdk")</f>
        <v>https://drive.google.com/file/d/1-KS2mgkQZVku7mKSe3RB9qj4K6H_0LNs/view?usp=drivesdk</v>
      </c>
    </row>
    <row r="667">
      <c r="A667" s="50" t="s">
        <v>2735</v>
      </c>
      <c r="B667" s="50" t="str">
        <f>IFERROR(__xludf.DUMMYFUNCTION("""COMPUTED_VALUE"""),"SES-0007")</f>
        <v>SES-0007</v>
      </c>
      <c r="C667" s="50" t="str">
        <f>IFERROR(__xludf.DUMMYFUNCTION("""COMPUTED_VALUE"""),"crios@ucpa.asso.fr")</f>
        <v>crios@ucpa.asso.fr</v>
      </c>
      <c r="D667" s="127" t="str">
        <f>IFERROR(__xludf.DUMMYFUNCTION("""COMPUTED_VALUE"""),"https://drive.google.com/file/d/1y7w0xqbmD3iksLa32z_9U7PlarhAtkuY/view?usp=drivesdk")</f>
        <v>https://drive.google.com/file/d/1y7w0xqbmD3iksLa32z_9U7PlarhAtkuY/view?usp=drivesdk</v>
      </c>
    </row>
    <row r="668">
      <c r="A668" s="50" t="s">
        <v>2739</v>
      </c>
      <c r="B668" s="50" t="str">
        <f>IFERROR(__xludf.DUMMYFUNCTION("""COMPUTED_VALUE"""),"SES-0008")</f>
        <v>SES-0008</v>
      </c>
      <c r="C668" s="50" t="str">
        <f>IFERROR(__xludf.DUMMYFUNCTION("""COMPUTED_VALUE"""),"crios@ucpa.asso.fr")</f>
        <v>crios@ucpa.asso.fr</v>
      </c>
      <c r="D668" s="127" t="str">
        <f>IFERROR(__xludf.DUMMYFUNCTION("""COMPUTED_VALUE"""),"https://drive.google.com/file/d/1LC-S9xI3zKimJuy50njaRkqeoHWed6W5/view?usp=drivesdk")</f>
        <v>https://drive.google.com/file/d/1LC-S9xI3zKimJuy50njaRkqeoHWed6W5/view?usp=drivesdk</v>
      </c>
    </row>
    <row r="669">
      <c r="A669" s="50" t="s">
        <v>2742</v>
      </c>
      <c r="B669" s="50" t="str">
        <f>IFERROR(__xludf.DUMMYFUNCTION("""COMPUTED_VALUE"""),"SES-0007")</f>
        <v>SES-0007</v>
      </c>
      <c r="C669" s="50" t="str">
        <f>IFERROR(__xludf.DUMMYFUNCTION("""COMPUTED_VALUE"""),"zoubida.sofi@tootazimut.fr")</f>
        <v>zoubida.sofi@tootazimut.fr</v>
      </c>
      <c r="D669" s="127" t="str">
        <f>IFERROR(__xludf.DUMMYFUNCTION("""COMPUTED_VALUE"""),"https://drive.google.com/file/d/1Rx2LTM428-3-bxC5iRmIoC-7xqzk9SdG/view?usp=drivesdk")</f>
        <v>https://drive.google.com/file/d/1Rx2LTM428-3-bxC5iRmIoC-7xqzk9SdG/view?usp=drivesdk</v>
      </c>
    </row>
    <row r="670">
      <c r="A670" s="50" t="s">
        <v>2745</v>
      </c>
      <c r="B670" s="50" t="str">
        <f>IFERROR(__xludf.DUMMYFUNCTION("""COMPUTED_VALUE"""),"SES-0009")</f>
        <v>SES-0009</v>
      </c>
      <c r="C670" s="50" t="str">
        <f>IFERROR(__xludf.DUMMYFUNCTION("""COMPUTED_VALUE"""),"vmissonnier@ucpa.asso.fr")</f>
        <v>vmissonnier@ucpa.asso.fr</v>
      </c>
      <c r="D670" s="127" t="str">
        <f>IFERROR(__xludf.DUMMYFUNCTION("""COMPUTED_VALUE"""),"https://drive.google.com/file/d/1tJGICOCTa88uADPUNISs6cnttOD79CHi/view?usp=drivesdk")</f>
        <v>https://drive.google.com/file/d/1tJGICOCTa88uADPUNISs6cnttOD79CHi/view?usp=drivesdk</v>
      </c>
    </row>
    <row r="671">
      <c r="A671" s="50" t="s">
        <v>2747</v>
      </c>
      <c r="B671" s="50" t="str">
        <f>IFERROR(__xludf.DUMMYFUNCTION("""COMPUTED_VALUE"""),"SES-0008")</f>
        <v>SES-0008</v>
      </c>
      <c r="C671" s="50" t="str">
        <f>IFERROR(__xludf.DUMMYFUNCTION("""COMPUTED_VALUE"""),"zoubida.sofi@tootazimut.fr")</f>
        <v>zoubida.sofi@tootazimut.fr</v>
      </c>
      <c r="D671" s="127" t="str">
        <f>IFERROR(__xludf.DUMMYFUNCTION("""COMPUTED_VALUE"""),"https://drive.google.com/file/d/1ZpxWl2xKTvmJmtJN2OvNhgu1h7STxer2/view?usp=drivesdk")</f>
        <v>https://drive.google.com/file/d/1ZpxWl2xKTvmJmtJN2OvNhgu1h7STxer2/view?usp=drivesdk</v>
      </c>
    </row>
    <row r="672">
      <c r="A672" s="50" t="s">
        <v>2749</v>
      </c>
      <c r="B672" s="50" t="str">
        <f>IFERROR(__xludf.DUMMYFUNCTION("""COMPUTED_VALUE"""),"SES-0010")</f>
        <v>SES-0010</v>
      </c>
      <c r="C672" s="50" t="str">
        <f>IFERROR(__xludf.DUMMYFUNCTION("""COMPUTED_VALUE"""),"vmissonnier@ucpa.asso.fr")</f>
        <v>vmissonnier@ucpa.asso.fr</v>
      </c>
      <c r="D672" s="127" t="str">
        <f>IFERROR(__xludf.DUMMYFUNCTION("""COMPUTED_VALUE"""),"https://drive.google.com/file/d/1LzD5NQcqO6qtEGY-tBH4DM-J0FYr0wGH/view?usp=drivesdk")</f>
        <v>https://drive.google.com/file/d/1LzD5NQcqO6qtEGY-tBH4DM-J0FYr0wGH/view?usp=drivesdk</v>
      </c>
    </row>
    <row r="673">
      <c r="A673" s="50" t="s">
        <v>2752</v>
      </c>
      <c r="B673" s="50" t="str">
        <f>IFERROR(__xludf.DUMMYFUNCTION("""COMPUTED_VALUE"""),"SES-0011")</f>
        <v>SES-0011</v>
      </c>
      <c r="C673" s="50" t="str">
        <f>IFERROR(__xludf.DUMMYFUNCTION("""COMPUTED_VALUE"""),"vmissonnier@ucpa.asso.fr")</f>
        <v>vmissonnier@ucpa.asso.fr</v>
      </c>
      <c r="D673" s="127" t="str">
        <f>IFERROR(__xludf.DUMMYFUNCTION("""COMPUTED_VALUE"""),"https://drive.google.com/file/d/1L63ZgXrw4ASRMRaPoaAsI8Fj5qHhRFzU/view?usp=drivesdk")</f>
        <v>https://drive.google.com/file/d/1L63ZgXrw4ASRMRaPoaAsI8Fj5qHhRFzU/view?usp=drivesdk</v>
      </c>
    </row>
    <row r="674">
      <c r="A674" s="50" t="s">
        <v>2755</v>
      </c>
      <c r="B674" s="50" t="str">
        <f>IFERROR(__xludf.DUMMYFUNCTION("""COMPUTED_VALUE"""),"SES-0017")</f>
        <v>SES-0017</v>
      </c>
      <c r="C674" s="50" t="str">
        <f>IFERROR(__xludf.DUMMYFUNCTION("""COMPUTED_VALUE"""),"zoubida.sofi@tootazimut.fr")</f>
        <v>zoubida.sofi@tootazimut.fr</v>
      </c>
      <c r="D674" s="127" t="str">
        <f>IFERROR(__xludf.DUMMYFUNCTION("""COMPUTED_VALUE"""),"https://drive.google.com/file/d/1Io8QxzKvaMvB1Xz8T8nNMQ5bj05r-VUf/view?usp=drivesdk")</f>
        <v>https://drive.google.com/file/d/1Io8QxzKvaMvB1Xz8T8nNMQ5bj05r-VUf/view?usp=drivesdk</v>
      </c>
    </row>
    <row r="675">
      <c r="A675" s="50" t="s">
        <v>2759</v>
      </c>
      <c r="B675" s="50" t="str">
        <f>IFERROR(__xludf.DUMMYFUNCTION("""COMPUTED_VALUE"""),"SES-0012")</f>
        <v>SES-0012</v>
      </c>
      <c r="C675" s="50" t="str">
        <f>IFERROR(__xludf.DUMMYFUNCTION("""COMPUTED_VALUE"""),"vmissonnier@ucpa.asso.fr")</f>
        <v>vmissonnier@ucpa.asso.fr</v>
      </c>
      <c r="D675" s="127" t="str">
        <f>IFERROR(__xludf.DUMMYFUNCTION("""COMPUTED_VALUE"""),"https://drive.google.com/file/d/1uFQsX-7WGtH0yZqzxwduQwhOsVglvUMt/view?usp=drivesdk")</f>
        <v>https://drive.google.com/file/d/1uFQsX-7WGtH0yZqzxwduQwhOsVglvUMt/view?usp=drivesdk</v>
      </c>
    </row>
    <row r="676">
      <c r="A676" s="50" t="s">
        <v>2762</v>
      </c>
      <c r="B676" s="50" t="str">
        <f>IFERROR(__xludf.DUMMYFUNCTION("""COMPUTED_VALUE"""),"SES-0016")</f>
        <v>SES-0016</v>
      </c>
      <c r="C676" s="50" t="str">
        <f>IFERROR(__xludf.DUMMYFUNCTION("""COMPUTED_VALUE"""),"vmissonnier@ucpa.asso.fr")</f>
        <v>vmissonnier@ucpa.asso.fr</v>
      </c>
      <c r="D676" s="127" t="str">
        <f>IFERROR(__xludf.DUMMYFUNCTION("""COMPUTED_VALUE"""),"https://drive.google.com/file/d/1m33iya4G-PnM-dXKpMxrdq7iww-vjjnU/view?usp=drivesdk")</f>
        <v>https://drive.google.com/file/d/1m33iya4G-PnM-dXKpMxrdq7iww-vjjnU/view?usp=drivesdk</v>
      </c>
    </row>
    <row r="677">
      <c r="A677" s="50" t="s">
        <v>2765</v>
      </c>
      <c r="B677" s="50" t="str">
        <f>IFERROR(__xludf.DUMMYFUNCTION("""COMPUTED_VALUE"""),"SES-0019")</f>
        <v>SES-0019</v>
      </c>
      <c r="C677" s="50" t="str">
        <f>IFERROR(__xludf.DUMMYFUNCTION("""COMPUTED_VALUE"""),"vmissonnier@ucpa.asso.fr")</f>
        <v>vmissonnier@ucpa.asso.fr</v>
      </c>
      <c r="D677" s="127" t="str">
        <f>IFERROR(__xludf.DUMMYFUNCTION("""COMPUTED_VALUE"""),"https://drive.google.com/file/d/1HxCqErIEc7XoHY5vyWE3J8OmcpCC9y6L/view?usp=drivesdk")</f>
        <v>https://drive.google.com/file/d/1HxCqErIEc7XoHY5vyWE3J8OmcpCC9y6L/view?usp=drivesdk</v>
      </c>
    </row>
    <row r="678">
      <c r="A678" s="50" t="s">
        <v>2769</v>
      </c>
      <c r="B678" s="50" t="str">
        <f>IFERROR(__xludf.DUMMYFUNCTION("""COMPUTED_VALUE"""),"SES-0019")</f>
        <v>SES-0019</v>
      </c>
      <c r="C678" s="50" t="str">
        <f>IFERROR(__xludf.DUMMYFUNCTION("""COMPUTED_VALUE"""),"zoubida.sofi@tootazimut.fr")</f>
        <v>zoubida.sofi@tootazimut.fr</v>
      </c>
      <c r="D678" s="127" t="str">
        <f>IFERROR(__xludf.DUMMYFUNCTION("""COMPUTED_VALUE"""),"https://drive.google.com/file/d/1CGdM0t9EQ_jo3zoXYaQW_QpqvoIeqcPL/view?usp=drivesdk")</f>
        <v>https://drive.google.com/file/d/1CGdM0t9EQ_jo3zoXYaQW_QpqvoIeqcPL/view?usp=drivesdk</v>
      </c>
    </row>
    <row r="679">
      <c r="A679" s="50" t="s">
        <v>2773</v>
      </c>
      <c r="B679" s="50" t="str">
        <f>IFERROR(__xludf.DUMMYFUNCTION("""COMPUTED_VALUE"""),"SES-0011")</f>
        <v>SES-0011</v>
      </c>
      <c r="C679" s="50" t="str">
        <f>IFERROR(__xludf.DUMMYFUNCTION("""COMPUTED_VALUE"""),"zoubida.sofi@tootazimut.fr")</f>
        <v>zoubida.sofi@tootazimut.fr</v>
      </c>
      <c r="D679" s="127" t="str">
        <f>IFERROR(__xludf.DUMMYFUNCTION("""COMPUTED_VALUE"""),"https://drive.google.com/file/d/1lWk1oNh34YBzskZxkWriVbyfoFRumnrq/view?usp=drivesdk")</f>
        <v>https://drive.google.com/file/d/1lWk1oNh34YBzskZxkWriVbyfoFRumnrq/view?usp=drivesdk</v>
      </c>
    </row>
    <row r="680">
      <c r="A680" s="50" t="s">
        <v>2776</v>
      </c>
      <c r="B680" s="50" t="str">
        <f>IFERROR(__xludf.DUMMYFUNCTION("""COMPUTED_VALUE"""),"SES-0008")</f>
        <v>SES-0008</v>
      </c>
      <c r="C680" s="50" t="str">
        <f>IFERROR(__xludf.DUMMYFUNCTION("""COMPUTED_VALUE"""),"yfunke@ucpasl.com")</f>
        <v>yfunke@ucpasl.com</v>
      </c>
      <c r="D680" s="127" t="str">
        <f>IFERROR(__xludf.DUMMYFUNCTION("""COMPUTED_VALUE"""),"https://drive.google.com/file/d/1E0ESWfiqIjkXRb1YhAYt2OnhvmkJPVxZ/view?usp=drivesdk")</f>
        <v>https://drive.google.com/file/d/1E0ESWfiqIjkXRb1YhAYt2OnhvmkJPVxZ/view?usp=drivesdk</v>
      </c>
    </row>
    <row r="681">
      <c r="A681" s="50" t="s">
        <v>2779</v>
      </c>
      <c r="B681" s="50" t="str">
        <f>IFERROR(__xludf.DUMMYFUNCTION("""COMPUTED_VALUE"""),"SES-0006")</f>
        <v>SES-0006</v>
      </c>
      <c r="C681" s="50" t="str">
        <f>IFERROR(__xludf.DUMMYFUNCTION("""COMPUTED_VALUE"""),"pspaeter@ucpa.asso.fr")</f>
        <v>pspaeter@ucpa.asso.fr</v>
      </c>
      <c r="D681" s="127" t="str">
        <f>IFERROR(__xludf.DUMMYFUNCTION("""COMPUTED_VALUE"""),"https://drive.google.com/file/d/1g572mjgSq81-a6Fvxw6LZ3HeZbaSQAbE/view?usp=drivesdk")</f>
        <v>https://drive.google.com/file/d/1g572mjgSq81-a6Fvxw6LZ3HeZbaSQAbE/view?usp=drivesdk</v>
      </c>
    </row>
    <row r="682">
      <c r="A682" s="50" t="s">
        <v>2782</v>
      </c>
      <c r="B682" s="50" t="str">
        <f>IFERROR(__xludf.DUMMYFUNCTION("""COMPUTED_VALUE"""),"SES-0005")</f>
        <v>SES-0005</v>
      </c>
      <c r="C682" s="50" t="str">
        <f>IFERROR(__xludf.DUMMYFUNCTION("""COMPUTED_VALUE"""),"pspaeter@ucpa.asso.fr")</f>
        <v>pspaeter@ucpa.asso.fr</v>
      </c>
      <c r="D682" s="127" t="str">
        <f>IFERROR(__xludf.DUMMYFUNCTION("""COMPUTED_VALUE"""),"https://drive.google.com/file/d/1nKpruC0Jvt5yq92-CgljjuAJtaJW_m0G/view?usp=drivesdk")</f>
        <v>https://drive.google.com/file/d/1nKpruC0Jvt5yq92-CgljjuAJtaJW_m0G/view?usp=drivesdk</v>
      </c>
    </row>
    <row r="683">
      <c r="A683" s="50" t="s">
        <v>2785</v>
      </c>
      <c r="B683" s="50" t="str">
        <f>IFERROR(__xludf.DUMMYFUNCTION("""COMPUTED_VALUE"""),"SES-0018")</f>
        <v>SES-0018</v>
      </c>
      <c r="C683" s="50" t="str">
        <f>IFERROR(__xludf.DUMMYFUNCTION("""COMPUTED_VALUE"""),"yfunke@ucpasl.com")</f>
        <v>yfunke@ucpasl.com</v>
      </c>
      <c r="D683" s="127" t="str">
        <f>IFERROR(__xludf.DUMMYFUNCTION("""COMPUTED_VALUE"""),"https://drive.google.com/file/d/1UB9vinjT93jtp_TINFxC19esz-P9Y0w8/view?usp=drivesdk")</f>
        <v>https://drive.google.com/file/d/1UB9vinjT93jtp_TINFxC19esz-P9Y0w8/view?usp=drivesdk</v>
      </c>
    </row>
    <row r="684">
      <c r="A684" s="50" t="s">
        <v>2788</v>
      </c>
      <c r="B684" s="50" t="str">
        <f>IFERROR(__xludf.DUMMYFUNCTION("""COMPUTED_VALUE"""),"SES-0007")</f>
        <v>SES-0007</v>
      </c>
      <c r="C684" s="50" t="str">
        <f>IFERROR(__xludf.DUMMYFUNCTION("""COMPUTED_VALUE"""),"nleturcq@yahoo.fr")</f>
        <v>nleturcq@yahoo.fr</v>
      </c>
      <c r="D684" s="127" t="str">
        <f>IFERROR(__xludf.DUMMYFUNCTION("""COMPUTED_VALUE"""),"https://drive.google.com/file/d/1ytGuZ1ajmtHOFFhNBx161Sh8UAgtkOqY/view?usp=drivesdk")</f>
        <v>https://drive.google.com/file/d/1ytGuZ1ajmtHOFFhNBx161Sh8UAgtkOqY/view?usp=drivesdk</v>
      </c>
    </row>
    <row r="685">
      <c r="A685" s="50" t="s">
        <v>2792</v>
      </c>
      <c r="B685" s="50" t="str">
        <f>IFERROR(__xludf.DUMMYFUNCTION("""COMPUTED_VALUE"""),"SES-0008")</f>
        <v>SES-0008</v>
      </c>
      <c r="C685" s="50" t="str">
        <f>IFERROR(__xludf.DUMMYFUNCTION("""COMPUTED_VALUE"""),"nleturcq@yahoo.fr")</f>
        <v>nleturcq@yahoo.fr</v>
      </c>
      <c r="D685" s="127" t="str">
        <f>IFERROR(__xludf.DUMMYFUNCTION("""COMPUTED_VALUE"""),"https://drive.google.com/file/d/1v2_QOkbViBcKpo9Gm2tl8hRxgwqqd8Vo/view?usp=drivesdk")</f>
        <v>https://drive.google.com/file/d/1v2_QOkbViBcKpo9Gm2tl8hRxgwqqd8Vo/view?usp=drivesdk</v>
      </c>
    </row>
    <row r="686">
      <c r="A686" s="50" t="s">
        <v>2795</v>
      </c>
      <c r="B686" s="50" t="str">
        <f>IFERROR(__xludf.DUMMYFUNCTION("""COMPUTED_VALUE"""),"SES-0010")</f>
        <v>SES-0010</v>
      </c>
      <c r="C686" s="50" t="str">
        <f>IFERROR(__xludf.DUMMYFUNCTION("""COMPUTED_VALUE"""),"nleturcq@ucpasl.com")</f>
        <v>nleturcq@ucpasl.com</v>
      </c>
      <c r="D686" s="127" t="str">
        <f>IFERROR(__xludf.DUMMYFUNCTION("""COMPUTED_VALUE"""),"https://drive.google.com/file/d/1qAmQeRKgmApvYcJdzMXccSdiulwxsLrB/view?usp=drivesdk")</f>
        <v>https://drive.google.com/file/d/1qAmQeRKgmApvYcJdzMXccSdiulwxsLrB/view?usp=drivesdk</v>
      </c>
    </row>
    <row r="687">
      <c r="A687" s="50" t="s">
        <v>2798</v>
      </c>
      <c r="B687" s="50" t="str">
        <f>IFERROR(__xludf.DUMMYFUNCTION("""COMPUTED_VALUE"""),"SES-0012")</f>
        <v>SES-0012</v>
      </c>
      <c r="C687" s="50" t="str">
        <f>IFERROR(__xludf.DUMMYFUNCTION("""COMPUTED_VALUE"""),"nleturcq@ucpasl.com")</f>
        <v>nleturcq@ucpasl.com</v>
      </c>
      <c r="D687" s="127" t="str">
        <f>IFERROR(__xludf.DUMMYFUNCTION("""COMPUTED_VALUE"""),"https://drive.google.com/file/d/1h2sSZpmq7P3vRUbRMhfNMvkDaknIifU3/view?usp=drivesdk")</f>
        <v>https://drive.google.com/file/d/1h2sSZpmq7P3vRUbRMhfNMvkDaknIifU3/view?usp=drivesdk</v>
      </c>
    </row>
    <row r="688">
      <c r="A688" s="50" t="s">
        <v>2801</v>
      </c>
      <c r="B688" s="50" t="str">
        <f>IFERROR(__xludf.DUMMYFUNCTION("""COMPUTED_VALUE"""),"SES-0004")</f>
        <v>SES-0004</v>
      </c>
      <c r="C688" s="50" t="str">
        <f>IFERROR(__xludf.DUMMYFUNCTION("""COMPUTED_VALUE"""),"mval@ucpasl.com")</f>
        <v>mval@ucpasl.com</v>
      </c>
      <c r="D688" s="127" t="str">
        <f>IFERROR(__xludf.DUMMYFUNCTION("""COMPUTED_VALUE"""),"https://drive.google.com/file/d/1-vwAIpx_Ah221r0FSYJc9Q7YEMJY-oGc/view?usp=drivesdk")</f>
        <v>https://drive.google.com/file/d/1-vwAIpx_Ah221r0FSYJc9Q7YEMJY-oGc/view?usp=drivesdk</v>
      </c>
    </row>
    <row r="689">
      <c r="A689" s="50" t="s">
        <v>2804</v>
      </c>
      <c r="B689" s="50" t="str">
        <f>IFERROR(__xludf.DUMMYFUNCTION("""COMPUTED_VALUE"""),"SES-0005")</f>
        <v>SES-0005</v>
      </c>
      <c r="C689" s="50" t="str">
        <f>IFERROR(__xludf.DUMMYFUNCTION("""COMPUTED_VALUE"""),"mval@ucpasl.com")</f>
        <v>mval@ucpasl.com</v>
      </c>
      <c r="D689" s="127" t="str">
        <f>IFERROR(__xludf.DUMMYFUNCTION("""COMPUTED_VALUE"""),"https://drive.google.com/file/d/1ttdRXZ_4Iu3DAv9Pn0NnviFnem5fCa-q/view?usp=drivesdk")</f>
        <v>https://drive.google.com/file/d/1ttdRXZ_4Iu3DAv9Pn0NnviFnem5fCa-q/view?usp=drivesdk</v>
      </c>
    </row>
    <row r="690">
      <c r="A690" s="50" t="s">
        <v>2807</v>
      </c>
      <c r="B690" s="50" t="str">
        <f>IFERROR(__xludf.DUMMYFUNCTION("""COMPUTED_VALUE"""),"SES-0016")</f>
        <v>SES-0016</v>
      </c>
      <c r="C690" s="50" t="str">
        <f>IFERROR(__xludf.DUMMYFUNCTION("""COMPUTED_VALUE"""),"nleturcq@ucpasl.com")</f>
        <v>nleturcq@ucpasl.com</v>
      </c>
      <c r="D690" s="127" t="str">
        <f>IFERROR(__xludf.DUMMYFUNCTION("""COMPUTED_VALUE"""),"https://drive.google.com/file/d/1kwRUqaQrZREZugza9HbYnAi05QwRFGJj/view?usp=drivesdk")</f>
        <v>https://drive.google.com/file/d/1kwRUqaQrZREZugza9HbYnAi05QwRFGJj/view?usp=drivesdk</v>
      </c>
    </row>
    <row r="691">
      <c r="A691" s="50" t="s">
        <v>2810</v>
      </c>
      <c r="B691" s="50" t="str">
        <f>IFERROR(__xludf.DUMMYFUNCTION("""COMPUTED_VALUE"""),"SES-0007")</f>
        <v>SES-0007</v>
      </c>
      <c r="C691" s="50" t="str">
        <f>IFERROR(__xludf.DUMMYFUNCTION("""COMPUTED_VALUE"""),"nleturcq@ucpasl.com")</f>
        <v>nleturcq@ucpasl.com</v>
      </c>
      <c r="D691" s="127" t="str">
        <f>IFERROR(__xludf.DUMMYFUNCTION("""COMPUTED_VALUE"""),"https://drive.google.com/file/d/1dkMxKVpMjpfzrEWQD2yI8JvRElL5piqq/view?usp=drivesdk")</f>
        <v>https://drive.google.com/file/d/1dkMxKVpMjpfzrEWQD2yI8JvRElL5piqq/view?usp=drivesdk</v>
      </c>
    </row>
    <row r="692">
      <c r="A692" s="50" t="s">
        <v>2813</v>
      </c>
      <c r="B692" s="50" t="str">
        <f>IFERROR(__xludf.DUMMYFUNCTION("""COMPUTED_VALUE"""),"SES-0008")</f>
        <v>SES-0008</v>
      </c>
      <c r="C692" s="50" t="str">
        <f>IFERROR(__xludf.DUMMYFUNCTION("""COMPUTED_VALUE"""),"nleturcq@ucpasl.com")</f>
        <v>nleturcq@ucpasl.com</v>
      </c>
      <c r="D692" s="127" t="str">
        <f>IFERROR(__xludf.DUMMYFUNCTION("""COMPUTED_VALUE"""),"https://drive.google.com/file/d/1wrLT1RWE3l4nIpavLij9tf6Bk4hY6sJj/view?usp=drivesdk")</f>
        <v>https://drive.google.com/file/d/1wrLT1RWE3l4nIpavLij9tf6Bk4hY6sJj/view?usp=drivesdk</v>
      </c>
    </row>
    <row r="693">
      <c r="A693" s="50" t="s">
        <v>2816</v>
      </c>
      <c r="B693" s="50" t="str">
        <f>IFERROR(__xludf.DUMMYFUNCTION("""COMPUTED_VALUE"""),"SES-0007")</f>
        <v>SES-0007</v>
      </c>
      <c r="C693" s="50" t="str">
        <f>IFERROR(__xludf.DUMMYFUNCTION("""COMPUTED_VALUE"""),"stephanie.abaziou@labalaguere.com")</f>
        <v>stephanie.abaziou@labalaguere.com</v>
      </c>
      <c r="D693" s="127" t="str">
        <f>IFERROR(__xludf.DUMMYFUNCTION("""COMPUTED_VALUE"""),"https://drive.google.com/file/d/1EYByNsReaAjSXPo-qPGsTTDYERoIeowp/view?usp=drivesdk")</f>
        <v>https://drive.google.com/file/d/1EYByNsReaAjSXPo-qPGsTTDYERoIeowp/view?usp=drivesdk</v>
      </c>
    </row>
    <row r="694">
      <c r="A694" s="50" t="s">
        <v>2818</v>
      </c>
      <c r="B694" s="50" t="str">
        <f>IFERROR(__xludf.DUMMYFUNCTION("""COMPUTED_VALUE"""),"SES-0008")</f>
        <v>SES-0008</v>
      </c>
      <c r="C694" s="50" t="str">
        <f>IFERROR(__xludf.DUMMYFUNCTION("""COMPUTED_VALUE"""),"stephanie.abaziou@labalaguere.com")</f>
        <v>stephanie.abaziou@labalaguere.com</v>
      </c>
      <c r="D694" s="127" t="str">
        <f>IFERROR(__xludf.DUMMYFUNCTION("""COMPUTED_VALUE"""),"https://drive.google.com/file/d/19gKabIJ3E4UJB9-9O0Wc7CLt1_IQKiMq/view?usp=drivesdk")</f>
        <v>https://drive.google.com/file/d/19gKabIJ3E4UJB9-9O0Wc7CLt1_IQKiMq/view?usp=drivesdk</v>
      </c>
    </row>
    <row r="695">
      <c r="A695" s="50" t="s">
        <v>2818</v>
      </c>
      <c r="B695" s="50" t="str">
        <f>IFERROR(__xludf.DUMMYFUNCTION("""COMPUTED_VALUE"""),"SES-0008")</f>
        <v>SES-0008</v>
      </c>
      <c r="C695" s="50" t="str">
        <f>IFERROR(__xludf.DUMMYFUNCTION("""COMPUTED_VALUE"""),"stephanie.abaziou@labalaguere.com")</f>
        <v>stephanie.abaziou@labalaguere.com</v>
      </c>
      <c r="D695" s="127" t="str">
        <f>IFERROR(__xludf.DUMMYFUNCTION("""COMPUTED_VALUE"""),"https://drive.google.com/file/d/1_0t0AorubOI-QjYT6JbhMUjFyrgbfWyO/view?usp=drivesdk")</f>
        <v>https://drive.google.com/file/d/1_0t0AorubOI-QjYT6JbhMUjFyrgbfWyO/view?usp=drivesdk</v>
      </c>
    </row>
    <row r="696">
      <c r="A696" s="50" t="s">
        <v>2818</v>
      </c>
      <c r="B696" s="50" t="str">
        <f>IFERROR(__xludf.DUMMYFUNCTION("""COMPUTED_VALUE"""),"SES-0008")</f>
        <v>SES-0008</v>
      </c>
      <c r="C696" s="50" t="str">
        <f>IFERROR(__xludf.DUMMYFUNCTION("""COMPUTED_VALUE"""),"stephanie.abaziou@labalaguere.com")</f>
        <v>stephanie.abaziou@labalaguere.com</v>
      </c>
      <c r="D696" s="127" t="str">
        <f>IFERROR(__xludf.DUMMYFUNCTION("""COMPUTED_VALUE"""),"https://drive.google.com/file/d/19K2pE6DzMO1g-gJKs8H7SV6KhfbSFdpZ/view?usp=drivesdk")</f>
        <v>https://drive.google.com/file/d/19K2pE6DzMO1g-gJKs8H7SV6KhfbSFdpZ/view?usp=drivesdk</v>
      </c>
    </row>
    <row r="697">
      <c r="A697" s="50" t="s">
        <v>2826</v>
      </c>
      <c r="B697" s="50" t="str">
        <f>IFERROR(__xludf.DUMMYFUNCTION("""COMPUTED_VALUE"""),"SES-0009")</f>
        <v>SES-0009</v>
      </c>
      <c r="C697" s="50" t="str">
        <f>IFERROR(__xludf.DUMMYFUNCTION("""COMPUTED_VALUE"""),"smorvan@ucpasl.com")</f>
        <v>smorvan@ucpasl.com</v>
      </c>
      <c r="D697" s="127" t="str">
        <f>IFERROR(__xludf.DUMMYFUNCTION("""COMPUTED_VALUE"""),"https://drive.google.com/file/d/1y_gFTGsCh5Rku7BRoesUkHjr6pRSzFBw/view?usp=drivesdk")</f>
        <v>https://drive.google.com/file/d/1y_gFTGsCh5Rku7BRoesUkHjr6pRSzFBw/view?usp=drivesdk</v>
      </c>
    </row>
    <row r="698">
      <c r="A698" s="50" t="s">
        <v>2828</v>
      </c>
      <c r="B698" s="50" t="str">
        <f>IFERROR(__xludf.DUMMYFUNCTION("""COMPUTED_VALUE"""),"SES-0008")</f>
        <v>SES-0008</v>
      </c>
      <c r="C698" s="50" t="str">
        <f>IFERROR(__xludf.DUMMYFUNCTION("""COMPUTED_VALUE"""),"s.morvan@ucpasl.com")</f>
        <v>s.morvan@ucpasl.com</v>
      </c>
      <c r="D698" s="127" t="str">
        <f>IFERROR(__xludf.DUMMYFUNCTION("""COMPUTED_VALUE"""),"https://drive.google.com/file/d/1AhNUYBICzZsd_HQTMPGOBn82Fmjs3ru5/view?usp=drivesdk")</f>
        <v>https://drive.google.com/file/d/1AhNUYBICzZsd_HQTMPGOBn82Fmjs3ru5/view?usp=drivesdk</v>
      </c>
    </row>
    <row r="699">
      <c r="A699" s="50" t="s">
        <v>2830</v>
      </c>
      <c r="B699" s="50" t="str">
        <f>IFERROR(__xludf.DUMMYFUNCTION("""COMPUTED_VALUE"""),"SES-0008")</f>
        <v>SES-0008</v>
      </c>
      <c r="C699" s="50" t="str">
        <f>IFERROR(__xludf.DUMMYFUNCTION("""COMPUTED_VALUE"""),"fxmeuge@ucpa.asso.fr")</f>
        <v>fxmeuge@ucpa.asso.fr</v>
      </c>
      <c r="D699" s="127" t="str">
        <f>IFERROR(__xludf.DUMMYFUNCTION("""COMPUTED_VALUE"""),"https://drive.google.com/file/d/1o_BKPuvkW1LpXB8gKrM23UncLmMAu5CP/view?usp=drivesdk")</f>
        <v>https://drive.google.com/file/d/1o_BKPuvkW1LpXB8gKrM23UncLmMAu5CP/view?usp=drivesdk</v>
      </c>
    </row>
    <row r="700">
      <c r="A700" s="50" t="s">
        <v>2832</v>
      </c>
      <c r="B700" s="50" t="str">
        <f>IFERROR(__xludf.DUMMYFUNCTION("""COMPUTED_VALUE"""),"SES-0019")</f>
        <v>SES-0019</v>
      </c>
      <c r="C700" s="50" t="str">
        <f>IFERROR(__xludf.DUMMYFUNCTION("""COMPUTED_VALUE"""),"fxmeuge@ucpa.asso.fr")</f>
        <v>fxmeuge@ucpa.asso.fr</v>
      </c>
      <c r="D700" s="127" t="str">
        <f>IFERROR(__xludf.DUMMYFUNCTION("""COMPUTED_VALUE"""),"https://drive.google.com/file/d/1im-l2rbg2q_d0lzkEHGFMggeIeEMI0QL/view?usp=drivesdk")</f>
        <v>https://drive.google.com/file/d/1im-l2rbg2q_d0lzkEHGFMggeIeEMI0QL/view?usp=drivesdk</v>
      </c>
    </row>
    <row r="701">
      <c r="A701" s="50" t="s">
        <v>2835</v>
      </c>
      <c r="B701" s="50" t="str">
        <f>IFERROR(__xludf.DUMMYFUNCTION("""COMPUTED_VALUE"""),"SES-0018")</f>
        <v>SES-0018</v>
      </c>
      <c r="C701" s="50" t="str">
        <f>IFERROR(__xludf.DUMMYFUNCTION("""COMPUTED_VALUE"""),"npalisse@ucpa.asso.fr")</f>
        <v>npalisse@ucpa.asso.fr</v>
      </c>
      <c r="D701" s="127" t="str">
        <f>IFERROR(__xludf.DUMMYFUNCTION("""COMPUTED_VALUE"""),"https://drive.google.com/file/d/1zyej0sWjvrZR3biiaUXCtZy1-71tJXxe/view?usp=drivesdk")</f>
        <v>https://drive.google.com/file/d/1zyej0sWjvrZR3biiaUXCtZy1-71tJXxe/view?usp=drivesdk</v>
      </c>
    </row>
    <row r="702">
      <c r="A702" s="50" t="s">
        <v>2838</v>
      </c>
      <c r="B702" s="50" t="str">
        <f>IFERROR(__xludf.DUMMYFUNCTION("""COMPUTED_VALUE"""),"SES-0006")</f>
        <v>SES-0006</v>
      </c>
      <c r="C702" s="50" t="str">
        <f>IFERROR(__xludf.DUMMYFUNCTION("""COMPUTED_VALUE"""),"pbreton@ucpa.asso.fr")</f>
        <v>pbreton@ucpa.asso.fr</v>
      </c>
      <c r="D702" s="127" t="str">
        <f>IFERROR(__xludf.DUMMYFUNCTION("""COMPUTED_VALUE"""),"https://drive.google.com/file/d/1eROfNZeqE58D0EVHJzsikXjY0y52LPQq/view?usp=drivesdk")</f>
        <v>https://drive.google.com/file/d/1eROfNZeqE58D0EVHJzsikXjY0y52LPQq/view?usp=drivesdk</v>
      </c>
    </row>
    <row r="703">
      <c r="A703" s="50" t="s">
        <v>2840</v>
      </c>
      <c r="B703" s="50" t="str">
        <f>IFERROR(__xludf.DUMMYFUNCTION("""COMPUTED_VALUE"""),"SES-0007")</f>
        <v>SES-0007</v>
      </c>
      <c r="C703" s="50" t="str">
        <f>IFERROR(__xludf.DUMMYFUNCTION("""COMPUTED_VALUE"""),"pbreton@ucpa.asso.fr")</f>
        <v>pbreton@ucpa.asso.fr</v>
      </c>
      <c r="D703" s="127" t="str">
        <f>IFERROR(__xludf.DUMMYFUNCTION("""COMPUTED_VALUE"""),"https://drive.google.com/file/d/1j-HhJCRdumGC04KU3SUJ7AZuIqfdA0-B/view?usp=drivesdk")</f>
        <v>https://drive.google.com/file/d/1j-HhJCRdumGC04KU3SUJ7AZuIqfdA0-B/view?usp=drivesdk</v>
      </c>
    </row>
    <row r="704">
      <c r="A704" s="50" t="s">
        <v>2843</v>
      </c>
      <c r="B704" s="50" t="str">
        <f>IFERROR(__xludf.DUMMYFUNCTION("""COMPUTED_VALUE"""),"SES-0018")</f>
        <v>SES-0018</v>
      </c>
      <c r="C704" s="50" t="str">
        <f>IFERROR(__xludf.DUMMYFUNCTION("""COMPUTED_VALUE"""),"gebonnard@ucpa.asso.fr")</f>
        <v>gebonnard@ucpa.asso.fr</v>
      </c>
      <c r="D704" s="127" t="str">
        <f>IFERROR(__xludf.DUMMYFUNCTION("""COMPUTED_VALUE"""),"https://drive.google.com/file/d/1T3xJy8e9S8edo34vVz-_vB8RUK7Pe99c/view?usp=drivesdk")</f>
        <v>https://drive.google.com/file/d/1T3xJy8e9S8edo34vVz-_vB8RUK7Pe99c/view?usp=drivesdk</v>
      </c>
    </row>
    <row r="705">
      <c r="A705" s="50" t="s">
        <v>2846</v>
      </c>
      <c r="B705" s="50" t="str">
        <f>IFERROR(__xludf.DUMMYFUNCTION("""COMPUTED_VALUE"""),"SES-0009")</f>
        <v>SES-0009</v>
      </c>
      <c r="C705" s="50" t="str">
        <f>IFERROR(__xludf.DUMMYFUNCTION("""COMPUTED_VALUE"""),"jfoy@ucpa.asso.fr")</f>
        <v>jfoy@ucpa.asso.fr</v>
      </c>
      <c r="D705" s="127" t="str">
        <f>IFERROR(__xludf.DUMMYFUNCTION("""COMPUTED_VALUE"""),"https://drive.google.com/file/d/1slC6wU9iGI8AZxdqMwpTGd-6kWcl0GQz/view?usp=drivesdk")</f>
        <v>https://drive.google.com/file/d/1slC6wU9iGI8AZxdqMwpTGd-6kWcl0GQz/view?usp=drivesdk</v>
      </c>
    </row>
    <row r="706">
      <c r="A706" s="50" t="s">
        <v>2851</v>
      </c>
      <c r="B706" s="50" t="str">
        <f>IFERROR(__xludf.DUMMYFUNCTION("""COMPUTED_VALUE"""),"SES-0011")</f>
        <v>SES-0011</v>
      </c>
      <c r="C706" s="50" t="str">
        <f>IFERROR(__xludf.DUMMYFUNCTION("""COMPUTED_VALUE"""),"jfoy@ucpa.asso.fr")</f>
        <v>jfoy@ucpa.asso.fr</v>
      </c>
      <c r="D706" s="127" t="str">
        <f>IFERROR(__xludf.DUMMYFUNCTION("""COMPUTED_VALUE"""),"https://drive.google.com/file/d/1JbLik0DKQmjS4Ou-4I2pfzqFNqGUWr4p/view?usp=drivesdk")</f>
        <v>https://drive.google.com/file/d/1JbLik0DKQmjS4Ou-4I2pfzqFNqGUWr4p/view?usp=drivesdk</v>
      </c>
    </row>
    <row r="707">
      <c r="A707" s="50" t="s">
        <v>2855</v>
      </c>
      <c r="B707" s="50" t="str">
        <f>IFERROR(__xludf.DUMMYFUNCTION("""COMPUTED_VALUE"""),"SES-0012")</f>
        <v>SES-0012</v>
      </c>
      <c r="C707" s="50" t="str">
        <f>IFERROR(__xludf.DUMMYFUNCTION("""COMPUTED_VALUE"""),"jfoy@ucpa.asso.fr")</f>
        <v>jfoy@ucpa.asso.fr</v>
      </c>
      <c r="D707" s="127" t="str">
        <f>IFERROR(__xludf.DUMMYFUNCTION("""COMPUTED_VALUE"""),"https://drive.google.com/file/d/1GKe98NusoIL-gkUScO7f3cCb5O8i5lzq/view?usp=drivesdk")</f>
        <v>https://drive.google.com/file/d/1GKe98NusoIL-gkUScO7f3cCb5O8i5lzq/view?usp=drivesdk</v>
      </c>
    </row>
    <row r="708">
      <c r="A708" s="50" t="s">
        <v>2857</v>
      </c>
      <c r="B708" s="50" t="str">
        <f>IFERROR(__xludf.DUMMYFUNCTION("""COMPUTED_VALUE"""),"SES-0018")</f>
        <v>SES-0018</v>
      </c>
      <c r="C708" s="50" t="str">
        <f>IFERROR(__xludf.DUMMYFUNCTION("""COMPUTED_VALUE"""),"azamorahautier@ucpa.asso.fr")</f>
        <v>azamorahautier@ucpa.asso.fr</v>
      </c>
      <c r="D708" s="127" t="str">
        <f>IFERROR(__xludf.DUMMYFUNCTION("""COMPUTED_VALUE"""),"https://drive.google.com/file/d/1e36GVIDVMozN9Cf6SwFggk_pW3H_8v23/view?usp=drivesdk")</f>
        <v>https://drive.google.com/file/d/1e36GVIDVMozN9Cf6SwFggk_pW3H_8v23/view?usp=drivesdk</v>
      </c>
    </row>
    <row r="709">
      <c r="A709" s="50" t="s">
        <v>2861</v>
      </c>
      <c r="B709" s="50" t="str">
        <f>IFERROR(__xludf.DUMMYFUNCTION("""COMPUTED_VALUE"""),"SES-0004")</f>
        <v>SES-0004</v>
      </c>
      <c r="C709" s="50" t="str">
        <f>IFERROR(__xludf.DUMMYFUNCTION("""COMPUTED_VALUE"""),"ecusey@uscpasl.com")</f>
        <v>ecusey@uscpasl.com</v>
      </c>
      <c r="D709" s="127" t="str">
        <f>IFERROR(__xludf.DUMMYFUNCTION("""COMPUTED_VALUE"""),"https://drive.google.com/file/d/1jKFhiek4VK7nhSVe4OD7AA6uzKmwr_En/view?usp=drivesdk")</f>
        <v>https://drive.google.com/file/d/1jKFhiek4VK7nhSVe4OD7AA6uzKmwr_En/view?usp=drivesdk</v>
      </c>
    </row>
    <row r="710">
      <c r="A710" s="50" t="s">
        <v>2866</v>
      </c>
      <c r="B710" s="50" t="str">
        <f>IFERROR(__xludf.DUMMYFUNCTION("""COMPUTED_VALUE"""),"SES-0007")</f>
        <v>SES-0007</v>
      </c>
      <c r="C710" s="50" t="str">
        <f>IFERROR(__xludf.DUMMYFUNCTION("""COMPUTED_VALUE"""),"jfoy@ucpa.asso.fr")</f>
        <v>jfoy@ucpa.asso.fr</v>
      </c>
      <c r="D710" s="127" t="str">
        <f>IFERROR(__xludf.DUMMYFUNCTION("""COMPUTED_VALUE"""),"https://drive.google.com/file/d/1cDedenisdbPMRL5tam42SewNZIprFIwO/view?usp=drivesdk")</f>
        <v>https://drive.google.com/file/d/1cDedenisdbPMRL5tam42SewNZIprFIwO/view?usp=drivesdk</v>
      </c>
    </row>
    <row r="711">
      <c r="A711" s="50" t="s">
        <v>2869</v>
      </c>
      <c r="B711" s="50" t="str">
        <f>IFERROR(__xludf.DUMMYFUNCTION("""COMPUTED_VALUE"""),"SES-0008")</f>
        <v>SES-0008</v>
      </c>
      <c r="C711" s="50" t="str">
        <f>IFERROR(__xludf.DUMMYFUNCTION("""COMPUTED_VALUE"""),"jfoy@ucpa.asso.fr")</f>
        <v>jfoy@ucpa.asso.fr</v>
      </c>
      <c r="D711" s="127" t="str">
        <f>IFERROR(__xludf.DUMMYFUNCTION("""COMPUTED_VALUE"""),"https://drive.google.com/file/d/1aqv5e7ZkZueAn0KwkCN9ZzKgIFrnpXgR/view?usp=drivesdk")</f>
        <v>https://drive.google.com/file/d/1aqv5e7ZkZueAn0KwkCN9ZzKgIFrnpXgR/view?usp=drivesdk</v>
      </c>
    </row>
    <row r="712">
      <c r="A712" s="50" t="s">
        <v>2873</v>
      </c>
      <c r="B712" s="50" t="str">
        <f>IFERROR(__xludf.DUMMYFUNCTION("""COMPUTED_VALUE"""),"SES-0010")</f>
        <v>SES-0010</v>
      </c>
      <c r="C712" s="50" t="str">
        <f>IFERROR(__xludf.DUMMYFUNCTION("""COMPUTED_VALUE"""),"jfoy@ucpa.asso.fr")</f>
        <v>jfoy@ucpa.asso.fr</v>
      </c>
      <c r="D712" s="127" t="str">
        <f>IFERROR(__xludf.DUMMYFUNCTION("""COMPUTED_VALUE"""),"https://drive.google.com/file/d/12st4sDkN-lXot5puqdt4z-Vj9cg41alw/view?usp=drivesdk")</f>
        <v>https://drive.google.com/file/d/12st4sDkN-lXot5puqdt4z-Vj9cg41alw/view?usp=drivesdk</v>
      </c>
    </row>
    <row r="713">
      <c r="A713" s="50" t="s">
        <v>2876</v>
      </c>
      <c r="B713" s="50" t="str">
        <f>IFERROR(__xludf.DUMMYFUNCTION("""COMPUTED_VALUE"""),"SES-0016")</f>
        <v>SES-0016</v>
      </c>
      <c r="C713" s="50" t="str">
        <f>IFERROR(__xludf.DUMMYFUNCTION("""COMPUTED_VALUE"""),"jfoy@ucpa.asso.fr")</f>
        <v>jfoy@ucpa.asso.fr</v>
      </c>
      <c r="D713" s="127" t="str">
        <f>IFERROR(__xludf.DUMMYFUNCTION("""COMPUTED_VALUE"""),"https://drive.google.com/file/d/1Vzg5S0vHdtnVpxCFxh918WamZjf7k8fK/view?usp=drivesdk")</f>
        <v>https://drive.google.com/file/d/1Vzg5S0vHdtnVpxCFxh918WamZjf7k8fK/view?usp=drivesdk</v>
      </c>
    </row>
    <row r="714">
      <c r="A714" s="50" t="s">
        <v>2882</v>
      </c>
      <c r="B714" s="50" t="str">
        <f>IFERROR(__xludf.DUMMYFUNCTION("""COMPUTED_VALUE"""),"SES-0019")</f>
        <v>SES-0019</v>
      </c>
      <c r="C714" s="50" t="str">
        <f>IFERROR(__xludf.DUMMYFUNCTION("""COMPUTED_VALUE"""),"jfoy@ucpa.asso.fr")</f>
        <v>jfoy@ucpa.asso.fr</v>
      </c>
      <c r="D714" s="127" t="str">
        <f>IFERROR(__xludf.DUMMYFUNCTION("""COMPUTED_VALUE"""),"https://drive.google.com/file/d/1DH-UQPSXVD-f8_jKT5P8JT5TcL9SCFVk/view?usp=drivesdk")</f>
        <v>https://drive.google.com/file/d/1DH-UQPSXVD-f8_jKT5P8JT5TcL9SCFVk/view?usp=drivesdk</v>
      </c>
    </row>
    <row r="715">
      <c r="A715" s="50" t="s">
        <v>2887</v>
      </c>
      <c r="B715" s="50" t="str">
        <f>IFERROR(__xludf.DUMMYFUNCTION("""COMPUTED_VALUE"""),"SES-0020")</f>
        <v>SES-0020</v>
      </c>
      <c r="C715" s="50" t="str">
        <f>IFERROR(__xludf.DUMMYFUNCTION("""COMPUTED_VALUE"""),"jfoy@ucpa.asso.fr")</f>
        <v>jfoy@ucpa.asso.fr</v>
      </c>
      <c r="D715" s="127" t="str">
        <f>IFERROR(__xludf.DUMMYFUNCTION("""COMPUTED_VALUE"""),"https://drive.google.com/file/d/12GEJ4liqMSU4mPitjcHtsHeZTXQf84rH/view?usp=drivesdk")</f>
        <v>https://drive.google.com/file/d/12GEJ4liqMSU4mPitjcHtsHeZTXQf84rH/view?usp=drivesdk</v>
      </c>
    </row>
    <row r="716">
      <c r="A716" s="50" t="s">
        <v>2890</v>
      </c>
      <c r="B716" s="50" t="str">
        <f>IFERROR(__xludf.DUMMYFUNCTION("""COMPUTED_VALUE"""),"SES-0006")</f>
        <v>SES-0006</v>
      </c>
      <c r="C716" s="50" t="str">
        <f>IFERROR(__xludf.DUMMYFUNCTION("""COMPUTED_VALUE"""),"vdelamaire@pailleron19.com")</f>
        <v>vdelamaire@pailleron19.com</v>
      </c>
      <c r="D716" s="127" t="str">
        <f>IFERROR(__xludf.DUMMYFUNCTION("""COMPUTED_VALUE"""),"https://drive.google.com/file/d/1dzgB-Fbb7deMbMlOBFpRg-lLkPGqiQDZ/view?usp=drivesdk")</f>
        <v>https://drive.google.com/file/d/1dzgB-Fbb7deMbMlOBFpRg-lLkPGqiQDZ/view?usp=drivesdk</v>
      </c>
    </row>
    <row r="717">
      <c r="A717" s="50" t="s">
        <v>2895</v>
      </c>
      <c r="B717" s="50" t="str">
        <f>IFERROR(__xludf.DUMMYFUNCTION("""COMPUTED_VALUE"""),"SES-0010")</f>
        <v>SES-0010</v>
      </c>
      <c r="C717" s="50" t="str">
        <f>IFERROR(__xludf.DUMMYFUNCTION("""COMPUTED_VALUE"""),"imaitrejean@ucpa.asso.fr")</f>
        <v>imaitrejean@ucpa.asso.fr</v>
      </c>
      <c r="D717" s="127" t="str">
        <f>IFERROR(__xludf.DUMMYFUNCTION("""COMPUTED_VALUE"""),"https://drive.google.com/file/d/1FKHTG3j08EI_uRstm6EMFQvxT5DKTbmL/view?usp=drivesdk")</f>
        <v>https://drive.google.com/file/d/1FKHTG3j08EI_uRstm6EMFQvxT5DKTbmL/view?usp=drivesdk</v>
      </c>
    </row>
    <row r="718">
      <c r="A718" s="50" t="s">
        <v>2900</v>
      </c>
      <c r="B718" s="50" t="str">
        <f>IFERROR(__xludf.DUMMYFUNCTION("""COMPUTED_VALUE"""),"SES-0012")</f>
        <v>SES-0012</v>
      </c>
      <c r="C718" s="50" t="str">
        <f>IFERROR(__xludf.DUMMYFUNCTION("""COMPUTED_VALUE"""),"imaitrejean@ucpa.asso.fr")</f>
        <v>imaitrejean@ucpa.asso.fr</v>
      </c>
      <c r="D718" s="127" t="str">
        <f>IFERROR(__xludf.DUMMYFUNCTION("""COMPUTED_VALUE"""),"https://drive.google.com/file/d/1dsSO-VdI0HWsCVXvnXAeBzKMYBh6Xnwe/view?usp=drivesdk")</f>
        <v>https://drive.google.com/file/d/1dsSO-VdI0HWsCVXvnXAeBzKMYBh6Xnwe/view?usp=drivesdk</v>
      </c>
    </row>
    <row r="719">
      <c r="A719" s="50" t="s">
        <v>2903</v>
      </c>
      <c r="B719" s="50" t="str">
        <f>IFERROR(__xludf.DUMMYFUNCTION("""COMPUTED_VALUE"""),"SES-0006")</f>
        <v>SES-0006</v>
      </c>
      <c r="C719" s="50" t="str">
        <f>IFERROR(__xludf.DUMMYFUNCTION("""COMPUTED_VALUE"""),"mmahe@ucpa.asso.fr")</f>
        <v>mmahe@ucpa.asso.fr</v>
      </c>
      <c r="D719" s="127" t="str">
        <f>IFERROR(__xludf.DUMMYFUNCTION("""COMPUTED_VALUE"""),"https://drive.google.com/file/d/1DFtCgF8pWDvSsI_8bqLSlAuDaDj-cgay/view?usp=drivesdk")</f>
        <v>https://drive.google.com/file/d/1DFtCgF8pWDvSsI_8bqLSlAuDaDj-cgay/view?usp=drivesdk</v>
      </c>
    </row>
    <row r="720">
      <c r="A720" s="50" t="s">
        <v>2906</v>
      </c>
      <c r="B720" s="50" t="str">
        <f>IFERROR(__xludf.DUMMYFUNCTION("""COMPUTED_VALUE"""),"SES-0004")</f>
        <v>SES-0004</v>
      </c>
      <c r="C720" s="50" t="str">
        <f>IFERROR(__xludf.DUMMYFUNCTION("""COMPUTED_VALUE"""),"mmahe@ucpa.asso.fr")</f>
        <v>mmahe@ucpa.asso.fr</v>
      </c>
      <c r="D720" s="127" t="str">
        <f>IFERROR(__xludf.DUMMYFUNCTION("""COMPUTED_VALUE"""),"https://drive.google.com/file/d/1zMv6a_t0h2c5n1b5mHIB_R98G0H5ikuL/view?usp=drivesdk")</f>
        <v>https://drive.google.com/file/d/1zMv6a_t0h2c5n1b5mHIB_R98G0H5ikuL/view?usp=drivesdk</v>
      </c>
    </row>
    <row r="721">
      <c r="A721" s="50" t="s">
        <v>2909</v>
      </c>
      <c r="B721" s="50" t="str">
        <f>IFERROR(__xludf.DUMMYFUNCTION("""COMPUTED_VALUE"""),"SES-0007")</f>
        <v>SES-0007</v>
      </c>
      <c r="C721" s="50" t="str">
        <f>IFERROR(__xludf.DUMMYFUNCTION("""COMPUTED_VALUE"""),"mmahe@ucpa.asso.fr")</f>
        <v>mmahe@ucpa.asso.fr</v>
      </c>
      <c r="D721" s="127" t="str">
        <f>IFERROR(__xludf.DUMMYFUNCTION("""COMPUTED_VALUE"""),"https://drive.google.com/file/d/1hRU2FMZR8YA-GzEP5S6KSUmM5YwManT4/view?usp=drivesdk")</f>
        <v>https://drive.google.com/file/d/1hRU2FMZR8YA-GzEP5S6KSUmM5YwManT4/view?usp=drivesdk</v>
      </c>
    </row>
    <row r="722">
      <c r="A722" s="50" t="s">
        <v>2913</v>
      </c>
      <c r="B722" s="50" t="str">
        <f>IFERROR(__xludf.DUMMYFUNCTION("""COMPUTED_VALUE"""),"SES-0008")</f>
        <v>SES-0008</v>
      </c>
      <c r="C722" s="50" t="str">
        <f>IFERROR(__xludf.DUMMYFUNCTION("""COMPUTED_VALUE"""),"mmahe@ucpa.asso.fr")</f>
        <v>mmahe@ucpa.asso.fr</v>
      </c>
      <c r="D722" s="127" t="str">
        <f>IFERROR(__xludf.DUMMYFUNCTION("""COMPUTED_VALUE"""),"https://drive.google.com/file/d/14A7a5qUmLzj6kBjE0E5pFuh7A1EYv1TV/view?usp=drivesdk")</f>
        <v>https://drive.google.com/file/d/14A7a5qUmLzj6kBjE0E5pFuh7A1EYv1TV/view?usp=drivesdk</v>
      </c>
    </row>
    <row r="723">
      <c r="A723" s="50" t="s">
        <v>2918</v>
      </c>
      <c r="B723" s="50" t="str">
        <f>IFERROR(__xludf.DUMMYFUNCTION("""COMPUTED_VALUE"""),"SES-0009")</f>
        <v>SES-0009</v>
      </c>
      <c r="C723" s="50" t="str">
        <f>IFERROR(__xludf.DUMMYFUNCTION("""COMPUTED_VALUE"""),"mmahe@ucpa.asso.fr")</f>
        <v>mmahe@ucpa.asso.fr</v>
      </c>
      <c r="D723" s="127" t="str">
        <f>IFERROR(__xludf.DUMMYFUNCTION("""COMPUTED_VALUE"""),"https://drive.google.com/file/d/19YyCELlhci4nyn8wXx9sGyqKHf_TLHL8/view?usp=drivesdk")</f>
        <v>https://drive.google.com/file/d/19YyCELlhci4nyn8wXx9sGyqKHf_TLHL8/view?usp=drivesdk</v>
      </c>
    </row>
    <row r="724">
      <c r="A724" s="50" t="s">
        <v>2921</v>
      </c>
      <c r="B724" s="50" t="str">
        <f>IFERROR(__xludf.DUMMYFUNCTION("""COMPUTED_VALUE"""),"SES-0010")</f>
        <v>SES-0010</v>
      </c>
      <c r="C724" s="50" t="str">
        <f>IFERROR(__xludf.DUMMYFUNCTION("""COMPUTED_VALUE"""),"mmahe@ucpa.asso.fr")</f>
        <v>mmahe@ucpa.asso.fr</v>
      </c>
      <c r="D724" s="127" t="str">
        <f>IFERROR(__xludf.DUMMYFUNCTION("""COMPUTED_VALUE"""),"https://drive.google.com/file/d/1Af47sUTPGytDcEH1zWuqJqfD5KPU0yLM/view?usp=drivesdk")</f>
        <v>https://drive.google.com/file/d/1Af47sUTPGytDcEH1zWuqJqfD5KPU0yLM/view?usp=drivesdk</v>
      </c>
    </row>
    <row r="725">
      <c r="A725" s="50" t="s">
        <v>2924</v>
      </c>
      <c r="B725" s="50" t="str">
        <f>IFERROR(__xludf.DUMMYFUNCTION("""COMPUTED_VALUE"""),"SES-0011")</f>
        <v>SES-0011</v>
      </c>
      <c r="C725" s="50" t="str">
        <f>IFERROR(__xludf.DUMMYFUNCTION("""COMPUTED_VALUE"""),"mmahe@ucpa.asso.fr")</f>
        <v>mmahe@ucpa.asso.fr</v>
      </c>
      <c r="D725" s="127" t="str">
        <f>IFERROR(__xludf.DUMMYFUNCTION("""COMPUTED_VALUE"""),"https://drive.google.com/file/d/1vyBri-3MK8tySVMWlhe8TAn-H3mL0WkZ/view?usp=drivesdk")</f>
        <v>https://drive.google.com/file/d/1vyBri-3MK8tySVMWlhe8TAn-H3mL0WkZ/view?usp=drivesdk</v>
      </c>
    </row>
    <row r="726">
      <c r="A726" s="50" t="s">
        <v>2928</v>
      </c>
      <c r="B726" s="50" t="str">
        <f>IFERROR(__xludf.DUMMYFUNCTION("""COMPUTED_VALUE"""),"SES-0012")</f>
        <v>SES-0012</v>
      </c>
      <c r="C726" s="50" t="str">
        <f>IFERROR(__xludf.DUMMYFUNCTION("""COMPUTED_VALUE"""),"mmahe@ucpa.asso.fr")</f>
        <v>mmahe@ucpa.asso.fr</v>
      </c>
      <c r="D726" s="127" t="str">
        <f>IFERROR(__xludf.DUMMYFUNCTION("""COMPUTED_VALUE"""),"https://drive.google.com/file/d/1TqMMjG3F3X_XJ54GOfqIY_ktLDZdDVtk/view?usp=drivesdk")</f>
        <v>https://drive.google.com/file/d/1TqMMjG3F3X_XJ54GOfqIY_ktLDZdDVtk/view?usp=drivesdk</v>
      </c>
    </row>
    <row r="727">
      <c r="A727" s="50" t="s">
        <v>2932</v>
      </c>
      <c r="B727" s="50" t="str">
        <f>IFERROR(__xludf.DUMMYFUNCTION("""COMPUTED_VALUE"""),"SES-0005")</f>
        <v>SES-0005</v>
      </c>
      <c r="C727" s="50" t="str">
        <f>IFERROR(__xludf.DUMMYFUNCTION("""COMPUTED_VALUE"""),"mmahe@ucpa.asso.fr")</f>
        <v>mmahe@ucpa.asso.fr</v>
      </c>
      <c r="D727" s="127" t="str">
        <f>IFERROR(__xludf.DUMMYFUNCTION("""COMPUTED_VALUE"""),"https://drive.google.com/file/d/1qdUW0z_LsbBEiepmVLppyKfrMF3tjln5/view?usp=drivesdk")</f>
        <v>https://drive.google.com/file/d/1qdUW0z_LsbBEiepmVLppyKfrMF3tjln5/view?usp=drivesdk</v>
      </c>
    </row>
    <row r="728">
      <c r="A728" s="50" t="s">
        <v>2937</v>
      </c>
      <c r="B728" s="50" t="str">
        <f>IFERROR(__xludf.DUMMYFUNCTION("""COMPUTED_VALUE"""),"SES-0012")</f>
        <v>SES-0012</v>
      </c>
      <c r="C728" s="50" t="str">
        <f>IFERROR(__xludf.DUMMYFUNCTION("""COMPUTED_VALUE"""),"nkhoulalene@ucpa.asso.fr")</f>
        <v>nkhoulalene@ucpa.asso.fr</v>
      </c>
      <c r="D728" s="127" t="str">
        <f>IFERROR(__xludf.DUMMYFUNCTION("""COMPUTED_VALUE"""),"https://drive.google.com/file/d/1J2Fq4WLc-3-Q4rO0Iu4-HQseykY9xIzI/view?usp=drivesdk")</f>
        <v>https://drive.google.com/file/d/1J2Fq4WLc-3-Q4rO0Iu4-HQseykY9xIzI/view?usp=drivesdk</v>
      </c>
    </row>
    <row r="729">
      <c r="A729" s="50" t="s">
        <v>2941</v>
      </c>
      <c r="B729" s="50" t="str">
        <f>IFERROR(__xludf.DUMMYFUNCTION("""COMPUTED_VALUE"""),"SES-0015")</f>
        <v>SES-0015</v>
      </c>
      <c r="C729" s="50" t="str">
        <f>IFERROR(__xludf.DUMMYFUNCTION("""COMPUTED_VALUE"""),"tdelcourt@ucpasl.com")</f>
        <v>tdelcourt@ucpasl.com</v>
      </c>
      <c r="D729" s="127" t="str">
        <f>IFERROR(__xludf.DUMMYFUNCTION("""COMPUTED_VALUE"""),"https://drive.google.com/file/d/1j3foYCCTlBqpNGAtYRkUykE8FmuBua82/view?usp=drivesdk")</f>
        <v>https://drive.google.com/file/d/1j3foYCCTlBqpNGAtYRkUykE8FmuBua82/view?usp=drivesdk</v>
      </c>
    </row>
    <row r="730">
      <c r="A730" s="50" t="s">
        <v>2945</v>
      </c>
      <c r="B730" s="50" t="str">
        <f>IFERROR(__xludf.DUMMYFUNCTION("""COMPUTED_VALUE"""),"SES-0018")</f>
        <v>SES-0018</v>
      </c>
      <c r="C730" s="50" t="str">
        <f>IFERROR(__xludf.DUMMYFUNCTION("""COMPUTED_VALUE"""),"tdelcourt@ucpasl.com")</f>
        <v>tdelcourt@ucpasl.com</v>
      </c>
      <c r="D730" s="127" t="str">
        <f>IFERROR(__xludf.DUMMYFUNCTION("""COMPUTED_VALUE"""),"https://drive.google.com/file/d/1ugAcscezVq4WxOszX-Klca-mL1egK3VO/view?usp=drivesdk")</f>
        <v>https://drive.google.com/file/d/1ugAcscezVq4WxOszX-Klca-mL1egK3VO/view?usp=drivesdk</v>
      </c>
    </row>
    <row r="731">
      <c r="A731" s="50" t="s">
        <v>2949</v>
      </c>
      <c r="B731" s="50" t="str">
        <f>IFERROR(__xludf.DUMMYFUNCTION("""COMPUTED_VALUE"""),"SES-0019")</f>
        <v>SES-0019</v>
      </c>
      <c r="C731" s="50" t="str">
        <f>IFERROR(__xludf.DUMMYFUNCTION("""COMPUTED_VALUE"""),"sradiguet@ucpa.asso.fr")</f>
        <v>sradiguet@ucpa.asso.fr</v>
      </c>
      <c r="D731" s="127" t="str">
        <f>IFERROR(__xludf.DUMMYFUNCTION("""COMPUTED_VALUE"""),"https://drive.google.com/file/d/1MXa8ciWYvenZLusMX_9C0faZ71PtXJdc/view?usp=drivesdk")</f>
        <v>https://drive.google.com/file/d/1MXa8ciWYvenZLusMX_9C0faZ71PtXJdc/view?usp=drivesdk</v>
      </c>
    </row>
    <row r="732">
      <c r="A732" s="50" t="s">
        <v>2954</v>
      </c>
      <c r="B732" s="50" t="str">
        <f>IFERROR(__xludf.DUMMYFUNCTION("""COMPUTED_VALUE"""),"SES-0005")</f>
        <v>SES-0005</v>
      </c>
      <c r="C732" s="50" t="str">
        <f>IFERROR(__xludf.DUMMYFUNCTION("""COMPUTED_VALUE"""),"sradiguet@ucpa.asso.fr")</f>
        <v>sradiguet@ucpa.asso.fr</v>
      </c>
      <c r="D732" s="127" t="str">
        <f>IFERROR(__xludf.DUMMYFUNCTION("""COMPUTED_VALUE"""),"https://drive.google.com/file/d/1VF2gsJ0XY5g_VM2T0yA2NYo4_l69XTmi/view?usp=drivesdk")</f>
        <v>https://drive.google.com/file/d/1VF2gsJ0XY5g_VM2T0yA2NYo4_l69XTmi/view?usp=drivesdk</v>
      </c>
    </row>
    <row r="733">
      <c r="A733" s="50" t="s">
        <v>2959</v>
      </c>
      <c r="B733" s="50" t="str">
        <f>IFERROR(__xludf.DUMMYFUNCTION("""COMPUTED_VALUE"""),"SES-0006")</f>
        <v>SES-0006</v>
      </c>
      <c r="C733" s="50" t="str">
        <f>IFERROR(__xludf.DUMMYFUNCTION("""COMPUTED_VALUE"""),"gmeissonnier@ucpa.asso.fr")</f>
        <v>gmeissonnier@ucpa.asso.fr</v>
      </c>
      <c r="D733" s="127" t="str">
        <f>IFERROR(__xludf.DUMMYFUNCTION("""COMPUTED_VALUE"""),"https://drive.google.com/file/d/1E4rorM1zwCrID19CS3q85vFnRipZHCj_/view?usp=drivesdk")</f>
        <v>https://drive.google.com/file/d/1E4rorM1zwCrID19CS3q85vFnRipZHCj_/view?usp=drivesdk</v>
      </c>
    </row>
    <row r="734">
      <c r="A734" s="50" t="s">
        <v>2962</v>
      </c>
      <c r="B734" s="50" t="str">
        <f>IFERROR(__xludf.DUMMYFUNCTION("""COMPUTED_VALUE"""),"SES-0012")</f>
        <v>SES-0012</v>
      </c>
      <c r="C734" s="50" t="str">
        <f>IFERROR(__xludf.DUMMYFUNCTION("""COMPUTED_VALUE"""),"cassin.sophie.18@gmail.com")</f>
        <v>cassin.sophie.18@gmail.com</v>
      </c>
      <c r="D734" s="127" t="str">
        <f>IFERROR(__xludf.DUMMYFUNCTION("""COMPUTED_VALUE"""),"https://drive.google.com/file/d/1MxeMctbq0r5HOwwT4tcSeCrb6PMbyMMh/view?usp=drivesdk")</f>
        <v>https://drive.google.com/file/d/1MxeMctbq0r5HOwwT4tcSeCrb6PMbyMMh/view?usp=drivesdk</v>
      </c>
    </row>
    <row r="735">
      <c r="A735" s="50" t="s">
        <v>2966</v>
      </c>
      <c r="B735" s="50" t="str">
        <f>IFERROR(__xludf.DUMMYFUNCTION("""COMPUTED_VALUE"""),"SES-0005")</f>
        <v>SES-0005</v>
      </c>
      <c r="C735" s="50" t="str">
        <f>IFERROR(__xludf.DUMMYFUNCTION("""COMPUTED_VALUE"""),"cassin.sophie.18@gmail.com")</f>
        <v>cassin.sophie.18@gmail.com</v>
      </c>
      <c r="D735" s="127" t="str">
        <f>IFERROR(__xludf.DUMMYFUNCTION("""COMPUTED_VALUE"""),"https://drive.google.com/file/d/1dA1NW6KRznD4HqnLoVoM09LJ1NApDpL1/view?usp=drivesdk")</f>
        <v>https://drive.google.com/file/d/1dA1NW6KRznD4HqnLoVoM09LJ1NApDpL1/view?usp=drivesdk</v>
      </c>
    </row>
    <row r="736">
      <c r="A736" s="50" t="s">
        <v>2970</v>
      </c>
      <c r="B736" s="50" t="str">
        <f>IFERROR(__xludf.DUMMYFUNCTION("""COMPUTED_VALUE"""),"SES-0015")</f>
        <v>SES-0015</v>
      </c>
      <c r="C736" s="50" t="str">
        <f>IFERROR(__xludf.DUMMYFUNCTION("""COMPUTED_VALUE"""),"cassin.sophie.18@gmail.com")</f>
        <v>cassin.sophie.18@gmail.com</v>
      </c>
      <c r="D736" s="127" t="str">
        <f>IFERROR(__xludf.DUMMYFUNCTION("""COMPUTED_VALUE"""),"https://drive.google.com/file/d/1Fi78ds-z9wUFBSDgSIdWHqv7lH7CzS9z/view?usp=drivesdk")</f>
        <v>https://drive.google.com/file/d/1Fi78ds-z9wUFBSDgSIdWHqv7lH7CzS9z/view?usp=drivesdk</v>
      </c>
    </row>
    <row r="737">
      <c r="A737" s="50" t="s">
        <v>2974</v>
      </c>
      <c r="B737" s="50" t="str">
        <f>IFERROR(__xludf.DUMMYFUNCTION("""COMPUTED_VALUE"""),"SES-0016")</f>
        <v>SES-0016</v>
      </c>
      <c r="C737" s="50" t="str">
        <f>IFERROR(__xludf.DUMMYFUNCTION("""COMPUTED_VALUE"""),"cassin.sophie.18@gmail.com")</f>
        <v>cassin.sophie.18@gmail.com</v>
      </c>
      <c r="D737" s="127" t="str">
        <f>IFERROR(__xludf.DUMMYFUNCTION("""COMPUTED_VALUE"""),"https://drive.google.com/file/d/1suOB0YyIZquzNPSemyhLTH1wrI9o_Sf0/view?usp=drivesdk")</f>
        <v>https://drive.google.com/file/d/1suOB0YyIZquzNPSemyhLTH1wrI9o_Sf0/view?usp=drivesdk</v>
      </c>
    </row>
    <row r="738">
      <c r="A738" s="50" t="s">
        <v>2979</v>
      </c>
      <c r="B738" s="50" t="str">
        <f>IFERROR(__xludf.DUMMYFUNCTION("""COMPUTED_VALUE"""),"SES-0018")</f>
        <v>SES-0018</v>
      </c>
      <c r="C738" s="50" t="str">
        <f>IFERROR(__xludf.DUMMYFUNCTION("""COMPUTED_VALUE"""),"cassin.sophie.18@gmail.com")</f>
        <v>cassin.sophie.18@gmail.com</v>
      </c>
      <c r="D738" s="127" t="str">
        <f>IFERROR(__xludf.DUMMYFUNCTION("""COMPUTED_VALUE"""),"https://drive.google.com/file/d/1V631CHOaeNaqLVO_y7WNGDvai9VjNMJL/view?usp=drivesdk")</f>
        <v>https://drive.google.com/file/d/1V631CHOaeNaqLVO_y7WNGDvai9VjNMJL/view?usp=drivesdk</v>
      </c>
    </row>
    <row r="739">
      <c r="A739" s="50" t="s">
        <v>2984</v>
      </c>
      <c r="B739" s="50" t="str">
        <f>IFERROR(__xludf.DUMMYFUNCTION("""COMPUTED_VALUE"""),"SES-0021")</f>
        <v>SES-0021</v>
      </c>
      <c r="C739" s="50" t="str">
        <f>IFERROR(__xludf.DUMMYFUNCTION("""COMPUTED_VALUE"""),"cassin.sophie.18@gmail.com")</f>
        <v>cassin.sophie.18@gmail.com</v>
      </c>
      <c r="D739" s="127" t="str">
        <f>IFERROR(__xludf.DUMMYFUNCTION("""COMPUTED_VALUE"""),"https://drive.google.com/file/d/1LbGnUe-hH-tJxosOpQsKw8EgPj7stPLN/view?usp=drivesdk")</f>
        <v>https://drive.google.com/file/d/1LbGnUe-hH-tJxosOpQsKw8EgPj7stPLN/view?usp=drivesdk</v>
      </c>
    </row>
    <row r="740">
      <c r="A740" s="50" t="s">
        <v>2987</v>
      </c>
      <c r="B740" s="50" t="str">
        <f>IFERROR(__xludf.DUMMYFUNCTION("""COMPUTED_VALUE"""),"SES-0020")</f>
        <v>SES-0020</v>
      </c>
      <c r="C740" s="50" t="str">
        <f>IFERROR(__xludf.DUMMYFUNCTION("""COMPUTED_VALUE"""),"cassin.sophie.18@gmail.com")</f>
        <v>cassin.sophie.18@gmail.com</v>
      </c>
      <c r="D740" s="127" t="str">
        <f>IFERROR(__xludf.DUMMYFUNCTION("""COMPUTED_VALUE"""),"https://drive.google.com/file/d/1Qvh6mdLwaSkvYJrm4e5uSnDavJj5Hmaw/view?usp=drivesdk")</f>
        <v>https://drive.google.com/file/d/1Qvh6mdLwaSkvYJrm4e5uSnDavJj5Hmaw/view?usp=drivesdk</v>
      </c>
    </row>
    <row r="741">
      <c r="A741" s="50" t="s">
        <v>2990</v>
      </c>
      <c r="B741" s="50" t="str">
        <f>IFERROR(__xludf.DUMMYFUNCTION("""COMPUTED_VALUE"""),"SES-0004")</f>
        <v>SES-0004</v>
      </c>
      <c r="C741" s="50" t="str">
        <f>IFERROR(__xludf.DUMMYFUNCTION("""COMPUTED_VALUE"""),"cassin.sophie.18@gmail.com")</f>
        <v>cassin.sophie.18@gmail.com</v>
      </c>
      <c r="D741" s="127" t="str">
        <f>IFERROR(__xludf.DUMMYFUNCTION("""COMPUTED_VALUE"""),"https://drive.google.com/file/d/1OdAyrrUs0oyBHeWWYBP2O2DSo41XRl0g/view?usp=drivesdk")</f>
        <v>https://drive.google.com/file/d/1OdAyrrUs0oyBHeWWYBP2O2DSo41XRl0g/view?usp=drivesdk</v>
      </c>
    </row>
    <row r="742">
      <c r="A742" s="50" t="s">
        <v>2995</v>
      </c>
      <c r="B742" s="50" t="str">
        <f>IFERROR(__xludf.DUMMYFUNCTION("""COMPUTED_VALUE"""),"SES-0006")</f>
        <v>SES-0006</v>
      </c>
      <c r="C742" s="50" t="str">
        <f>IFERROR(__xludf.DUMMYFUNCTION("""COMPUTED_VALUE"""),"cassin.sophie.18@gmail.com")</f>
        <v>cassin.sophie.18@gmail.com</v>
      </c>
      <c r="D742" s="127" t="str">
        <f>IFERROR(__xludf.DUMMYFUNCTION("""COMPUTED_VALUE"""),"https://drive.google.com/file/d/1i3S-7aM0OXDAilSRqXq36Dl2ovtF_Eai/view?usp=drivesdk")</f>
        <v>https://drive.google.com/file/d/1i3S-7aM0OXDAilSRqXq36Dl2ovtF_Eai/view?usp=drivesdk</v>
      </c>
    </row>
    <row r="743">
      <c r="A743" s="50" t="s">
        <v>2998</v>
      </c>
      <c r="B743" s="50" t="str">
        <f>IFERROR(__xludf.DUMMYFUNCTION("""COMPUTED_VALUE"""),"SES-0014")</f>
        <v>SES-0014</v>
      </c>
      <c r="C743" s="50" t="str">
        <f>IFERROR(__xludf.DUMMYFUNCTION("""COMPUTED_VALUE"""),"mjouan@ucpa.asso.fr")</f>
        <v>mjouan@ucpa.asso.fr</v>
      </c>
      <c r="D743" s="127" t="str">
        <f>IFERROR(__xludf.DUMMYFUNCTION("""COMPUTED_VALUE"""),"https://drive.google.com/file/d/11SmhYzYXjAuIKuKnyC0z1XRapvAZD96m/view?usp=drivesdk")</f>
        <v>https://drive.google.com/file/d/11SmhYzYXjAuIKuKnyC0z1XRapvAZD96m/view?usp=drivesdk</v>
      </c>
    </row>
    <row r="744">
      <c r="A744" s="50" t="s">
        <v>3002</v>
      </c>
      <c r="B744" s="50" t="str">
        <f>IFERROR(__xludf.DUMMYFUNCTION("""COMPUTED_VALUE"""),"SES-0004")</f>
        <v>SES-0004</v>
      </c>
      <c r="C744" s="50" t="str">
        <f>IFERROR(__xludf.DUMMYFUNCTION("""COMPUTED_VALUE"""),"vdelamaire@pailleron19.com")</f>
        <v>vdelamaire@pailleron19.com</v>
      </c>
      <c r="D744" s="127" t="str">
        <f>IFERROR(__xludf.DUMMYFUNCTION("""COMPUTED_VALUE"""),"https://drive.google.com/file/d/1VtMG1rq5DXE-83wGWw2-sKGsbCIRXN48/view?usp=drivesdk")</f>
        <v>https://drive.google.com/file/d/1VtMG1rq5DXE-83wGWw2-sKGsbCIRXN48/view?usp=drivesdk</v>
      </c>
    </row>
    <row r="745">
      <c r="A745" s="50" t="s">
        <v>3005</v>
      </c>
      <c r="B745" s="50" t="str">
        <f>IFERROR(__xludf.DUMMYFUNCTION("""COMPUTED_VALUE"""),"SES-0007")</f>
        <v>SES-0007</v>
      </c>
      <c r="C745" s="50" t="str">
        <f>IFERROR(__xludf.DUMMYFUNCTION("""COMPUTED_VALUE"""),"vdelamaire@pailleron19.com")</f>
        <v>vdelamaire@pailleron19.com</v>
      </c>
      <c r="D745" s="127" t="str">
        <f>IFERROR(__xludf.DUMMYFUNCTION("""COMPUTED_VALUE"""),"https://drive.google.com/file/d/1k-ri_t4VWpuDuQMwO0y1MSvu0V4VdpXY/view?usp=drivesdk")</f>
        <v>https://drive.google.com/file/d/1k-ri_t4VWpuDuQMwO0y1MSvu0V4VdpXY/view?usp=drivesdk</v>
      </c>
    </row>
    <row r="746">
      <c r="A746" s="50" t="s">
        <v>3008</v>
      </c>
      <c r="B746" s="50" t="str">
        <f>IFERROR(__xludf.DUMMYFUNCTION("""COMPUTED_VALUE"""),"SES-0009")</f>
        <v>SES-0009</v>
      </c>
      <c r="C746" s="50" t="str">
        <f>IFERROR(__xludf.DUMMYFUNCTION("""COMPUTED_VALUE"""),"vdelamaire@pailleron19.com")</f>
        <v>vdelamaire@pailleron19.com</v>
      </c>
      <c r="D746" s="127" t="str">
        <f>IFERROR(__xludf.DUMMYFUNCTION("""COMPUTED_VALUE"""),"https://drive.google.com/file/d/1n07XQRgJW33XH3dEIfTEluQmYDFMLZ7z/view?usp=drivesdk")</f>
        <v>https://drive.google.com/file/d/1n07XQRgJW33XH3dEIfTEluQmYDFMLZ7z/view?usp=drivesdk</v>
      </c>
    </row>
    <row r="747">
      <c r="A747" s="50" t="s">
        <v>3011</v>
      </c>
      <c r="B747" s="50" t="str">
        <f>IFERROR(__xludf.DUMMYFUNCTION("""COMPUTED_VALUE"""),"SES-0011")</f>
        <v>SES-0011</v>
      </c>
      <c r="C747" s="50" t="str">
        <f>IFERROR(__xludf.DUMMYFUNCTION("""COMPUTED_VALUE"""),"vdelamaire@pailleron19.com")</f>
        <v>vdelamaire@pailleron19.com</v>
      </c>
      <c r="D747" s="127" t="str">
        <f>IFERROR(__xludf.DUMMYFUNCTION("""COMPUTED_VALUE"""),"https://drive.google.com/file/d/1m2Nthrtq57lScVf5IQR5DRKn-ZPKIDmG/view?usp=drivesdk")</f>
        <v>https://drive.google.com/file/d/1m2Nthrtq57lScVf5IQR5DRKn-ZPKIDmG/view?usp=drivesdk</v>
      </c>
    </row>
    <row r="748">
      <c r="A748" s="50" t="s">
        <v>3016</v>
      </c>
      <c r="B748" s="50" t="str">
        <f>IFERROR(__xludf.DUMMYFUNCTION("""COMPUTED_VALUE"""),"SES-0012")</f>
        <v>SES-0012</v>
      </c>
      <c r="C748" s="50" t="str">
        <f>IFERROR(__xludf.DUMMYFUNCTION("""COMPUTED_VALUE"""),"vdelamaire@pailleron19.com")</f>
        <v>vdelamaire@pailleron19.com</v>
      </c>
      <c r="D748" s="127" t="str">
        <f>IFERROR(__xludf.DUMMYFUNCTION("""COMPUTED_VALUE"""),"https://drive.google.com/file/d/1JU9mQ6z29BsH_VMPPSg2gVX6tBWDWqyy/view?usp=drivesdk")</f>
        <v>https://drive.google.com/file/d/1JU9mQ6z29BsH_VMPPSg2gVX6tBWDWqyy/view?usp=drivesdk</v>
      </c>
    </row>
    <row r="749">
      <c r="A749" s="50" t="s">
        <v>3022</v>
      </c>
      <c r="B749" s="50" t="str">
        <f>IFERROR(__xludf.DUMMYFUNCTION("""COMPUTED_VALUE"""),"SES-0005")</f>
        <v>SES-0005</v>
      </c>
      <c r="C749" s="50" t="str">
        <f>IFERROR(__xludf.DUMMYFUNCTION("""COMPUTED_VALUE"""),"vdelamaire@pailleron19.com")</f>
        <v>vdelamaire@pailleron19.com</v>
      </c>
      <c r="D749" s="127" t="str">
        <f>IFERROR(__xludf.DUMMYFUNCTION("""COMPUTED_VALUE"""),"https://drive.google.com/file/d/1cLtthlNZKiIVK6fKx5_JkJ-8ts2_CGyb/view?usp=drivesdk")</f>
        <v>https://drive.google.com/file/d/1cLtthlNZKiIVK6fKx5_JkJ-8ts2_CGyb/view?usp=drivesdk</v>
      </c>
    </row>
    <row r="750">
      <c r="A750" s="50" t="s">
        <v>3026</v>
      </c>
      <c r="B750" s="50" t="str">
        <f>IFERROR(__xludf.DUMMYFUNCTION("""COMPUTED_VALUE"""),"SES-0014")</f>
        <v>SES-0014</v>
      </c>
      <c r="C750" s="50" t="str">
        <f>IFERROR(__xludf.DUMMYFUNCTION("""COMPUTED_VALUE"""),"vdelamaire@pailleron19.com")</f>
        <v>vdelamaire@pailleron19.com</v>
      </c>
      <c r="D750" s="127" t="str">
        <f>IFERROR(__xludf.DUMMYFUNCTION("""COMPUTED_VALUE"""),"https://drive.google.com/file/d/1H4e3rbz2OiM6Tr_QSVVyK5p8mtS52Vha/view?usp=drivesdk")</f>
        <v>https://drive.google.com/file/d/1H4e3rbz2OiM6Tr_QSVVyK5p8mtS52Vha/view?usp=drivesdk</v>
      </c>
    </row>
    <row r="751">
      <c r="A751" s="50" t="s">
        <v>3030</v>
      </c>
      <c r="B751" s="50" t="str">
        <f>IFERROR(__xludf.DUMMYFUNCTION("""COMPUTED_VALUE"""),"SES-0015")</f>
        <v>SES-0015</v>
      </c>
      <c r="C751" s="50" t="str">
        <f>IFERROR(__xludf.DUMMYFUNCTION("""COMPUTED_VALUE"""),"vdelamaire@pailleron19.com")</f>
        <v>vdelamaire@pailleron19.com</v>
      </c>
      <c r="D751" s="127" t="str">
        <f>IFERROR(__xludf.DUMMYFUNCTION("""COMPUTED_VALUE"""),"https://drive.google.com/file/d/1yh8tvzS5rWJfMSCqpotIV_oz3xYuyJce/view?usp=drivesdk")</f>
        <v>https://drive.google.com/file/d/1yh8tvzS5rWJfMSCqpotIV_oz3xYuyJce/view?usp=drivesdk</v>
      </c>
    </row>
    <row r="752">
      <c r="A752" s="50" t="s">
        <v>3033</v>
      </c>
      <c r="B752" s="50" t="str">
        <f>IFERROR(__xludf.DUMMYFUNCTION("""COMPUTED_VALUE"""),"SES-0016")</f>
        <v>SES-0016</v>
      </c>
      <c r="C752" s="50" t="str">
        <f>IFERROR(__xludf.DUMMYFUNCTION("""COMPUTED_VALUE"""),"vdelamaire@pailleron19.com")</f>
        <v>vdelamaire@pailleron19.com</v>
      </c>
      <c r="D752" s="127" t="str">
        <f>IFERROR(__xludf.DUMMYFUNCTION("""COMPUTED_VALUE"""),"https://drive.google.com/file/d/1QVKUHnhzAnypvtfyDaV9c5J2Dc68Vu_J/view?usp=drivesdk")</f>
        <v>https://drive.google.com/file/d/1QVKUHnhzAnypvtfyDaV9c5J2Dc68Vu_J/view?usp=drivesdk</v>
      </c>
    </row>
    <row r="753">
      <c r="A753" s="50" t="s">
        <v>3037</v>
      </c>
      <c r="B753" s="50" t="str">
        <f>IFERROR(__xludf.DUMMYFUNCTION("""COMPUTED_VALUE"""),"SES-0017")</f>
        <v>SES-0017</v>
      </c>
      <c r="C753" s="50" t="str">
        <f>IFERROR(__xludf.DUMMYFUNCTION("""COMPUTED_VALUE"""),"vdelamaire@pailleron19.com")</f>
        <v>vdelamaire@pailleron19.com</v>
      </c>
      <c r="D753" s="127" t="str">
        <f>IFERROR(__xludf.DUMMYFUNCTION("""COMPUTED_VALUE"""),"https://drive.google.com/file/d/1YiYJi3ZoiWpRAfKQf6eMCEI7_pqLImAY/view?usp=drivesdk")</f>
        <v>https://drive.google.com/file/d/1YiYJi3ZoiWpRAfKQf6eMCEI7_pqLImAY/view?usp=drivesdk</v>
      </c>
    </row>
    <row r="754">
      <c r="A754" s="50" t="s">
        <v>3043</v>
      </c>
      <c r="B754" s="50" t="str">
        <f>IFERROR(__xludf.DUMMYFUNCTION("""COMPUTED_VALUE"""),"SES-0006")</f>
        <v>SES-0006</v>
      </c>
      <c r="C754" s="50" t="str">
        <f>IFERROR(__xludf.DUMMYFUNCTION("""COMPUTED_VALUE"""),"dsamson@ucpa.asso.fr")</f>
        <v>dsamson@ucpa.asso.fr</v>
      </c>
      <c r="D754" s="127" t="str">
        <f>IFERROR(__xludf.DUMMYFUNCTION("""COMPUTED_VALUE"""),"https://drive.google.com/file/d/1bfGlVl7WOLLV_Y2gs1QLbYzTROo6ofYQ/view?usp=drivesdk")</f>
        <v>https://drive.google.com/file/d/1bfGlVl7WOLLV_Y2gs1QLbYzTROo6ofYQ/view?usp=drivesdk</v>
      </c>
    </row>
    <row r="755">
      <c r="A755" s="50" t="s">
        <v>3046</v>
      </c>
      <c r="B755" s="50" t="str">
        <f>IFERROR(__xludf.DUMMYFUNCTION("""COMPUTED_VALUE"""),"SES-0005")</f>
        <v>SES-0005</v>
      </c>
      <c r="C755" s="50" t="str">
        <f>IFERROR(__xludf.DUMMYFUNCTION("""COMPUTED_VALUE"""),"dsamson@ucpa.asso.fr")</f>
        <v>dsamson@ucpa.asso.fr</v>
      </c>
      <c r="D755" s="127" t="str">
        <f>IFERROR(__xludf.DUMMYFUNCTION("""COMPUTED_VALUE"""),"https://drive.google.com/file/d/1RA8-hAvgTxc4mUHsWXuRMOH5sHgpFA-e/view?usp=drivesdk")</f>
        <v>https://drive.google.com/file/d/1RA8-hAvgTxc4mUHsWXuRMOH5sHgpFA-e/view?usp=drivesdk</v>
      </c>
    </row>
    <row r="756">
      <c r="A756" s="50" t="s">
        <v>3049</v>
      </c>
      <c r="B756" s="50" t="str">
        <f>IFERROR(__xludf.DUMMYFUNCTION("""COMPUTED_VALUE"""),"SES-0004")</f>
        <v>SES-0004</v>
      </c>
      <c r="C756" s="50" t="str">
        <f>IFERROR(__xludf.DUMMYFUNCTION("""COMPUTED_VALUE"""),"ehavet@ucpa.asso.fr")</f>
        <v>ehavet@ucpa.asso.fr</v>
      </c>
      <c r="D756" s="127" t="str">
        <f>IFERROR(__xludf.DUMMYFUNCTION("""COMPUTED_VALUE"""),"https://drive.google.com/file/d/1FWUEMxbrgc3APxcpOEvbJEQyCRZIEHfH/view?usp=drivesdk")</f>
        <v>https://drive.google.com/file/d/1FWUEMxbrgc3APxcpOEvbJEQyCRZIEHfH/view?usp=drivesdk</v>
      </c>
    </row>
    <row r="757">
      <c r="A757" s="50" t="s">
        <v>3052</v>
      </c>
      <c r="B757" s="50" t="str">
        <f>IFERROR(__xludf.DUMMYFUNCTION("""COMPUTED_VALUE"""),"SES-0011")</f>
        <v>SES-0011</v>
      </c>
      <c r="C757" s="50" t="str">
        <f>IFERROR(__xludf.DUMMYFUNCTION("""COMPUTED_VALUE"""),"ehavet@ucpa.asso.fr")</f>
        <v>ehavet@ucpa.asso.fr</v>
      </c>
      <c r="D757" s="127" t="str">
        <f>IFERROR(__xludf.DUMMYFUNCTION("""COMPUTED_VALUE"""),"https://drive.google.com/file/d/18wBKEaW_oyeJSIMeYb95Az53qH9WYmaw/view?usp=drivesdk")</f>
        <v>https://drive.google.com/file/d/18wBKEaW_oyeJSIMeYb95Az53qH9WYmaw/view?usp=drivesdk</v>
      </c>
    </row>
    <row r="758">
      <c r="A758" s="50" t="s">
        <v>3056</v>
      </c>
      <c r="B758" s="50" t="str">
        <f>IFERROR(__xludf.DUMMYFUNCTION("""COMPUTED_VALUE"""),"SES-0012")</f>
        <v>SES-0012</v>
      </c>
      <c r="C758" s="50" t="str">
        <f>IFERROR(__xludf.DUMMYFUNCTION("""COMPUTED_VALUE"""),"ehavet@ucpa.asso.fr")</f>
        <v>ehavet@ucpa.asso.fr</v>
      </c>
      <c r="D758" s="127" t="str">
        <f>IFERROR(__xludf.DUMMYFUNCTION("""COMPUTED_VALUE"""),"https://drive.google.com/file/d/1fm8Urkyl82htjTvl4a6MbDoLSkFS0B1t/view?usp=drivesdk")</f>
        <v>https://drive.google.com/file/d/1fm8Urkyl82htjTvl4a6MbDoLSkFS0B1t/view?usp=drivesdk</v>
      </c>
    </row>
    <row r="759">
      <c r="A759" s="50" t="s">
        <v>3063</v>
      </c>
      <c r="B759" s="50" t="str">
        <f>IFERROR(__xludf.DUMMYFUNCTION("""COMPUTED_VALUE"""),"SES-0016")</f>
        <v>SES-0016</v>
      </c>
      <c r="C759" s="50" t="str">
        <f>IFERROR(__xludf.DUMMYFUNCTION("""COMPUTED_VALUE"""),"ehavet@ucpa.asso.fr")</f>
        <v>ehavet@ucpa.asso.fr</v>
      </c>
      <c r="D759" s="127" t="str">
        <f>IFERROR(__xludf.DUMMYFUNCTION("""COMPUTED_VALUE"""),"https://drive.google.com/file/d/1WJgQ6iIhJaymANwYjWtUN7KvmCL68BUC/view?usp=drivesdk")</f>
        <v>https://drive.google.com/file/d/1WJgQ6iIhJaymANwYjWtUN7KvmCL68BUC/view?usp=drivesdk</v>
      </c>
    </row>
    <row r="760">
      <c r="A760" s="50" t="s">
        <v>3066</v>
      </c>
      <c r="B760" s="50" t="str">
        <f>IFERROR(__xludf.DUMMYFUNCTION("""COMPUTED_VALUE"""),"SES-0011")</f>
        <v>SES-0011</v>
      </c>
      <c r="C760" s="50" t="str">
        <f>IFERROR(__xludf.DUMMYFUNCTION("""COMPUTED_VALUE"""),"etissot@ucpasl.com")</f>
        <v>etissot@ucpasl.com</v>
      </c>
      <c r="D760" s="127" t="str">
        <f>IFERROR(__xludf.DUMMYFUNCTION("""COMPUTED_VALUE"""),"https://drive.google.com/file/d/1f_ydedLr_VKKZtbC10Dpp98q7X2e9hSW/view?usp=drivesdk")</f>
        <v>https://drive.google.com/file/d/1f_ydedLr_VKKZtbC10Dpp98q7X2e9hSW/view?usp=drivesdk</v>
      </c>
    </row>
    <row r="761">
      <c r="A761" s="50" t="s">
        <v>3069</v>
      </c>
      <c r="B761" s="50" t="str">
        <f>IFERROR(__xludf.DUMMYFUNCTION("""COMPUTED_VALUE"""),"SES-0019")</f>
        <v>SES-0019</v>
      </c>
      <c r="C761" s="50" t="str">
        <f>IFERROR(__xludf.DUMMYFUNCTION("""COMPUTED_VALUE"""),"etissot@ucpasl.com")</f>
        <v>etissot@ucpasl.com</v>
      </c>
      <c r="D761" s="127" t="str">
        <f>IFERROR(__xludf.DUMMYFUNCTION("""COMPUTED_VALUE"""),"https://drive.google.com/file/d/1VZGD5vZFRHaH1KWVZ2Yj4C-F9c7E5z7k/view?usp=drivesdk")</f>
        <v>https://drive.google.com/file/d/1VZGD5vZFRHaH1KWVZ2Yj4C-F9c7E5z7k/view?usp=drivesdk</v>
      </c>
    </row>
    <row r="762">
      <c r="A762" s="50" t="s">
        <v>3072</v>
      </c>
      <c r="B762" s="50" t="str">
        <f>IFERROR(__xludf.DUMMYFUNCTION("""COMPUTED_VALUE"""),"SES-0021")</f>
        <v>SES-0021</v>
      </c>
      <c r="C762" s="50" t="str">
        <f>IFERROR(__xludf.DUMMYFUNCTION("""COMPUTED_VALUE"""),"etissot@ucpasl.com")</f>
        <v>etissot@ucpasl.com</v>
      </c>
      <c r="D762" s="127" t="str">
        <f>IFERROR(__xludf.DUMMYFUNCTION("""COMPUTED_VALUE"""),"https://drive.google.com/file/d/1enYdWxVYliKAIFlScCa1BTa87erYs4ga/view?usp=drivesdk")</f>
        <v>https://drive.google.com/file/d/1enYdWxVYliKAIFlScCa1BTa87erYs4ga/view?usp=drivesdk</v>
      </c>
    </row>
    <row r="763">
      <c r="A763" s="50" t="s">
        <v>3075</v>
      </c>
      <c r="B763" s="50" t="str">
        <f>IFERROR(__xludf.DUMMYFUNCTION("""COMPUTED_VALUE"""),"SES-0018")</f>
        <v>SES-0018</v>
      </c>
      <c r="C763" s="50" t="str">
        <f>IFERROR(__xludf.DUMMYFUNCTION("""COMPUTED_VALUE"""),"mattias.nilsson@labalaguere.com")</f>
        <v>mattias.nilsson@labalaguere.com</v>
      </c>
      <c r="D763" s="127" t="str">
        <f>IFERROR(__xludf.DUMMYFUNCTION("""COMPUTED_VALUE"""),"https://drive.google.com/file/d/1p9NYWXLFJ0ES5ht6b4hWa4BK_o0ztrk_/view?usp=drivesdk")</f>
        <v>https://drive.google.com/file/d/1p9NYWXLFJ0ES5ht6b4hWa4BK_o0ztrk_/view?usp=drivesdk</v>
      </c>
    </row>
    <row r="764">
      <c r="A764" s="50" t="s">
        <v>3078</v>
      </c>
      <c r="B764" s="50" t="str">
        <f>IFERROR(__xludf.DUMMYFUNCTION("""COMPUTED_VALUE"""),"SES-0020")</f>
        <v>SES-0020</v>
      </c>
      <c r="C764" s="50" t="str">
        <f>IFERROR(__xludf.DUMMYFUNCTION("""COMPUTED_VALUE"""),"mattiasnilsson@labalaguere.com")</f>
        <v>mattiasnilsson@labalaguere.com</v>
      </c>
      <c r="D764" s="127" t="str">
        <f>IFERROR(__xludf.DUMMYFUNCTION("""COMPUTED_VALUE"""),"https://drive.google.com/file/d/1h2MX-dnK3aEKBXIOO4qAuYg4R49YezkH/view?usp=drivesdk")</f>
        <v>https://drive.google.com/file/d/1h2MX-dnK3aEKBXIOO4qAuYg4R49YezkH/view?usp=drivesdk</v>
      </c>
    </row>
    <row r="765">
      <c r="A765" s="50" t="s">
        <v>3081</v>
      </c>
      <c r="B765" s="50" t="str">
        <f>IFERROR(__xludf.DUMMYFUNCTION("""COMPUTED_VALUE"""),"SES-0019")</f>
        <v>SES-0019</v>
      </c>
      <c r="C765" s="50" t="str">
        <f>IFERROR(__xludf.DUMMYFUNCTION("""COMPUTED_VALUE"""),"mattias.nilsson@labalaguere.com")</f>
        <v>mattias.nilsson@labalaguere.com</v>
      </c>
      <c r="D765" s="127" t="str">
        <f>IFERROR(__xludf.DUMMYFUNCTION("""COMPUTED_VALUE"""),"https://drive.google.com/file/d/15TYtsYzqBxVGOzufE4-rSnnCn9HQqO1l/view?usp=drivesdk")</f>
        <v>https://drive.google.com/file/d/15TYtsYzqBxVGOzufE4-rSnnCn9HQqO1l/view?usp=drivesdk</v>
      </c>
    </row>
    <row r="766">
      <c r="A766" s="50" t="s">
        <v>3084</v>
      </c>
      <c r="B766" s="50" t="str">
        <f>IFERROR(__xludf.DUMMYFUNCTION("""COMPUTED_VALUE"""),"SES-0016")</f>
        <v>SES-0016</v>
      </c>
      <c r="C766" s="50" t="str">
        <f>IFERROR(__xludf.DUMMYFUNCTION("""COMPUTED_VALUE"""),"mattias.nilsson@labalaguere.com")</f>
        <v>mattias.nilsson@labalaguere.com</v>
      </c>
      <c r="D766" s="127" t="str">
        <f>IFERROR(__xludf.DUMMYFUNCTION("""COMPUTED_VALUE"""),"https://drive.google.com/file/d/1NHIztSR98VAsJHC1D3IxCIIPl6sIjHgx/view?usp=drivesdk")</f>
        <v>https://drive.google.com/file/d/1NHIztSR98VAsJHC1D3IxCIIPl6sIjHgx/view?usp=drivesdk</v>
      </c>
    </row>
    <row r="767">
      <c r="A767" s="50" t="s">
        <v>3087</v>
      </c>
      <c r="B767" s="50" t="str">
        <f>IFERROR(__xludf.DUMMYFUNCTION("""COMPUTED_VALUE"""),"SES-0004")</f>
        <v>SES-0004</v>
      </c>
      <c r="C767" s="50" t="str">
        <f>IFERROR(__xludf.DUMMYFUNCTION("""COMPUTED_VALUE"""),"rledieu@ucpa.asso.fr")</f>
        <v>rledieu@ucpa.asso.fr</v>
      </c>
      <c r="D767" s="127" t="str">
        <f>IFERROR(__xludf.DUMMYFUNCTION("""COMPUTED_VALUE"""),"https://drive.google.com/file/d/1zldDakR0PajbzcJS70-lXVXmrSFpMTuI/view?usp=drivesdk")</f>
        <v>https://drive.google.com/file/d/1zldDakR0PajbzcJS70-lXVXmrSFpMTuI/view?usp=drivesdk</v>
      </c>
    </row>
    <row r="768">
      <c r="A768" s="50" t="s">
        <v>3091</v>
      </c>
      <c r="B768" s="50" t="str">
        <f>IFERROR(__xludf.DUMMYFUNCTION("""COMPUTED_VALUE"""),"SES-0007")</f>
        <v>SES-0007</v>
      </c>
      <c r="C768" s="50" t="str">
        <f>IFERROR(__xludf.DUMMYFUNCTION("""COMPUTED_VALUE"""),"rledieu@ucpa.asso.fr")</f>
        <v>rledieu@ucpa.asso.fr</v>
      </c>
      <c r="D768" s="127" t="str">
        <f>IFERROR(__xludf.DUMMYFUNCTION("""COMPUTED_VALUE"""),"https://drive.google.com/file/d/1Nsvkn4sFreup8wQbwoaE8f1R_8VVDeaN/view?usp=drivesdk")</f>
        <v>https://drive.google.com/file/d/1Nsvkn4sFreup8wQbwoaE8f1R_8VVDeaN/view?usp=drivesdk</v>
      </c>
    </row>
    <row r="769">
      <c r="A769" s="50" t="s">
        <v>3094</v>
      </c>
      <c r="B769" s="50" t="str">
        <f>IFERROR(__xludf.DUMMYFUNCTION("""COMPUTED_VALUE"""),"SES-0017")</f>
        <v>SES-0017</v>
      </c>
      <c r="C769" s="50" t="str">
        <f>IFERROR(__xludf.DUMMYFUNCTION("""COMPUTED_VALUE"""),"amsoili@ucpa.asso.fr")</f>
        <v>amsoili@ucpa.asso.fr</v>
      </c>
      <c r="D769" s="127" t="str">
        <f>IFERROR(__xludf.DUMMYFUNCTION("""COMPUTED_VALUE"""),"https://drive.google.com/file/d/1HENecsKxGr1OV6qawnWIpVYhCx-04Sdv/view?usp=drivesdk")</f>
        <v>https://drive.google.com/file/d/1HENecsKxGr1OV6qawnWIpVYhCx-04Sdv/view?usp=drivesdk</v>
      </c>
    </row>
    <row r="770">
      <c r="A770" s="50" t="s">
        <v>3097</v>
      </c>
      <c r="B770" s="50" t="str">
        <f>IFERROR(__xludf.DUMMYFUNCTION("""COMPUTED_VALUE"""),"SES-0004")</f>
        <v>SES-0004</v>
      </c>
      <c r="C770" s="50" t="str">
        <f>IFERROR(__xludf.DUMMYFUNCTION("""COMPUTED_VALUE"""),"nlamy@ucpa.asso.fr")</f>
        <v>nlamy@ucpa.asso.fr</v>
      </c>
      <c r="D770" s="127" t="str">
        <f>IFERROR(__xludf.DUMMYFUNCTION("""COMPUTED_VALUE"""),"https://drive.google.com/file/d/1CBDXGLfIj_ROMygBx6yZ06xCvM9bUvGr/view?usp=drivesdk")</f>
        <v>https://drive.google.com/file/d/1CBDXGLfIj_ROMygBx6yZ06xCvM9bUvGr/view?usp=drivesdk</v>
      </c>
    </row>
    <row r="771">
      <c r="A771" s="50" t="s">
        <v>3105</v>
      </c>
      <c r="B771" s="50" t="str">
        <f>IFERROR(__xludf.DUMMYFUNCTION("""COMPUTED_VALUE"""),"SES-0021")</f>
        <v>SES-0021</v>
      </c>
      <c r="C771" s="50" t="str">
        <f>IFERROR(__xludf.DUMMYFUNCTION("""COMPUTED_VALUE"""),"nleturcq@ucpasl.com")</f>
        <v>nleturcq@ucpasl.com</v>
      </c>
      <c r="D771" s="127" t="str">
        <f>IFERROR(__xludf.DUMMYFUNCTION("""COMPUTED_VALUE"""),"https://drive.google.com/file/d/1ZJbR66ovzDo1WfEy673LqMvj7jEDn7nl/view?usp=drivesdk")</f>
        <v>https://drive.google.com/file/d/1ZJbR66ovzDo1WfEy673LqMvj7jEDn7nl/view?usp=drivesdk</v>
      </c>
    </row>
    <row r="772">
      <c r="A772" s="50" t="s">
        <v>3108</v>
      </c>
      <c r="B772" s="50" t="str">
        <f>IFERROR(__xludf.DUMMYFUNCTION("""COMPUTED_VALUE"""),"SES-0010")</f>
        <v>SES-0010</v>
      </c>
      <c r="C772" s="50" t="str">
        <f>IFERROR(__xludf.DUMMYFUNCTION("""COMPUTED_VALUE"""),"slebris@ucpa.asso.fr")</f>
        <v>slebris@ucpa.asso.fr</v>
      </c>
      <c r="D772" s="127" t="str">
        <f>IFERROR(__xludf.DUMMYFUNCTION("""COMPUTED_VALUE"""),"https://drive.google.com/file/d/114G0Qmawpn6_2NOJb7PHkd3Kaj4WDWuf/view?usp=drivesdk")</f>
        <v>https://drive.google.com/file/d/114G0Qmawpn6_2NOJb7PHkd3Kaj4WDWuf/view?usp=drivesdk</v>
      </c>
    </row>
    <row r="773">
      <c r="A773" s="50" t="s">
        <v>3111</v>
      </c>
      <c r="B773" s="50" t="str">
        <f>IFERROR(__xludf.DUMMYFUNCTION("""COMPUTED_VALUE"""),"SES-0011")</f>
        <v>SES-0011</v>
      </c>
      <c r="C773" s="50" t="str">
        <f>IFERROR(__xludf.DUMMYFUNCTION("""COMPUTED_VALUE"""),"slebris@ucpa.asso.fr")</f>
        <v>slebris@ucpa.asso.fr</v>
      </c>
      <c r="D773" s="127" t="str">
        <f>IFERROR(__xludf.DUMMYFUNCTION("""COMPUTED_VALUE"""),"https://drive.google.com/file/d/19VzvMih44hYLpbIV8iwM4Iz6yBiKZFvH/view?usp=drivesdk")</f>
        <v>https://drive.google.com/file/d/19VzvMih44hYLpbIV8iwM4Iz6yBiKZFvH/view?usp=drivesdk</v>
      </c>
    </row>
    <row r="774">
      <c r="A774" s="50" t="s">
        <v>3114</v>
      </c>
      <c r="B774" s="50" t="str">
        <f>IFERROR(__xludf.DUMMYFUNCTION("""COMPUTED_VALUE"""),"SES-0012")</f>
        <v>SES-0012</v>
      </c>
      <c r="C774" s="50" t="str">
        <f>IFERROR(__xludf.DUMMYFUNCTION("""COMPUTED_VALUE"""),"slebris@ucpa.asso.fr")</f>
        <v>slebris@ucpa.asso.fr</v>
      </c>
      <c r="D774" s="127" t="str">
        <f>IFERROR(__xludf.DUMMYFUNCTION("""COMPUTED_VALUE"""),"https://drive.google.com/file/d/17fIZXaU-iouRU_rT5-0GYtyVZ1uQuUcr/view?usp=drivesdk")</f>
        <v>https://drive.google.com/file/d/17fIZXaU-iouRU_rT5-0GYtyVZ1uQuUcr/view?usp=drivesdk</v>
      </c>
    </row>
    <row r="775">
      <c r="A775" s="50" t="s">
        <v>3118</v>
      </c>
      <c r="B775" s="50" t="str">
        <f>IFERROR(__xludf.DUMMYFUNCTION("""COMPUTED_VALUE"""),"SES-0019")</f>
        <v>SES-0019</v>
      </c>
      <c r="C775" s="50" t="str">
        <f>IFERROR(__xludf.DUMMYFUNCTION("""COMPUTED_VALUE"""),"slebris@ucpa.asso.fr")</f>
        <v>slebris@ucpa.asso.fr</v>
      </c>
      <c r="D775" s="127" t="str">
        <f>IFERROR(__xludf.DUMMYFUNCTION("""COMPUTED_VALUE"""),"https://drive.google.com/file/d/1LBPUKoTYLh5c1pjUGCMtFSZWOabq6vvy/view?usp=drivesdk")</f>
        <v>https://drive.google.com/file/d/1LBPUKoTYLh5c1pjUGCMtFSZWOabq6vvy/view?usp=drivesdk</v>
      </c>
    </row>
    <row r="776">
      <c r="A776" s="50" t="s">
        <v>3121</v>
      </c>
      <c r="B776" s="50" t="str">
        <f>IFERROR(__xludf.DUMMYFUNCTION("""COMPUTED_VALUE"""),"SES-0016")</f>
        <v>SES-0016</v>
      </c>
      <c r="C776" s="50" t="str">
        <f>IFERROR(__xludf.DUMMYFUNCTION("""COMPUTED_VALUE"""),"slebris@ucpa.asso.fr")</f>
        <v>slebris@ucpa.asso.fr</v>
      </c>
      <c r="D776" s="127" t="str">
        <f>IFERROR(__xludf.DUMMYFUNCTION("""COMPUTED_VALUE"""),"https://drive.google.com/file/d/1HYc_PqJsDxBhaXM-89Me0dqkn7vaVAgt/view?usp=drivesdk")</f>
        <v>https://drive.google.com/file/d/1HYc_PqJsDxBhaXM-89Me0dqkn7vaVAgt/view?usp=drivesdk</v>
      </c>
    </row>
    <row r="777">
      <c r="A777" s="50" t="s">
        <v>3123</v>
      </c>
      <c r="B777" s="50" t="str">
        <f>IFERROR(__xludf.DUMMYFUNCTION("""COMPUTED_VALUE"""),"SES-0017")</f>
        <v>SES-0017</v>
      </c>
      <c r="C777" s="50" t="str">
        <f>IFERROR(__xludf.DUMMYFUNCTION("""COMPUTED_VALUE"""),"slebris@ucpa.asso.fr")</f>
        <v>slebris@ucpa.asso.fr</v>
      </c>
      <c r="D777" s="127" t="str">
        <f>IFERROR(__xludf.DUMMYFUNCTION("""COMPUTED_VALUE"""),"https://drive.google.com/file/d/1Y9NuNphe_S_gRzFXCYIpumIwRHV_OTn3/view?usp=drivesdk")</f>
        <v>https://drive.google.com/file/d/1Y9NuNphe_S_gRzFXCYIpumIwRHV_OTn3/view?usp=drivesdk</v>
      </c>
    </row>
    <row r="778">
      <c r="A778" s="50" t="s">
        <v>3127</v>
      </c>
      <c r="B778" s="50" t="str">
        <f>IFERROR(__xludf.DUMMYFUNCTION("""COMPUTED_VALUE"""),"SES-0011")</f>
        <v>SES-0011</v>
      </c>
      <c r="C778" s="50" t="str">
        <f>IFERROR(__xludf.DUMMYFUNCTION("""COMPUTED_VALUE"""),"benoit_massin@hotmail.com")</f>
        <v>benoit_massin@hotmail.com</v>
      </c>
      <c r="D778" s="127" t="str">
        <f>IFERROR(__xludf.DUMMYFUNCTION("""COMPUTED_VALUE"""),"https://drive.google.com/file/d/1Jxggx05AO77NxROgelOo24t0LEwA-aMl/view?usp=drivesdk")</f>
        <v>https://drive.google.com/file/d/1Jxggx05AO77NxROgelOo24t0LEwA-aMl/view?usp=drivesdk</v>
      </c>
    </row>
    <row r="779">
      <c r="A779" s="50" t="s">
        <v>3130</v>
      </c>
      <c r="B779" s="50" t="str">
        <f>IFERROR(__xludf.DUMMYFUNCTION("""COMPUTED_VALUE"""),"SES-0018")</f>
        <v>SES-0018</v>
      </c>
      <c r="C779" s="50" t="str">
        <f>IFERROR(__xludf.DUMMYFUNCTION("""COMPUTED_VALUE"""),"benoit_massin@hotmail.com")</f>
        <v>benoit_massin@hotmail.com</v>
      </c>
      <c r="D779" s="127" t="str">
        <f>IFERROR(__xludf.DUMMYFUNCTION("""COMPUTED_VALUE"""),"https://drive.google.com/file/d/1dj7t1_gN8M2MLF5GaM-1i7hNqXopQdqY/view?usp=drivesdk")</f>
        <v>https://drive.google.com/file/d/1dj7t1_gN8M2MLF5GaM-1i7hNqXopQdqY/view?usp=drivesdk</v>
      </c>
    </row>
    <row r="780">
      <c r="A780" s="50" t="s">
        <v>3134</v>
      </c>
      <c r="B780" s="50" t="str">
        <f>IFERROR(__xludf.DUMMYFUNCTION("""COMPUTED_VALUE"""),"SES-0018")</f>
        <v>SES-0018</v>
      </c>
      <c r="C780" s="50" t="str">
        <f>IFERROR(__xludf.DUMMYFUNCTION("""COMPUTED_VALUE"""),"snobis@ucpa.asso.fr")</f>
        <v>snobis@ucpa.asso.fr</v>
      </c>
      <c r="D780" s="127" t="str">
        <f>IFERROR(__xludf.DUMMYFUNCTION("""COMPUTED_VALUE"""),"https://drive.google.com/file/d/1R1FpFZrL3bw8CuksxO0PIDWDuQdBecEq/view?usp=drivesdk")</f>
        <v>https://drive.google.com/file/d/1R1FpFZrL3bw8CuksxO0PIDWDuQdBecEq/view?usp=drivesdk</v>
      </c>
    </row>
    <row r="781">
      <c r="A781" s="50" t="s">
        <v>3136</v>
      </c>
      <c r="B781" s="50" t="str">
        <f>IFERROR(__xludf.DUMMYFUNCTION("""COMPUTED_VALUE"""),"SES-0021")</f>
        <v>SES-0021</v>
      </c>
      <c r="C781" s="50" t="str">
        <f>IFERROR(__xludf.DUMMYFUNCTION("""COMPUTED_VALUE"""),"revano@ucpa.asso.fr")</f>
        <v>revano@ucpa.asso.fr</v>
      </c>
      <c r="D781" s="127" t="str">
        <f>IFERROR(__xludf.DUMMYFUNCTION("""COMPUTED_VALUE"""),"https://drive.google.com/file/d/1-T6BSeInQiQ2e-oPTsRnVlFPUpOOUg6q/view?usp=drivesdk")</f>
        <v>https://drive.google.com/file/d/1-T6BSeInQiQ2e-oPTsRnVlFPUpOOUg6q/view?usp=drivesdk</v>
      </c>
    </row>
    <row r="782">
      <c r="A782" s="50" t="s">
        <v>3139</v>
      </c>
      <c r="B782" s="50" t="str">
        <f>IFERROR(__xludf.DUMMYFUNCTION("""COMPUTED_VALUE"""),"SES-0009")</f>
        <v>SES-0009</v>
      </c>
      <c r="C782" s="50" t="str">
        <f>IFERROR(__xludf.DUMMYFUNCTION("""COMPUTED_VALUE"""),"jlanson@ucpa.asso.fr")</f>
        <v>jlanson@ucpa.asso.fr</v>
      </c>
      <c r="D782" s="127" t="str">
        <f>IFERROR(__xludf.DUMMYFUNCTION("""COMPUTED_VALUE"""),"https://drive.google.com/file/d/1_jbTTr1hSw0qpBEyKsux3WAwU7Vaj7pB/view?usp=drivesdk")</f>
        <v>https://drive.google.com/file/d/1_jbTTr1hSw0qpBEyKsux3WAwU7Vaj7pB/view?usp=drivesdk</v>
      </c>
    </row>
    <row r="783">
      <c r="A783" s="50" t="s">
        <v>3142</v>
      </c>
      <c r="B783" s="50" t="str">
        <f>IFERROR(__xludf.DUMMYFUNCTION("""COMPUTED_VALUE"""),"SES-0011")</f>
        <v>SES-0011</v>
      </c>
      <c r="C783" s="50" t="str">
        <f>IFERROR(__xludf.DUMMYFUNCTION("""COMPUTED_VALUE"""),"ebenet@ucpa.asso.fr")</f>
        <v>ebenet@ucpa.asso.fr</v>
      </c>
      <c r="D783" s="127" t="str">
        <f>IFERROR(__xludf.DUMMYFUNCTION("""COMPUTED_VALUE"""),"https://drive.google.com/file/d/1oSnzRJOHGJ42PbQb-Y7Yz3UDs_8SVHtD/view?usp=drivesdk")</f>
        <v>https://drive.google.com/file/d/1oSnzRJOHGJ42PbQb-Y7Yz3UDs_8SVHtD/view?usp=drivesdk</v>
      </c>
    </row>
    <row r="784">
      <c r="A784" s="50" t="s">
        <v>3145</v>
      </c>
      <c r="B784" s="50" t="str">
        <f>IFERROR(__xludf.DUMMYFUNCTION("""COMPUTED_VALUE"""),"SES-0014")</f>
        <v>SES-0014</v>
      </c>
      <c r="C784" s="50" t="str">
        <f>IFERROR(__xludf.DUMMYFUNCTION("""COMPUTED_VALUE"""),"revano@ucpa.asso.fr")</f>
        <v>revano@ucpa.asso.fr</v>
      </c>
      <c r="D784" s="127" t="str">
        <f>IFERROR(__xludf.DUMMYFUNCTION("""COMPUTED_VALUE"""),"https://drive.google.com/file/d/1wbqLIEAlRTVqm5OEnuBSLAClt6P350Mc/view?usp=drivesdk")</f>
        <v>https://drive.google.com/file/d/1wbqLIEAlRTVqm5OEnuBSLAClt6P350Mc/view?usp=drivesdk</v>
      </c>
    </row>
    <row r="785">
      <c r="A785" s="50" t="s">
        <v>3148</v>
      </c>
      <c r="B785" s="50" t="str">
        <f>IFERROR(__xludf.DUMMYFUNCTION("""COMPUTED_VALUE"""),"SES-0011")</f>
        <v>SES-0011</v>
      </c>
      <c r="C785" s="50" t="str">
        <f>IFERROR(__xludf.DUMMYFUNCTION("""COMPUTED_VALUE"""),"jlanson@ucpa.asso.fr")</f>
        <v>jlanson@ucpa.asso.fr</v>
      </c>
      <c r="D785" s="127" t="str">
        <f>IFERROR(__xludf.DUMMYFUNCTION("""COMPUTED_VALUE"""),"https://drive.google.com/file/d/1WUd9vmSqcDMgvNWovSlNdzi6HRk3tBoz/view?usp=drivesdk")</f>
        <v>https://drive.google.com/file/d/1WUd9vmSqcDMgvNWovSlNdzi6HRk3tBoz/view?usp=drivesdk</v>
      </c>
    </row>
    <row r="786">
      <c r="A786" s="50" t="s">
        <v>3151</v>
      </c>
      <c r="B786" s="50" t="str">
        <f>IFERROR(__xludf.DUMMYFUNCTION("""COMPUTED_VALUE"""),"SES-0012")</f>
        <v>SES-0012</v>
      </c>
      <c r="C786" s="50" t="str">
        <f>IFERROR(__xludf.DUMMYFUNCTION("""COMPUTED_VALUE"""),"ebenet@ucpa.asso.fr")</f>
        <v>ebenet@ucpa.asso.fr</v>
      </c>
      <c r="D786" s="127" t="str">
        <f>IFERROR(__xludf.DUMMYFUNCTION("""COMPUTED_VALUE"""),"https://drive.google.com/file/d/1K5sucQG84VPUzxRS4PkJx7v0BPzv5Ive/view?usp=drivesdk")</f>
        <v>https://drive.google.com/file/d/1K5sucQG84VPUzxRS4PkJx7v0BPzv5Ive/view?usp=drivesdk</v>
      </c>
    </row>
    <row r="787">
      <c r="A787" s="50" t="s">
        <v>3155</v>
      </c>
      <c r="B787" s="50" t="str">
        <f>IFERROR(__xludf.DUMMYFUNCTION("""COMPUTED_VALUE"""),"SES-0010")</f>
        <v>SES-0010</v>
      </c>
      <c r="C787" s="50" t="str">
        <f>IFERROR(__xludf.DUMMYFUNCTION("""COMPUTED_VALUE"""),"jlanson@ucpa.asso.fr")</f>
        <v>jlanson@ucpa.asso.fr</v>
      </c>
      <c r="D787" s="127" t="str">
        <f>IFERROR(__xludf.DUMMYFUNCTION("""COMPUTED_VALUE"""),"https://drive.google.com/file/d/17dHRYc5wRmQNTpTCYIF_rTj-frYQZurM/view?usp=drivesdk")</f>
        <v>https://drive.google.com/file/d/17dHRYc5wRmQNTpTCYIF_rTj-frYQZurM/view?usp=drivesdk</v>
      </c>
    </row>
    <row r="788">
      <c r="A788" s="50" t="s">
        <v>3158</v>
      </c>
      <c r="B788" s="50" t="str">
        <f>IFERROR(__xludf.DUMMYFUNCTION("""COMPUTED_VALUE"""),"SES-0012")</f>
        <v>SES-0012</v>
      </c>
      <c r="C788" s="50" t="str">
        <f>IFERROR(__xludf.DUMMYFUNCTION("""COMPUTED_VALUE"""),"jlanson@ucpa.asso.fr")</f>
        <v>jlanson@ucpa.asso.fr</v>
      </c>
      <c r="D788" s="127" t="str">
        <f>IFERROR(__xludf.DUMMYFUNCTION("""COMPUTED_VALUE"""),"https://drive.google.com/file/d/1wH6oiuJH_cu-yXfIhHItYlC2KS51DJVP/view?usp=drivesdk")</f>
        <v>https://drive.google.com/file/d/1wH6oiuJH_cu-yXfIhHItYlC2KS51DJVP/view?usp=drivesdk</v>
      </c>
    </row>
    <row r="789">
      <c r="A789" s="50" t="s">
        <v>3161</v>
      </c>
      <c r="B789" s="50" t="str">
        <f>IFERROR(__xludf.DUMMYFUNCTION("""COMPUTED_VALUE"""),"SES-0016")</f>
        <v>SES-0016</v>
      </c>
      <c r="C789" s="50" t="str">
        <f>IFERROR(__xludf.DUMMYFUNCTION("""COMPUTED_VALUE"""),"jlanson@ucpa.asso.fr")</f>
        <v>jlanson@ucpa.asso.fr</v>
      </c>
      <c r="D789" s="127" t="str">
        <f>IFERROR(__xludf.DUMMYFUNCTION("""COMPUTED_VALUE"""),"https://drive.google.com/file/d/1NGLbDArSeHb9mv1xlTUUF80nBlD0SweO/view?usp=drivesdk")</f>
        <v>https://drive.google.com/file/d/1NGLbDArSeHb9mv1xlTUUF80nBlD0SweO/view?usp=drivesdk</v>
      </c>
    </row>
    <row r="790">
      <c r="A790" s="50" t="s">
        <v>3164</v>
      </c>
      <c r="B790" s="50" t="str">
        <f>IFERROR(__xludf.DUMMYFUNCTION("""COMPUTED_VALUE"""),"SES-0018")</f>
        <v>SES-0018</v>
      </c>
      <c r="C790" s="50" t="str">
        <f>IFERROR(__xludf.DUMMYFUNCTION("""COMPUTED_VALUE"""),"jlanson@ucpa.asso.fr")</f>
        <v>jlanson@ucpa.asso.fr</v>
      </c>
      <c r="D790" s="127" t="str">
        <f>IFERROR(__xludf.DUMMYFUNCTION("""COMPUTED_VALUE"""),"https://drive.google.com/file/d/1MgVKfr9sERH00DQ8tMzg_P70bwnkZOyl/view?usp=drivesdk")</f>
        <v>https://drive.google.com/file/d/1MgVKfr9sERH00DQ8tMzg_P70bwnkZOyl/view?usp=drivesdk</v>
      </c>
    </row>
    <row r="791">
      <c r="A791" s="50" t="s">
        <v>3167</v>
      </c>
      <c r="B791" s="50" t="str">
        <f>IFERROR(__xludf.DUMMYFUNCTION("""COMPUTED_VALUE"""),"SES-0019")</f>
        <v>SES-0019</v>
      </c>
      <c r="C791" s="50" t="str">
        <f>IFERROR(__xludf.DUMMYFUNCTION("""COMPUTED_VALUE"""),"jlanson@ucpa.asso.fr")</f>
        <v>jlanson@ucpa.asso.fr</v>
      </c>
      <c r="D791" s="127" t="str">
        <f>IFERROR(__xludf.DUMMYFUNCTION("""COMPUTED_VALUE"""),"https://drive.google.com/file/d/1tUARJ0MGxdhnbOJwXsobW_Y7FO5IDyBf/view?usp=drivesdk")</f>
        <v>https://drive.google.com/file/d/1tUARJ0MGxdhnbOJwXsobW_Y7FO5IDyBf/view?usp=drivesdk</v>
      </c>
    </row>
    <row r="792">
      <c r="A792" s="50" t="s">
        <v>3171</v>
      </c>
      <c r="B792" s="50" t="str">
        <f>IFERROR(__xludf.DUMMYFUNCTION("""COMPUTED_VALUE"""),"SES-0020")</f>
        <v>SES-0020</v>
      </c>
      <c r="C792" s="50" t="str">
        <f>IFERROR(__xludf.DUMMYFUNCTION("""COMPUTED_VALUE"""),"jlanson@ucpa.asso.fr")</f>
        <v>jlanson@ucpa.asso.fr</v>
      </c>
      <c r="D792" s="127" t="str">
        <f>IFERROR(__xludf.DUMMYFUNCTION("""COMPUTED_VALUE"""),"https://drive.google.com/file/d/1izzF0IcFtPG1IRVw3IjIg_mePpFoqb0E/view?usp=drivesdk")</f>
        <v>https://drive.google.com/file/d/1izzF0IcFtPG1IRVw3IjIg_mePpFoqb0E/view?usp=drivesdk</v>
      </c>
    </row>
    <row r="793">
      <c r="A793" s="50" t="s">
        <v>3173</v>
      </c>
      <c r="B793" s="50" t="str">
        <f>IFERROR(__xludf.DUMMYFUNCTION("""COMPUTED_VALUE"""),"SES-0015")</f>
        <v>SES-0015</v>
      </c>
      <c r="C793" s="50" t="str">
        <f>IFERROR(__xludf.DUMMYFUNCTION("""COMPUTED_VALUE"""),"lfeuillet@ucpa.asso.fr")</f>
        <v>lfeuillet@ucpa.asso.fr</v>
      </c>
      <c r="D793" s="127" t="str">
        <f>IFERROR(__xludf.DUMMYFUNCTION("""COMPUTED_VALUE"""),"https://drive.google.com/file/d/1Gb2Ev1wDrBy09LGfBqyZDYEUuEa2pcfl/view?usp=drivesdk")</f>
        <v>https://drive.google.com/file/d/1Gb2Ev1wDrBy09LGfBqyZDYEUuEa2pcfl/view?usp=drivesdk</v>
      </c>
    </row>
    <row r="794">
      <c r="A794" s="50" t="s">
        <v>3175</v>
      </c>
      <c r="B794" s="50" t="str">
        <f>IFERROR(__xludf.DUMMYFUNCTION("""COMPUTED_VALUE"""),"SES-0009")</f>
        <v>SES-0009</v>
      </c>
      <c r="C794" s="50" t="str">
        <f>IFERROR(__xludf.DUMMYFUNCTION("""COMPUTED_VALUE"""),"fprost@ucpa.asso.fr")</f>
        <v>fprost@ucpa.asso.fr</v>
      </c>
      <c r="D794" s="127" t="str">
        <f>IFERROR(__xludf.DUMMYFUNCTION("""COMPUTED_VALUE"""),"https://drive.google.com/file/d/1Smf9dexy8FBQUYChkSHf9tWFsbB-3s5i/view?usp=drivesdk")</f>
        <v>https://drive.google.com/file/d/1Smf9dexy8FBQUYChkSHf9tWFsbB-3s5i/view?usp=drivesdk</v>
      </c>
    </row>
    <row r="795">
      <c r="A795" s="50" t="s">
        <v>3179</v>
      </c>
      <c r="B795" s="50" t="str">
        <f>IFERROR(__xludf.DUMMYFUNCTION("""COMPUTED_VALUE"""),"SES-0010")</f>
        <v>SES-0010</v>
      </c>
      <c r="C795" s="50" t="str">
        <f>IFERROR(__xludf.DUMMYFUNCTION("""COMPUTED_VALUE"""),"fprost@ucpa.aso.fr")</f>
        <v>fprost@ucpa.aso.fr</v>
      </c>
      <c r="D795" s="127" t="str">
        <f>IFERROR(__xludf.DUMMYFUNCTION("""COMPUTED_VALUE"""),"https://drive.google.com/file/d/1TNEnS99QlCW87gdt8Rd5HQoMQ4qkwX-e/view?usp=drivesdk")</f>
        <v>https://drive.google.com/file/d/1TNEnS99QlCW87gdt8Rd5HQoMQ4qkwX-e/view?usp=drivesdk</v>
      </c>
    </row>
    <row r="796">
      <c r="A796" s="50" t="s">
        <v>3182</v>
      </c>
      <c r="B796" s="50" t="str">
        <f>IFERROR(__xludf.DUMMYFUNCTION("""COMPUTED_VALUE"""),"SES-0016")</f>
        <v>SES-0016</v>
      </c>
      <c r="C796" s="50" t="str">
        <f>IFERROR(__xludf.DUMMYFUNCTION("""COMPUTED_VALUE"""),"lfeuillet@ucpa.asso.fr")</f>
        <v>lfeuillet@ucpa.asso.fr</v>
      </c>
      <c r="D796" s="127" t="str">
        <f>IFERROR(__xludf.DUMMYFUNCTION("""COMPUTED_VALUE"""),"https://drive.google.com/file/d/11J__VD3Y4f87jgcJJlMZBaOMJ_XKiJKF/view?usp=drivesdk")</f>
        <v>https://drive.google.com/file/d/11J__VD3Y4f87jgcJJlMZBaOMJ_XKiJKF/view?usp=drivesdk</v>
      </c>
    </row>
    <row r="797">
      <c r="A797" s="50" t="s">
        <v>3185</v>
      </c>
      <c r="B797" s="50" t="str">
        <f>IFERROR(__xludf.DUMMYFUNCTION("""COMPUTED_VALUE"""),"SES-0016")</f>
        <v>SES-0016</v>
      </c>
      <c r="C797" s="50" t="str">
        <f>IFERROR(__xludf.DUMMYFUNCTION("""COMPUTED_VALUE"""),"fprost@ucpa.asso.fr")</f>
        <v>fprost@ucpa.asso.fr</v>
      </c>
      <c r="D797" s="127" t="str">
        <f>IFERROR(__xludf.DUMMYFUNCTION("""COMPUTED_VALUE"""),"https://drive.google.com/file/d/1-ASE4tiAw8wVmFniLiCIAhhBOamIXXkM/view?usp=drivesdk")</f>
        <v>https://drive.google.com/file/d/1-ASE4tiAw8wVmFniLiCIAhhBOamIXXkM/view?usp=drivesdk</v>
      </c>
    </row>
    <row r="798">
      <c r="A798" s="50" t="s">
        <v>3188</v>
      </c>
      <c r="B798" s="50" t="str">
        <f>IFERROR(__xludf.DUMMYFUNCTION("""COMPUTED_VALUE"""),"SES-0012")</f>
        <v>SES-0012</v>
      </c>
      <c r="C798" s="50" t="str">
        <f>IFERROR(__xludf.DUMMYFUNCTION("""COMPUTED_VALUE"""),"fprost@ucpa.asso.fr")</f>
        <v>fprost@ucpa.asso.fr</v>
      </c>
      <c r="D798" s="127" t="str">
        <f>IFERROR(__xludf.DUMMYFUNCTION("""COMPUTED_VALUE"""),"https://drive.google.com/file/d/142gFyPMH6eqmsL8FZ-HhorB-SGJbVLR1/view?usp=drivesdk")</f>
        <v>https://drive.google.com/file/d/142gFyPMH6eqmsL8FZ-HhorB-SGJbVLR1/view?usp=drivesdk</v>
      </c>
    </row>
    <row r="799">
      <c r="A799" s="50" t="s">
        <v>3191</v>
      </c>
      <c r="B799" s="50" t="str">
        <f>IFERROR(__xludf.DUMMYFUNCTION("""COMPUTED_VALUE"""),"SES-0014")</f>
        <v>SES-0014</v>
      </c>
      <c r="C799" s="50" t="str">
        <f>IFERROR(__xludf.DUMMYFUNCTION("""COMPUTED_VALUE"""),"lfeuillet@ucpa.asso.fr")</f>
        <v>lfeuillet@ucpa.asso.fr</v>
      </c>
      <c r="D799" s="127" t="str">
        <f>IFERROR(__xludf.DUMMYFUNCTION("""COMPUTED_VALUE"""),"https://drive.google.com/file/d/1k8CgQcY5KHiLb7RH_DYHoHDBYsKs9wMD/view?usp=drivesdk")</f>
        <v>https://drive.google.com/file/d/1k8CgQcY5KHiLb7RH_DYHoHDBYsKs9wMD/view?usp=drivesdk</v>
      </c>
    </row>
    <row r="800">
      <c r="A800" s="50" t="s">
        <v>3195</v>
      </c>
      <c r="B800" s="50" t="str">
        <f>IFERROR(__xludf.DUMMYFUNCTION("""COMPUTED_VALUE"""),"SES-0010")</f>
        <v>SES-0010</v>
      </c>
      <c r="C800" s="50" t="str">
        <f>IFERROR(__xludf.DUMMYFUNCTION("""COMPUTED_VALUE"""),"ebenet@ucpa.asso.fr")</f>
        <v>ebenet@ucpa.asso.fr</v>
      </c>
      <c r="D800" s="127" t="str">
        <f>IFERROR(__xludf.DUMMYFUNCTION("""COMPUTED_VALUE"""),"https://drive.google.com/file/d/1tpFFkc61_91ZpCOqyuCgR1E-r9q2LG1P/view?usp=drivesdk")</f>
        <v>https://drive.google.com/file/d/1tpFFkc61_91ZpCOqyuCgR1E-r9q2LG1P/view?usp=drivesdk</v>
      </c>
    </row>
    <row r="801">
      <c r="A801" s="50" t="s">
        <v>3199</v>
      </c>
      <c r="B801" s="50" t="str">
        <f>IFERROR(__xludf.DUMMYFUNCTION("""COMPUTED_VALUE"""),"SES-0009")</f>
        <v>SES-0009</v>
      </c>
      <c r="C801" s="50" t="str">
        <f>IFERROR(__xludf.DUMMYFUNCTION("""COMPUTED_VALUE"""),"nkhoulalene@gmail.com")</f>
        <v>nkhoulalene@gmail.com</v>
      </c>
      <c r="D801" s="127" t="str">
        <f>IFERROR(__xludf.DUMMYFUNCTION("""COMPUTED_VALUE"""),"https://drive.google.com/file/d/1B-iCe9qtx1eV8kNJ11BCjbSm8TXE72ez/view?usp=drivesdk")</f>
        <v>https://drive.google.com/file/d/1B-iCe9qtx1eV8kNJ11BCjbSm8TXE72ez/view?usp=drivesdk</v>
      </c>
    </row>
    <row r="802">
      <c r="A802" s="50" t="s">
        <v>3202</v>
      </c>
      <c r="B802" s="50" t="str">
        <f>IFERROR(__xludf.DUMMYFUNCTION("""COMPUTED_VALUE"""),"SES-0015")</f>
        <v>SES-0015</v>
      </c>
      <c r="C802" s="50" t="str">
        <f>IFERROR(__xludf.DUMMYFUNCTION("""COMPUTED_VALUE"""),"christinecoumet@labalaguere.com")</f>
        <v>christinecoumet@labalaguere.com</v>
      </c>
      <c r="D802" s="127" t="str">
        <f>IFERROR(__xludf.DUMMYFUNCTION("""COMPUTED_VALUE"""),"https://drive.google.com/file/d/1h6e5h_3XDStIxjeiQ1CbpzOn-E1OR74K/view?usp=drivesdk")</f>
        <v>https://drive.google.com/file/d/1h6e5h_3XDStIxjeiQ1CbpzOn-E1OR74K/view?usp=drivesdk</v>
      </c>
    </row>
    <row r="803">
      <c r="A803" s="50" t="s">
        <v>3205</v>
      </c>
      <c r="B803" s="50" t="str">
        <f>IFERROR(__xludf.DUMMYFUNCTION("""COMPUTED_VALUE"""),"SES-0010")</f>
        <v>SES-0010</v>
      </c>
      <c r="C803" s="50" t="str">
        <f>IFERROR(__xludf.DUMMYFUNCTION("""COMPUTED_VALUE"""),"ccoeur@ucpa.asso.fr")</f>
        <v>ccoeur@ucpa.asso.fr</v>
      </c>
      <c r="D803" s="127" t="str">
        <f>IFERROR(__xludf.DUMMYFUNCTION("""COMPUTED_VALUE"""),"https://drive.google.com/file/d/1lGf496vsrYfPV-0ZE1Xf9ClYDE8m8d9Q/view?usp=drivesdk")</f>
        <v>https://drive.google.com/file/d/1lGf496vsrYfPV-0ZE1Xf9ClYDE8m8d9Q/view?usp=drivesdk</v>
      </c>
    </row>
    <row r="804">
      <c r="A804" s="50" t="s">
        <v>3208</v>
      </c>
      <c r="B804" s="50" t="str">
        <f>IFERROR(__xludf.DUMMYFUNCTION("""COMPUTED_VALUE"""),"SES-0020")</f>
        <v>SES-0020</v>
      </c>
      <c r="C804" s="50" t="str">
        <f>IFERROR(__xludf.DUMMYFUNCTION("""COMPUTED_VALUE"""),"ccoeur@ucpa.asso.fr")</f>
        <v>ccoeur@ucpa.asso.fr</v>
      </c>
      <c r="D804" s="127" t="str">
        <f>IFERROR(__xludf.DUMMYFUNCTION("""COMPUTED_VALUE"""),"https://drive.google.com/file/d/1VZW8jWWQVwNQ8KAAl8nTEQac-Vkpdkvp/view?usp=drivesdk")</f>
        <v>https://drive.google.com/file/d/1VZW8jWWQVwNQ8KAAl8nTEQac-Vkpdkvp/view?usp=drivesdk</v>
      </c>
    </row>
    <row r="805">
      <c r="A805" s="50" t="s">
        <v>3211</v>
      </c>
      <c r="B805" s="50" t="str">
        <f>IFERROR(__xludf.DUMMYFUNCTION("""COMPUTED_VALUE"""),"SES-0018")</f>
        <v>SES-0018</v>
      </c>
      <c r="C805" s="50" t="str">
        <f>IFERROR(__xludf.DUMMYFUNCTION("""COMPUTED_VALUE"""),"sophie.feysel@telligo.fr")</f>
        <v>sophie.feysel@telligo.fr</v>
      </c>
      <c r="D805" s="127" t="str">
        <f>IFERROR(__xludf.DUMMYFUNCTION("""COMPUTED_VALUE"""),"https://drive.google.com/file/d/1Z-SM3QF83J_Svm42Kiq3mjXFWnosoFn5/view?usp=drivesdk")</f>
        <v>https://drive.google.com/file/d/1Z-SM3QF83J_Svm42Kiq3mjXFWnosoFn5/view?usp=drivesdk</v>
      </c>
    </row>
    <row r="806">
      <c r="A806" s="50" t="s">
        <v>3215</v>
      </c>
      <c r="B806" s="50" t="str">
        <f>IFERROR(__xludf.DUMMYFUNCTION("""COMPUTED_VALUE"""),"SES-0009")</f>
        <v>SES-0009</v>
      </c>
      <c r="C806" s="50" t="str">
        <f>IFERROR(__xludf.DUMMYFUNCTION("""COMPUTED_VALUE"""),"pgaudin@ucpa.asso.fr")</f>
        <v>pgaudin@ucpa.asso.fr</v>
      </c>
      <c r="D806" s="127" t="str">
        <f>IFERROR(__xludf.DUMMYFUNCTION("""COMPUTED_VALUE"""),"https://drive.google.com/file/d/1TEJlPq5969yK0X7DERjQf9yh0BUtMrv8/view?usp=drivesdk")</f>
        <v>https://drive.google.com/file/d/1TEJlPq5969yK0X7DERjQf9yh0BUtMrv8/view?usp=drivesdk</v>
      </c>
    </row>
    <row r="807">
      <c r="A807" s="50" t="s">
        <v>3220</v>
      </c>
      <c r="B807" s="50" t="str">
        <f>IFERROR(__xludf.DUMMYFUNCTION("""COMPUTED_VALUE"""),"SES-0014")</f>
        <v>SES-0014</v>
      </c>
      <c r="C807" s="50" t="str">
        <f>IFERROR(__xludf.DUMMYFUNCTION("""COMPUTED_VALUE"""),"apouffier@ucpasl.com")</f>
        <v>apouffier@ucpasl.com</v>
      </c>
      <c r="D807" s="127" t="str">
        <f>IFERROR(__xludf.DUMMYFUNCTION("""COMPUTED_VALUE"""),"https://drive.google.com/file/d/1k1_Li6f-L_9wezzvtaF-N-xAHxwzuQoT/view?usp=drivesdk")</f>
        <v>https://drive.google.com/file/d/1k1_Li6f-L_9wezzvtaF-N-xAHxwzuQoT/view?usp=drivesdk</v>
      </c>
    </row>
    <row r="808">
      <c r="A808" s="50" t="s">
        <v>3223</v>
      </c>
      <c r="B808" s="50" t="str">
        <f>IFERROR(__xludf.DUMMYFUNCTION("""COMPUTED_VALUE"""),"SES-0015")</f>
        <v>SES-0015</v>
      </c>
      <c r="C808" s="50" t="str">
        <f>IFERROR(__xludf.DUMMYFUNCTION("""COMPUTED_VALUE"""),"smathieu@ucpa.asso.fr")</f>
        <v>smathieu@ucpa.asso.fr</v>
      </c>
      <c r="D808" s="127" t="str">
        <f>IFERROR(__xludf.DUMMYFUNCTION("""COMPUTED_VALUE"""),"https://drive.google.com/file/d/1voItg-g_UwJ8AuKnpU0NnfwzYJphJs5c/view?usp=drivesdk")</f>
        <v>https://drive.google.com/file/d/1voItg-g_UwJ8AuKnpU0NnfwzYJphJs5c/view?usp=drivesdk</v>
      </c>
    </row>
    <row r="809">
      <c r="A809" s="50" t="s">
        <v>3226</v>
      </c>
      <c r="B809" s="50" t="str">
        <f>IFERROR(__xludf.DUMMYFUNCTION("""COMPUTED_VALUE"""),"SES-0014")</f>
        <v>SES-0014</v>
      </c>
      <c r="C809" s="50" t="str">
        <f>IFERROR(__xludf.DUMMYFUNCTION("""COMPUTED_VALUE"""),"lweissenburger@ucpa.asso.fr")</f>
        <v>lweissenburger@ucpa.asso.fr</v>
      </c>
      <c r="D809" s="127" t="str">
        <f>IFERROR(__xludf.DUMMYFUNCTION("""COMPUTED_VALUE"""),"https://drive.google.com/file/d/15uvFl6njArvzhWvF3NzVtgS-JUlJGR9f/view?usp=drivesdk")</f>
        <v>https://drive.google.com/file/d/15uvFl6njArvzhWvF3NzVtgS-JUlJGR9f/view?usp=drivesdk</v>
      </c>
    </row>
    <row r="810">
      <c r="A810" s="50" t="s">
        <v>3229</v>
      </c>
      <c r="B810" s="50" t="str">
        <f>IFERROR(__xludf.DUMMYFUNCTION("""COMPUTED_VALUE"""),"SES-0020")</f>
        <v>SES-0020</v>
      </c>
      <c r="C810" s="50" t="str">
        <f>IFERROR(__xludf.DUMMYFUNCTION("""COMPUTED_VALUE"""),"plecointe@ucpa.asso.fr")</f>
        <v>plecointe@ucpa.asso.fr</v>
      </c>
      <c r="D810" s="127" t="str">
        <f>IFERROR(__xludf.DUMMYFUNCTION("""COMPUTED_VALUE"""),"https://drive.google.com/file/d/1yjnpokQ4EAAvz8kj_tidTA7Q-7RO1rPB/view?usp=drivesdk")</f>
        <v>https://drive.google.com/file/d/1yjnpokQ4EAAvz8kj_tidTA7Q-7RO1rPB/view?usp=drivesdk</v>
      </c>
    </row>
    <row r="811">
      <c r="A811" s="50" t="s">
        <v>3233</v>
      </c>
      <c r="B811" s="50" t="str">
        <f>IFERROR(__xludf.DUMMYFUNCTION("""COMPUTED_VALUE"""),"SES-0018")</f>
        <v>SES-0018</v>
      </c>
      <c r="C811" s="50" t="str">
        <f>IFERROR(__xludf.DUMMYFUNCTION("""COMPUTED_VALUE"""),"plecointe@ucpa.asso.fr")</f>
        <v>plecointe@ucpa.asso.fr</v>
      </c>
      <c r="D811" s="127" t="str">
        <f>IFERROR(__xludf.DUMMYFUNCTION("""COMPUTED_VALUE"""),"https://drive.google.com/file/d/1drnF4GSfDiihCB-ZcCVogFp1RjAFxaME/view?usp=drivesdk")</f>
        <v>https://drive.google.com/file/d/1drnF4GSfDiihCB-ZcCVogFp1RjAFxaME/view?usp=drivesdk</v>
      </c>
    </row>
    <row r="812">
      <c r="A812" s="50" t="s">
        <v>3238</v>
      </c>
      <c r="B812" s="50" t="str">
        <f>IFERROR(__xludf.DUMMYFUNCTION("""COMPUTED_VALUE"""),"SES-0005")</f>
        <v>SES-0005</v>
      </c>
      <c r="C812" s="50" t="str">
        <f>IFERROR(__xludf.DUMMYFUNCTION("""COMPUTED_VALUE"""),"nferat@ucpa.asso.fr")</f>
        <v>nferat@ucpa.asso.fr</v>
      </c>
      <c r="D812" s="127" t="str">
        <f>IFERROR(__xludf.DUMMYFUNCTION("""COMPUTED_VALUE"""),"https://drive.google.com/file/d/1L0CZf9GY2mIswHDqHWvwN10eZeqnt-SN/view?usp=drivesdk")</f>
        <v>https://drive.google.com/file/d/1L0CZf9GY2mIswHDqHWvwN10eZeqnt-SN/view?usp=drivesdk</v>
      </c>
    </row>
    <row r="813">
      <c r="A813" s="50" t="s">
        <v>3240</v>
      </c>
      <c r="B813" s="50" t="str">
        <f>IFERROR(__xludf.DUMMYFUNCTION("""COMPUTED_VALUE"""),"SES-0018")</f>
        <v>SES-0018</v>
      </c>
      <c r="C813" s="50" t="str">
        <f>IFERROR(__xludf.DUMMYFUNCTION("""COMPUTED_VALUE"""),"lweissenburger@ucpa.asso.fr")</f>
        <v>lweissenburger@ucpa.asso.fr</v>
      </c>
      <c r="D813" s="127" t="str">
        <f>IFERROR(__xludf.DUMMYFUNCTION("""COMPUTED_VALUE"""),"https://drive.google.com/file/d/1MkhNH8IIM9u-xxf3nev_OFilbWkgeBKM/view?usp=drivesdk")</f>
        <v>https://drive.google.com/file/d/1MkhNH8IIM9u-xxf3nev_OFilbWkgeBKM/view?usp=drivesdk</v>
      </c>
    </row>
    <row r="814">
      <c r="A814" s="50" t="s">
        <v>3244</v>
      </c>
      <c r="B814" s="50" t="str">
        <f>IFERROR(__xludf.DUMMYFUNCTION("""COMPUTED_VALUE"""),"SES-0011")</f>
        <v>SES-0011</v>
      </c>
      <c r="C814" s="50" t="str">
        <f>IFERROR(__xludf.DUMMYFUNCTION("""COMPUTED_VALUE"""),"hmingot@ucpa.asso.fr")</f>
        <v>hmingot@ucpa.asso.fr</v>
      </c>
      <c r="D814" s="127" t="str">
        <f>IFERROR(__xludf.DUMMYFUNCTION("""COMPUTED_VALUE"""),"https://drive.google.com/file/d/1VDE3z0pQJ8P3bcuSmHItmG90dF-dojhc/view?usp=drivesdk")</f>
        <v>https://drive.google.com/file/d/1VDE3z0pQJ8P3bcuSmHItmG90dF-dojhc/view?usp=drivesdk</v>
      </c>
    </row>
    <row r="815">
      <c r="A815" s="50" t="s">
        <v>3248</v>
      </c>
      <c r="B815" s="50" t="str">
        <f>IFERROR(__xludf.DUMMYFUNCTION("""COMPUTED_VALUE"""),"SES-0021")</f>
        <v>SES-0021</v>
      </c>
      <c r="C815" s="50" t="str">
        <f>IFERROR(__xludf.DUMMYFUNCTION("""COMPUTED_VALUE"""),"plecointe@ucpa.asso.fr")</f>
        <v>plecointe@ucpa.asso.fr</v>
      </c>
      <c r="D815" s="127" t="str">
        <f>IFERROR(__xludf.DUMMYFUNCTION("""COMPUTED_VALUE"""),"https://drive.google.com/file/d/1Y-Hmq1JLyoYuA2VVPS1LCrIVUY5H1Wvg/view?usp=drivesdk")</f>
        <v>https://drive.google.com/file/d/1Y-Hmq1JLyoYuA2VVPS1LCrIVUY5H1Wvg/view?usp=drivesdk</v>
      </c>
    </row>
    <row r="816">
      <c r="A816" s="50" t="s">
        <v>3252</v>
      </c>
      <c r="B816" s="50" t="str">
        <f>IFERROR(__xludf.DUMMYFUNCTION("""COMPUTED_VALUE"""),"SES-0015")</f>
        <v>SES-0015</v>
      </c>
      <c r="C816" s="50" t="str">
        <f>IFERROR(__xludf.DUMMYFUNCTION("""COMPUTED_VALUE"""),"nferat@ucpa.asso.fr")</f>
        <v>nferat@ucpa.asso.fr</v>
      </c>
      <c r="D816" s="127" t="str">
        <f>IFERROR(__xludf.DUMMYFUNCTION("""COMPUTED_VALUE"""),"https://drive.google.com/file/d/1w1Fz_nAm6Xtrdje8SvBFO9ODRNEUP-AD/view?usp=drivesdk")</f>
        <v>https://drive.google.com/file/d/1w1Fz_nAm6Xtrdje8SvBFO9ODRNEUP-AD/view?usp=drivesdk</v>
      </c>
    </row>
    <row r="817">
      <c r="A817" s="50" t="s">
        <v>3256</v>
      </c>
      <c r="B817" s="50" t="str">
        <f>IFERROR(__xludf.DUMMYFUNCTION("""COMPUTED_VALUE"""),"SES-0017")</f>
        <v>SES-0017</v>
      </c>
      <c r="C817" s="50" t="str">
        <f>IFERROR(__xludf.DUMMYFUNCTION("""COMPUTED_VALUE"""),"lgeulin@ucpa.asso.fr")</f>
        <v>lgeulin@ucpa.asso.fr</v>
      </c>
      <c r="D817" s="127" t="str">
        <f>IFERROR(__xludf.DUMMYFUNCTION("""COMPUTED_VALUE"""),"https://drive.google.com/file/d/1I96rw_HWa08XMAVJGIq8jAV0v5sYmeHZ/view?usp=drivesdk")</f>
        <v>https://drive.google.com/file/d/1I96rw_HWa08XMAVJGIq8jAV0v5sYmeHZ/view?usp=drivesdk</v>
      </c>
    </row>
    <row r="818">
      <c r="A818" s="50" t="s">
        <v>3260</v>
      </c>
      <c r="B818" s="50" t="str">
        <f>IFERROR(__xludf.DUMMYFUNCTION("""COMPUTED_VALUE"""),"SES-0011")</f>
        <v>SES-0011</v>
      </c>
      <c r="C818" s="50" t="str">
        <f>IFERROR(__xludf.DUMMYFUNCTION("""COMPUTED_VALUE"""),"nferat@ucpa.asso.fr")</f>
        <v>nferat@ucpa.asso.fr</v>
      </c>
      <c r="D818" s="127" t="str">
        <f>IFERROR(__xludf.DUMMYFUNCTION("""COMPUTED_VALUE"""),"https://drive.google.com/file/d/1dG-v2DoRWPZ_gLPuOjhwnMds-R1HrZYK/view?usp=drivesdk")</f>
        <v>https://drive.google.com/file/d/1dG-v2DoRWPZ_gLPuOjhwnMds-R1HrZYK/view?usp=drivesdk</v>
      </c>
    </row>
    <row r="819">
      <c r="A819" s="50" t="s">
        <v>3264</v>
      </c>
      <c r="B819" s="50" t="str">
        <f>IFERROR(__xludf.DUMMYFUNCTION("""COMPUTED_VALUE"""),"SES-0017")</f>
        <v>SES-0017</v>
      </c>
      <c r="C819" s="50" t="str">
        <f>IFERROR(__xludf.DUMMYFUNCTION("""COMPUTED_VALUE"""),"vbuffy@ucpa.asso.fr")</f>
        <v>vbuffy@ucpa.asso.fr</v>
      </c>
      <c r="D819" s="127" t="str">
        <f>IFERROR(__xludf.DUMMYFUNCTION("""COMPUTED_VALUE"""),"https://drive.google.com/file/d/1_wM3J25gfPmJPUNTwwxT6F5mhTO2lKim/view?usp=drivesdk")</f>
        <v>https://drive.google.com/file/d/1_wM3J25gfPmJPUNTwwxT6F5mhTO2lKim/view?usp=drivesdk</v>
      </c>
    </row>
    <row r="820">
      <c r="A820" s="50" t="s">
        <v>3267</v>
      </c>
      <c r="B820" s="50" t="str">
        <f>IFERROR(__xludf.DUMMYFUNCTION("""COMPUTED_VALUE"""),"SES-0015")</f>
        <v>SES-0015</v>
      </c>
      <c r="C820" s="50" t="str">
        <f>IFERROR(__xludf.DUMMYFUNCTION("""COMPUTED_VALUE"""),"mnodin@ucpa.asso.fr")</f>
        <v>mnodin@ucpa.asso.fr</v>
      </c>
      <c r="D820" s="127" t="str">
        <f>IFERROR(__xludf.DUMMYFUNCTION("""COMPUTED_VALUE"""),"https://drive.google.com/file/d/1lY5hy9QIuYpEZ65qpwbl_zXSMkwYsQv0/view?usp=drivesdk")</f>
        <v>https://drive.google.com/file/d/1lY5hy9QIuYpEZ65qpwbl_zXSMkwYsQv0/view?usp=drivesdk</v>
      </c>
    </row>
    <row r="821">
      <c r="A821" s="50" t="s">
        <v>3274</v>
      </c>
      <c r="B821" s="50" t="str">
        <f>IFERROR(__xludf.DUMMYFUNCTION("""COMPUTED_VALUE"""),"SES-0017")</f>
        <v>SES-0017</v>
      </c>
      <c r="C821" s="50" t="str">
        <f>IFERROR(__xludf.DUMMYFUNCTION("""COMPUTED_VALUE"""),"mnodin@ucpa.asso.fr")</f>
        <v>mnodin@ucpa.asso.fr</v>
      </c>
      <c r="D821" s="127" t="str">
        <f>IFERROR(__xludf.DUMMYFUNCTION("""COMPUTED_VALUE"""),"https://drive.google.com/file/d/1wTO_3OhiOt6T-NPBvKuw0YDU8m6gcZ0I/view?usp=drivesdk")</f>
        <v>https://drive.google.com/file/d/1wTO_3OhiOt6T-NPBvKuw0YDU8m6gcZ0I/view?usp=drivesdk</v>
      </c>
    </row>
    <row r="822">
      <c r="A822" s="50" t="s">
        <v>3277</v>
      </c>
      <c r="B822" s="50" t="str">
        <f>IFERROR(__xludf.DUMMYFUNCTION("""COMPUTED_VALUE"""),"SES-0009")</f>
        <v>SES-0009</v>
      </c>
      <c r="C822" s="50" t="str">
        <f>IFERROR(__xludf.DUMMYFUNCTION("""COMPUTED_VALUE"""),"mnodin@ucpa.asso.fr")</f>
        <v>mnodin@ucpa.asso.fr</v>
      </c>
      <c r="D822" s="127" t="str">
        <f>IFERROR(__xludf.DUMMYFUNCTION("""COMPUTED_VALUE"""),"https://drive.google.com/file/d/1u2cuYJw1wxtIaeKSTjMMB6x1UxAAzvyC/view?usp=drivesdk")</f>
        <v>https://drive.google.com/file/d/1u2cuYJw1wxtIaeKSTjMMB6x1UxAAzvyC/view?usp=drivesdk</v>
      </c>
    </row>
    <row r="823">
      <c r="A823" s="50" t="s">
        <v>3283</v>
      </c>
      <c r="B823" s="50" t="str">
        <f>IFERROR(__xludf.DUMMYFUNCTION("""COMPUTED_VALUE"""),"SES-0017")</f>
        <v>SES-0017</v>
      </c>
      <c r="C823" s="50" t="str">
        <f>IFERROR(__xludf.DUMMYFUNCTION("""COMPUTED_VALUE"""),"pgombert@ucpa.asso.fr")</f>
        <v>pgombert@ucpa.asso.fr</v>
      </c>
      <c r="D823" s="127" t="str">
        <f>IFERROR(__xludf.DUMMYFUNCTION("""COMPUTED_VALUE"""),"https://drive.google.com/file/d/1WoUUW2Y2fLq0rw5az4lEeA9eISevpPyu/view?usp=drivesdk")</f>
        <v>https://drive.google.com/file/d/1WoUUW2Y2fLq0rw5az4lEeA9eISevpPyu/view?usp=drivesdk</v>
      </c>
    </row>
    <row r="824">
      <c r="A824" s="50" t="s">
        <v>3288</v>
      </c>
      <c r="B824" s="50" t="str">
        <f>IFERROR(__xludf.DUMMYFUNCTION("""COMPUTED_VALUE"""),"SES-0010")</f>
        <v>SES-0010</v>
      </c>
      <c r="C824" s="50" t="str">
        <f>IFERROR(__xludf.DUMMYFUNCTION("""COMPUTED_VALUE"""),"etissot@ucpasl.com")</f>
        <v>etissot@ucpasl.com</v>
      </c>
      <c r="D824" s="127" t="str">
        <f>IFERROR(__xludf.DUMMYFUNCTION("""COMPUTED_VALUE"""),"https://drive.google.com/file/d/1yHTJQNH7xwaVDgh-NUPRaaSZikGonzC7/view?usp=drivesdk")</f>
        <v>https://drive.google.com/file/d/1yHTJQNH7xwaVDgh-NUPRaaSZikGonzC7/view?usp=drivesdk</v>
      </c>
    </row>
    <row r="825">
      <c r="A825" s="50" t="s">
        <v>3292</v>
      </c>
      <c r="B825" s="50" t="str">
        <f>IFERROR(__xludf.DUMMYFUNCTION("""COMPUTED_VALUE"""),"SES-0014")</f>
        <v>SES-0014</v>
      </c>
      <c r="C825" s="50" t="str">
        <f>IFERROR(__xludf.DUMMYFUNCTION("""COMPUTED_VALUE"""),"etissot@ucpasl.com")</f>
        <v>etissot@ucpasl.com</v>
      </c>
      <c r="D825" s="127" t="str">
        <f>IFERROR(__xludf.DUMMYFUNCTION("""COMPUTED_VALUE"""),"https://drive.google.com/file/d/1YiC503E7aApebHmFpctP_6jMYYMQOfec/view?usp=drivesdk")</f>
        <v>https://drive.google.com/file/d/1YiC503E7aApebHmFpctP_6jMYYMQOfec/view?usp=drivesdk</v>
      </c>
    </row>
    <row r="826">
      <c r="A826" s="50" t="s">
        <v>3297</v>
      </c>
      <c r="B826" s="50" t="str">
        <f>IFERROR(__xludf.DUMMYFUNCTION("""COMPUTED_VALUE"""),"SES-0017")</f>
        <v>SES-0017</v>
      </c>
      <c r="C826" s="50" t="str">
        <f>IFERROR(__xludf.DUMMYFUNCTION("""COMPUTED_VALUE"""),"lmosnier@ucpa.asso.fr")</f>
        <v>lmosnier@ucpa.asso.fr</v>
      </c>
      <c r="D826" s="127" t="str">
        <f>IFERROR(__xludf.DUMMYFUNCTION("""COMPUTED_VALUE"""),"https://drive.google.com/file/d/1930XeGZwb2k89hOo-ugNZVwUhmh2t1vj/view?usp=drivesdk")</f>
        <v>https://drive.google.com/file/d/1930XeGZwb2k89hOo-ugNZVwUhmh2t1vj/view?usp=drivesdk</v>
      </c>
    </row>
    <row r="827">
      <c r="A827" s="50" t="s">
        <v>3302</v>
      </c>
      <c r="B827" s="50" t="str">
        <f>IFERROR(__xludf.DUMMYFUNCTION("""COMPUTED_VALUE"""),"SES-0015")</f>
        <v>SES-0015</v>
      </c>
      <c r="C827" s="50" t="str">
        <f>IFERROR(__xludf.DUMMYFUNCTION("""COMPUTED_VALUE"""),"lmosnier@ucpa.asso.fr")</f>
        <v>lmosnier@ucpa.asso.fr</v>
      </c>
      <c r="D827" s="127" t="str">
        <f>IFERROR(__xludf.DUMMYFUNCTION("""COMPUTED_VALUE"""),"https://drive.google.com/file/d/1sZbc4SxXQNhtCjIfpVEjHix7Gf1GtDWZ/view?usp=drivesdk")</f>
        <v>https://drive.google.com/file/d/1sZbc4SxXQNhtCjIfpVEjHix7Gf1GtDWZ/view?usp=drivesdk</v>
      </c>
    </row>
    <row r="828">
      <c r="A828" s="50" t="s">
        <v>3307</v>
      </c>
      <c r="B828" s="50" t="str">
        <f>IFERROR(__xludf.DUMMYFUNCTION("""COMPUTED_VALUE"""),"SES-0014")</f>
        <v>SES-0014</v>
      </c>
      <c r="C828" s="50" t="str">
        <f>IFERROR(__xludf.DUMMYFUNCTION("""COMPUTED_VALUE"""),"spornin@ucpa.asso.fr")</f>
        <v>spornin@ucpa.asso.fr</v>
      </c>
      <c r="D828" s="127" t="str">
        <f>IFERROR(__xludf.DUMMYFUNCTION("""COMPUTED_VALUE"""),"https://drive.google.com/file/d/1IrQS8jroID0qzE6rOnxoVOV0Ro6QG5aM/view?usp=drivesdk")</f>
        <v>https://drive.google.com/file/d/1IrQS8jroID0qzE6rOnxoVOV0Ro6QG5aM/view?usp=drivesdk</v>
      </c>
    </row>
    <row r="829">
      <c r="A829" s="50" t="s">
        <v>3313</v>
      </c>
      <c r="B829" s="50" t="str">
        <f>IFERROR(__xludf.DUMMYFUNCTION("""COMPUTED_VALUE"""),"SES-0020")</f>
        <v>SES-0020</v>
      </c>
      <c r="C829" s="50" t="str">
        <f>IFERROR(__xludf.DUMMYFUNCTION("""COMPUTED_VALUE"""),"catherine.georges@telligo.fr")</f>
        <v>catherine.georges@telligo.fr</v>
      </c>
      <c r="D829" s="127" t="str">
        <f>IFERROR(__xludf.DUMMYFUNCTION("""COMPUTED_VALUE"""),"https://drive.google.com/file/d/1Wiv_faDUpPUMJipIQ5K0AOAltklA_Xzd/view?usp=drivesdk")</f>
        <v>https://drive.google.com/file/d/1Wiv_faDUpPUMJipIQ5K0AOAltklA_Xzd/view?usp=drivesdk</v>
      </c>
    </row>
    <row r="830">
      <c r="A830" s="50" t="s">
        <v>3317</v>
      </c>
      <c r="B830" s="50" t="str">
        <f>IFERROR(__xludf.DUMMYFUNCTION("""COMPUTED_VALUE"""),"SES-0005")</f>
        <v>SES-0005</v>
      </c>
      <c r="C830" s="50" t="str">
        <f>IFERROR(__xludf.DUMMYFUNCTION("""COMPUTED_VALUE"""),"lauriane.33@hotmail.fr")</f>
        <v>lauriane.33@hotmail.fr</v>
      </c>
      <c r="D830" s="127" t="str">
        <f>IFERROR(__xludf.DUMMYFUNCTION("""COMPUTED_VALUE"""),"https://drive.google.com/file/d/1OBLU7yF85hGH9-x7Z8mYCK3_X08YchgD/view?usp=drivesdk")</f>
        <v>https://drive.google.com/file/d/1OBLU7yF85hGH9-x7Z8mYCK3_X08YchgD/view?usp=drivesdk</v>
      </c>
    </row>
    <row r="831">
      <c r="A831" s="50" t="s">
        <v>3322</v>
      </c>
      <c r="B831" s="50" t="str">
        <f>IFERROR(__xludf.DUMMYFUNCTION("""COMPUTED_VALUE"""),"SES-0015")</f>
        <v>SES-0015</v>
      </c>
      <c r="C831" s="50" t="str">
        <f>IFERROR(__xludf.DUMMYFUNCTION("""COMPUTED_VALUE"""),"lauriane.33@hotmail.fr")</f>
        <v>lauriane.33@hotmail.fr</v>
      </c>
      <c r="D831" s="127" t="str">
        <f>IFERROR(__xludf.DUMMYFUNCTION("""COMPUTED_VALUE"""),"https://drive.google.com/file/d/1AJdP6Q9l1K95eq2Vwmb6Jd2MecVaTivD/view?usp=drivesdk")</f>
        <v>https://drive.google.com/file/d/1AJdP6Q9l1K95eq2Vwmb6Jd2MecVaTivD/view?usp=drivesdk</v>
      </c>
    </row>
    <row r="832">
      <c r="A832" s="50" t="s">
        <v>3328</v>
      </c>
      <c r="B832" s="50" t="str">
        <f>IFERROR(__xludf.DUMMYFUNCTION("""COMPUTED_VALUE"""),"SES-0009")</f>
        <v>SES-0009</v>
      </c>
      <c r="C832" s="50" t="str">
        <f>IFERROR(__xludf.DUMMYFUNCTION("""COMPUTED_VALUE"""),"guillaumereyrolle@yahoo.fr")</f>
        <v>guillaumereyrolle@yahoo.fr</v>
      </c>
      <c r="D832" s="127" t="str">
        <f>IFERROR(__xludf.DUMMYFUNCTION("""COMPUTED_VALUE"""),"https://drive.google.com/file/d/1Sd6DAo60YoZpfeP9qgmSFagzC5t3LOtk/view?usp=drivesdk")</f>
        <v>https://drive.google.com/file/d/1Sd6DAo60YoZpfeP9qgmSFagzC5t3LOtk/view?usp=drivesdk</v>
      </c>
    </row>
    <row r="833">
      <c r="A833" s="50" t="s">
        <v>3334</v>
      </c>
      <c r="B833" s="50" t="str">
        <f>IFERROR(__xludf.DUMMYFUNCTION("""COMPUTED_VALUE"""),"SES-0010")</f>
        <v>SES-0010</v>
      </c>
      <c r="C833" s="50" t="str">
        <f>IFERROR(__xludf.DUMMYFUNCTION("""COMPUTED_VALUE"""),"guillaumereyrolle@yahoo.fr")</f>
        <v>guillaumereyrolle@yahoo.fr</v>
      </c>
      <c r="D833" s="127" t="str">
        <f>IFERROR(__xludf.DUMMYFUNCTION("""COMPUTED_VALUE"""),"https://drive.google.com/file/d/1tIF9cCf1Y4FUdQVoqpGWlaveqPFvi_WA/view?usp=drivesdk")</f>
        <v>https://drive.google.com/file/d/1tIF9cCf1Y4FUdQVoqpGWlaveqPFvi_WA/view?usp=drivesdk</v>
      </c>
    </row>
    <row r="834">
      <c r="A834" s="50" t="s">
        <v>3336</v>
      </c>
      <c r="B834" s="50" t="str">
        <f>IFERROR(__xludf.DUMMYFUNCTION("""COMPUTED_VALUE"""),"SES-0014")</f>
        <v>SES-0014</v>
      </c>
      <c r="C834" s="50" t="str">
        <f>IFERROR(__xludf.DUMMYFUNCTION("""COMPUTED_VALUE"""),"guillaumereyrolle@yahoo.fr")</f>
        <v>guillaumereyrolle@yahoo.fr</v>
      </c>
      <c r="D834" s="127" t="str">
        <f>IFERROR(__xludf.DUMMYFUNCTION("""COMPUTED_VALUE"""),"https://drive.google.com/file/d/1LL2ld2Fu6WC8z3qZHcPp4DZwtb0MQ-xk/view?usp=drivesdk")</f>
        <v>https://drive.google.com/file/d/1LL2ld2Fu6WC8z3qZHcPp4DZwtb0MQ-xk/view?usp=drivesdk</v>
      </c>
    </row>
    <row r="835">
      <c r="A835" s="50" t="s">
        <v>3340</v>
      </c>
      <c r="B835" s="50" t="str">
        <f>IFERROR(__xludf.DUMMYFUNCTION("""COMPUTED_VALUE"""),"SES-0015")</f>
        <v>SES-0015</v>
      </c>
      <c r="C835" s="50" t="str">
        <f>IFERROR(__xludf.DUMMYFUNCTION("""COMPUTED_VALUE"""),"guillaumereyrolle@yahoo.fr")</f>
        <v>guillaumereyrolle@yahoo.fr</v>
      </c>
      <c r="D835" s="127" t="str">
        <f>IFERROR(__xludf.DUMMYFUNCTION("""COMPUTED_VALUE"""),"https://drive.google.com/file/d/1Vj09lH_vQ3BPYSSMPukL3AL7NaGS5-yE/view?usp=drivesdk")</f>
        <v>https://drive.google.com/file/d/1Vj09lH_vQ3BPYSSMPukL3AL7NaGS5-yE/view?usp=drivesdk</v>
      </c>
    </row>
    <row r="836">
      <c r="A836" s="50" t="s">
        <v>3343</v>
      </c>
      <c r="B836" s="50" t="str">
        <f>IFERROR(__xludf.DUMMYFUNCTION("""COMPUTED_VALUE"""),"SES-0017")</f>
        <v>SES-0017</v>
      </c>
      <c r="C836" s="50" t="str">
        <f>IFERROR(__xludf.DUMMYFUNCTION("""COMPUTED_VALUE"""),"guillaumereyrolle@yahoo.fr")</f>
        <v>guillaumereyrolle@yahoo.fr</v>
      </c>
      <c r="D836" s="127" t="str">
        <f>IFERROR(__xludf.DUMMYFUNCTION("""COMPUTED_VALUE"""),"https://drive.google.com/file/d/1Z_Hlv2z4ZmN5JJhP5rblZfdI0HLJSKpr/view?usp=drivesdk")</f>
        <v>https://drive.google.com/file/d/1Z_Hlv2z4ZmN5JJhP5rblZfdI0HLJSKpr/view?usp=drivesdk</v>
      </c>
    </row>
    <row r="837">
      <c r="A837" s="50" t="s">
        <v>3348</v>
      </c>
      <c r="B837" s="50" t="str">
        <f>IFERROR(__xludf.DUMMYFUNCTION("""COMPUTED_VALUE"""),"SES-0021")</f>
        <v>SES-0021</v>
      </c>
      <c r="C837" s="50" t="str">
        <f>IFERROR(__xludf.DUMMYFUNCTION("""COMPUTED_VALUE"""),"guillaumereyrolle@yahoo.fr")</f>
        <v>guillaumereyrolle@yahoo.fr</v>
      </c>
      <c r="D837" s="127" t="str">
        <f>IFERROR(__xludf.DUMMYFUNCTION("""COMPUTED_VALUE"""),"https://drive.google.com/file/d/1rFz6JPXCZsWAbdrNKO3KSyUuSTkIaV_5/view?usp=drivesdk")</f>
        <v>https://drive.google.com/file/d/1rFz6JPXCZsWAbdrNKO3KSyUuSTkIaV_5/view?usp=drivesdk</v>
      </c>
    </row>
    <row r="838">
      <c r="A838" s="50" t="s">
        <v>3351</v>
      </c>
      <c r="B838" s="50" t="str">
        <f>IFERROR(__xludf.DUMMYFUNCTION("""COMPUTED_VALUE"""),"SES-0010")</f>
        <v>SES-0010</v>
      </c>
      <c r="C838" s="50" t="str">
        <f>IFERROR(__xludf.DUMMYFUNCTION("""COMPUTED_VALUE"""),"sarduain@ucpa.asso.fr")</f>
        <v>sarduain@ucpa.asso.fr</v>
      </c>
      <c r="D838" s="127" t="str">
        <f>IFERROR(__xludf.DUMMYFUNCTION("""COMPUTED_VALUE"""),"https://drive.google.com/file/d/1OZ9v7Go2VYrJmIEquiDGxk9xU3-0TRxp/view?usp=drivesdk")</f>
        <v>https://drive.google.com/file/d/1OZ9v7Go2VYrJmIEquiDGxk9xU3-0TRxp/view?usp=drivesdk</v>
      </c>
    </row>
    <row r="839">
      <c r="A839" s="50" t="s">
        <v>3355</v>
      </c>
      <c r="B839" s="50" t="str">
        <f>IFERROR(__xludf.DUMMYFUNCTION("""COMPUTED_VALUE"""),"SES-0015")</f>
        <v>SES-0015</v>
      </c>
      <c r="C839" s="50" t="str">
        <f>IFERROR(__xludf.DUMMYFUNCTION("""COMPUTED_VALUE"""),"sarduain@ucpa.asso.fr")</f>
        <v>sarduain@ucpa.asso.fr</v>
      </c>
      <c r="D839" s="127" t="str">
        <f>IFERROR(__xludf.DUMMYFUNCTION("""COMPUTED_VALUE"""),"https://drive.google.com/file/d/1l055kXXwbWO_-htdM91leLa1yTNFvcJC/view?usp=drivesdk")</f>
        <v>https://drive.google.com/file/d/1l055kXXwbWO_-htdM91leLa1yTNFvcJC/view?usp=drivesdk</v>
      </c>
    </row>
    <row r="840">
      <c r="A840" s="50" t="s">
        <v>3358</v>
      </c>
      <c r="B840" s="50" t="str">
        <f>IFERROR(__xludf.DUMMYFUNCTION("""COMPUTED_VALUE"""),"SES-0017")</f>
        <v>SES-0017</v>
      </c>
      <c r="C840" s="50" t="str">
        <f>IFERROR(__xludf.DUMMYFUNCTION("""COMPUTED_VALUE"""),"sarduain@ucpa.asso.fr")</f>
        <v>sarduain@ucpa.asso.fr</v>
      </c>
      <c r="D840" s="127" t="str">
        <f>IFERROR(__xludf.DUMMYFUNCTION("""COMPUTED_VALUE"""),"https://drive.google.com/file/d/1p1Nl_ngsgWCETxoAsxHoXV1XaHAusybf/view?usp=drivesdk")</f>
        <v>https://drive.google.com/file/d/1p1Nl_ngsgWCETxoAsxHoXV1XaHAusybf/view?usp=drivesdk</v>
      </c>
    </row>
    <row r="841">
      <c r="A841" s="50" t="s">
        <v>3361</v>
      </c>
      <c r="B841" s="50" t="str">
        <f>IFERROR(__xludf.DUMMYFUNCTION("""COMPUTED_VALUE"""),"SES-0021")</f>
        <v>SES-0021</v>
      </c>
      <c r="C841" s="50" t="str">
        <f>IFERROR(__xludf.DUMMYFUNCTION("""COMPUTED_VALUE"""),"goncalvesjulie@yahoo.fr")</f>
        <v>goncalvesjulie@yahoo.fr</v>
      </c>
      <c r="D841" s="127" t="str">
        <f>IFERROR(__xludf.DUMMYFUNCTION("""COMPUTED_VALUE"""),"https://drive.google.com/file/d/1qsw2r1GDTl4kK8WkobS-m9NqlwJrPj6s/view?usp=drivesdk")</f>
        <v>https://drive.google.com/file/d/1qsw2r1GDTl4kK8WkobS-m9NqlwJrPj6s/view?usp=drivesdk</v>
      </c>
    </row>
    <row r="842">
      <c r="A842" s="50" t="s">
        <v>3365</v>
      </c>
      <c r="B842" s="50" t="str">
        <f>IFERROR(__xludf.DUMMYFUNCTION("""COMPUTED_VALUE"""),"SES-0015")</f>
        <v>SES-0015</v>
      </c>
      <c r="C842" s="50" t="str">
        <f>IFERROR(__xludf.DUMMYFUNCTION("""COMPUTED_VALUE"""),"vpaparella@ucpa.asso.fr")</f>
        <v>vpaparella@ucpa.asso.fr</v>
      </c>
      <c r="D842" s="127" t="str">
        <f>IFERROR(__xludf.DUMMYFUNCTION("""COMPUTED_VALUE"""),"https://drive.google.com/file/d/1pB0O3tgekyjca8nzWz0sLI0WCXwFaNx_/view?usp=drivesdk")</f>
        <v>https://drive.google.com/file/d/1pB0O3tgekyjca8nzWz0sLI0WCXwFaNx_/view?usp=drivesdk</v>
      </c>
    </row>
    <row r="843">
      <c r="A843" s="50" t="s">
        <v>3369</v>
      </c>
      <c r="B843" s="50" t="str">
        <f>IFERROR(__xludf.DUMMYFUNCTION("""COMPUTED_VALUE"""),"SES-0017")</f>
        <v>SES-0017</v>
      </c>
      <c r="C843" s="50" t="str">
        <f>IFERROR(__xludf.DUMMYFUNCTION("""COMPUTED_VALUE"""),"vpaparella@ucpa.asso.fr")</f>
        <v>vpaparella@ucpa.asso.fr</v>
      </c>
      <c r="D843" s="127" t="str">
        <f>IFERROR(__xludf.DUMMYFUNCTION("""COMPUTED_VALUE"""),"https://drive.google.com/file/d/13ABP3UlNPIzNK742S5bFq7QrZztJGV8C/view?usp=drivesdk")</f>
        <v>https://drive.google.com/file/d/13ABP3UlNPIzNK742S5bFq7QrZztJGV8C/view?usp=drivesdk</v>
      </c>
    </row>
    <row r="844">
      <c r="A844" s="50" t="s">
        <v>3372</v>
      </c>
      <c r="B844" s="50" t="str">
        <f>IFERROR(__xludf.DUMMYFUNCTION("""COMPUTED_VALUE"""),"SES-0020")</f>
        <v>SES-0020</v>
      </c>
      <c r="C844" s="50" t="str">
        <f>IFERROR(__xludf.DUMMYFUNCTION("""COMPUTED_VALUE"""),"vpaparella@ucpa.asso.fr")</f>
        <v>vpaparella@ucpa.asso.fr</v>
      </c>
      <c r="D844" s="127" t="str">
        <f>IFERROR(__xludf.DUMMYFUNCTION("""COMPUTED_VALUE"""),"https://drive.google.com/file/d/11h3625pjGf10cuPUTtPvr1SqfXecXpGe/view?usp=drivesdk")</f>
        <v>https://drive.google.com/file/d/11h3625pjGf10cuPUTtPvr1SqfXecXpGe/view?usp=drivesdk</v>
      </c>
    </row>
    <row r="845">
      <c r="A845" s="50" t="s">
        <v>3376</v>
      </c>
      <c r="B845" s="50" t="str">
        <f>IFERROR(__xludf.DUMMYFUNCTION("""COMPUTED_VALUE"""),"SES-0009")</f>
        <v>SES-0009</v>
      </c>
      <c r="C845" s="50" t="str">
        <f>IFERROR(__xludf.DUMMYFUNCTION("""COMPUTED_VALUE"""),"vpaparella@ucpa.asso.fr")</f>
        <v>vpaparella@ucpa.asso.fr</v>
      </c>
      <c r="D845" s="127" t="str">
        <f>IFERROR(__xludf.DUMMYFUNCTION("""COMPUTED_VALUE"""),"https://drive.google.com/file/d/1TpOShmxCtRXiYF4Xx9XoSUpaLs1VCu-4/view?usp=drivesdk")</f>
        <v>https://drive.google.com/file/d/1TpOShmxCtRXiYF4Xx9XoSUpaLs1VCu-4/view?usp=drivesdk</v>
      </c>
    </row>
    <row r="846">
      <c r="A846" s="50" t="s">
        <v>3380</v>
      </c>
      <c r="B846" s="50" t="str">
        <f>IFERROR(__xludf.DUMMYFUNCTION("""COMPUTED_VALUE"""),"SES-0014")</f>
        <v>SES-0014</v>
      </c>
      <c r="C846" s="50" t="str">
        <f>IFERROR(__xludf.DUMMYFUNCTION("""COMPUTED_VALUE"""),"vpaparella@ucpa.asso.fr")</f>
        <v>vpaparella@ucpa.asso.fr</v>
      </c>
      <c r="D846" s="127" t="str">
        <f>IFERROR(__xludf.DUMMYFUNCTION("""COMPUTED_VALUE"""),"https://drive.google.com/file/d/1BB2juqafOWPzQJrI77GAHXzfqql1-J5p/view?usp=drivesdk")</f>
        <v>https://drive.google.com/file/d/1BB2juqafOWPzQJrI77GAHXzfqql1-J5p/view?usp=drivesdk</v>
      </c>
    </row>
    <row r="847">
      <c r="A847" s="50" t="s">
        <v>3384</v>
      </c>
      <c r="B847" s="50" t="str">
        <f>IFERROR(__xludf.DUMMYFUNCTION("""COMPUTED_VALUE"""),"SES-0021")</f>
        <v>SES-0021</v>
      </c>
      <c r="C847" s="50" t="str">
        <f>IFERROR(__xludf.DUMMYFUNCTION("""COMPUTED_VALUE"""),"vpaparella@ucpa.asso.fr")</f>
        <v>vpaparella@ucpa.asso.fr</v>
      </c>
      <c r="D847" s="127" t="str">
        <f>IFERROR(__xludf.DUMMYFUNCTION("""COMPUTED_VALUE"""),"https://drive.google.com/file/d/1UrTfzMqC4JRYGi60zmrqzuPTjaEOIixX/view?usp=drivesdk")</f>
        <v>https://drive.google.com/file/d/1UrTfzMqC4JRYGi60zmrqzuPTjaEOIixX/view?usp=drivesdk</v>
      </c>
    </row>
    <row r="848">
      <c r="A848" s="50" t="s">
        <v>3389</v>
      </c>
      <c r="B848" s="50" t="str">
        <f>IFERROR(__xludf.DUMMYFUNCTION("""COMPUTED_VALUE"""),"SES-0009")</f>
        <v>SES-0009</v>
      </c>
      <c r="C848" s="50" t="str">
        <f>IFERROR(__xludf.DUMMYFUNCTION("""COMPUTED_VALUE"""),"smolina@ucpa.asso.fr")</f>
        <v>smolina@ucpa.asso.fr</v>
      </c>
      <c r="D848" s="127" t="str">
        <f>IFERROR(__xludf.DUMMYFUNCTION("""COMPUTED_VALUE"""),"https://drive.google.com/file/d/1PIwNy79EtGjJ7LOxmjyT8iXBYSPrpbYY/view?usp=drivesdk")</f>
        <v>https://drive.google.com/file/d/1PIwNy79EtGjJ7LOxmjyT8iXBYSPrpbYY/view?usp=drivesdk</v>
      </c>
    </row>
    <row r="849">
      <c r="A849" s="50" t="s">
        <v>3392</v>
      </c>
      <c r="B849" s="50" t="str">
        <f>IFERROR(__xludf.DUMMYFUNCTION("""COMPUTED_VALUE"""),"SES-0014")</f>
        <v>SES-0014</v>
      </c>
      <c r="C849" s="50" t="str">
        <f>IFERROR(__xludf.DUMMYFUNCTION("""COMPUTED_VALUE"""),"smolina@ucpa.asso.fr")</f>
        <v>smolina@ucpa.asso.fr</v>
      </c>
      <c r="D849" s="127" t="str">
        <f>IFERROR(__xludf.DUMMYFUNCTION("""COMPUTED_VALUE"""),"https://drive.google.com/file/d/1ILCFCRpdW5uDmisL1HCZQL6OBgkHkvUB/view?usp=drivesdk")</f>
        <v>https://drive.google.com/file/d/1ILCFCRpdW5uDmisL1HCZQL6OBgkHkvUB/view?usp=drivesdk</v>
      </c>
    </row>
    <row r="850">
      <c r="A850" s="50" t="s">
        <v>3395</v>
      </c>
      <c r="B850" s="50" t="str">
        <f>IFERROR(__xludf.DUMMYFUNCTION("""COMPUTED_VALUE"""),"SES-0015")</f>
        <v>SES-0015</v>
      </c>
      <c r="C850" s="50" t="str">
        <f>IFERROR(__xludf.DUMMYFUNCTION("""COMPUTED_VALUE"""),"smolina@ucpa.asso.fr")</f>
        <v>smolina@ucpa.asso.fr</v>
      </c>
      <c r="D850" s="127" t="str">
        <f>IFERROR(__xludf.DUMMYFUNCTION("""COMPUTED_VALUE"""),"https://drive.google.com/file/d/105BWwOX7CYUei7OXv65WCv4wcUZrLRbV/view?usp=drivesdk")</f>
        <v>https://drive.google.com/file/d/105BWwOX7CYUei7OXv65WCv4wcUZrLRbV/view?usp=drivesdk</v>
      </c>
    </row>
    <row r="851">
      <c r="A851" s="50" t="s">
        <v>3399</v>
      </c>
      <c r="B851" s="50" t="str">
        <f>IFERROR(__xludf.DUMMYFUNCTION("""COMPUTED_VALUE"""),"SES-0009")</f>
        <v>SES-0009</v>
      </c>
      <c r="C851" s="50" t="str">
        <f>IFERROR(__xludf.DUMMYFUNCTION("""COMPUTED_VALUE"""),"lverrier@ucpa.asso.fr")</f>
        <v>lverrier@ucpa.asso.fr</v>
      </c>
      <c r="D851" s="127" t="str">
        <f>IFERROR(__xludf.DUMMYFUNCTION("""COMPUTED_VALUE"""),"https://drive.google.com/file/d/18gcvj_gC2MVsRWus1RMr_UavHW7Fh-5i/view?usp=drivesdk")</f>
        <v>https://drive.google.com/file/d/18gcvj_gC2MVsRWus1RMr_UavHW7Fh-5i/view?usp=drivesdk</v>
      </c>
    </row>
    <row r="852">
      <c r="A852" s="50" t="s">
        <v>3404</v>
      </c>
      <c r="B852" s="50" t="str">
        <f>IFERROR(__xludf.DUMMYFUNCTION("""COMPUTED_VALUE"""),"SES-0014")</f>
        <v>SES-0014</v>
      </c>
      <c r="C852" s="50" t="str">
        <f>IFERROR(__xludf.DUMMYFUNCTION("""COMPUTED_VALUE"""),"lverrier@ucpa.asso.fr")</f>
        <v>lverrier@ucpa.asso.fr</v>
      </c>
      <c r="D852" s="127" t="str">
        <f>IFERROR(__xludf.DUMMYFUNCTION("""COMPUTED_VALUE"""),"https://drive.google.com/file/d/1M-hrgYW-81kvLpl0Z2ow_33dQVK3B3bK/view?usp=drivesdk")</f>
        <v>https://drive.google.com/file/d/1M-hrgYW-81kvLpl0Z2ow_33dQVK3B3bK/view?usp=drivesdk</v>
      </c>
    </row>
    <row r="853">
      <c r="A853" s="50" t="s">
        <v>3406</v>
      </c>
      <c r="B853" s="50" t="str">
        <f>IFERROR(__xludf.DUMMYFUNCTION("""COMPUTED_VALUE"""),"SES-0017")</f>
        <v>SES-0017</v>
      </c>
      <c r="C853" s="50" t="str">
        <f>IFERROR(__xludf.DUMMYFUNCTION("""COMPUTED_VALUE"""),"lverrier@ucpa.asso.fr")</f>
        <v>lverrier@ucpa.asso.fr</v>
      </c>
      <c r="D853" s="127" t="str">
        <f>IFERROR(__xludf.DUMMYFUNCTION("""COMPUTED_VALUE"""),"https://drive.google.com/file/d/1P8gA3Moy4qAAfDcQ34-yhpe2daKVuaUS/view?usp=drivesdk")</f>
        <v>https://drive.google.com/file/d/1P8gA3Moy4qAAfDcQ34-yhpe2daKVuaUS/view?usp=drivesdk</v>
      </c>
    </row>
    <row r="854">
      <c r="A854" s="50" t="s">
        <v>3409</v>
      </c>
      <c r="B854" s="50" t="str">
        <f>IFERROR(__xludf.DUMMYFUNCTION("""COMPUTED_VALUE"""),"SES-0020")</f>
        <v>SES-0020</v>
      </c>
      <c r="C854" s="50" t="str">
        <f>IFERROR(__xludf.DUMMYFUNCTION("""COMPUTED_VALUE"""),"lverrier@ucpa.asso.fr")</f>
        <v>lverrier@ucpa.asso.fr</v>
      </c>
      <c r="D854" s="127" t="str">
        <f>IFERROR(__xludf.DUMMYFUNCTION("""COMPUTED_VALUE"""),"https://drive.google.com/file/d/1hFh2WLOqvmvlGa3cnrcdRYk65ANPbRGc/view?usp=drivesdk")</f>
        <v>https://drive.google.com/file/d/1hFh2WLOqvmvlGa3cnrcdRYk65ANPbRGc/view?usp=drivesdk</v>
      </c>
    </row>
    <row r="855">
      <c r="A855" s="50" t="s">
        <v>3412</v>
      </c>
      <c r="B855" s="50" t="str">
        <f>IFERROR(__xludf.DUMMYFUNCTION("""COMPUTED_VALUE"""),"SES-0021")</f>
        <v>SES-0021</v>
      </c>
      <c r="C855" s="50" t="str">
        <f>IFERROR(__xludf.DUMMYFUNCTION("""COMPUTED_VALUE"""),"lverrier@ucpa.asso.fr")</f>
        <v>lverrier@ucpa.asso.fr</v>
      </c>
      <c r="D855" s="127" t="str">
        <f>IFERROR(__xludf.DUMMYFUNCTION("""COMPUTED_VALUE"""),"https://drive.google.com/file/d/1m-tuZPO7IPlJ9QQmpYyCVtm1xI5UGfFc/view?usp=drivesdk")</f>
        <v>https://drive.google.com/file/d/1m-tuZPO7IPlJ9QQmpYyCVtm1xI5UGfFc/view?usp=drivesdk</v>
      </c>
    </row>
    <row r="856">
      <c r="A856" s="50" t="s">
        <v>3419</v>
      </c>
      <c r="B856" s="50" t="str">
        <f>IFERROR(__xludf.DUMMYFUNCTION("""COMPUTED_VALUE"""),"SES-0009")</f>
        <v>SES-0009</v>
      </c>
      <c r="C856" s="50" t="str">
        <f>IFERROR(__xludf.DUMMYFUNCTION("""COMPUTED_VALUE"""),"ckolodka@ucpa.asso.fr")</f>
        <v>ckolodka@ucpa.asso.fr</v>
      </c>
      <c r="D856" s="127" t="str">
        <f>IFERROR(__xludf.DUMMYFUNCTION("""COMPUTED_VALUE"""),"https://drive.google.com/file/d/1aK9gkYtfB58KWzFuvmITaH_brtk_LGlj/view?usp=drivesdk")</f>
        <v>https://drive.google.com/file/d/1aK9gkYtfB58KWzFuvmITaH_brtk_LGlj/view?usp=drivesdk</v>
      </c>
    </row>
    <row r="857">
      <c r="A857" s="50" t="s">
        <v>3422</v>
      </c>
      <c r="B857" s="50" t="str">
        <f>IFERROR(__xludf.DUMMYFUNCTION("""COMPUTED_VALUE"""),"SES-0009")</f>
        <v>SES-0009</v>
      </c>
      <c r="C857" s="50" t="str">
        <f>IFERROR(__xludf.DUMMYFUNCTION("""COMPUTED_VALUE"""),"paulolivier.hanneton@ucpa.asso.fr")</f>
        <v>paulolivier.hanneton@ucpa.asso.fr</v>
      </c>
      <c r="D857" s="127" t="str">
        <f>IFERROR(__xludf.DUMMYFUNCTION("""COMPUTED_VALUE"""),"https://drive.google.com/file/d/1uJd9m_BfuAajOE6fiGGWWw-Hc5c9Ers4/view?usp=drivesdk")</f>
        <v>https://drive.google.com/file/d/1uJd9m_BfuAajOE6fiGGWWw-Hc5c9Ers4/view?usp=drivesdk</v>
      </c>
    </row>
    <row r="858">
      <c r="A858" s="50" t="s">
        <v>3428</v>
      </c>
      <c r="B858" s="50" t="str">
        <f>IFERROR(__xludf.DUMMYFUNCTION("""COMPUTED_VALUE"""),"SES-0020")</f>
        <v>SES-0020</v>
      </c>
      <c r="C858" s="50" t="str">
        <f>IFERROR(__xludf.DUMMYFUNCTION("""COMPUTED_VALUE"""),"pohanneton@ucpa.asso.fr")</f>
        <v>pohanneton@ucpa.asso.fr</v>
      </c>
      <c r="D858" s="127" t="str">
        <f>IFERROR(__xludf.DUMMYFUNCTION("""COMPUTED_VALUE"""),"https://drive.google.com/file/d/1ltR2AKe2wG9V0BIg2BvXmLewZZB8CSPR/view?usp=drivesdk")</f>
        <v>https://drive.google.com/file/d/1ltR2AKe2wG9V0BIg2BvXmLewZZB8CSPR/view?usp=drivesdk</v>
      </c>
    </row>
    <row r="859">
      <c r="A859" s="50" t="s">
        <v>3428</v>
      </c>
      <c r="B859" s="50" t="str">
        <f>IFERROR(__xludf.DUMMYFUNCTION("""COMPUTED_VALUE"""),"SES-0020")</f>
        <v>SES-0020</v>
      </c>
      <c r="C859" s="50" t="str">
        <f>IFERROR(__xludf.DUMMYFUNCTION("""COMPUTED_VALUE"""),"pohanneton@ucpa.asso.fr")</f>
        <v>pohanneton@ucpa.asso.fr</v>
      </c>
      <c r="D859" s="127" t="str">
        <f>IFERROR(__xludf.DUMMYFUNCTION("""COMPUTED_VALUE"""),"https://drive.google.com/file/d/1eigqZMwQ4SHZIEBOMlavLnyeOMDrAwF3/view?usp=drivesdk")</f>
        <v>https://drive.google.com/file/d/1eigqZMwQ4SHZIEBOMlavLnyeOMDrAwF3/view?usp=drivesdk</v>
      </c>
    </row>
    <row r="860">
      <c r="A860" s="50" t="s">
        <v>3438</v>
      </c>
      <c r="B860" s="50" t="str">
        <f>IFERROR(__xludf.DUMMYFUNCTION("""COMPUTED_VALUE"""),"SES-0015")</f>
        <v>SES-0015</v>
      </c>
      <c r="C860" s="50" t="str">
        <f>IFERROR(__xludf.DUMMYFUNCTION("""COMPUTED_VALUE"""),"zoubida.sofi@tootazimut.fr")</f>
        <v>zoubida.sofi@tootazimut.fr</v>
      </c>
      <c r="D860" s="127" t="str">
        <f>IFERROR(__xludf.DUMMYFUNCTION("""COMPUTED_VALUE"""),"https://drive.google.com/file/d/1rT4X34C__ymk09W9vrpxmppEY0nETtXE/view?usp=drivesdk")</f>
        <v>https://drive.google.com/file/d/1rT4X34C__ymk09W9vrpxmppEY0nETtXE/view?usp=drivesdk</v>
      </c>
    </row>
    <row r="861">
      <c r="A861" s="50" t="s">
        <v>3441</v>
      </c>
      <c r="B861" s="50" t="str">
        <f>IFERROR(__xludf.DUMMYFUNCTION("""COMPUTED_VALUE"""),"SES-0014")</f>
        <v>SES-0014</v>
      </c>
      <c r="C861" s="50" t="str">
        <f>IFERROR(__xludf.DUMMYFUNCTION("""COMPUTED_VALUE"""),"nleturcq@ucpasl.com")</f>
        <v>nleturcq@ucpasl.com</v>
      </c>
      <c r="D861" s="127" t="str">
        <f>IFERROR(__xludf.DUMMYFUNCTION("""COMPUTED_VALUE"""),"https://drive.google.com/file/d/1ePOHK1xRSXhp6zypklux0KNg86NRhnQ6/view?usp=drivesdk")</f>
        <v>https://drive.google.com/file/d/1ePOHK1xRSXhp6zypklux0KNg86NRhnQ6/view?usp=drivesdk</v>
      </c>
    </row>
    <row r="862">
      <c r="A862" s="50" t="s">
        <v>3444</v>
      </c>
      <c r="B862" s="50" t="str">
        <f>IFERROR(__xludf.DUMMYFUNCTION("""COMPUTED_VALUE"""),"SES-0017")</f>
        <v>SES-0017</v>
      </c>
      <c r="C862" s="50" t="str">
        <f>IFERROR(__xludf.DUMMYFUNCTION("""COMPUTED_VALUE"""),"fprost@ucpa.asso.fr")</f>
        <v>fprost@ucpa.asso.fr</v>
      </c>
      <c r="D862" s="127" t="str">
        <f>IFERROR(__xludf.DUMMYFUNCTION("""COMPUTED_VALUE"""),"https://drive.google.com/file/d/15nRyhftnElIrKT3bQthT-JttSrPc7sek/view?usp=drivesdk")</f>
        <v>https://drive.google.com/file/d/15nRyhftnElIrKT3bQthT-JttSrPc7sek/view?usp=drivesdk</v>
      </c>
    </row>
    <row r="863">
      <c r="A863" s="50" t="s">
        <v>3444</v>
      </c>
      <c r="B863" s="50" t="str">
        <f>IFERROR(__xludf.DUMMYFUNCTION("""COMPUTED_VALUE"""),"SES-0017")</f>
        <v>SES-0017</v>
      </c>
      <c r="C863" s="50" t="str">
        <f>IFERROR(__xludf.DUMMYFUNCTION("""COMPUTED_VALUE"""),"fprost@ucpa.asso.fr")</f>
        <v>fprost@ucpa.asso.fr</v>
      </c>
      <c r="D863" s="127" t="str">
        <f>IFERROR(__xludf.DUMMYFUNCTION("""COMPUTED_VALUE"""),"https://drive.google.com/file/d/1oPMPRBVjVex4-rAyW4J570F0ofCBVqxQ/view?usp=drivesdk")</f>
        <v>https://drive.google.com/file/d/1oPMPRBVjVex4-rAyW4J570F0ofCBVqxQ/view?usp=drivesdk</v>
      </c>
    </row>
    <row r="864">
      <c r="A864" s="50" t="s">
        <v>3450</v>
      </c>
      <c r="B864" s="50" t="str">
        <f>IFERROR(__xludf.DUMMYFUNCTION("""COMPUTED_VALUE"""),"SES-0021")</f>
        <v>SES-0021</v>
      </c>
      <c r="C864" s="50" t="str">
        <f>IFERROR(__xludf.DUMMYFUNCTION("""COMPUTED_VALUE"""),"fprost@ucpa.asso.fr")</f>
        <v>fprost@ucpa.asso.fr</v>
      </c>
      <c r="D864" s="127" t="str">
        <f>IFERROR(__xludf.DUMMYFUNCTION("""COMPUTED_VALUE"""),"https://drive.google.com/file/d/1Nvku4GwDQxUqDqHyj3KHGox5Pt4ARFcJ/view?usp=drivesdk")</f>
        <v>https://drive.google.com/file/d/1Nvku4GwDQxUqDqHyj3KHGox5Pt4ARFcJ/view?usp=drivesdk</v>
      </c>
    </row>
    <row r="865">
      <c r="A865" s="50" t="s">
        <v>3453</v>
      </c>
      <c r="B865" s="50" t="str">
        <f>IFERROR(__xludf.DUMMYFUNCTION("""COMPUTED_VALUE"""),"SES-0010")</f>
        <v>SES-0010</v>
      </c>
      <c r="C865" s="50" t="str">
        <f>IFERROR(__xludf.DUMMYFUNCTION("""COMPUTED_VALUE"""),"emert@ucpa.asso.fr")</f>
        <v>emert@ucpa.asso.fr</v>
      </c>
      <c r="D865" s="127" t="str">
        <f>IFERROR(__xludf.DUMMYFUNCTION("""COMPUTED_VALUE"""),"https://drive.google.com/file/d/1jl8s2abSu-fzrTwcUvyX4DXcfj-AyApQ/view?usp=drivesdk")</f>
        <v>https://drive.google.com/file/d/1jl8s2abSu-fzrTwcUvyX4DXcfj-AyApQ/view?usp=drivesdk</v>
      </c>
    </row>
    <row r="866">
      <c r="A866" s="50" t="s">
        <v>3458</v>
      </c>
      <c r="B866" s="50" t="str">
        <f>IFERROR(__xludf.DUMMYFUNCTION("""COMPUTED_VALUE"""),"SES-0005")</f>
        <v>SES-0005</v>
      </c>
      <c r="C866" s="50" t="str">
        <f>IFERROR(__xludf.DUMMYFUNCTION("""COMPUTED_VALUE"""),"emert@ucpa.asso.fr")</f>
        <v>emert@ucpa.asso.fr</v>
      </c>
      <c r="D866" s="127" t="str">
        <f>IFERROR(__xludf.DUMMYFUNCTION("""COMPUTED_VALUE"""),"https://drive.google.com/file/d/1blW9dYWe_-5bzWMFHPS1qtg1ZOVpfk8m/view?usp=drivesdk")</f>
        <v>https://drive.google.com/file/d/1blW9dYWe_-5bzWMFHPS1qtg1ZOVpfk8m/view?usp=drivesdk</v>
      </c>
    </row>
    <row r="867">
      <c r="A867" s="50" t="s">
        <v>3462</v>
      </c>
      <c r="B867" s="50" t="str">
        <f>IFERROR(__xludf.DUMMYFUNCTION("""COMPUTED_VALUE"""),"SES-0016")</f>
        <v>SES-0016</v>
      </c>
      <c r="C867" s="50" t="str">
        <f>IFERROR(__xludf.DUMMYFUNCTION("""COMPUTED_VALUE"""),"lmartin@bois-le-roi.iledeloisirs.fr")</f>
        <v>lmartin@bois-le-roi.iledeloisirs.fr</v>
      </c>
      <c r="D867" s="127" t="str">
        <f>IFERROR(__xludf.DUMMYFUNCTION("""COMPUTED_VALUE"""),"https://drive.google.com/file/d/1diWxs75mg2fCy2V0RrMH2fSK2oLcDthw/view?usp=drivesdk")</f>
        <v>https://drive.google.com/file/d/1diWxs75mg2fCy2V0RrMH2fSK2oLcDthw/view?usp=drivesdk</v>
      </c>
    </row>
    <row r="868">
      <c r="A868" s="50" t="s">
        <v>3465</v>
      </c>
      <c r="B868" s="50" t="str">
        <f>IFERROR(__xludf.DUMMYFUNCTION("""COMPUTED_VALUE"""),"SES-0017")</f>
        <v>SES-0017</v>
      </c>
      <c r="C868" s="50" t="str">
        <f>IFERROR(__xludf.DUMMYFUNCTION("""COMPUTED_VALUE"""),"lmartin@bois-le-roi.iledeloisirs.fr")</f>
        <v>lmartin@bois-le-roi.iledeloisirs.fr</v>
      </c>
      <c r="D868" s="127" t="str">
        <f>IFERROR(__xludf.DUMMYFUNCTION("""COMPUTED_VALUE"""),"https://drive.google.com/file/d/1R7vQo6mAvCHsv9cnGmaOMMwzv7vmdRnY/view?usp=drivesdk")</f>
        <v>https://drive.google.com/file/d/1R7vQo6mAvCHsv9cnGmaOMMwzv7vmdRnY/view?usp=drivesdk</v>
      </c>
    </row>
    <row r="869">
      <c r="A869" s="50" t="s">
        <v>3462</v>
      </c>
      <c r="B869" s="50" t="str">
        <f>IFERROR(__xludf.DUMMYFUNCTION("""COMPUTED_VALUE"""),"SES-0016")</f>
        <v>SES-0016</v>
      </c>
      <c r="C869" s="50" t="str">
        <f>IFERROR(__xludf.DUMMYFUNCTION("""COMPUTED_VALUE"""),"lmartin@bois-le-roi.iledeloisirs.fr")</f>
        <v>lmartin@bois-le-roi.iledeloisirs.fr</v>
      </c>
      <c r="D869" s="127" t="str">
        <f>IFERROR(__xludf.DUMMYFUNCTION("""COMPUTED_VALUE"""),"https://drive.google.com/file/d/18ffZKxgcw_qZ2AdI87ZvIgYag9gyYR-1/view?usp=drivesdk")</f>
        <v>https://drive.google.com/file/d/18ffZKxgcw_qZ2AdI87ZvIgYag9gyYR-1/view?usp=drivesdk</v>
      </c>
    </row>
    <row r="870">
      <c r="A870" s="50" t="s">
        <v>3470</v>
      </c>
      <c r="B870" s="50" t="str">
        <f>IFERROR(__xludf.DUMMYFUNCTION("""COMPUTED_VALUE"""),"SES-0005")</f>
        <v>SES-0005</v>
      </c>
      <c r="C870" s="50" t="str">
        <f>IFERROR(__xludf.DUMMYFUNCTION("""COMPUTED_VALUE"""),"thierry@numericoach.fr")</f>
        <v>thierry@numericoach.fr</v>
      </c>
      <c r="D870" s="127" t="str">
        <f>IFERROR(__xludf.DUMMYFUNCTION("""COMPUTED_VALUE"""),"https://drive.google.com/file/d/1wVg_bzjZz-s_288aNtYrfdM6s_BKRdRE/view?usp=drivesdk")</f>
        <v>https://drive.google.com/file/d/1wVg_bzjZz-s_288aNtYrfdM6s_BKRdRE/view?usp=drivesdk</v>
      </c>
    </row>
    <row r="871">
      <c r="A871" s="50" t="s">
        <v>3474</v>
      </c>
      <c r="B871" s="50" t="str">
        <f>IFERROR(__xludf.DUMMYFUNCTION("""COMPUTED_VALUE"""),"SES-0014")</f>
        <v>SES-0014</v>
      </c>
      <c r="C871" s="50" t="str">
        <f>IFERROR(__xludf.DUMMYFUNCTION("""COMPUTED_VALUE"""),"cgonzalez@ucpa.asso.fr")</f>
        <v>cgonzalez@ucpa.asso.fr</v>
      </c>
      <c r="D871" s="127" t="str">
        <f>IFERROR(__xludf.DUMMYFUNCTION("""COMPUTED_VALUE"""),"https://drive.google.com/file/d/1ktv-iwTFShtDmpAMi2GPXXbgGjNq_Fat/view?usp=drivesdk")</f>
        <v>https://drive.google.com/file/d/1ktv-iwTFShtDmpAMi2GPXXbgGjNq_Fat/view?usp=drivesdk</v>
      </c>
    </row>
    <row r="872">
      <c r="A872" s="50" t="s">
        <v>3477</v>
      </c>
      <c r="B872" s="50" t="str">
        <f>IFERROR(__xludf.DUMMYFUNCTION("""COMPUTED_VALUE"""),"SES-0017")</f>
        <v>SES-0017</v>
      </c>
      <c r="C872" s="50" t="str">
        <f>IFERROR(__xludf.DUMMYFUNCTION("""COMPUTED_VALUE"""),"cgonzalez@ucpa.asso.fr")</f>
        <v>cgonzalez@ucpa.asso.fr</v>
      </c>
      <c r="D872" s="127" t="str">
        <f>IFERROR(__xludf.DUMMYFUNCTION("""COMPUTED_VALUE"""),"https://drive.google.com/file/d/1QIM7cyf5e48Ie29UzeDNwCf0YL4Ot6s5/view?usp=drivesdk")</f>
        <v>https://drive.google.com/file/d/1QIM7cyf5e48Ie29UzeDNwCf0YL4Ot6s5/view?usp=drivesdk</v>
      </c>
    </row>
    <row r="873">
      <c r="A873" s="50" t="s">
        <v>3481</v>
      </c>
      <c r="B873" s="50" t="str">
        <f>IFERROR(__xludf.DUMMYFUNCTION("""COMPUTED_VALUE"""),"SES-0021")</f>
        <v>SES-0021</v>
      </c>
      <c r="C873" s="50" t="str">
        <f>IFERROR(__xludf.DUMMYFUNCTION("""COMPUTED_VALUE"""),"vmissonnier@ucpa.asso.fr")</f>
        <v>vmissonnier@ucpa.asso.fr</v>
      </c>
      <c r="D873" s="127" t="str">
        <f>IFERROR(__xludf.DUMMYFUNCTION("""COMPUTED_VALUE"""),"https://drive.google.com/file/d/1cIxxQTDFBxWSpfoAHWIhyRRnNUMLxIk3/view?usp=drivesdk")</f>
        <v>https://drive.google.com/file/d/1cIxxQTDFBxWSpfoAHWIhyRRnNUMLxIk3/view?usp=drivesdk</v>
      </c>
    </row>
    <row r="874">
      <c r="A874" s="50" t="s">
        <v>3484</v>
      </c>
      <c r="B874" s="50" t="str">
        <f>IFERROR(__xludf.DUMMYFUNCTION("""COMPUTED_VALUE"""),"SES-0005")</f>
        <v>SES-0005</v>
      </c>
      <c r="C874" s="50" t="str">
        <f>IFERROR(__xludf.DUMMYFUNCTION("""COMPUTED_VALUE"""),"vmissonnier@ucpa.asso.fr")</f>
        <v>vmissonnier@ucpa.asso.fr</v>
      </c>
      <c r="D874" s="127" t="str">
        <f>IFERROR(__xludf.DUMMYFUNCTION("""COMPUTED_VALUE"""),"https://drive.google.com/file/d/1ExwF9GzCk9tWoMNL2x-v1QPvAJDPZxjQ/view?usp=drivesdk")</f>
        <v>https://drive.google.com/file/d/1ExwF9GzCk9tWoMNL2x-v1QPvAJDPZxjQ/view?usp=drivesdk</v>
      </c>
    </row>
    <row r="875">
      <c r="A875" s="50" t="s">
        <v>3488</v>
      </c>
      <c r="B875" s="50" t="str">
        <f>IFERROR(__xludf.DUMMYFUNCTION("""COMPUTED_VALUE"""),"SES-0016")</f>
        <v>SES-0016</v>
      </c>
      <c r="C875" s="50" t="str">
        <f>IFERROR(__xludf.DUMMYFUNCTION("""COMPUTED_VALUE"""),"dperol@ucpa.asso.fr")</f>
        <v>dperol@ucpa.asso.fr</v>
      </c>
      <c r="D875" s="127" t="str">
        <f>IFERROR(__xludf.DUMMYFUNCTION("""COMPUTED_VALUE"""),"https://drive.google.com/file/d/1pC-TSXmAo4L31TAl6A1k0i7UzEoC4KSb/view?usp=drivesdk")</f>
        <v>https://drive.google.com/file/d/1pC-TSXmAo4L31TAl6A1k0i7UzEoC4KSb/view?usp=drivesdk</v>
      </c>
    </row>
    <row r="876">
      <c r="A876" s="50" t="s">
        <v>3491</v>
      </c>
      <c r="B876" s="50" t="str">
        <f>IFERROR(__xludf.DUMMYFUNCTION("""COMPUTED_VALUE"""),"SES-0014")</f>
        <v>SES-0014</v>
      </c>
      <c r="C876" s="50" t="str">
        <f>IFERROR(__xludf.DUMMYFUNCTION("""COMPUTED_VALUE"""),"hmaziere@ucpa.asso.fr")</f>
        <v>hmaziere@ucpa.asso.fr</v>
      </c>
      <c r="D876" s="127" t="str">
        <f>IFERROR(__xludf.DUMMYFUNCTION("""COMPUTED_VALUE"""),"https://drive.google.com/file/d/1QYCkjxmHHLNt03G5E-tfTLDOGLPrsvP-/view?usp=drivesdk")</f>
        <v>https://drive.google.com/file/d/1QYCkjxmHHLNt03G5E-tfTLDOGLPrsvP-/view?usp=drivesdk</v>
      </c>
    </row>
    <row r="877">
      <c r="A877" s="50" t="s">
        <v>3495</v>
      </c>
      <c r="B877" s="50" t="str">
        <f>IFERROR(__xludf.DUMMYFUNCTION("""COMPUTED_VALUE"""),"SES-0024")</f>
        <v>SES-0024</v>
      </c>
      <c r="C877" s="50" t="str">
        <f>IFERROR(__xludf.DUMMYFUNCTION("""COMPUTED_VALUE"""),"foyj@live.fr")</f>
        <v>foyj@live.fr</v>
      </c>
      <c r="D877" s="127" t="str">
        <f>IFERROR(__xludf.DUMMYFUNCTION("""COMPUTED_VALUE"""),"https://drive.google.com/file/d/1oja8-Rz5PywX7Rxp56EqIh4FhphZ0YaH/view?usp=drivesdk")</f>
        <v>https://drive.google.com/file/d/1oja8-Rz5PywX7Rxp56EqIh4FhphZ0YaH/view?usp=drivesdk</v>
      </c>
    </row>
    <row r="878">
      <c r="A878" s="50" t="s">
        <v>3498</v>
      </c>
      <c r="B878" s="50" t="str">
        <f>IFERROR(__xludf.DUMMYFUNCTION("""COMPUTED_VALUE"""),"SES-0029")</f>
        <v>SES-0029</v>
      </c>
      <c r="C878" s="50" t="str">
        <f>IFERROR(__xludf.DUMMYFUNCTION("""COMPUTED_VALUE"""),"jfoy@ucpa.asso.fr")</f>
        <v>jfoy@ucpa.asso.fr</v>
      </c>
      <c r="D878" s="127" t="str">
        <f>IFERROR(__xludf.DUMMYFUNCTION("""COMPUTED_VALUE"""),"https://drive.google.com/file/d/17wF9nJ0D6-mQyJuwvSuDlR2ssB7s4_gU/view?usp=drivesdk")</f>
        <v>https://drive.google.com/file/d/17wF9nJ0D6-mQyJuwvSuDlR2ssB7s4_gU/view?usp=drivesdk</v>
      </c>
    </row>
    <row r="879">
      <c r="A879" s="50" t="s">
        <v>3501</v>
      </c>
      <c r="B879" s="50" t="str">
        <f>IFERROR(__xludf.DUMMYFUNCTION("""COMPUTED_VALUE"""),"SES-0030")</f>
        <v>SES-0030</v>
      </c>
      <c r="C879" s="50" t="str">
        <f>IFERROR(__xludf.DUMMYFUNCTION("""COMPUTED_VALUE"""),"jfoy@ucpa.asso.fr")</f>
        <v>jfoy@ucpa.asso.fr</v>
      </c>
      <c r="D879" s="127" t="str">
        <f>IFERROR(__xludf.DUMMYFUNCTION("""COMPUTED_VALUE"""),"https://drive.google.com/file/d/1JFyfSl9yJojaGLs_nsYK3S_ROjX1eXTO/view?usp=drivesdk")</f>
        <v>https://drive.google.com/file/d/1JFyfSl9yJojaGLs_nsYK3S_ROjX1eXTO/view?usp=drivesdk</v>
      </c>
    </row>
    <row r="880">
      <c r="A880" s="50" t="s">
        <v>3503</v>
      </c>
      <c r="B880" s="50" t="str">
        <f>IFERROR(__xludf.DUMMYFUNCTION("""COMPUTED_VALUE"""),"SES-0030")</f>
        <v>SES-0030</v>
      </c>
      <c r="C880" s="50" t="str">
        <f>IFERROR(__xludf.DUMMYFUNCTION("""COMPUTED_VALUE"""),"mattias.nilsson@labalaguere.com")</f>
        <v>mattias.nilsson@labalaguere.com</v>
      </c>
      <c r="D880" s="127" t="str">
        <f>IFERROR(__xludf.DUMMYFUNCTION("""COMPUTED_VALUE"""),"https://drive.google.com/file/d/1o9bCHbVF9W6wl_JdWFzURkxzgf7srM7N/view?usp=drivesdk")</f>
        <v>https://drive.google.com/file/d/1o9bCHbVF9W6wl_JdWFzURkxzgf7srM7N/view?usp=drivesdk</v>
      </c>
    </row>
    <row r="881">
      <c r="A881" s="50" t="s">
        <v>3507</v>
      </c>
      <c r="B881" s="50" t="str">
        <f>IFERROR(__xludf.DUMMYFUNCTION("""COMPUTED_VALUE"""),"SES-0028")</f>
        <v>SES-0028</v>
      </c>
      <c r="C881" s="50" t="str">
        <f>IFERROR(__xludf.DUMMYFUNCTION("""COMPUTED_VALUE"""),"cklipfel@ucpa.asso.fr")</f>
        <v>cklipfel@ucpa.asso.fr</v>
      </c>
      <c r="D881" s="127" t="str">
        <f>IFERROR(__xludf.DUMMYFUNCTION("""COMPUTED_VALUE"""),"https://drive.google.com/file/d/1dMtGLovmPHvH7ayf9o_zinUU-u41yXAH/view?usp=drivesdk")</f>
        <v>https://drive.google.com/file/d/1dMtGLovmPHvH7ayf9o_zinUU-u41yXAH/view?usp=drivesdk</v>
      </c>
    </row>
    <row r="882">
      <c r="A882" s="50" t="s">
        <v>3511</v>
      </c>
      <c r="B882" s="50" t="str">
        <f>IFERROR(__xludf.DUMMYFUNCTION("""COMPUTED_VALUE"""),"SES-0024")</f>
        <v>SES-0024</v>
      </c>
      <c r="C882" s="50" t="str">
        <f>IFERROR(__xludf.DUMMYFUNCTION("""COMPUTED_VALUE"""),"smoyou@ucpasl.com")</f>
        <v>smoyou@ucpasl.com</v>
      </c>
      <c r="D882" s="127" t="str">
        <f>IFERROR(__xludf.DUMMYFUNCTION("""COMPUTED_VALUE"""),"https://drive.google.com/file/d/1TybzBjfsYNjNyn0_DvYNTVVzbGFdNWO-/view?usp=drivesdk")</f>
        <v>https://drive.google.com/file/d/1TybzBjfsYNjNyn0_DvYNTVVzbGFdNWO-/view?usp=drivesdk</v>
      </c>
    </row>
    <row r="883">
      <c r="A883" s="50" t="s">
        <v>3514</v>
      </c>
      <c r="B883" s="50" t="str">
        <f>IFERROR(__xludf.DUMMYFUNCTION("""COMPUTED_VALUE"""),"SES-0025")</f>
        <v>SES-0025</v>
      </c>
      <c r="C883" s="50" t="str">
        <f>IFERROR(__xludf.DUMMYFUNCTION("""COMPUTED_VALUE"""),"smoyou@ucpasl.com")</f>
        <v>smoyou@ucpasl.com</v>
      </c>
      <c r="D883" s="127" t="str">
        <f>IFERROR(__xludf.DUMMYFUNCTION("""COMPUTED_VALUE"""),"https://drive.google.com/file/d/1n5EDfHoj7CsjUEXYo6QsLsAsN7e1INku/view?usp=drivesdk")</f>
        <v>https://drive.google.com/file/d/1n5EDfHoj7CsjUEXYo6QsLsAsN7e1INku/view?usp=drivesdk</v>
      </c>
    </row>
    <row r="884">
      <c r="A884" s="50" t="s">
        <v>3517</v>
      </c>
      <c r="B884" s="50" t="str">
        <f>IFERROR(__xludf.DUMMYFUNCTION("""COMPUTED_VALUE"""),"SES-0021")</f>
        <v>SES-0021</v>
      </c>
      <c r="C884" s="50" t="str">
        <f>IFERROR(__xludf.DUMMYFUNCTION("""COMPUTED_VALUE"""),"jfoy@ucpa.asso.fr")</f>
        <v>jfoy@ucpa.asso.fr</v>
      </c>
      <c r="D884" s="127" t="str">
        <f>IFERROR(__xludf.DUMMYFUNCTION("""COMPUTED_VALUE"""),"https://drive.google.com/file/d/1mLBgB03ocB5iATO0Y_nkkTJDm4kF_sKJ/view?usp=drivesdk")</f>
        <v>https://drive.google.com/file/d/1mLBgB03ocB5iATO0Y_nkkTJDm4kF_sKJ/view?usp=drivesdk</v>
      </c>
    </row>
    <row r="885">
      <c r="A885" s="50" t="s">
        <v>3520</v>
      </c>
      <c r="B885" s="50" t="str">
        <f>IFERROR(__xludf.DUMMYFUNCTION("""COMPUTED_VALUE"""),"SES-0029")</f>
        <v>SES-0029</v>
      </c>
      <c r="C885" s="50" t="str">
        <f>IFERROR(__xludf.DUMMYFUNCTION("""COMPUTED_VALUE"""),"cklipfel@ucpa.asso.fr")</f>
        <v>cklipfel@ucpa.asso.fr</v>
      </c>
      <c r="D885" s="127" t="str">
        <f>IFERROR(__xludf.DUMMYFUNCTION("""COMPUTED_VALUE"""),"https://drive.google.com/file/d/1pBi6VM_HLNJ3GaQvcIxbikItAolq0TVj/view?usp=drivesdk")</f>
        <v>https://drive.google.com/file/d/1pBi6VM_HLNJ3GaQvcIxbikItAolq0TVj/view?usp=drivesdk</v>
      </c>
    </row>
    <row r="886">
      <c r="A886" s="50" t="s">
        <v>3523</v>
      </c>
      <c r="B886" s="50" t="str">
        <f>IFERROR(__xludf.DUMMYFUNCTION("""COMPUTED_VALUE"""),"SES-0030")</f>
        <v>SES-0030</v>
      </c>
      <c r="C886" s="50" t="str">
        <f>IFERROR(__xludf.DUMMYFUNCTION("""COMPUTED_VALUE"""),"cklipfel@ucpa.asso.fr")</f>
        <v>cklipfel@ucpa.asso.fr</v>
      </c>
      <c r="D886" s="127" t="str">
        <f>IFERROR(__xludf.DUMMYFUNCTION("""COMPUTED_VALUE"""),"https://drive.google.com/file/d/1d4vQy17NlW-8nUms46bitq0K2DyZk6YU/view?usp=drivesdk")</f>
        <v>https://drive.google.com/file/d/1d4vQy17NlW-8nUms46bitq0K2DyZk6YU/view?usp=drivesdk</v>
      </c>
    </row>
    <row r="887">
      <c r="A887" s="50" t="s">
        <v>3526</v>
      </c>
      <c r="B887" s="50" t="str">
        <f>IFERROR(__xludf.DUMMYFUNCTION("""COMPUTED_VALUE"""),"SES-0030")</f>
        <v>SES-0030</v>
      </c>
      <c r="C887" s="50" t="str">
        <f>IFERROR(__xludf.DUMMYFUNCTION("""COMPUTED_VALUE"""),"imaitrejean@ucpa.asso.fr")</f>
        <v>imaitrejean@ucpa.asso.fr</v>
      </c>
      <c r="D887" s="127" t="str">
        <f>IFERROR(__xludf.DUMMYFUNCTION("""COMPUTED_VALUE"""),"https://drive.google.com/file/d/1GZw1D96ceSBXJDGRXSjAyBH2KfCV9LNq/view?usp=drivesdk")</f>
        <v>https://drive.google.com/file/d/1GZw1D96ceSBXJDGRXSjAyBH2KfCV9LNq/view?usp=drivesdk</v>
      </c>
    </row>
    <row r="888">
      <c r="A888" s="50" t="s">
        <v>3528</v>
      </c>
      <c r="B888" s="50" t="str">
        <f>IFERROR(__xludf.DUMMYFUNCTION("""COMPUTED_VALUE"""),"SES-0017")</f>
        <v>SES-0017</v>
      </c>
      <c r="C888" s="50" t="str">
        <f>IFERROR(__xludf.DUMMYFUNCTION("""COMPUTED_VALUE"""),"oduval@ucpa.asso.fr")</f>
        <v>oduval@ucpa.asso.fr</v>
      </c>
      <c r="D888" s="127" t="str">
        <f>IFERROR(__xludf.DUMMYFUNCTION("""COMPUTED_VALUE"""),"https://drive.google.com/file/d/1qO6j0QB9Z5F9kbyXQ9UOeSgKGXc4qm_9/view?usp=drivesdk")</f>
        <v>https://drive.google.com/file/d/1qO6j0QB9Z5F9kbyXQ9UOeSgKGXc4qm_9/view?usp=drivesdk</v>
      </c>
    </row>
    <row r="889">
      <c r="A889" s="50" t="s">
        <v>3531</v>
      </c>
      <c r="B889" s="50" t="str">
        <f>IFERROR(__xludf.DUMMYFUNCTION("""COMPUTED_VALUE"""),"SES-0015")</f>
        <v>SES-0015</v>
      </c>
      <c r="C889" s="50" t="str">
        <f>IFERROR(__xludf.DUMMYFUNCTION("""COMPUTED_VALUE"""),"vmissonnier@ucpa.asso.fr")</f>
        <v>vmissonnier@ucpa.asso.fr</v>
      </c>
      <c r="D889" s="127" t="str">
        <f>IFERROR(__xludf.DUMMYFUNCTION("""COMPUTED_VALUE"""),"https://drive.google.com/file/d/1dkgQSduJY9wUnZxEEZ8Tu9CfPD8N9XVu/view?usp=drivesdk")</f>
        <v>https://drive.google.com/file/d/1dkgQSduJY9wUnZxEEZ8Tu9CfPD8N9XVu/view?usp=drivesdk</v>
      </c>
    </row>
    <row r="890">
      <c r="A890" s="50" t="s">
        <v>3534</v>
      </c>
      <c r="B890" s="50" t="str">
        <f>IFERROR(__xludf.DUMMYFUNCTION("""COMPUTED_VALUE"""),"SES-0024")</f>
        <v>SES-0024</v>
      </c>
      <c r="C890" s="50" t="str">
        <f>IFERROR(__xludf.DUMMYFUNCTION("""COMPUTED_VALUE"""),"mboudon@ucpa.asso.fr")</f>
        <v>mboudon@ucpa.asso.fr</v>
      </c>
      <c r="D890" s="127" t="str">
        <f>IFERROR(__xludf.DUMMYFUNCTION("""COMPUTED_VALUE"""),"https://drive.google.com/file/d/1cxzSNh8ILK763EaXzPp3BiRh2SLrXRn8/view?usp=drivesdk")</f>
        <v>https://drive.google.com/file/d/1cxzSNh8ILK763EaXzPp3BiRh2SLrXRn8/view?usp=drivesdk</v>
      </c>
    </row>
    <row r="891">
      <c r="A891" s="50" t="s">
        <v>3538</v>
      </c>
      <c r="B891" s="50" t="str">
        <f>IFERROR(__xludf.DUMMYFUNCTION("""COMPUTED_VALUE"""),"SES-0025")</f>
        <v>SES-0025</v>
      </c>
      <c r="C891" s="50" t="str">
        <f>IFERROR(__xludf.DUMMYFUNCTION("""COMPUTED_VALUE"""),"mboudon@ucpa.asso.fr")</f>
        <v>mboudon@ucpa.asso.fr</v>
      </c>
      <c r="D891" s="127" t="str">
        <f>IFERROR(__xludf.DUMMYFUNCTION("""COMPUTED_VALUE"""),"https://drive.google.com/file/d/1zSc2CTkh4VLdMhMe-SIi1efqP-8j0iot/view?usp=drivesdk")</f>
        <v>https://drive.google.com/file/d/1zSc2CTkh4VLdMhMe-SIi1efqP-8j0iot/view?usp=drivesdk</v>
      </c>
    </row>
    <row r="892">
      <c r="A892" s="50" t="s">
        <v>3542</v>
      </c>
      <c r="B892" s="50" t="str">
        <f>IFERROR(__xludf.DUMMYFUNCTION("""COMPUTED_VALUE"""),"SES-0027")</f>
        <v>SES-0027</v>
      </c>
      <c r="C892" s="50" t="str">
        <f>IFERROR(__xludf.DUMMYFUNCTION("""COMPUTED_VALUE"""),"mboudon@ucpa.asso.fr")</f>
        <v>mboudon@ucpa.asso.fr</v>
      </c>
      <c r="D892" s="127" t="str">
        <f>IFERROR(__xludf.DUMMYFUNCTION("""COMPUTED_VALUE"""),"https://drive.google.com/file/d/16Amk4Hs3d9KQg0yzIbJf96vwoOYvrwZt/view?usp=drivesdk")</f>
        <v>https://drive.google.com/file/d/16Amk4Hs3d9KQg0yzIbJf96vwoOYvrwZt/view?usp=drivesdk</v>
      </c>
    </row>
    <row r="893">
      <c r="A893" s="50" t="s">
        <v>3545</v>
      </c>
      <c r="B893" s="50" t="str">
        <f>IFERROR(__xludf.DUMMYFUNCTION("""COMPUTED_VALUE"""),"SES-0029")</f>
        <v>SES-0029</v>
      </c>
      <c r="C893" s="50" t="str">
        <f>IFERROR(__xludf.DUMMYFUNCTION("""COMPUTED_VALUE"""),"mboudon@ucpa.asso.fr")</f>
        <v>mboudon@ucpa.asso.fr</v>
      </c>
      <c r="D893" s="127" t="str">
        <f>IFERROR(__xludf.DUMMYFUNCTION("""COMPUTED_VALUE"""),"https://drive.google.com/file/d/1r-dq4bJR4i-4LI8Kl3ouNfINjtL2pMIO/view?usp=drivesdk")</f>
        <v>https://drive.google.com/file/d/1r-dq4bJR4i-4LI8Kl3ouNfINjtL2pMIO/view?usp=drivesdk</v>
      </c>
    </row>
    <row r="894">
      <c r="A894" s="50" t="s">
        <v>3549</v>
      </c>
      <c r="B894" s="50" t="str">
        <f>IFERROR(__xludf.DUMMYFUNCTION("""COMPUTED_VALUE"""),"SES-0028")</f>
        <v>SES-0028</v>
      </c>
      <c r="C894" s="50" t="str">
        <f>IFERROR(__xludf.DUMMYFUNCTION("""COMPUTED_VALUE"""),"nferat@ucpa.asso.fr")</f>
        <v>nferat@ucpa.asso.fr</v>
      </c>
      <c r="D894" s="127" t="str">
        <f>IFERROR(__xludf.DUMMYFUNCTION("""COMPUTED_VALUE"""),"https://drive.google.com/file/d/1xvcKuCfYbDkfEif3bRJBMwveZJFSSxhX/view?usp=drivesdk")</f>
        <v>https://drive.google.com/file/d/1xvcKuCfYbDkfEif3bRJBMwveZJFSSxhX/view?usp=drivesdk</v>
      </c>
    </row>
    <row r="895">
      <c r="A895" s="50" t="s">
        <v>3551</v>
      </c>
      <c r="B895" s="50" t="str">
        <f>IFERROR(__xludf.DUMMYFUNCTION("""COMPUTED_VALUE"""),"SES-0024")</f>
        <v>SES-0024</v>
      </c>
      <c r="C895" s="50" t="str">
        <f>IFERROR(__xludf.DUMMYFUNCTION("""COMPUTED_VALUE"""),"ecaron@ucpaplanete.com")</f>
        <v>ecaron@ucpaplanete.com</v>
      </c>
      <c r="D895" s="127" t="str">
        <f>IFERROR(__xludf.DUMMYFUNCTION("""COMPUTED_VALUE"""),"https://drive.google.com/file/d/1gMtGuAIyLj-44nMcdrY2oQ0YC4KGVplb/view?usp=drivesdk")</f>
        <v>https://drive.google.com/file/d/1gMtGuAIyLj-44nMcdrY2oQ0YC4KGVplb/view?usp=drivesdk</v>
      </c>
    </row>
    <row r="896">
      <c r="A896" s="50" t="s">
        <v>3555</v>
      </c>
      <c r="B896" s="50" t="str">
        <f>IFERROR(__xludf.DUMMYFUNCTION("""COMPUTED_VALUE"""),"SES-0025")</f>
        <v>SES-0025</v>
      </c>
      <c r="C896" s="50" t="str">
        <f>IFERROR(__xludf.DUMMYFUNCTION("""COMPUTED_VALUE"""),"falamome@ucpa.asso.fr")</f>
        <v>falamome@ucpa.asso.fr</v>
      </c>
      <c r="D896" s="127" t="str">
        <f>IFERROR(__xludf.DUMMYFUNCTION("""COMPUTED_VALUE"""),"https://drive.google.com/file/d/1leQ0v_EAt7R5FuFUAv-h2_HMI96lt58X/view?usp=drivesdk")</f>
        <v>https://drive.google.com/file/d/1leQ0v_EAt7R5FuFUAv-h2_HMI96lt58X/view?usp=drivesdk</v>
      </c>
    </row>
    <row r="897">
      <c r="A897" s="50" t="s">
        <v>3558</v>
      </c>
      <c r="B897" s="50" t="str">
        <f>IFERROR(__xludf.DUMMYFUNCTION("""COMPUTED_VALUE"""),"SES-0024")</f>
        <v>SES-0024</v>
      </c>
      <c r="C897" s="50" t="str">
        <f>IFERROR(__xludf.DUMMYFUNCTION("""COMPUTED_VALUE"""),"fgentilini@ucpa.ass.fr")</f>
        <v>fgentilini@ucpa.ass.fr</v>
      </c>
      <c r="D897" s="127" t="str">
        <f>IFERROR(__xludf.DUMMYFUNCTION("""COMPUTED_VALUE"""),"https://drive.google.com/file/d/19i8WQ6zEig3iqQ_j6YHjVf9CmX1wFPzj/view?usp=drivesdk")</f>
        <v>https://drive.google.com/file/d/19i8WQ6zEig3iqQ_j6YHjVf9CmX1wFPzj/view?usp=drivesdk</v>
      </c>
    </row>
    <row r="898">
      <c r="A898" s="50" t="s">
        <v>3561</v>
      </c>
      <c r="B898" s="50" t="str">
        <f>IFERROR(__xludf.DUMMYFUNCTION("""COMPUTED_VALUE"""),"SES-0025")</f>
        <v>SES-0025</v>
      </c>
      <c r="C898" s="50" t="str">
        <f>IFERROR(__xludf.DUMMYFUNCTION("""COMPUTED_VALUE"""),"fgentilini@ucpa.asso.fr")</f>
        <v>fgentilini@ucpa.asso.fr</v>
      </c>
      <c r="D898" s="127" t="str">
        <f>IFERROR(__xludf.DUMMYFUNCTION("""COMPUTED_VALUE"""),"https://drive.google.com/file/d/1bqxAGkXyInA2nPzfCxbMvLZI0IiJW780/view?usp=drivesdk")</f>
        <v>https://drive.google.com/file/d/1bqxAGkXyInA2nPzfCxbMvLZI0IiJW780/view?usp=drivesdk</v>
      </c>
    </row>
    <row r="899">
      <c r="A899" s="50" t="s">
        <v>3564</v>
      </c>
      <c r="B899" s="50" t="str">
        <f>IFERROR(__xludf.DUMMYFUNCTION("""COMPUTED_VALUE"""),"SES-0025")</f>
        <v>SES-0025</v>
      </c>
      <c r="C899" s="50" t="str">
        <f>IFERROR(__xludf.DUMMYFUNCTION("""COMPUTED_VALUE"""),"ffernandez@ucpa.asso.fr")</f>
        <v>ffernandez@ucpa.asso.fr</v>
      </c>
      <c r="D899" s="127" t="str">
        <f>IFERROR(__xludf.DUMMYFUNCTION("""COMPUTED_VALUE"""),"https://drive.google.com/file/d/1GsLff8yaajtfOAMu7siqop7FjZfL9nGj/view?usp=drivesdk")</f>
        <v>https://drive.google.com/file/d/1GsLff8yaajtfOAMu7siqop7FjZfL9nGj/view?usp=drivesdk</v>
      </c>
    </row>
    <row r="900">
      <c r="A900" s="50" t="s">
        <v>3567</v>
      </c>
      <c r="B900" s="50" t="str">
        <f>IFERROR(__xludf.DUMMYFUNCTION("""COMPUTED_VALUE"""),"SES-0030")</f>
        <v>SES-0030</v>
      </c>
      <c r="C900" s="50" t="str">
        <f>IFERROR(__xludf.DUMMYFUNCTION("""COMPUTED_VALUE"""),"fgentilini@ucpa.asso.fr")</f>
        <v>fgentilini@ucpa.asso.fr</v>
      </c>
      <c r="D900" s="127" t="str">
        <f>IFERROR(__xludf.DUMMYFUNCTION("""COMPUTED_VALUE"""),"https://drive.google.com/file/d/1yB_Yb7YuJgV0hXgI80nebdCiB44Z373A/view?usp=drivesdk")</f>
        <v>https://drive.google.com/file/d/1yB_Yb7YuJgV0hXgI80nebdCiB44Z373A/view?usp=drivesdk</v>
      </c>
    </row>
    <row r="901">
      <c r="A901" s="50" t="s">
        <v>3571</v>
      </c>
      <c r="B901" s="50" t="str">
        <f>IFERROR(__xludf.DUMMYFUNCTION("""COMPUTED_VALUE"""),"SES-0023")</f>
        <v>SES-0023</v>
      </c>
      <c r="C901" s="50" t="str">
        <f>IFERROR(__xludf.DUMMYFUNCTION("""COMPUTED_VALUE"""),"christinecoumet@labalaguere.com")</f>
        <v>christinecoumet@labalaguere.com</v>
      </c>
      <c r="D901" s="127" t="str">
        <f>IFERROR(__xludf.DUMMYFUNCTION("""COMPUTED_VALUE"""),"https://drive.google.com/file/d/1weY6-9VphilRruR79mk3VcBOAT9wRW2M/view?usp=drivesdk")</f>
        <v>https://drive.google.com/file/d/1weY6-9VphilRruR79mk3VcBOAT9wRW2M/view?usp=drivesdk</v>
      </c>
    </row>
    <row r="902">
      <c r="A902" s="50" t="s">
        <v>3575</v>
      </c>
      <c r="B902" s="50" t="str">
        <f>IFERROR(__xludf.DUMMYFUNCTION("""COMPUTED_VALUE"""),"SES-0029")</f>
        <v>SES-0029</v>
      </c>
      <c r="C902" s="50" t="str">
        <f>IFERROR(__xludf.DUMMYFUNCTION("""COMPUTED_VALUE"""),"ffernandez@ucpa.asso.fr")</f>
        <v>ffernandez@ucpa.asso.fr</v>
      </c>
      <c r="D902" s="127" t="str">
        <f>IFERROR(__xludf.DUMMYFUNCTION("""COMPUTED_VALUE"""),"https://drive.google.com/file/d/1bUIjRwKVcJAevu3Z-ZaGY6tN6WeTFmQm/view?usp=drivesdk")</f>
        <v>https://drive.google.com/file/d/1bUIjRwKVcJAevu3Z-ZaGY6tN6WeTFmQm/view?usp=drivesdk</v>
      </c>
    </row>
    <row r="903">
      <c r="A903" s="50" t="s">
        <v>3582</v>
      </c>
      <c r="B903" s="50" t="str">
        <f>IFERROR(__xludf.DUMMYFUNCTION("""COMPUTED_VALUE"""),"SES-0025")</f>
        <v>SES-0025</v>
      </c>
      <c r="C903" s="50" t="str">
        <f>IFERROR(__xludf.DUMMYFUNCTION("""COMPUTED_VALUE"""),"alison.tomine@telligo.fr")</f>
        <v>alison.tomine@telligo.fr</v>
      </c>
      <c r="D903" s="127" t="str">
        <f>IFERROR(__xludf.DUMMYFUNCTION("""COMPUTED_VALUE"""),"https://drive.google.com/file/d/1rtRWu6xMHuluJ2aTZShU6s32As6lQWYR/view?usp=drivesdk")</f>
        <v>https://drive.google.com/file/d/1rtRWu6xMHuluJ2aTZShU6s32As6lQWYR/view?usp=drivesdk</v>
      </c>
    </row>
    <row r="904">
      <c r="A904" s="50" t="s">
        <v>3585</v>
      </c>
      <c r="B904" s="50" t="str">
        <f>IFERROR(__xludf.DUMMYFUNCTION("""COMPUTED_VALUE"""),"SES-0025")</f>
        <v>SES-0025</v>
      </c>
      <c r="C904" s="50" t="str">
        <f>IFERROR(__xludf.DUMMYFUNCTION("""COMPUTED_VALUE"""),"lpitance@ucpa.asso.fr")</f>
        <v>lpitance@ucpa.asso.fr</v>
      </c>
      <c r="D904" s="127" t="str">
        <f>IFERROR(__xludf.DUMMYFUNCTION("""COMPUTED_VALUE"""),"https://drive.google.com/file/d/1pGFHa8zHmSNSBtx9zXrbrRPAaYr3ub-D/view?usp=drivesdk")</f>
        <v>https://drive.google.com/file/d/1pGFHa8zHmSNSBtx9zXrbrRPAaYr3ub-D/view?usp=drivesdk</v>
      </c>
    </row>
    <row r="905">
      <c r="A905" s="50" t="s">
        <v>3588</v>
      </c>
      <c r="B905" s="50" t="str">
        <f>IFERROR(__xludf.DUMMYFUNCTION("""COMPUTED_VALUE"""),"SES-0021")</f>
        <v>SES-0021</v>
      </c>
      <c r="C905" s="50" t="str">
        <f>IFERROR(__xludf.DUMMYFUNCTION("""COMPUTED_VALUE"""),"csebany@ucpa.asso.fr")</f>
        <v>csebany@ucpa.asso.fr</v>
      </c>
      <c r="D905" s="127" t="str">
        <f>IFERROR(__xludf.DUMMYFUNCTION("""COMPUTED_VALUE"""),"https://drive.google.com/file/d/1b5xZ81VncHEwvVtnwPFW37uaRUZmc1wa/view?usp=drivesdk")</f>
        <v>https://drive.google.com/file/d/1b5xZ81VncHEwvVtnwPFW37uaRUZmc1wa/view?usp=drivesdk</v>
      </c>
    </row>
    <row r="906">
      <c r="A906" s="50" t="s">
        <v>3591</v>
      </c>
      <c r="B906" s="50" t="str">
        <f>IFERROR(__xludf.DUMMYFUNCTION("""COMPUTED_VALUE"""),"SES-0025")</f>
        <v>SES-0025</v>
      </c>
      <c r="C906" s="50" t="str">
        <f>IFERROR(__xludf.DUMMYFUNCTION("""COMPUTED_VALUE"""),"cjoly@ucpa.asso.fr")</f>
        <v>cjoly@ucpa.asso.fr</v>
      </c>
      <c r="D906" s="127" t="str">
        <f>IFERROR(__xludf.DUMMYFUNCTION("""COMPUTED_VALUE"""),"https://drive.google.com/file/d/19AowcxJg8clRNs93-_H1vGnXLDIypekI/view?usp=drivesdk")</f>
        <v>https://drive.google.com/file/d/19AowcxJg8clRNs93-_H1vGnXLDIypekI/view?usp=drivesdk</v>
      </c>
    </row>
    <row r="907">
      <c r="A907" s="50" t="s">
        <v>3594</v>
      </c>
      <c r="B907" s="50" t="str">
        <f>IFERROR(__xludf.DUMMYFUNCTION("""COMPUTED_VALUE"""),"SES-0025")</f>
        <v>SES-0025</v>
      </c>
      <c r="C907" s="50" t="str">
        <f>IFERROR(__xludf.DUMMYFUNCTION("""COMPUTED_VALUE"""),"mamartin@ucpa.asso.fr")</f>
        <v>mamartin@ucpa.asso.fr</v>
      </c>
      <c r="D907" s="127" t="str">
        <f>IFERROR(__xludf.DUMMYFUNCTION("""COMPUTED_VALUE"""),"https://drive.google.com/file/d/1C2zXwNWbIotowQ8LvbgwFh39LhcBgQWc/view?usp=drivesdk")</f>
        <v>https://drive.google.com/file/d/1C2zXwNWbIotowQ8LvbgwFh39LhcBgQWc/view?usp=drivesdk</v>
      </c>
    </row>
    <row r="908">
      <c r="A908" s="50" t="s">
        <v>3597</v>
      </c>
      <c r="B908" s="50" t="str">
        <f>IFERROR(__xludf.DUMMYFUNCTION("""COMPUTED_VALUE"""),"SES-0023")</f>
        <v>SES-0023</v>
      </c>
      <c r="C908" s="50" t="str">
        <f>IFERROR(__xludf.DUMMYFUNCTION("""COMPUTED_VALUE"""),"lucile.deneboude@ucpa.asso.fr")</f>
        <v>lucile.deneboude@ucpa.asso.fr</v>
      </c>
      <c r="D908" s="127" t="str">
        <f>IFERROR(__xludf.DUMMYFUNCTION("""COMPUTED_VALUE"""),"https://drive.google.com/file/d/1riaMzIercJtpgvXQpF1tlp5JdwgL89vK/view?usp=drivesdk")</f>
        <v>https://drive.google.com/file/d/1riaMzIercJtpgvXQpF1tlp5JdwgL89vK/view?usp=drivesdk</v>
      </c>
    </row>
    <row r="909">
      <c r="A909" s="50" t="s">
        <v>3600</v>
      </c>
      <c r="B909" s="50" t="str">
        <f>IFERROR(__xludf.DUMMYFUNCTION("""COMPUTED_VALUE"""),"SES-0025")</f>
        <v>SES-0025</v>
      </c>
      <c r="C909" s="50" t="str">
        <f>IFERROR(__xludf.DUMMYFUNCTION("""COMPUTED_VALUE"""),"lucile.deneboude@ucpa.asso.fr")</f>
        <v>lucile.deneboude@ucpa.asso.fr</v>
      </c>
      <c r="D909" s="127" t="str">
        <f>IFERROR(__xludf.DUMMYFUNCTION("""COMPUTED_VALUE"""),"https://drive.google.com/file/d/1uGnSvQ0OOWPzBVZmR0y9jr9Q-x-VLHNr/view?usp=drivesdk")</f>
        <v>https://drive.google.com/file/d/1uGnSvQ0OOWPzBVZmR0y9jr9Q-x-VLHNr/view?usp=drivesdk</v>
      </c>
    </row>
    <row r="910">
      <c r="A910" s="50" t="s">
        <v>3602</v>
      </c>
      <c r="B910" s="50" t="str">
        <f>IFERROR(__xludf.DUMMYFUNCTION("""COMPUTED_VALUE"""),"SES-0025")</f>
        <v>SES-0025</v>
      </c>
      <c r="C910" s="50" t="str">
        <f>IFERROR(__xludf.DUMMYFUNCTION("""COMPUTED_VALUE"""),"ytortel@ucpa.asso.fr")</f>
        <v>ytortel@ucpa.asso.fr</v>
      </c>
      <c r="D910" s="127" t="str">
        <f>IFERROR(__xludf.DUMMYFUNCTION("""COMPUTED_VALUE"""),"https://drive.google.com/file/d/1aPV-Z3fy6Pn0g1iMBsC5a3Jm3htqtOfq/view?usp=drivesdk")</f>
        <v>https://drive.google.com/file/d/1aPV-Z3fy6Pn0g1iMBsC5a3Jm3htqtOfq/view?usp=drivesdk</v>
      </c>
    </row>
    <row r="911">
      <c r="A911" s="50" t="s">
        <v>3605</v>
      </c>
      <c r="B911" s="50" t="str">
        <f>IFERROR(__xludf.DUMMYFUNCTION("""COMPUTED_VALUE"""),"SES-0023")</f>
        <v>SES-0023</v>
      </c>
      <c r="C911" s="50" t="str">
        <f>IFERROR(__xludf.DUMMYFUNCTION("""COMPUTED_VALUE"""),"abegon@ucpa.asso.fr")</f>
        <v>abegon@ucpa.asso.fr</v>
      </c>
      <c r="D911" s="127" t="str">
        <f>IFERROR(__xludf.DUMMYFUNCTION("""COMPUTED_VALUE"""),"https://drive.google.com/file/d/1BW82gWOuFlASB9NIB2UFfB4fUqUDuMy2/view?usp=drivesdk")</f>
        <v>https://drive.google.com/file/d/1BW82gWOuFlASB9NIB2UFfB4fUqUDuMy2/view?usp=drivesdk</v>
      </c>
    </row>
    <row r="912">
      <c r="A912" s="50" t="s">
        <v>3607</v>
      </c>
      <c r="B912" s="50" t="str">
        <f>IFERROR(__xludf.DUMMYFUNCTION("""COMPUTED_VALUE"""),"SES-0028")</f>
        <v>SES-0028</v>
      </c>
      <c r="C912" s="50" t="str">
        <f>IFERROR(__xludf.DUMMYFUNCTION("""COMPUTED_VALUE"""),"abegon@ucpa.asso.fr")</f>
        <v>abegon@ucpa.asso.fr</v>
      </c>
      <c r="D912" s="127" t="str">
        <f>IFERROR(__xludf.DUMMYFUNCTION("""COMPUTED_VALUE"""),"https://drive.google.com/file/d/1dJ0P4VECMUQa2jlqxNIxr0OMreCiwvMF/view?usp=drivesdk")</f>
        <v>https://drive.google.com/file/d/1dJ0P4VECMUQa2jlqxNIxr0OMreCiwvMF/view?usp=drivesdk</v>
      </c>
    </row>
    <row r="913">
      <c r="A913" s="50" t="s">
        <v>3610</v>
      </c>
      <c r="B913" s="50" t="str">
        <f>IFERROR(__xludf.DUMMYFUNCTION("""COMPUTED_VALUE"""),"SES-0025")</f>
        <v>SES-0025</v>
      </c>
      <c r="C913" s="50" t="str">
        <f>IFERROR(__xludf.DUMMYFUNCTION("""COMPUTED_VALUE"""),"abegon@ucpa.asso.fr")</f>
        <v>abegon@ucpa.asso.fr</v>
      </c>
      <c r="D913" s="127" t="str">
        <f>IFERROR(__xludf.DUMMYFUNCTION("""COMPUTED_VALUE"""),"https://drive.google.com/file/d/1ylIEwgCDlKA0d5zu_aDEVAu6QS9YaiJu/view?usp=drivesdk")</f>
        <v>https://drive.google.com/file/d/1ylIEwgCDlKA0d5zu_aDEVAu6QS9YaiJu/view?usp=drivesdk</v>
      </c>
    </row>
    <row r="914">
      <c r="A914" s="50" t="s">
        <v>3613</v>
      </c>
      <c r="B914" s="50" t="str">
        <f>IFERROR(__xludf.DUMMYFUNCTION("""COMPUTED_VALUE"""),"SES-0029")</f>
        <v>SES-0029</v>
      </c>
      <c r="C914" s="50" t="str">
        <f>IFERROR(__xludf.DUMMYFUNCTION("""COMPUTED_VALUE"""),"abegon@ucpa.asso.fr")</f>
        <v>abegon@ucpa.asso.fr</v>
      </c>
      <c r="D914" s="127" t="str">
        <f>IFERROR(__xludf.DUMMYFUNCTION("""COMPUTED_VALUE"""),"https://drive.google.com/file/d/16EuQ2xwJcPRunjsmilK16A0lHXpLfLky/view?usp=drivesdk")</f>
        <v>https://drive.google.com/file/d/16EuQ2xwJcPRunjsmilK16A0lHXpLfLky/view?usp=drivesdk</v>
      </c>
    </row>
    <row r="915">
      <c r="A915" s="50" t="s">
        <v>3617</v>
      </c>
      <c r="B915" s="50" t="str">
        <f>IFERROR(__xludf.DUMMYFUNCTION("""COMPUTED_VALUE"""),"SES-0025")</f>
        <v>SES-0025</v>
      </c>
      <c r="C915" s="50" t="str">
        <f>IFERROR(__xludf.DUMMYFUNCTION("""COMPUTED_VALUE"""),"stephane.tavernier@telligo.fr")</f>
        <v>stephane.tavernier@telligo.fr</v>
      </c>
      <c r="D915" s="127" t="str">
        <f>IFERROR(__xludf.DUMMYFUNCTION("""COMPUTED_VALUE"""),"https://drive.google.com/file/d/1-bi28LR9Evq2oRMIzk3-WyvxHzxGjy7Z/view?usp=drivesdk")</f>
        <v>https://drive.google.com/file/d/1-bi28LR9Evq2oRMIzk3-WyvxHzxGjy7Z/view?usp=drivesdk</v>
      </c>
    </row>
    <row r="916">
      <c r="A916" s="50" t="s">
        <v>3620</v>
      </c>
      <c r="B916" s="50" t="str">
        <f>IFERROR(__xludf.DUMMYFUNCTION("""COMPUTED_VALUE"""),"SES-0027")</f>
        <v>SES-0027</v>
      </c>
      <c r="C916" s="50" t="str">
        <f>IFERROR(__xludf.DUMMYFUNCTION("""COMPUTED_VALUE"""),"stephane.tavernier@telligo.fr")</f>
        <v>stephane.tavernier@telligo.fr</v>
      </c>
      <c r="D916" s="127" t="str">
        <f>IFERROR(__xludf.DUMMYFUNCTION("""COMPUTED_VALUE"""),"https://drive.google.com/file/d/1Urj4dUUeKkz_7rk2zcWGzg3hy_9ExTjj/view?usp=drivesdk")</f>
        <v>https://drive.google.com/file/d/1Urj4dUUeKkz_7rk2zcWGzg3hy_9ExTjj/view?usp=drivesdk</v>
      </c>
    </row>
    <row r="917">
      <c r="A917" s="50" t="s">
        <v>3623</v>
      </c>
      <c r="B917" s="50" t="str">
        <f>IFERROR(__xludf.DUMMYFUNCTION("""COMPUTED_VALUE"""),"SES-0030")</f>
        <v>SES-0030</v>
      </c>
      <c r="C917" s="50" t="str">
        <f>IFERROR(__xludf.DUMMYFUNCTION("""COMPUTED_VALUE"""),"stephane.tavernier@telligo.fr")</f>
        <v>stephane.tavernier@telligo.fr</v>
      </c>
      <c r="D917" s="127" t="str">
        <f>IFERROR(__xludf.DUMMYFUNCTION("""COMPUTED_VALUE"""),"https://drive.google.com/file/d/1AbUwM3pRMaLlKFbNV_yhK-9nbVuHcxg4/view?usp=drivesdk")</f>
        <v>https://drive.google.com/file/d/1AbUwM3pRMaLlKFbNV_yhK-9nbVuHcxg4/view?usp=drivesdk</v>
      </c>
    </row>
    <row r="918">
      <c r="A918" s="50" t="s">
        <v>3626</v>
      </c>
      <c r="B918" s="50" t="str">
        <f>IFERROR(__xludf.DUMMYFUNCTION("""COMPUTED_VALUE"""),"SES-0028")</f>
        <v>SES-0028</v>
      </c>
      <c r="C918" s="50" t="str">
        <f>IFERROR(__xludf.DUMMYFUNCTION("""COMPUTED_VALUE"""),"hourtincentre@ucpa.asso.fr")</f>
        <v>hourtincentre@ucpa.asso.fr</v>
      </c>
      <c r="D918" s="127" t="str">
        <f>IFERROR(__xludf.DUMMYFUNCTION("""COMPUTED_VALUE"""),"https://drive.google.com/file/d/11Se1n_djnPQENm4bYP_av56yEtA9XJsV/view?usp=drivesdk")</f>
        <v>https://drive.google.com/file/d/11Se1n_djnPQENm4bYP_av56yEtA9XJsV/view?usp=drivesdk</v>
      </c>
    </row>
    <row r="919">
      <c r="A919" s="50" t="s">
        <v>3629</v>
      </c>
      <c r="B919" s="50" t="str">
        <f>IFERROR(__xludf.DUMMYFUNCTION("""COMPUTED_VALUE"""),"SES-0028")</f>
        <v>SES-0028</v>
      </c>
      <c r="C919" s="50" t="str">
        <f>IFERROR(__xludf.DUMMYFUNCTION("""COMPUTED_VALUE"""),"abricout@ucpa.asso.fr")</f>
        <v>abricout@ucpa.asso.fr</v>
      </c>
      <c r="D919" s="127" t="str">
        <f>IFERROR(__xludf.DUMMYFUNCTION("""COMPUTED_VALUE"""),"https://drive.google.com/file/d/1PS63OIcdVio_f0eMIi7eZM5BHvLRiqkv/view?usp=drivesdk")</f>
        <v>https://drive.google.com/file/d/1PS63OIcdVio_f0eMIi7eZM5BHvLRiqkv/view?usp=drivesdk</v>
      </c>
    </row>
    <row r="920">
      <c r="A920" s="50" t="s">
        <v>3632</v>
      </c>
      <c r="B920" s="50" t="str">
        <f>IFERROR(__xludf.DUMMYFUNCTION("""COMPUTED_VALUE"""),"SES-0024")</f>
        <v>SES-0024</v>
      </c>
      <c r="C920" s="50" t="str">
        <f>IFERROR(__xludf.DUMMYFUNCTION("""COMPUTED_VALUE"""),"vincent.cazalaa@labalaguere.com")</f>
        <v>vincent.cazalaa@labalaguere.com</v>
      </c>
      <c r="D920" s="127" t="str">
        <f>IFERROR(__xludf.DUMMYFUNCTION("""COMPUTED_VALUE"""),"https://drive.google.com/file/d/1l4fzAqa1Bunz9VsqQE8SoxExhAs6KFdj/view?usp=drivesdk")</f>
        <v>https://drive.google.com/file/d/1l4fzAqa1Bunz9VsqQE8SoxExhAs6KFdj/view?usp=drivesdk</v>
      </c>
    </row>
    <row r="921">
      <c r="A921" s="50" t="s">
        <v>3636</v>
      </c>
      <c r="B921" s="50" t="str">
        <f>IFERROR(__xludf.DUMMYFUNCTION("""COMPUTED_VALUE"""),"SES-0021")</f>
        <v>SES-0021</v>
      </c>
      <c r="C921" s="50" t="str">
        <f>IFERROR(__xludf.DUMMYFUNCTION("""COMPUTED_VALUE"""),"mgallonde@ucpa.asso.fr")</f>
        <v>mgallonde@ucpa.asso.fr</v>
      </c>
      <c r="D921" s="127" t="str">
        <f>IFERROR(__xludf.DUMMYFUNCTION("""COMPUTED_VALUE"""),"https://drive.google.com/file/d/1ruHr-WKUoo0D7c-bRB-NOHua6SpJiY-O/view?usp=drivesdk")</f>
        <v>https://drive.google.com/file/d/1ruHr-WKUoo0D7c-bRB-NOHua6SpJiY-O/view?usp=drivesdk</v>
      </c>
    </row>
    <row r="922">
      <c r="A922" s="50" t="s">
        <v>3639</v>
      </c>
      <c r="B922" s="50" t="str">
        <f>IFERROR(__xludf.DUMMYFUNCTION("""COMPUTED_VALUE"""),"SES-0023")</f>
        <v>SES-0023</v>
      </c>
      <c r="C922" s="50" t="str">
        <f>IFERROR(__xludf.DUMMYFUNCTION("""COMPUTED_VALUE"""),"rniepseron@ucpa.asso.fr")</f>
        <v>rniepseron@ucpa.asso.fr</v>
      </c>
      <c r="D922" s="127" t="str">
        <f>IFERROR(__xludf.DUMMYFUNCTION("""COMPUTED_VALUE"""),"https://drive.google.com/file/d/1x9g4L96OZZ6Gsa_Vff57Q-OGoOvIuoMj/view?usp=drivesdk")</f>
        <v>https://drive.google.com/file/d/1x9g4L96OZZ6Gsa_Vff57Q-OGoOvIuoMj/view?usp=drivesdk</v>
      </c>
    </row>
    <row r="923">
      <c r="A923" s="50" t="s">
        <v>3642</v>
      </c>
      <c r="B923" s="50" t="str">
        <f>IFERROR(__xludf.DUMMYFUNCTION("""COMPUTED_VALUE"""),"SES-0028")</f>
        <v>SES-0028</v>
      </c>
      <c r="C923" s="50" t="str">
        <f>IFERROR(__xludf.DUMMYFUNCTION("""COMPUTED_VALUE"""),"rniepseron@ucpa.asso.fr")</f>
        <v>rniepseron@ucpa.asso.fr</v>
      </c>
      <c r="D923" s="127" t="str">
        <f>IFERROR(__xludf.DUMMYFUNCTION("""COMPUTED_VALUE"""),"https://drive.google.com/file/d/1umj-_lKRr7FxAj4pTMPrFfRYUQNb8-tk/view?usp=drivesdk")</f>
        <v>https://drive.google.com/file/d/1umj-_lKRr7FxAj4pTMPrFfRYUQNb8-tk/view?usp=drivesdk</v>
      </c>
    </row>
    <row r="924">
      <c r="A924" s="50" t="s">
        <v>3645</v>
      </c>
      <c r="B924" s="50" t="str">
        <f>IFERROR(__xludf.DUMMYFUNCTION("""COMPUTED_VALUE"""),"SES-0024")</f>
        <v>SES-0024</v>
      </c>
      <c r="C924" s="50" t="str">
        <f>IFERROR(__xludf.DUMMYFUNCTION("""COMPUTED_VALUE"""),"mgallonde@ucpa.asso.fr")</f>
        <v>mgallonde@ucpa.asso.fr</v>
      </c>
      <c r="D924" s="127" t="str">
        <f>IFERROR(__xludf.DUMMYFUNCTION("""COMPUTED_VALUE"""),"https://drive.google.com/file/d/1DjF6wmmSsL1Jpm3qEyLtQAajeG7PSlnY/view?usp=drivesdk")</f>
        <v>https://drive.google.com/file/d/1DjF6wmmSsL1Jpm3qEyLtQAajeG7PSlnY/view?usp=drivesdk</v>
      </c>
    </row>
    <row r="925">
      <c r="A925" s="50" t="s">
        <v>3648</v>
      </c>
      <c r="B925" s="50" t="str">
        <f>IFERROR(__xludf.DUMMYFUNCTION("""COMPUTED_VALUE"""),"SES-0024")</f>
        <v>SES-0024</v>
      </c>
      <c r="C925" s="50" t="str">
        <f>IFERROR(__xludf.DUMMYFUNCTION("""COMPUTED_VALUE"""),"ypalmis@ucpa.asso.fr")</f>
        <v>ypalmis@ucpa.asso.fr</v>
      </c>
      <c r="D925" s="127" t="str">
        <f>IFERROR(__xludf.DUMMYFUNCTION("""COMPUTED_VALUE"""),"https://drive.google.com/file/d/1yQhcxeQJbBM6aOJg5QTU9zN9CL1CG5PL/view?usp=drivesdk")</f>
        <v>https://drive.google.com/file/d/1yQhcxeQJbBM6aOJg5QTU9zN9CL1CG5PL/view?usp=drivesdk</v>
      </c>
    </row>
    <row r="926">
      <c r="A926" s="50" t="s">
        <v>3651</v>
      </c>
      <c r="B926" s="50" t="str">
        <f>IFERROR(__xludf.DUMMYFUNCTION("""COMPUTED_VALUE"""),"SES-0021")</f>
        <v>SES-0021</v>
      </c>
      <c r="C926" s="50" t="str">
        <f>IFERROR(__xludf.DUMMYFUNCTION("""COMPUTED_VALUE"""),"lphilippy@ucpa.asso.fr")</f>
        <v>lphilippy@ucpa.asso.fr</v>
      </c>
      <c r="D926" s="127" t="str">
        <f>IFERROR(__xludf.DUMMYFUNCTION("""COMPUTED_VALUE"""),"https://drive.google.com/file/d/1Qm7cbgxk97C7uciWzQzD8iHtgIHhyF7x/view?usp=drivesdk")</f>
        <v>https://drive.google.com/file/d/1Qm7cbgxk97C7uciWzQzD8iHtgIHhyF7x/view?usp=drivesdk</v>
      </c>
    </row>
    <row r="927">
      <c r="A927" s="50" t="s">
        <v>3655</v>
      </c>
      <c r="B927" s="50" t="str">
        <f>IFERROR(__xludf.DUMMYFUNCTION("""COMPUTED_VALUE"""),"SES-0023")</f>
        <v>SES-0023</v>
      </c>
      <c r="C927" s="50" t="str">
        <f>IFERROR(__xludf.DUMMYFUNCTION("""COMPUTED_VALUE"""),"lphilippy@ucpa.asso.fr")</f>
        <v>lphilippy@ucpa.asso.fr</v>
      </c>
      <c r="D927" s="127" t="str">
        <f>IFERROR(__xludf.DUMMYFUNCTION("""COMPUTED_VALUE"""),"https://drive.google.com/file/d/1X7jK0HB-aBO_CFPUXZgT5t8eVrrCHN43/view?usp=drivesdk")</f>
        <v>https://drive.google.com/file/d/1X7jK0HB-aBO_CFPUXZgT5t8eVrrCHN43/view?usp=drivesdk</v>
      </c>
    </row>
    <row r="928">
      <c r="A928" s="50" t="s">
        <v>3658</v>
      </c>
      <c r="B928" s="50" t="str">
        <f>IFERROR(__xludf.DUMMYFUNCTION("""COMPUTED_VALUE"""),"SES-0029")</f>
        <v>SES-0029</v>
      </c>
      <c r="C928" s="50" t="str">
        <f>IFERROR(__xludf.DUMMYFUNCTION("""COMPUTED_VALUE"""),"mgallonde@ucpa.asso.fr")</f>
        <v>mgallonde@ucpa.asso.fr</v>
      </c>
      <c r="D928" s="127" t="str">
        <f>IFERROR(__xludf.DUMMYFUNCTION("""COMPUTED_VALUE"""),"https://drive.google.com/file/d/1NVxBZe9svpSJYVO4JxcuN0soKiDLHJje/view?usp=drivesdk")</f>
        <v>https://drive.google.com/file/d/1NVxBZe9svpSJYVO4JxcuN0soKiDLHJje/view?usp=drivesdk</v>
      </c>
    </row>
    <row r="929">
      <c r="A929" s="50" t="s">
        <v>3661</v>
      </c>
      <c r="B929" s="50" t="str">
        <f>IFERROR(__xludf.DUMMYFUNCTION("""COMPUTED_VALUE"""),"SES-0029")</f>
        <v>SES-0029</v>
      </c>
      <c r="C929" s="50" t="str">
        <f>IFERROR(__xludf.DUMMYFUNCTION("""COMPUTED_VALUE"""),"ypalmis@ucpa.asso.fr")</f>
        <v>ypalmis@ucpa.asso.fr</v>
      </c>
      <c r="D929" s="127" t="str">
        <f>IFERROR(__xludf.DUMMYFUNCTION("""COMPUTED_VALUE"""),"https://drive.google.com/file/d/1kvJmOk-9uvEWzwy-M8iwSWOOZdHjUEu4/view?usp=drivesdk")</f>
        <v>https://drive.google.com/file/d/1kvJmOk-9uvEWzwy-M8iwSWOOZdHjUEu4/view?usp=drivesdk</v>
      </c>
    </row>
    <row r="930">
      <c r="A930" s="50" t="s">
        <v>3663</v>
      </c>
      <c r="B930" s="50" t="str">
        <f>IFERROR(__xludf.DUMMYFUNCTION("""COMPUTED_VALUE"""),"SES-0026")</f>
        <v>SES-0026</v>
      </c>
      <c r="C930" s="50" t="str">
        <f>IFERROR(__xludf.DUMMYFUNCTION("""COMPUTED_VALUE"""),"stephane.tavernier@telligo.fr")</f>
        <v>stephane.tavernier@telligo.fr</v>
      </c>
      <c r="D930" s="127" t="str">
        <f>IFERROR(__xludf.DUMMYFUNCTION("""COMPUTED_VALUE"""),"https://drive.google.com/file/d/1GqH9qt_JWwGeqLpeCorlKk1pq4hyPhYq/view?usp=drivesdk")</f>
        <v>https://drive.google.com/file/d/1GqH9qt_JWwGeqLpeCorlKk1pq4hyPhYq/view?usp=drivesdk</v>
      </c>
    </row>
    <row r="931">
      <c r="A931" s="50" t="s">
        <v>3666</v>
      </c>
      <c r="B931" s="50" t="str">
        <f>IFERROR(__xludf.DUMMYFUNCTION("""COMPUTED_VALUE"""),"SES-0024")</f>
        <v>SES-0024</v>
      </c>
      <c r="C931" s="50" t="str">
        <f>IFERROR(__xludf.DUMMYFUNCTION("""COMPUTED_VALUE"""),"tambert@ucpa.asso.fr")</f>
        <v>tambert@ucpa.asso.fr</v>
      </c>
      <c r="D931" s="127" t="str">
        <f>IFERROR(__xludf.DUMMYFUNCTION("""COMPUTED_VALUE"""),"https://drive.google.com/file/d/1DO782QAY18aiSCFsFfQVSIuYiB0F00VG/view?usp=drivesdk")</f>
        <v>https://drive.google.com/file/d/1DO782QAY18aiSCFsFfQVSIuYiB0F00VG/view?usp=drivesdk</v>
      </c>
    </row>
    <row r="932">
      <c r="A932" s="50" t="s">
        <v>3669</v>
      </c>
      <c r="B932" s="50" t="str">
        <f>IFERROR(__xludf.DUMMYFUNCTION("""COMPUTED_VALUE"""),"SES-0021")</f>
        <v>SES-0021</v>
      </c>
      <c r="C932" s="50" t="str">
        <f>IFERROR(__xludf.DUMMYFUNCTION("""COMPUTED_VALUE"""),"jortole@ucpa.asso.fr")</f>
        <v>jortole@ucpa.asso.fr</v>
      </c>
      <c r="D932" s="127" t="str">
        <f>IFERROR(__xludf.DUMMYFUNCTION("""COMPUTED_VALUE"""),"https://drive.google.com/file/d/1zzp3ylk0vyPMNgfaHTmG88soJsqdnbxy/view?usp=drivesdk")</f>
        <v>https://drive.google.com/file/d/1zzp3ylk0vyPMNgfaHTmG88soJsqdnbxy/view?usp=drivesdk</v>
      </c>
    </row>
    <row r="933">
      <c r="A933" s="50" t="s">
        <v>3672</v>
      </c>
      <c r="B933" s="50" t="str">
        <f>IFERROR(__xludf.DUMMYFUNCTION("""COMPUTED_VALUE"""),"SES-0024")</f>
        <v>SES-0024</v>
      </c>
      <c r="C933" s="50" t="str">
        <f>IFERROR(__xludf.DUMMYFUNCTION("""COMPUTED_VALUE"""),"jortole@ucpa.asso.fr")</f>
        <v>jortole@ucpa.asso.fr</v>
      </c>
      <c r="D933" s="127" t="str">
        <f>IFERROR(__xludf.DUMMYFUNCTION("""COMPUTED_VALUE"""),"https://drive.google.com/file/d/1TJSFDpUwHJcmEEi4UFS99r5ssiC4AwRN/view?usp=drivesdk")</f>
        <v>https://drive.google.com/file/d/1TJSFDpUwHJcmEEi4UFS99r5ssiC4AwRN/view?usp=drivesdk</v>
      </c>
    </row>
    <row r="934">
      <c r="A934" s="50" t="s">
        <v>3675</v>
      </c>
      <c r="B934" s="50" t="str">
        <f>IFERROR(__xludf.DUMMYFUNCTION("""COMPUTED_VALUE"""),"SES-0028")</f>
        <v>SES-0028</v>
      </c>
      <c r="C934" s="50" t="str">
        <f>IFERROR(__xludf.DUMMYFUNCTION("""COMPUTED_VALUE"""),"jortole@ucpa.asso.fr")</f>
        <v>jortole@ucpa.asso.fr</v>
      </c>
      <c r="D934" s="127" t="str">
        <f>IFERROR(__xludf.DUMMYFUNCTION("""COMPUTED_VALUE"""),"https://drive.google.com/file/d/1BInCxWboqI4enonxraV7A-CST5D7s6sr/view?usp=drivesdk")</f>
        <v>https://drive.google.com/file/d/1BInCxWboqI4enonxraV7A-CST5D7s6sr/view?usp=drivesdk</v>
      </c>
    </row>
    <row r="935">
      <c r="A935" s="50" t="s">
        <v>3679</v>
      </c>
      <c r="B935" s="50" t="str">
        <f>IFERROR(__xludf.DUMMYFUNCTION("""COMPUTED_VALUE"""),"SES-0027")</f>
        <v>SES-0027</v>
      </c>
      <c r="C935" s="50" t="str">
        <f>IFERROR(__xludf.DUMMYFUNCTION("""COMPUTED_VALUE"""),"jortole@ucpa.asso.fr")</f>
        <v>jortole@ucpa.asso.fr</v>
      </c>
      <c r="D935" s="127" t="str">
        <f>IFERROR(__xludf.DUMMYFUNCTION("""COMPUTED_VALUE"""),"https://drive.google.com/file/d/1jkY4EQ8Kp5ncTbw1qQ8amDDljrq2nH1J/view?usp=drivesdk")</f>
        <v>https://drive.google.com/file/d/1jkY4EQ8Kp5ncTbw1qQ8amDDljrq2nH1J/view?usp=drivesdk</v>
      </c>
    </row>
    <row r="936">
      <c r="A936" s="50" t="s">
        <v>3682</v>
      </c>
      <c r="B936" s="50" t="str">
        <f>IFERROR(__xludf.DUMMYFUNCTION("""COMPUTED_VALUE"""),"SES-0030")</f>
        <v>SES-0030</v>
      </c>
      <c r="C936" s="50" t="str">
        <f>IFERROR(__xludf.DUMMYFUNCTION("""COMPUTED_VALUE"""),"jortole@ucpa.asso.fr")</f>
        <v>jortole@ucpa.asso.fr</v>
      </c>
      <c r="D936" s="127" t="str">
        <f>IFERROR(__xludf.DUMMYFUNCTION("""COMPUTED_VALUE"""),"https://drive.google.com/file/d/1vzvSfJmdWfR_vKnpZS5irVzTz8qAejxw/view?usp=drivesdk")</f>
        <v>https://drive.google.com/file/d/1vzvSfJmdWfR_vKnpZS5irVzTz8qAejxw/view?usp=drivesdk</v>
      </c>
    </row>
    <row r="937">
      <c r="A937" s="50" t="s">
        <v>3685</v>
      </c>
      <c r="B937" s="50" t="str">
        <f>IFERROR(__xludf.DUMMYFUNCTION("""COMPUTED_VALUE"""),"SES-0027")</f>
        <v>SES-0027</v>
      </c>
      <c r="C937" s="50" t="str">
        <f>IFERROR(__xludf.DUMMYFUNCTION("""COMPUTED_VALUE"""),"lverrier@ucpa.asso.fr")</f>
        <v>lverrier@ucpa.asso.fr</v>
      </c>
      <c r="D937" s="127" t="str">
        <f>IFERROR(__xludf.DUMMYFUNCTION("""COMPUTED_VALUE"""),"https://drive.google.com/file/d/1iGDjmMPjYo6upgFQY7DAGyhRHmI_bcx7/view?usp=drivesdk")</f>
        <v>https://drive.google.com/file/d/1iGDjmMPjYo6upgFQY7DAGyhRHmI_bcx7/view?usp=drivesdk</v>
      </c>
    </row>
    <row r="938">
      <c r="A938" s="50" t="s">
        <v>3688</v>
      </c>
      <c r="B938" s="50" t="str">
        <f>IFERROR(__xludf.DUMMYFUNCTION("""COMPUTED_VALUE"""),"SES-0030")</f>
        <v>SES-0030</v>
      </c>
      <c r="C938" s="50" t="str">
        <f>IFERROR(__xludf.DUMMYFUNCTION("""COMPUTED_VALUE"""),"lverrier@ucpa.asso.fr")</f>
        <v>lverrier@ucpa.asso.fr</v>
      </c>
      <c r="D938" s="127" t="str">
        <f>IFERROR(__xludf.DUMMYFUNCTION("""COMPUTED_VALUE"""),"https://drive.google.com/file/d/1s_tBUYMYJ8F_qkslL7W0IBtyorxFJNE-/view?usp=drivesdk")</f>
        <v>https://drive.google.com/file/d/1s_tBUYMYJ8F_qkslL7W0IBtyorxFJNE-/view?usp=drivesdk</v>
      </c>
    </row>
    <row r="939">
      <c r="A939" s="50" t="s">
        <v>3691</v>
      </c>
      <c r="B939" s="50" t="str">
        <f>IFERROR(__xludf.DUMMYFUNCTION("""COMPUTED_VALUE"""),"SES-0029")</f>
        <v>SES-0029</v>
      </c>
      <c r="C939" s="50" t="str">
        <f>IFERROR(__xludf.DUMMYFUNCTION("""COMPUTED_VALUE"""),"lverrier@ucpa.asso.fr")</f>
        <v>lverrier@ucpa.asso.fr</v>
      </c>
      <c r="D939" s="127" t="str">
        <f>IFERROR(__xludf.DUMMYFUNCTION("""COMPUTED_VALUE"""),"https://drive.google.com/file/d/10iDLKGW9qpHujkL-T6gdhi9vTxYM1LOE/view?usp=drivesdk")</f>
        <v>https://drive.google.com/file/d/10iDLKGW9qpHujkL-T6gdhi9vTxYM1LOE/view?usp=drivesdk</v>
      </c>
    </row>
    <row r="940">
      <c r="A940" s="50" t="s">
        <v>3697</v>
      </c>
      <c r="B940" s="50" t="str">
        <f>IFERROR(__xludf.DUMMYFUNCTION("""COMPUTED_VALUE"""),"SES-0027")</f>
        <v>SES-0027</v>
      </c>
      <c r="C940" s="50" t="str">
        <f>IFERROR(__xludf.DUMMYFUNCTION("""COMPUTED_VALUE"""),"jgranger@ucpa.asso.fr")</f>
        <v>jgranger@ucpa.asso.fr</v>
      </c>
      <c r="D940" s="127" t="str">
        <f>IFERROR(__xludf.DUMMYFUNCTION("""COMPUTED_VALUE"""),"https://drive.google.com/file/d/1Ld4oUd1nCXHGLC5sGlDM2kcJvzWdc_lb/view?usp=drivesdk")</f>
        <v>https://drive.google.com/file/d/1Ld4oUd1nCXHGLC5sGlDM2kcJvzWdc_lb/view?usp=drivesdk</v>
      </c>
    </row>
    <row r="941">
      <c r="A941" s="50" t="s">
        <v>3704</v>
      </c>
      <c r="B941" s="50" t="str">
        <f>IFERROR(__xludf.DUMMYFUNCTION("""COMPUTED_VALUE"""),"SES-0021")</f>
        <v>SES-0021</v>
      </c>
      <c r="C941" s="50" t="str">
        <f>IFERROR(__xludf.DUMMYFUNCTION("""COMPUTED_VALUE"""),"jlacaze@ucpa.asso.fr")</f>
        <v>jlacaze@ucpa.asso.fr</v>
      </c>
      <c r="D941" s="127" t="str">
        <f>IFERROR(__xludf.DUMMYFUNCTION("""COMPUTED_VALUE"""),"https://drive.google.com/file/d/1Gqcwqz7748x_VyMy7CCk6J0Xi5NyFeKA/view?usp=drivesdk")</f>
        <v>https://drive.google.com/file/d/1Gqcwqz7748x_VyMy7CCk6J0Xi5NyFeKA/view?usp=drivesdk</v>
      </c>
    </row>
    <row r="942">
      <c r="A942" s="50" t="s">
        <v>3708</v>
      </c>
      <c r="B942" s="50" t="str">
        <f>IFERROR(__xludf.DUMMYFUNCTION("""COMPUTED_VALUE"""),"SES-0028")</f>
        <v>SES-0028</v>
      </c>
      <c r="C942" s="50" t="str">
        <f>IFERROR(__xludf.DUMMYFUNCTION("""COMPUTED_VALUE"""),"vbuffy@ucpa.asso.fr")</f>
        <v>vbuffy@ucpa.asso.fr</v>
      </c>
      <c r="D942" s="127" t="str">
        <f>IFERROR(__xludf.DUMMYFUNCTION("""COMPUTED_VALUE"""),"https://drive.google.com/file/d/14QaRTylTPojJWn8Yui-kuSWncc_HRJ3E/view?usp=drivesdk")</f>
        <v>https://drive.google.com/file/d/14QaRTylTPojJWn8Yui-kuSWncc_HRJ3E/view?usp=drivesdk</v>
      </c>
    </row>
    <row r="943">
      <c r="A943" s="50" t="s">
        <v>3711</v>
      </c>
      <c r="B943" s="50" t="str">
        <f>IFERROR(__xludf.DUMMYFUNCTION("""COMPUTED_VALUE"""),"SES-0029")</f>
        <v>SES-0029</v>
      </c>
      <c r="C943" s="50" t="str">
        <f>IFERROR(__xludf.DUMMYFUNCTION("""COMPUTED_VALUE"""),"vbuffy@ucpa.asso.fr")</f>
        <v>vbuffy@ucpa.asso.fr</v>
      </c>
      <c r="D943" s="127" t="str">
        <f>IFERROR(__xludf.DUMMYFUNCTION("""COMPUTED_VALUE"""),"https://drive.google.com/file/d/1Xkp-r4kgVgy10MTXFy_c3PzDBfQbsSEb/view?usp=drivesdk")</f>
        <v>https://drive.google.com/file/d/1Xkp-r4kgVgy10MTXFy_c3PzDBfQbsSEb/view?usp=drivesdk</v>
      </c>
    </row>
    <row r="944">
      <c r="A944" s="50" t="s">
        <v>3714</v>
      </c>
      <c r="B944" s="50" t="str">
        <f>IFERROR(__xludf.DUMMYFUNCTION("""COMPUTED_VALUE"""),"SES-0030")</f>
        <v>SES-0030</v>
      </c>
      <c r="C944" s="50" t="str">
        <f>IFERROR(__xludf.DUMMYFUNCTION("""COMPUTED_VALUE"""),"hmingot@ucpa.asso.fr")</f>
        <v>hmingot@ucpa.asso.fr</v>
      </c>
      <c r="D944" s="127" t="str">
        <f>IFERROR(__xludf.DUMMYFUNCTION("""COMPUTED_VALUE"""),"https://drive.google.com/file/d/1Gx-lKOh53qmXtcaJwAA6CzgPDr6BZMI3/view?usp=drivesdk")</f>
        <v>https://drive.google.com/file/d/1Gx-lKOh53qmXtcaJwAA6CzgPDr6BZMI3/view?usp=drivesdk</v>
      </c>
    </row>
    <row r="945">
      <c r="A945" s="50" t="s">
        <v>3718</v>
      </c>
      <c r="B945" s="50" t="str">
        <f>IFERROR(__xludf.DUMMYFUNCTION("""COMPUTED_VALUE"""),"SES-0023")</f>
        <v>SES-0023</v>
      </c>
      <c r="C945" s="50" t="str">
        <f>IFERROR(__xludf.DUMMYFUNCTION("""COMPUTED_VALUE"""),"pascal@colay.fr")</f>
        <v>pascal@colay.fr</v>
      </c>
      <c r="D945" s="127" t="str">
        <f>IFERROR(__xludf.DUMMYFUNCTION("""COMPUTED_VALUE"""),"https://drive.google.com/file/d/1RTozSrfPLrhhOjXvYBZZGufYItxyMl99/view?usp=drivesdk")</f>
        <v>https://drive.google.com/file/d/1RTozSrfPLrhhOjXvYBZZGufYItxyMl99/view?usp=drivesdk</v>
      </c>
    </row>
    <row r="946">
      <c r="A946" s="50" t="s">
        <v>3722</v>
      </c>
      <c r="B946" s="50" t="str">
        <f>IFERROR(__xludf.DUMMYFUNCTION("""COMPUTED_VALUE"""),"SES-0026")</f>
        <v>SES-0026</v>
      </c>
      <c r="C946" s="50" t="str">
        <f>IFERROR(__xludf.DUMMYFUNCTION("""COMPUTED_VALUE"""),"pascal@colay.fr")</f>
        <v>pascal@colay.fr</v>
      </c>
      <c r="D946" s="127" t="str">
        <f>IFERROR(__xludf.DUMMYFUNCTION("""COMPUTED_VALUE"""),"https://drive.google.com/file/d/1ch1jFHrGahuRHYnj143buVjNOG8sXycv/view?usp=drivesdk")</f>
        <v>https://drive.google.com/file/d/1ch1jFHrGahuRHYnj143buVjNOG8sXycv/view?usp=drivesdk</v>
      </c>
    </row>
    <row r="947">
      <c r="A947" s="50" t="s">
        <v>3726</v>
      </c>
      <c r="B947" s="50" t="str">
        <f>IFERROR(__xludf.DUMMYFUNCTION("""COMPUTED_VALUE"""),"SES-0027")</f>
        <v>SES-0027</v>
      </c>
      <c r="C947" s="50" t="str">
        <f>IFERROR(__xludf.DUMMYFUNCTION("""COMPUTED_VALUE"""),"pascal@colay.fr")</f>
        <v>pascal@colay.fr</v>
      </c>
      <c r="D947" s="127" t="str">
        <f>IFERROR(__xludf.DUMMYFUNCTION("""COMPUTED_VALUE"""),"https://drive.google.com/file/d/1lvcN_eF2XF9J9OT7GX3rA0bPWQxb6xSV/view?usp=drivesdk")</f>
        <v>https://drive.google.com/file/d/1lvcN_eF2XF9J9OT7GX3rA0bPWQxb6xSV/view?usp=drivesdk</v>
      </c>
    </row>
    <row r="948">
      <c r="A948" s="50" t="s">
        <v>3729</v>
      </c>
      <c r="B948" s="50" t="str">
        <f>IFERROR(__xludf.DUMMYFUNCTION("""COMPUTED_VALUE"""),"SES-0029")</f>
        <v>SES-0029</v>
      </c>
      <c r="C948" s="50" t="str">
        <f>IFERROR(__xludf.DUMMYFUNCTION("""COMPUTED_VALUE"""),"pascal@colay.fr")</f>
        <v>pascal@colay.fr</v>
      </c>
      <c r="D948" s="127" t="str">
        <f>IFERROR(__xludf.DUMMYFUNCTION("""COMPUTED_VALUE"""),"https://drive.google.com/file/d/1ZzNz3dljrh5C2pwWUVQNEZsAU4BfI4R0/view?usp=drivesdk")</f>
        <v>https://drive.google.com/file/d/1ZzNz3dljrh5C2pwWUVQNEZsAU4BfI4R0/view?usp=drivesdk</v>
      </c>
    </row>
    <row r="949">
      <c r="A949" s="50" t="s">
        <v>3733</v>
      </c>
      <c r="B949" s="50" t="str">
        <f>IFERROR(__xludf.DUMMYFUNCTION("""COMPUTED_VALUE"""),"SES-0030")</f>
        <v>SES-0030</v>
      </c>
      <c r="C949" s="50" t="str">
        <f>IFERROR(__xludf.DUMMYFUNCTION("""COMPUTED_VALUE"""),"pascal@colay.fr")</f>
        <v>pascal@colay.fr</v>
      </c>
      <c r="D949" s="127" t="str">
        <f>IFERROR(__xludf.DUMMYFUNCTION("""COMPUTED_VALUE"""),"https://drive.google.com/file/d/1-4SszCkDsw12VMpHVts8fEUXHQb56iqg/view?usp=drivesdk")</f>
        <v>https://drive.google.com/file/d/1-4SszCkDsw12VMpHVts8fEUXHQb56iqg/view?usp=drivesdk</v>
      </c>
    </row>
    <row r="950">
      <c r="A950" s="50" t="s">
        <v>3734</v>
      </c>
      <c r="B950" s="50" t="str">
        <f>IFERROR(__xludf.DUMMYFUNCTION("""COMPUTED_VALUE"""),"SES-0029")</f>
        <v>SES-0029</v>
      </c>
      <c r="C950" s="50" t="str">
        <f>IFERROR(__xludf.DUMMYFUNCTION("""COMPUTED_VALUE"""),"nclement@ucpasl.com")</f>
        <v>nclement@ucpasl.com</v>
      </c>
      <c r="D950" s="127" t="str">
        <f>IFERROR(__xludf.DUMMYFUNCTION("""COMPUTED_VALUE"""),"https://drive.google.com/file/d/1zsvDxxOTEVCLJvk6zYZ6qjiwJ_ID4obk/view?usp=drivesdk")</f>
        <v>https://drive.google.com/file/d/1zsvDxxOTEVCLJvk6zYZ6qjiwJ_ID4obk/view?usp=drivesdk</v>
      </c>
    </row>
    <row r="951">
      <c r="A951" s="50" t="s">
        <v>3735</v>
      </c>
      <c r="B951" s="50" t="str">
        <f>IFERROR(__xludf.DUMMYFUNCTION("""COMPUTED_VALUE"""),"SES-0023")</f>
        <v>SES-0023</v>
      </c>
      <c r="C951" s="50" t="str">
        <f>IFERROR(__xludf.DUMMYFUNCTION("""COMPUTED_VALUE"""),"hourtincentre@ucpa.asso.fr")</f>
        <v>hourtincentre@ucpa.asso.fr</v>
      </c>
      <c r="D951" s="127" t="str">
        <f>IFERROR(__xludf.DUMMYFUNCTION("""COMPUTED_VALUE"""),"https://drive.google.com/file/d/1ZGmc-OvSTlTCOBe5BxP3a-sbcW7m854d/view?usp=drivesdk")</f>
        <v>https://drive.google.com/file/d/1ZGmc-OvSTlTCOBe5BxP3a-sbcW7m854d/view?usp=drivesdk</v>
      </c>
    </row>
    <row r="952">
      <c r="A952" s="50" t="s">
        <v>3736</v>
      </c>
      <c r="B952" s="50" t="str">
        <f>IFERROR(__xludf.DUMMYFUNCTION("""COMPUTED_VALUE"""),"SES-0030")</f>
        <v>SES-0030</v>
      </c>
      <c r="C952" s="50" t="str">
        <f>IFERROR(__xludf.DUMMYFUNCTION("""COMPUTED_VALUE"""),"mbristol@ucpasl.com")</f>
        <v>mbristol@ucpasl.com</v>
      </c>
      <c r="D952" s="127" t="str">
        <f>IFERROR(__xludf.DUMMYFUNCTION("""COMPUTED_VALUE"""),"https://drive.google.com/file/d/1VqtHxBeYCT4MDn6aiQdSm5Xtx8WcGzAt/view?usp=drivesdk")</f>
        <v>https://drive.google.com/file/d/1VqtHxBeYCT4MDn6aiQdSm5Xtx8WcGzAt/view?usp=drivesdk</v>
      </c>
    </row>
    <row r="953">
      <c r="A953" s="50" t="s">
        <v>3737</v>
      </c>
      <c r="B953" s="50" t="str">
        <f>IFERROR(__xludf.DUMMYFUNCTION("""COMPUTED_VALUE"""),"SES-0024")</f>
        <v>SES-0024</v>
      </c>
      <c r="C953" s="50" t="str">
        <f>IFERROR(__xludf.DUMMYFUNCTION("""COMPUTED_VALUE"""),"mnodin@ucpa.asso.fr")</f>
        <v>mnodin@ucpa.asso.fr</v>
      </c>
      <c r="D953" s="127" t="str">
        <f>IFERROR(__xludf.DUMMYFUNCTION("""COMPUTED_VALUE"""),"https://drive.google.com/file/d/1qRzc8BhSp0mK-NRFz7ynjILAinWGHlKP/view?usp=drivesdk")</f>
        <v>https://drive.google.com/file/d/1qRzc8BhSp0mK-NRFz7ynjILAinWGHlKP/view?usp=drivesdk</v>
      </c>
    </row>
    <row r="954">
      <c r="A954" s="50" t="s">
        <v>3738</v>
      </c>
      <c r="B954" s="50" t="str">
        <f>IFERROR(__xludf.DUMMYFUNCTION("""COMPUTED_VALUE"""),"SES-0026")</f>
        <v>SES-0026</v>
      </c>
      <c r="C954" s="50" t="str">
        <f>IFERROR(__xludf.DUMMYFUNCTION("""COMPUTED_VALUE"""),"mnodin@ucpa.asso.fr")</f>
        <v>mnodin@ucpa.asso.fr</v>
      </c>
      <c r="D954" s="127" t="str">
        <f>IFERROR(__xludf.DUMMYFUNCTION("""COMPUTED_VALUE"""),"https://drive.google.com/file/d/1T17X2s5PUoHzRjhFW5ClOLuzAGG4IAF-/view?usp=drivesdk")</f>
        <v>https://drive.google.com/file/d/1T17X2s5PUoHzRjhFW5ClOLuzAGG4IAF-/view?usp=drivesdk</v>
      </c>
    </row>
    <row r="955">
      <c r="A955" s="50" t="s">
        <v>3739</v>
      </c>
      <c r="B955" s="50" t="str">
        <f>IFERROR(__xludf.DUMMYFUNCTION("""COMPUTED_VALUE"""),"SES-0030")</f>
        <v>SES-0030</v>
      </c>
      <c r="C955" s="50" t="str">
        <f>IFERROR(__xludf.DUMMYFUNCTION("""COMPUTED_VALUE"""),"mnodin@ucpa.asso.fr")</f>
        <v>mnodin@ucpa.asso.fr</v>
      </c>
      <c r="D955" s="127" t="str">
        <f>IFERROR(__xludf.DUMMYFUNCTION("""COMPUTED_VALUE"""),"https://drive.google.com/file/d/1CAIYZkf8gFxXCBRTxVjUpsWmzqjsgV8c/view?usp=drivesdk")</f>
        <v>https://drive.google.com/file/d/1CAIYZkf8gFxXCBRTxVjUpsWmzqjsgV8c/view?usp=drivesdk</v>
      </c>
    </row>
    <row r="956">
      <c r="A956" s="50" t="s">
        <v>3740</v>
      </c>
      <c r="B956" s="50" t="str">
        <f>IFERROR(__xludf.DUMMYFUNCTION("""COMPUTED_VALUE"""),"SES-0024")</f>
        <v>SES-0024</v>
      </c>
      <c r="C956" s="50" t="str">
        <f>IFERROR(__xludf.DUMMYFUNCTION("""COMPUTED_VALUE"""),"asupiot@ucpa.asso.fr")</f>
        <v>asupiot@ucpa.asso.fr</v>
      </c>
      <c r="D956" s="127" t="str">
        <f>IFERROR(__xludf.DUMMYFUNCTION("""COMPUTED_VALUE"""),"https://drive.google.com/file/d/1FMARl4nNnUI88I9IYkPpRNhpCG844iXj/view?usp=drivesdk")</f>
        <v>https://drive.google.com/file/d/1FMARl4nNnUI88I9IYkPpRNhpCG844iXj/view?usp=drivesdk</v>
      </c>
    </row>
    <row r="957">
      <c r="A957" s="50" t="s">
        <v>3741</v>
      </c>
      <c r="B957" s="50" t="str">
        <f>IFERROR(__xludf.DUMMYFUNCTION("""COMPUTED_VALUE"""),"SES-0029")</f>
        <v>SES-0029</v>
      </c>
      <c r="C957" s="50" t="str">
        <f>IFERROR(__xludf.DUMMYFUNCTION("""COMPUTED_VALUE"""),"asupiot@ucpa.asso.fr")</f>
        <v>asupiot@ucpa.asso.fr</v>
      </c>
      <c r="D957" s="127" t="str">
        <f>IFERROR(__xludf.DUMMYFUNCTION("""COMPUTED_VALUE"""),"https://drive.google.com/file/d/1PZYqtgzKZxmnZSOX3-ypwqKFmlTSBR0-/view?usp=drivesdk")</f>
        <v>https://drive.google.com/file/d/1PZYqtgzKZxmnZSOX3-ypwqKFmlTSBR0-/view?usp=drivesdk</v>
      </c>
    </row>
    <row r="958">
      <c r="A958" s="50" t="s">
        <v>3742</v>
      </c>
      <c r="B958" s="50" t="str">
        <f>IFERROR(__xludf.DUMMYFUNCTION("""COMPUTED_VALUE"""),"SES-0023")</f>
        <v>SES-0023</v>
      </c>
      <c r="C958" s="50" t="str">
        <f>IFERROR(__xludf.DUMMYFUNCTION("""COMPUTED_VALUE"""),"nclement@ucpasl.com")</f>
        <v>nclement@ucpasl.com</v>
      </c>
      <c r="D958" s="127" t="str">
        <f>IFERROR(__xludf.DUMMYFUNCTION("""COMPUTED_VALUE"""),"https://drive.google.com/file/d/1fT63OsN2cyTVKmLkxLwSFvsexrdn-jst/view?usp=drivesdk")</f>
        <v>https://drive.google.com/file/d/1fT63OsN2cyTVKmLkxLwSFvsexrdn-jst/view?usp=drivesdk</v>
      </c>
    </row>
    <row r="959">
      <c r="A959" s="50" t="s">
        <v>3743</v>
      </c>
      <c r="B959" s="50" t="str">
        <f>IFERROR(__xludf.DUMMYFUNCTION("""COMPUTED_VALUE"""),"SES-0024")</f>
        <v>SES-0024</v>
      </c>
      <c r="C959" s="50" t="str">
        <f>IFERROR(__xludf.DUMMYFUNCTION("""COMPUTED_VALUE"""),"rterreno@ucpa.asso.fr")</f>
        <v>rterreno@ucpa.asso.fr</v>
      </c>
      <c r="D959" s="127" t="str">
        <f>IFERROR(__xludf.DUMMYFUNCTION("""COMPUTED_VALUE"""),"https://drive.google.com/file/d/1y-QCO8S1jsGG5jZLi87IUuDrzknZ2ZXs/view?usp=drivesdk")</f>
        <v>https://drive.google.com/file/d/1y-QCO8S1jsGG5jZLi87IUuDrzknZ2ZXs/view?usp=drivesdk</v>
      </c>
    </row>
    <row r="960">
      <c r="A960" s="50" t="s">
        <v>3744</v>
      </c>
      <c r="B960" s="50" t="str">
        <f>IFERROR(__xludf.DUMMYFUNCTION("""COMPUTED_VALUE"""),"SES-0030")</f>
        <v>SES-0030</v>
      </c>
      <c r="C960" s="50" t="str">
        <f>IFERROR(__xludf.DUMMYFUNCTION("""COMPUTED_VALUE"""),"ccoeur@ucpa.asso.fr")</f>
        <v>ccoeur@ucpa.asso.fr</v>
      </c>
      <c r="D960" s="127" t="str">
        <f>IFERROR(__xludf.DUMMYFUNCTION("""COMPUTED_VALUE"""),"https://drive.google.com/file/d/1r-k17ht6Ydj1WrfszMqA1ckyxxQqedzN/view?usp=drivesdk")</f>
        <v>https://drive.google.com/file/d/1r-k17ht6Ydj1WrfszMqA1ckyxxQqedzN/view?usp=drivesdk</v>
      </c>
    </row>
    <row r="961">
      <c r="A961" s="50" t="s">
        <v>3745</v>
      </c>
      <c r="B961" s="50" t="str">
        <f>IFERROR(__xludf.DUMMYFUNCTION("""COMPUTED_VALUE"""),"SES-0029")</f>
        <v>SES-0029</v>
      </c>
      <c r="C961" s="50" t="str">
        <f>IFERROR(__xludf.DUMMYFUNCTION("""COMPUTED_VALUE"""),"jsoime@ucpa.asso.fr")</f>
        <v>jsoime@ucpa.asso.fr</v>
      </c>
      <c r="D961" s="127" t="str">
        <f>IFERROR(__xludf.DUMMYFUNCTION("""COMPUTED_VALUE"""),"https://drive.google.com/file/d/1Dys71USp4spufphg3WXOYHsMSjfhU4Nm/view?usp=drivesdk")</f>
        <v>https://drive.google.com/file/d/1Dys71USp4spufphg3WXOYHsMSjfhU4Nm/view?usp=drivesdk</v>
      </c>
    </row>
    <row r="962">
      <c r="A962" s="50" t="s">
        <v>3746</v>
      </c>
      <c r="B962" s="50" t="str">
        <f>IFERROR(__xludf.DUMMYFUNCTION("""COMPUTED_VALUE"""),"SES-0023")</f>
        <v>SES-0023</v>
      </c>
      <c r="C962" s="50" t="str">
        <f>IFERROR(__xludf.DUMMYFUNCTION("""COMPUTED_VALUE"""),"fgentilini@ucpa.asso.fr")</f>
        <v>fgentilini@ucpa.asso.fr</v>
      </c>
      <c r="D962" s="127" t="str">
        <f>IFERROR(__xludf.DUMMYFUNCTION("""COMPUTED_VALUE"""),"https://drive.google.com/file/d/14dB046Lagea5q6I4CTlCc8FgLiroRJMz/view?usp=drivesdk")</f>
        <v>https://drive.google.com/file/d/14dB046Lagea5q6I4CTlCc8FgLiroRJMz/view?usp=drivesdk</v>
      </c>
    </row>
    <row r="963">
      <c r="A963" s="50" t="s">
        <v>3747</v>
      </c>
      <c r="B963" s="50" t="str">
        <f>IFERROR(__xludf.DUMMYFUNCTION("""COMPUTED_VALUE"""),"SES-0028")</f>
        <v>SES-0028</v>
      </c>
      <c r="C963" s="50" t="str">
        <f>IFERROR(__xludf.DUMMYFUNCTION("""COMPUTED_VALUE"""),"edidier@ucpa.asso.fr")</f>
        <v>edidier@ucpa.asso.fr</v>
      </c>
      <c r="D963" s="127" t="str">
        <f>IFERROR(__xludf.DUMMYFUNCTION("""COMPUTED_VALUE"""),"https://drive.google.com/file/d/1MDogIQZIEtm5smHbrKWhS6BfRzAIjkMa/view?usp=drivesdk")</f>
        <v>https://drive.google.com/file/d/1MDogIQZIEtm5smHbrKWhS6BfRzAIjkMa/view?usp=drivesdk</v>
      </c>
    </row>
    <row r="964">
      <c r="A964" s="50" t="s">
        <v>3748</v>
      </c>
      <c r="B964" s="50" t="str">
        <f>IFERROR(__xludf.DUMMYFUNCTION("""COMPUTED_VALUE"""),"SES-0023")</f>
        <v>SES-0023</v>
      </c>
      <c r="C964" s="50" t="str">
        <f>IFERROR(__xludf.DUMMYFUNCTION("""COMPUTED_VALUE"""),"apauletcatrin@ucpa.asso.fr")</f>
        <v>apauletcatrin@ucpa.asso.fr</v>
      </c>
      <c r="D964" s="127" t="str">
        <f>IFERROR(__xludf.DUMMYFUNCTION("""COMPUTED_VALUE"""),"https://drive.google.com/file/d/1hVJrS7_Y3Ab2_Sv1ZswK57uYDc0-L4nW/view?usp=drivesdk")</f>
        <v>https://drive.google.com/file/d/1hVJrS7_Y3Ab2_Sv1ZswK57uYDc0-L4nW/view?usp=drivesdk</v>
      </c>
    </row>
    <row r="965">
      <c r="A965" s="50" t="s">
        <v>3749</v>
      </c>
      <c r="B965" s="50" t="str">
        <f>IFERROR(__xludf.DUMMYFUNCTION("""COMPUTED_VALUE"""),"SES-0026")</f>
        <v>SES-0026</v>
      </c>
      <c r="C965" s="50" t="str">
        <f>IFERROR(__xludf.DUMMYFUNCTION("""COMPUTED_VALUE"""),"apauletcatrin@ucpa.asso.fr")</f>
        <v>apauletcatrin@ucpa.asso.fr</v>
      </c>
      <c r="D965" s="127" t="str">
        <f>IFERROR(__xludf.DUMMYFUNCTION("""COMPUTED_VALUE"""),"https://drive.google.com/file/d/1iq8qngGOBOH4mT69ojhVHxjM0TUfiDUH/view?usp=drivesdk")</f>
        <v>https://drive.google.com/file/d/1iq8qngGOBOH4mT69ojhVHxjM0TUfiDUH/view?usp=drivesdk</v>
      </c>
    </row>
    <row r="966">
      <c r="A966" s="50" t="s">
        <v>3750</v>
      </c>
      <c r="B966" s="50" t="str">
        <f>IFERROR(__xludf.DUMMYFUNCTION("""COMPUTED_VALUE"""),"SES-0027")</f>
        <v>SES-0027</v>
      </c>
      <c r="C966" s="50" t="str">
        <f>IFERROR(__xludf.DUMMYFUNCTION("""COMPUTED_VALUE"""),"yann.damoulakis@telligo.fr")</f>
        <v>yann.damoulakis@telligo.fr</v>
      </c>
      <c r="D966" s="127" t="str">
        <f>IFERROR(__xludf.DUMMYFUNCTION("""COMPUTED_VALUE"""),"https://drive.google.com/file/d/1zMz5Z1-6yIqWTV3-yCl3Ctub1-7xVw7d/view?usp=drivesdk")</f>
        <v>https://drive.google.com/file/d/1zMz5Z1-6yIqWTV3-yCl3Ctub1-7xVw7d/view?usp=drivesdk</v>
      </c>
    </row>
    <row r="967">
      <c r="A967" s="50" t="s">
        <v>3751</v>
      </c>
      <c r="B967" s="50" t="str">
        <f>IFERROR(__xludf.DUMMYFUNCTION("""COMPUTED_VALUE"""),"SES-0025")</f>
        <v>SES-0025</v>
      </c>
      <c r="C967" s="50" t="str">
        <f>IFERROR(__xludf.DUMMYFUNCTION("""COMPUTED_VALUE"""),"david.serano@labalaguere.com")</f>
        <v>david.serano@labalaguere.com</v>
      </c>
      <c r="D967" s="127" t="str">
        <f>IFERROR(__xludf.DUMMYFUNCTION("""COMPUTED_VALUE"""),"https://drive.google.com/file/d/1_YT0ZAbvwcsSLG34EZ4OenJrM0k89jC2/view?usp=drivesdk")</f>
        <v>https://drive.google.com/file/d/1_YT0ZAbvwcsSLG34EZ4OenJrM0k89jC2/view?usp=drivesdk</v>
      </c>
    </row>
    <row r="968">
      <c r="A968" s="50" t="s">
        <v>3752</v>
      </c>
      <c r="B968" s="50" t="str">
        <f>IFERROR(__xludf.DUMMYFUNCTION("""COMPUTED_VALUE"""),"SES-0031")</f>
        <v>SES-0031</v>
      </c>
      <c r="C968" s="50" t="str">
        <f>IFERROR(__xludf.DUMMYFUNCTION("""COMPUTED_VALUE"""),"mathieu.desponts@telligo.fr")</f>
        <v>mathieu.desponts@telligo.fr</v>
      </c>
      <c r="D968" s="127" t="str">
        <f>IFERROR(__xludf.DUMMYFUNCTION("""COMPUTED_VALUE"""),"https://drive.google.com/file/d/1rYTfFtwON0O8AmyN1mLEukqCJSr-bGJe/view?usp=drivesdk")</f>
        <v>https://drive.google.com/file/d/1rYTfFtwON0O8AmyN1mLEukqCJSr-bGJe/view?usp=drivesdk</v>
      </c>
    </row>
    <row r="969">
      <c r="A969" s="50" t="s">
        <v>3753</v>
      </c>
      <c r="B969" s="50" t="str">
        <f>IFERROR(__xludf.DUMMYFUNCTION("""COMPUTED_VALUE"""),"SES-0030")</f>
        <v>SES-0030</v>
      </c>
      <c r="C969" s="50" t="str">
        <f>IFERROR(__xludf.DUMMYFUNCTION("""COMPUTED_VALUE"""),"mathieu.desponts@telligo.fr")</f>
        <v>mathieu.desponts@telligo.fr</v>
      </c>
      <c r="D969" s="127" t="str">
        <f>IFERROR(__xludf.DUMMYFUNCTION("""COMPUTED_VALUE"""),"https://drive.google.com/file/d/1wMopQ8LqIDNVrcPkkeZ0AtWxiNGcgVaD/view?usp=drivesdk")</f>
        <v>https://drive.google.com/file/d/1wMopQ8LqIDNVrcPkkeZ0AtWxiNGcgVaD/view?usp=drivesdk</v>
      </c>
    </row>
    <row r="970">
      <c r="A970" s="50" t="s">
        <v>3754</v>
      </c>
      <c r="B970" s="50" t="str">
        <f>IFERROR(__xludf.DUMMYFUNCTION("""COMPUTED_VALUE"""),"SES-0027")</f>
        <v>SES-0027</v>
      </c>
      <c r="C970" s="50" t="str">
        <f>IFERROR(__xludf.DUMMYFUNCTION("""COMPUTED_VALUE"""),"sverrier@ucpa.asso.fr")</f>
        <v>sverrier@ucpa.asso.fr</v>
      </c>
      <c r="D970" s="127" t="str">
        <f>IFERROR(__xludf.DUMMYFUNCTION("""COMPUTED_VALUE"""),"https://drive.google.com/file/d/1uYXAkibF08eNcZHHxgy8X6s2iknc-wD4/view?usp=drivesdk")</f>
        <v>https://drive.google.com/file/d/1uYXAkibF08eNcZHHxgy8X6s2iknc-wD4/view?usp=drivesdk</v>
      </c>
    </row>
    <row r="971">
      <c r="A971" s="50" t="s">
        <v>3755</v>
      </c>
      <c r="B971" s="50" t="str">
        <f>IFERROR(__xludf.DUMMYFUNCTION("""COMPUTED_VALUE"""),"SES-0028")</f>
        <v>SES-0028</v>
      </c>
      <c r="C971" s="50" t="str">
        <f>IFERROR(__xludf.DUMMYFUNCTION("""COMPUTED_VALUE"""),"drubiola@ucpa.asso.fr")</f>
        <v>drubiola@ucpa.asso.fr</v>
      </c>
      <c r="D971" s="127" t="str">
        <f>IFERROR(__xludf.DUMMYFUNCTION("""COMPUTED_VALUE"""),"https://drive.google.com/file/d/1Ujnq2vfajTnHrIMN7nsuBh2wEhqlto8u/view?usp=drivesdk")</f>
        <v>https://drive.google.com/file/d/1Ujnq2vfajTnHrIMN7nsuBh2wEhqlto8u/view?usp=drivesdk</v>
      </c>
    </row>
    <row r="972">
      <c r="A972" s="50" t="s">
        <v>3756</v>
      </c>
      <c r="B972" s="50" t="str">
        <f>IFERROR(__xludf.DUMMYFUNCTION("""COMPUTED_VALUE"""),"SES-0027")</f>
        <v>SES-0027</v>
      </c>
      <c r="C972" s="50" t="str">
        <f>IFERROR(__xludf.DUMMYFUNCTION("""COMPUTED_VALUE"""),"apauletcatrin@ucpa.asso.fr")</f>
        <v>apauletcatrin@ucpa.asso.fr</v>
      </c>
      <c r="D972" s="127" t="str">
        <f>IFERROR(__xludf.DUMMYFUNCTION("""COMPUTED_VALUE"""),"https://drive.google.com/file/d/1nNN9G5M5NS5__zYGyqUxKr12cTcKUORj/view?usp=drivesdk")</f>
        <v>https://drive.google.com/file/d/1nNN9G5M5NS5__zYGyqUxKr12cTcKUORj/view?usp=drivesdk</v>
      </c>
    </row>
    <row r="973">
      <c r="A973" s="50" t="s">
        <v>3757</v>
      </c>
      <c r="B973" s="50" t="str">
        <f>IFERROR(__xludf.DUMMYFUNCTION("""COMPUTED_VALUE"""),"SES-0031")</f>
        <v>SES-0031</v>
      </c>
      <c r="C973" s="50" t="str">
        <f>IFERROR(__xludf.DUMMYFUNCTION("""COMPUTED_VALUE"""),"nclement@ucpasl.com")</f>
        <v>nclement@ucpasl.com</v>
      </c>
      <c r="D973" s="127" t="str">
        <f>IFERROR(__xludf.DUMMYFUNCTION("""COMPUTED_VALUE"""),"https://drive.google.com/file/d/1kBhSce1erh3YA3QFYVtNsxfGErmvMObc/view?usp=drivesdk")</f>
        <v>https://drive.google.com/file/d/1kBhSce1erh3YA3QFYVtNsxfGErmvMObc/view?usp=drivesdk</v>
      </c>
    </row>
    <row r="974">
      <c r="A974" s="50" t="s">
        <v>3760</v>
      </c>
      <c r="B974" s="50" t="str">
        <f>IFERROR(__xludf.DUMMYFUNCTION("""COMPUTED_VALUE"""),"SES-0028")</f>
        <v>SES-0028</v>
      </c>
      <c r="C974" s="50" t="str">
        <f>IFERROR(__xludf.DUMMYFUNCTION("""COMPUTED_VALUE"""),"fgarcin@ucpa.asso.fr")</f>
        <v>fgarcin@ucpa.asso.fr</v>
      </c>
      <c r="D974" s="127" t="str">
        <f>IFERROR(__xludf.DUMMYFUNCTION("""COMPUTED_VALUE"""),"https://drive.google.com/file/d/1CF1wZY3gNTsSpEASbdxI30ZL3-rdn071/view?usp=drivesdk")</f>
        <v>https://drive.google.com/file/d/1CF1wZY3gNTsSpEASbdxI30ZL3-rdn071/view?usp=drivesdk</v>
      </c>
    </row>
    <row r="975">
      <c r="A975" s="50" t="s">
        <v>3767</v>
      </c>
      <c r="B975" s="50" t="str">
        <f>IFERROR(__xludf.DUMMYFUNCTION("""COMPUTED_VALUE"""),"SES-0025")</f>
        <v>SES-0025</v>
      </c>
      <c r="C975" s="50" t="str">
        <f>IFERROR(__xludf.DUMMYFUNCTION("""COMPUTED_VALUE"""),"asupiot@ucpa.asso.fr")</f>
        <v>asupiot@ucpa.asso.fr</v>
      </c>
      <c r="D975" s="127" t="str">
        <f>IFERROR(__xludf.DUMMYFUNCTION("""COMPUTED_VALUE"""),"https://drive.google.com/file/d/1V2Encew7RYWRr2YRiFsasEasDvcU9JLv/view?usp=drivesdk")</f>
        <v>https://drive.google.com/file/d/1V2Encew7RYWRr2YRiFsasEasDvcU9JLv/view?usp=drivesdk</v>
      </c>
    </row>
    <row r="976">
      <c r="A976" s="50" t="s">
        <v>3770</v>
      </c>
      <c r="B976" s="50" t="str">
        <f>IFERROR(__xludf.DUMMYFUNCTION("""COMPUTED_VALUE"""),"SES-0027")</f>
        <v>SES-0027</v>
      </c>
      <c r="C976" s="50" t="str">
        <f>IFERROR(__xludf.DUMMYFUNCTION("""COMPUTED_VALUE"""),"sbouteille@ucpa.asso.fr")</f>
        <v>sbouteille@ucpa.asso.fr</v>
      </c>
      <c r="D976" s="127" t="str">
        <f>IFERROR(__xludf.DUMMYFUNCTION("""COMPUTED_VALUE"""),"https://drive.google.com/file/d/1o0lL1mk9FPfChC9iNcloNKtjJHCanLiQ/view?usp=drivesdk")</f>
        <v>https://drive.google.com/file/d/1o0lL1mk9FPfChC9iNcloNKtjJHCanLiQ/view?usp=drivesdk</v>
      </c>
    </row>
    <row r="977">
      <c r="A977" s="50" t="s">
        <v>3773</v>
      </c>
      <c r="B977" s="50" t="str">
        <f>IFERROR(__xludf.DUMMYFUNCTION("""COMPUTED_VALUE"""),"SES-0027")</f>
        <v>SES-0027</v>
      </c>
      <c r="C977" s="50" t="str">
        <f>IFERROR(__xludf.DUMMYFUNCTION("""COMPUTED_VALUE"""),"smolina@ucpa.asso.fr")</f>
        <v>smolina@ucpa.asso.fr</v>
      </c>
      <c r="D977" s="127" t="str">
        <f>IFERROR(__xludf.DUMMYFUNCTION("""COMPUTED_VALUE"""),"https://drive.google.com/file/d/1CZwhzkf5yCGvXvYxN2oEE4K1K7_mibz-/view?usp=drivesdk")</f>
        <v>https://drive.google.com/file/d/1CZwhzkf5yCGvXvYxN2oEE4K1K7_mibz-/view?usp=drivesdk</v>
      </c>
    </row>
    <row r="978">
      <c r="A978" s="50" t="s">
        <v>3777</v>
      </c>
      <c r="B978" s="50" t="str">
        <f>IFERROR(__xludf.DUMMYFUNCTION("""COMPUTED_VALUE"""),"SES-0030")</f>
        <v>SES-0030</v>
      </c>
      <c r="C978" s="50" t="str">
        <f>IFERROR(__xludf.DUMMYFUNCTION("""COMPUTED_VALUE"""),"smolina@ucpa.asso.fr")</f>
        <v>smolina@ucpa.asso.fr</v>
      </c>
      <c r="D978" s="127" t="str">
        <f>IFERROR(__xludf.DUMMYFUNCTION("""COMPUTED_VALUE"""),"https://drive.google.com/file/d/1BuOZ8Hj_misf0v04uaaa2_Uqx36h5VDF/view?usp=drivesdk")</f>
        <v>https://drive.google.com/file/d/1BuOZ8Hj_misf0v04uaaa2_Uqx36h5VDF/view?usp=drivesdk</v>
      </c>
    </row>
    <row r="979">
      <c r="A979" s="50" t="s">
        <v>3781</v>
      </c>
      <c r="B979" s="50" t="str">
        <f>IFERROR(__xludf.DUMMYFUNCTION("""COMPUTED_VALUE"""),"SES-0029")</f>
        <v>SES-0029</v>
      </c>
      <c r="C979" s="50" t="str">
        <f>IFERROR(__xludf.DUMMYFUNCTION("""COMPUTED_VALUE"""),"sverrier@ucpa.asso.fr")</f>
        <v>sverrier@ucpa.asso.fr</v>
      </c>
      <c r="D979" s="127" t="str">
        <f>IFERROR(__xludf.DUMMYFUNCTION("""COMPUTED_VALUE"""),"https://drive.google.com/file/d/1H-uc5Zvi4jLZ_IMgjqeyXK6cBN8jBPXC/view?usp=drivesdk")</f>
        <v>https://drive.google.com/file/d/1H-uc5Zvi4jLZ_IMgjqeyXK6cBN8jBPXC/view?usp=drivesdk</v>
      </c>
    </row>
    <row r="980">
      <c r="A980" s="50" t="s">
        <v>3784</v>
      </c>
      <c r="B980" s="50" t="str">
        <f>IFERROR(__xludf.DUMMYFUNCTION("""COMPUTED_VALUE"""),"SES-0031")</f>
        <v>SES-0031</v>
      </c>
      <c r="C980" s="50" t="str">
        <f>IFERROR(__xludf.DUMMYFUNCTION("""COMPUTED_VALUE"""),"cklipfel@ucpa.asso.fr")</f>
        <v>cklipfel@ucpa.asso.fr</v>
      </c>
      <c r="D980" s="127" t="str">
        <f>IFERROR(__xludf.DUMMYFUNCTION("""COMPUTED_VALUE"""),"https://drive.google.com/file/d/1gFyOuuap6qDv9lagn0-GY7x6o13Y0OeB/view?usp=drivesdk")</f>
        <v>https://drive.google.com/file/d/1gFyOuuap6qDv9lagn0-GY7x6o13Y0OeB/view?usp=drivesdk</v>
      </c>
    </row>
    <row r="981">
      <c r="A981" s="50" t="s">
        <v>3788</v>
      </c>
      <c r="B981" s="50" t="str">
        <f>IFERROR(__xludf.DUMMYFUNCTION("""COMPUTED_VALUE"""),"SES-0024")</f>
        <v>SES-0024</v>
      </c>
      <c r="C981" s="50" t="str">
        <f>IFERROR(__xludf.DUMMYFUNCTION("""COMPUTED_VALUE"""),"slefroy@ucpa.asso.fr")</f>
        <v>slefroy@ucpa.asso.fr</v>
      </c>
      <c r="D981" s="127" t="str">
        <f>IFERROR(__xludf.DUMMYFUNCTION("""COMPUTED_VALUE"""),"https://drive.google.com/file/d/10VTg4tgG9BQeg8xCpkW6bV-MCfud2iGL/view?usp=drivesdk")</f>
        <v>https://drive.google.com/file/d/10VTg4tgG9BQeg8xCpkW6bV-MCfud2iGL/view?usp=drivesdk</v>
      </c>
    </row>
    <row r="982">
      <c r="A982" s="50" t="s">
        <v>3791</v>
      </c>
      <c r="B982" s="50" t="str">
        <f>IFERROR(__xludf.DUMMYFUNCTION("""COMPUTED_VALUE"""),"SES-0031")</f>
        <v>SES-0031</v>
      </c>
      <c r="C982" s="50" t="str">
        <f>IFERROR(__xludf.DUMMYFUNCTION("""COMPUTED_VALUE"""),"mboudon@ucpa.asso.fr")</f>
        <v>mboudon@ucpa.asso.fr</v>
      </c>
      <c r="D982" s="127" t="str">
        <f>IFERROR(__xludf.DUMMYFUNCTION("""COMPUTED_VALUE"""),"https://drive.google.com/file/d/1zO3I1bKOsFfCtA0KK84NJA5lklHM9p8t/view?usp=drivesdk")</f>
        <v>https://drive.google.com/file/d/1zO3I1bKOsFfCtA0KK84NJA5lklHM9p8t/view?usp=drivesdk</v>
      </c>
    </row>
    <row r="983">
      <c r="A983" s="50" t="s">
        <v>3795</v>
      </c>
      <c r="B983" s="50" t="str">
        <f>IFERROR(__xludf.DUMMYFUNCTION("""COMPUTED_VALUE"""),"SES-0030")</f>
        <v>SES-0030</v>
      </c>
      <c r="C983" s="50" t="str">
        <f>IFERROR(__xludf.DUMMYFUNCTION("""COMPUTED_VALUE"""),"csebany@ucpa.asso.fr")</f>
        <v>csebany@ucpa.asso.fr</v>
      </c>
      <c r="D983" s="127" t="str">
        <f>IFERROR(__xludf.DUMMYFUNCTION("""COMPUTED_VALUE"""),"https://drive.google.com/file/d/1-M0-Vih-MCi1T87eM7XdSsLgjpMRai0a/view?usp=drivesdk")</f>
        <v>https://drive.google.com/file/d/1-M0-Vih-MCi1T87eM7XdSsLgjpMRai0a/view?usp=drivesdk</v>
      </c>
    </row>
    <row r="984">
      <c r="A984" s="50" t="s">
        <v>3800</v>
      </c>
      <c r="B984" s="50" t="str">
        <f>IFERROR(__xludf.DUMMYFUNCTION("""COMPUTED_VALUE"""),"SES-0031")</f>
        <v>SES-0031</v>
      </c>
      <c r="C984" s="50" t="str">
        <f>IFERROR(__xludf.DUMMYFUNCTION("""COMPUTED_VALUE"""),"gebonnard@ucpa.asso.fr")</f>
        <v>gebonnard@ucpa.asso.fr</v>
      </c>
      <c r="D984" s="127" t="str">
        <f>IFERROR(__xludf.DUMMYFUNCTION("""COMPUTED_VALUE"""),"https://drive.google.com/file/d/1g2zZFhFcV6ZBhmiKLyzTDv9TOIvK_966/view?usp=drivesdk")</f>
        <v>https://drive.google.com/file/d/1g2zZFhFcV6ZBhmiKLyzTDv9TOIvK_966/view?usp=drivesdk</v>
      </c>
    </row>
    <row r="985">
      <c r="A985" s="50" t="s">
        <v>3804</v>
      </c>
      <c r="B985" s="50" t="str">
        <f>IFERROR(__xludf.DUMMYFUNCTION("""COMPUTED_VALUE"""),"SES-0031")</f>
        <v>SES-0031</v>
      </c>
      <c r="C985" s="50" t="str">
        <f>IFERROR(__xludf.DUMMYFUNCTION("""COMPUTED_VALUE"""),"lpitance@ucpa.asso.fr")</f>
        <v>lpitance@ucpa.asso.fr</v>
      </c>
      <c r="D985" s="127" t="str">
        <f>IFERROR(__xludf.DUMMYFUNCTION("""COMPUTED_VALUE"""),"https://drive.google.com/file/d/1X7kcAGD2NhevylqH7SUKamqDbZGSFCX4/view?usp=drivesdk")</f>
        <v>https://drive.google.com/file/d/1X7kcAGD2NhevylqH7SUKamqDbZGSFCX4/view?usp=drivesdk</v>
      </c>
    </row>
    <row r="986">
      <c r="A986" s="50" t="s">
        <v>3808</v>
      </c>
      <c r="B986" s="50" t="str">
        <f>IFERROR(__xludf.DUMMYFUNCTION("""COMPUTED_VALUE"""),"SES-0031")</f>
        <v>SES-0031</v>
      </c>
      <c r="C986" s="50" t="str">
        <f>IFERROR(__xludf.DUMMYFUNCTION("""COMPUTED_VALUE"""),"tsy@ucpa-asso.fr")</f>
        <v>tsy@ucpa-asso.fr</v>
      </c>
      <c r="D986" s="127" t="str">
        <f>IFERROR(__xludf.DUMMYFUNCTION("""COMPUTED_VALUE"""),"https://drive.google.com/file/d/1O6DjNcpV7lwPWjCKEhfeUNtFvSEZkCJU/view?usp=drivesdk")</f>
        <v>https://drive.google.com/file/d/1O6DjNcpV7lwPWjCKEhfeUNtFvSEZkCJU/view?usp=drivesdk</v>
      </c>
    </row>
    <row r="987">
      <c r="A987" s="50" t="s">
        <v>3811</v>
      </c>
      <c r="B987" s="50" t="str">
        <f>IFERROR(__xludf.DUMMYFUNCTION("""COMPUTED_VALUE"""),"SES-0031")</f>
        <v>SES-0031</v>
      </c>
      <c r="C987" s="50" t="str">
        <f>IFERROR(__xludf.DUMMYFUNCTION("""COMPUTED_VALUE"""),"tfort@ucpa.asso.fr")</f>
        <v>tfort@ucpa.asso.fr</v>
      </c>
      <c r="D987" s="127" t="str">
        <f>IFERROR(__xludf.DUMMYFUNCTION("""COMPUTED_VALUE"""),"https://drive.google.com/file/d/11t0AaslG1R53Ti4zwWoFtch85v7SEArK/view?usp=drivesdk")</f>
        <v>https://drive.google.com/file/d/11t0AaslG1R53Ti4zwWoFtch85v7SEArK/view?usp=drivesdk</v>
      </c>
    </row>
    <row r="988">
      <c r="A988" s="50" t="s">
        <v>3815</v>
      </c>
      <c r="B988" s="50" t="str">
        <f>IFERROR(__xludf.DUMMYFUNCTION("""COMPUTED_VALUE"""),"SES-0031")</f>
        <v>SES-0031</v>
      </c>
      <c r="C988" s="50" t="str">
        <f>IFERROR(__xludf.DUMMYFUNCTION("""COMPUTED_VALUE"""),"revano@ucpa.asso.fr")</f>
        <v>revano@ucpa.asso.fr</v>
      </c>
      <c r="D988" s="127" t="str">
        <f>IFERROR(__xludf.DUMMYFUNCTION("""COMPUTED_VALUE"""),"https://drive.google.com/file/d/1T20BnvK55y-r-bSjGySHA5QwlMGfW9rZ/view?usp=drivesdk")</f>
        <v>https://drive.google.com/file/d/1T20BnvK55y-r-bSjGySHA5QwlMGfW9rZ/view?usp=drivesdk</v>
      </c>
    </row>
    <row r="989">
      <c r="A989" s="50" t="s">
        <v>3823</v>
      </c>
      <c r="B989" s="50" t="str">
        <f>IFERROR(__xludf.DUMMYFUNCTION("""COMPUTED_VALUE"""),"SES-0031")</f>
        <v>SES-0031</v>
      </c>
      <c r="C989" s="50" t="str">
        <f>IFERROR(__xludf.DUMMYFUNCTION("""COMPUTED_VALUE"""),"stephanie.girodet@numericoach.fr")</f>
        <v>stephanie.girodet@numericoach.fr</v>
      </c>
      <c r="D989" s="127" t="str">
        <f>IFERROR(__xludf.DUMMYFUNCTION("""COMPUTED_VALUE"""),"https://drive.google.com/file/d/1pKsQBX0qMNBE0CStufHw8QudvNPKrV71/view?usp=drivesdk")</f>
        <v>https://drive.google.com/file/d/1pKsQBX0qMNBE0CStufHw8QudvNPKrV71/view?usp=drivesdk</v>
      </c>
    </row>
    <row r="990">
      <c r="A990" s="50" t="s">
        <v>3824</v>
      </c>
      <c r="B990" s="50" t="str">
        <f>IFERROR(__xludf.DUMMYFUNCTION("""COMPUTED_VALUE"""),"SES-0038")</f>
        <v>SES-0038</v>
      </c>
      <c r="C990" s="50" t="str">
        <f>IFERROR(__xludf.DUMMYFUNCTION("""COMPUTED_VALUE"""),"apauletcatrin@ucpa.asso.fr")</f>
        <v>apauletcatrin@ucpa.asso.fr</v>
      </c>
      <c r="D990" s="127" t="str">
        <f>IFERROR(__xludf.DUMMYFUNCTION("""COMPUTED_VALUE"""),"https://drive.google.com/file/d/1Cx1iPNgE5_X3GuYTuy6oQzSF6Vzhz7Uy/view?usp=drivesdk")</f>
        <v>https://drive.google.com/file/d/1Cx1iPNgE5_X3GuYTuy6oQzSF6Vzhz7Uy/view?usp=drivesdk</v>
      </c>
    </row>
    <row r="991">
      <c r="A991" s="50" t="s">
        <v>3825</v>
      </c>
      <c r="B991" s="50" t="str">
        <f>IFERROR(__xludf.DUMMYFUNCTION("""COMPUTED_VALUE"""),"SES-0047")</f>
        <v>SES-0047</v>
      </c>
      <c r="C991" s="50" t="str">
        <f>IFERROR(__xludf.DUMMYFUNCTION("""COMPUTED_VALUE"""),"apauletcatrin@ucpa.asso.fr")</f>
        <v>apauletcatrin@ucpa.asso.fr</v>
      </c>
      <c r="D991" s="127" t="str">
        <f>IFERROR(__xludf.DUMMYFUNCTION("""COMPUTED_VALUE"""),"https://drive.google.com/file/d/1jmiqFU271skqNv1Jv8DuVPNQEOB-Fw61/view?usp=drivesdk")</f>
        <v>https://drive.google.com/file/d/1jmiqFU271skqNv1Jv8DuVPNQEOB-Fw61/view?usp=drivesdk</v>
      </c>
    </row>
    <row r="992">
      <c r="A992" s="50" t="s">
        <v>3826</v>
      </c>
      <c r="B992" s="50" t="str">
        <f>IFERROR(__xludf.DUMMYFUNCTION("""COMPUTED_VALUE"""),"SES-0044")</f>
        <v>SES-0044</v>
      </c>
      <c r="C992" s="50" t="str">
        <f>IFERROR(__xludf.DUMMYFUNCTION("""COMPUTED_VALUE"""),"apauletcatrin@ucpa.asso.fr")</f>
        <v>apauletcatrin@ucpa.asso.fr</v>
      </c>
      <c r="D992" s="127" t="str">
        <f>IFERROR(__xludf.DUMMYFUNCTION("""COMPUTED_VALUE"""),"https://drive.google.com/file/d/1gJlqvzGIIINMOuwGq9_l_USgxoys8jIH/view?usp=drivesdk")</f>
        <v>https://drive.google.com/file/d/1gJlqvzGIIINMOuwGq9_l_USgxoys8jIH/view?usp=drivesdk</v>
      </c>
    </row>
    <row r="993">
      <c r="A993" s="50" t="s">
        <v>3827</v>
      </c>
      <c r="B993" s="50" t="str">
        <f>IFERROR(__xludf.DUMMYFUNCTION("""COMPUTED_VALUE"""),"SES-0033")</f>
        <v>SES-0033</v>
      </c>
      <c r="C993" s="50" t="str">
        <f>IFERROR(__xludf.DUMMYFUNCTION("""COMPUTED_VALUE"""),"sbouteille@ucpa.asso.fr")</f>
        <v>sbouteille@ucpa.asso.fr</v>
      </c>
      <c r="D993" s="127" t="str">
        <f>IFERROR(__xludf.DUMMYFUNCTION("""COMPUTED_VALUE"""),"https://drive.google.com/file/d/1HqJOHMYJvgBCcoc9JjGoJyTes52DbljC/view?usp=drivesdk")</f>
        <v>https://drive.google.com/file/d/1HqJOHMYJvgBCcoc9JjGoJyTes52DbljC/view?usp=drivesdk</v>
      </c>
    </row>
    <row r="994">
      <c r="A994" s="50" t="s">
        <v>3828</v>
      </c>
      <c r="B994" s="50" t="str">
        <f>IFERROR(__xludf.DUMMYFUNCTION("""COMPUTED_VALUE"""),"SES-0041")</f>
        <v>SES-0041</v>
      </c>
      <c r="C994" s="50" t="str">
        <f>IFERROR(__xludf.DUMMYFUNCTION("""COMPUTED_VALUE"""),"apauletcatrin@ucpa.asso.fr")</f>
        <v>apauletcatrin@ucpa.asso.fr</v>
      </c>
      <c r="D994" s="127" t="str">
        <f>IFERROR(__xludf.DUMMYFUNCTION("""COMPUTED_VALUE"""),"https://drive.google.com/file/d/16QBVv4M69c2mj59yrECqRazWOrlccnf6/view?usp=drivesdk")</f>
        <v>https://drive.google.com/file/d/16QBVv4M69c2mj59yrECqRazWOrlccnf6/view?usp=drivesdk</v>
      </c>
    </row>
    <row r="995">
      <c r="A995" s="50" t="s">
        <v>3829</v>
      </c>
      <c r="B995" s="50" t="str">
        <f>IFERROR(__xludf.DUMMYFUNCTION("""COMPUTED_VALUE"""),"SES-0038")</f>
        <v>SES-0038</v>
      </c>
      <c r="C995" s="50" t="str">
        <f>IFERROR(__xludf.DUMMYFUNCTION("""COMPUTED_VALUE"""),"sbouteille@ucpa.asso.fr")</f>
        <v>sbouteille@ucpa.asso.fr</v>
      </c>
      <c r="D995" s="127" t="str">
        <f>IFERROR(__xludf.DUMMYFUNCTION("""COMPUTED_VALUE"""),"https://drive.google.com/file/d/1MGh_NjS38tpYzX4vuJJ23N2WmUnvlKyO/view?usp=drivesdk")</f>
        <v>https://drive.google.com/file/d/1MGh_NjS38tpYzX4vuJJ23N2WmUnvlKyO/view?usp=drivesdk</v>
      </c>
    </row>
    <row r="996">
      <c r="A996" s="50" t="s">
        <v>3830</v>
      </c>
      <c r="B996" s="50" t="str">
        <f>IFERROR(__xludf.DUMMYFUNCTION("""COMPUTED_VALUE"""),"SES-0039")</f>
        <v>SES-0039</v>
      </c>
      <c r="C996" s="50" t="str">
        <f>IFERROR(__xludf.DUMMYFUNCTION("""COMPUTED_VALUE"""),"smoyou@ucpa.asso.fr")</f>
        <v>smoyou@ucpa.asso.fr</v>
      </c>
      <c r="D996" s="127" t="str">
        <f>IFERROR(__xludf.DUMMYFUNCTION("""COMPUTED_VALUE"""),"https://drive.google.com/file/d/1HAf777S33XAChkvE37Ap9P1ACixeezPE/view?usp=drivesdk")</f>
        <v>https://drive.google.com/file/d/1HAf777S33XAChkvE37Ap9P1ACixeezPE/view?usp=drivesdk</v>
      </c>
    </row>
    <row r="997">
      <c r="A997" s="50" t="s">
        <v>3831</v>
      </c>
      <c r="B997" s="50" t="str">
        <f>IFERROR(__xludf.DUMMYFUNCTION("""COMPUTED_VALUE"""),"SES-0041")</f>
        <v>SES-0041</v>
      </c>
      <c r="C997" s="50" t="str">
        <f>IFERROR(__xludf.DUMMYFUNCTION("""COMPUTED_VALUE"""),"smoyou@ucpa.asso.fr")</f>
        <v>smoyou@ucpa.asso.fr</v>
      </c>
      <c r="D997" s="127" t="str">
        <f>IFERROR(__xludf.DUMMYFUNCTION("""COMPUTED_VALUE"""),"https://drive.google.com/file/d/1v3gumb5LFKiLh_M-1a_SVhekG7Jxhaw_/view?usp=drivesdk")</f>
        <v>https://drive.google.com/file/d/1v3gumb5LFKiLh_M-1a_SVhekG7Jxhaw_/view?usp=drivesdk</v>
      </c>
    </row>
    <row r="998">
      <c r="A998" s="50" t="s">
        <v>3832</v>
      </c>
      <c r="B998" s="50" t="str">
        <f>IFERROR(__xludf.DUMMYFUNCTION("""COMPUTED_VALUE"""),"SES-0042")</f>
        <v>SES-0042</v>
      </c>
      <c r="C998" s="50" t="str">
        <f>IFERROR(__xludf.DUMMYFUNCTION("""COMPUTED_VALUE"""),"smoyou@ucpa.asso.fr")</f>
        <v>smoyou@ucpa.asso.fr</v>
      </c>
      <c r="D998" s="127" t="str">
        <f>IFERROR(__xludf.DUMMYFUNCTION("""COMPUTED_VALUE"""),"https://drive.google.com/file/d/17LTtOciU7OQaX7GZjPfNbfjOSxhTDxvW/view?usp=drivesdk")</f>
        <v>https://drive.google.com/file/d/17LTtOciU7OQaX7GZjPfNbfjOSxhTDxvW/view?usp=drivesdk</v>
      </c>
    </row>
    <row r="999">
      <c r="A999" s="50" t="s">
        <v>3834</v>
      </c>
      <c r="B999" s="50" t="str">
        <f>IFERROR(__xludf.DUMMYFUNCTION("""COMPUTED_VALUE"""),"SES-0043")</f>
        <v>SES-0043</v>
      </c>
      <c r="C999" s="50" t="str">
        <f>IFERROR(__xludf.DUMMYFUNCTION("""COMPUTED_VALUE"""),"smoyou@ucpa.asso.fr")</f>
        <v>smoyou@ucpa.asso.fr</v>
      </c>
      <c r="D999" s="127" t="str">
        <f>IFERROR(__xludf.DUMMYFUNCTION("""COMPUTED_VALUE"""),"https://drive.google.com/file/d/18H6y3VEEqmaLu1Wafhhtj244anYSDIG_/view?usp=drivesdk")</f>
        <v>https://drive.google.com/file/d/18H6y3VEEqmaLu1Wafhhtj244anYSDIG_/view?usp=drivesdk</v>
      </c>
    </row>
    <row r="1000">
      <c r="A1000" s="50" t="s">
        <v>3837</v>
      </c>
      <c r="B1000" s="50" t="str">
        <f>IFERROR(__xludf.DUMMYFUNCTION("""COMPUTED_VALUE"""),"SES-0039")</f>
        <v>SES-0039</v>
      </c>
      <c r="C1000" s="50" t="str">
        <f>IFERROR(__xludf.DUMMYFUNCTION("""COMPUTED_VALUE"""),"tloha@ucpa.asso.fr")</f>
        <v>tloha@ucpa.asso.fr</v>
      </c>
      <c r="D1000" s="127" t="str">
        <f>IFERROR(__xludf.DUMMYFUNCTION("""COMPUTED_VALUE"""),"https://drive.google.com/file/d/1yeOdKFX4iOSr_8sDraFjC2dMZQrgj1v1/view?usp=drivesdk")</f>
        <v>https://drive.google.com/file/d/1yeOdKFX4iOSr_8sDraFjC2dMZQrgj1v1/view?usp=drivesdk</v>
      </c>
    </row>
    <row r="1001">
      <c r="A1001" s="50" t="s">
        <v>3840</v>
      </c>
      <c r="B1001" s="50" t="str">
        <f>IFERROR(__xludf.DUMMYFUNCTION("""COMPUTED_VALUE"""),"SES-0052")</f>
        <v>SES-0052</v>
      </c>
      <c r="C1001" s="50" t="str">
        <f>IFERROR(__xludf.DUMMYFUNCTION("""COMPUTED_VALUE"""),"lpitance@ucpa.asso.fr")</f>
        <v>lpitance@ucpa.asso.fr</v>
      </c>
      <c r="D1001" s="127" t="str">
        <f>IFERROR(__xludf.DUMMYFUNCTION("""COMPUTED_VALUE"""),"https://drive.google.com/file/d/1fAvXJXvLIL63WbKPIYiBjADYBLzqyvFJ/view?usp=drivesdk")</f>
        <v>https://drive.google.com/file/d/1fAvXJXvLIL63WbKPIYiBjADYBLzqyvFJ/view?usp=drivesdk</v>
      </c>
    </row>
    <row r="1002">
      <c r="A1002" s="50" t="s">
        <v>3843</v>
      </c>
      <c r="B1002" s="50" t="str">
        <f>IFERROR(__xludf.DUMMYFUNCTION("""COMPUTED_VALUE"""),"SES-0046")</f>
        <v>SES-0046</v>
      </c>
      <c r="C1002" s="50" t="str">
        <f>IFERROR(__xludf.DUMMYFUNCTION("""COMPUTED_VALUE"""),"mbristol@ucpa.asso.fr")</f>
        <v>mbristol@ucpa.asso.fr</v>
      </c>
      <c r="D1002" s="127" t="str">
        <f>IFERROR(__xludf.DUMMYFUNCTION("""COMPUTED_VALUE"""),"https://drive.google.com/file/d/1CdPWcwc52YkjESA-DwtyDJkneM4j7Wva/view?usp=drivesdk")</f>
        <v>https://drive.google.com/file/d/1CdPWcwc52YkjESA-DwtyDJkneM4j7Wva/view?usp=drivesdk</v>
      </c>
    </row>
    <row r="1003">
      <c r="A1003" s="50" t="s">
        <v>3846</v>
      </c>
      <c r="B1003" s="50" t="str">
        <f>IFERROR(__xludf.DUMMYFUNCTION("""COMPUTED_VALUE"""),"SES-0032")</f>
        <v>SES-0032</v>
      </c>
      <c r="C1003" s="50" t="str">
        <f>IFERROR(__xludf.DUMMYFUNCTION("""COMPUTED_VALUE"""),"jrdavid@ucpa.asso.fr")</f>
        <v>jrdavid@ucpa.asso.fr</v>
      </c>
      <c r="D1003" s="127" t="str">
        <f>IFERROR(__xludf.DUMMYFUNCTION("""COMPUTED_VALUE"""),"https://drive.google.com/file/d/1rQ_I187aKLxiZTwUDCOB2isRnCfSTQ34/view?usp=drivesdk")</f>
        <v>https://drive.google.com/file/d/1rQ_I187aKLxiZTwUDCOB2isRnCfSTQ34/view?usp=drivesdk</v>
      </c>
    </row>
    <row r="1004">
      <c r="A1004" s="50" t="s">
        <v>3849</v>
      </c>
      <c r="B1004" s="50" t="str">
        <f>IFERROR(__xludf.DUMMYFUNCTION("""COMPUTED_VALUE"""),"SES-0038")</f>
        <v>SES-0038</v>
      </c>
      <c r="C1004" s="50" t="str">
        <f>IFERROR(__xludf.DUMMYFUNCTION("""COMPUTED_VALUE"""),"mmoreel@ucpa.asso.fr")</f>
        <v>mmoreel@ucpa.asso.fr</v>
      </c>
      <c r="D1004" s="127" t="str">
        <f>IFERROR(__xludf.DUMMYFUNCTION("""COMPUTED_VALUE"""),"https://drive.google.com/file/d/1nGeSm4hLneb6Fc1e0ez-XWeT5GYn-YOc/view?usp=drivesdk")</f>
        <v>https://drive.google.com/file/d/1nGeSm4hLneb6Fc1e0ez-XWeT5GYn-YOc/view?usp=drivesdk</v>
      </c>
    </row>
    <row r="1005">
      <c r="A1005" s="50" t="s">
        <v>3854</v>
      </c>
      <c r="B1005" s="50" t="str">
        <f>IFERROR(__xludf.DUMMYFUNCTION("""COMPUTED_VALUE"""),"SES-0036")</f>
        <v>SES-0036</v>
      </c>
      <c r="C1005" s="50" t="str">
        <f>IFERROR(__xludf.DUMMYFUNCTION("""COMPUTED_VALUE"""),"cthouillez@pailleron19.com")</f>
        <v>cthouillez@pailleron19.com</v>
      </c>
      <c r="D1005" s="127" t="str">
        <f>IFERROR(__xludf.DUMMYFUNCTION("""COMPUTED_VALUE"""),"https://drive.google.com/file/d/1GiLrJ4FOa2flg7qZh7BPk1knMvmZRK5Q/view?usp=drivesdk")</f>
        <v>https://drive.google.com/file/d/1GiLrJ4FOa2flg7qZh7BPk1knMvmZRK5Q/view?usp=drivesdk</v>
      </c>
    </row>
    <row r="1006">
      <c r="A1006" s="50" t="s">
        <v>3861</v>
      </c>
      <c r="B1006" s="50" t="str">
        <f>IFERROR(__xludf.DUMMYFUNCTION("""COMPUTED_VALUE"""),"SES-0040")</f>
        <v>SES-0040</v>
      </c>
      <c r="C1006" s="50" t="str">
        <f>IFERROR(__xludf.DUMMYFUNCTION("""COMPUTED_VALUE"""),"nchansard@ucpa.asso.fr")</f>
        <v>nchansard@ucpa.asso.fr</v>
      </c>
      <c r="D1006" s="127" t="str">
        <f>IFERROR(__xludf.DUMMYFUNCTION("""COMPUTED_VALUE"""),"https://drive.google.com/file/d/1QbrWnnc2UFibp9fjRFzOzBHFWNkp3ooF/view?usp=drivesdk")</f>
        <v>https://drive.google.com/file/d/1QbrWnnc2UFibp9fjRFzOzBHFWNkp3ooF/view?usp=drivesdk</v>
      </c>
    </row>
    <row r="1007">
      <c r="A1007" s="50" t="s">
        <v>3864</v>
      </c>
      <c r="B1007" s="50" t="str">
        <f>IFERROR(__xludf.DUMMYFUNCTION("""COMPUTED_VALUE"""),"SES-0049")</f>
        <v>SES-0049</v>
      </c>
      <c r="C1007" s="50" t="str">
        <f>IFERROR(__xludf.DUMMYFUNCTION("""COMPUTED_VALUE"""),"mpougheon@ucpa.asso.fr")</f>
        <v>mpougheon@ucpa.asso.fr</v>
      </c>
      <c r="D1007" s="127" t="str">
        <f>IFERROR(__xludf.DUMMYFUNCTION("""COMPUTED_VALUE"""),"https://drive.google.com/file/d/15vzd-KaksDGWQovYoZU2koaEpjnB1X76/view?usp=drivesdk")</f>
        <v>https://drive.google.com/file/d/15vzd-KaksDGWQovYoZU2koaEpjnB1X76/view?usp=drivesdk</v>
      </c>
    </row>
    <row r="1008">
      <c r="A1008" s="50" t="s">
        <v>3868</v>
      </c>
      <c r="B1008" s="50" t="str">
        <f>IFERROR(__xludf.DUMMYFUNCTION("""COMPUTED_VALUE"""),"SES-0051")</f>
        <v>SES-0051</v>
      </c>
      <c r="C1008" s="50" t="str">
        <f>IFERROR(__xludf.DUMMYFUNCTION("""COMPUTED_VALUE"""),"falamome@gmail.com")</f>
        <v>falamome@gmail.com</v>
      </c>
      <c r="D1008" s="127" t="str">
        <f>IFERROR(__xludf.DUMMYFUNCTION("""COMPUTED_VALUE"""),"https://drive.google.com/file/d/1x1qz1awvX6fjVUB-9odgvPiqcIflZe7U/view?usp=drivesdk")</f>
        <v>https://drive.google.com/file/d/1x1qz1awvX6fjVUB-9odgvPiqcIflZe7U/view?usp=drivesdk</v>
      </c>
    </row>
    <row r="1009">
      <c r="A1009" s="50" t="s">
        <v>3872</v>
      </c>
      <c r="B1009" s="50" t="str">
        <f>IFERROR(__xludf.DUMMYFUNCTION("""COMPUTED_VALUE"""),"SES-0050")</f>
        <v>SES-0050</v>
      </c>
      <c r="C1009" s="50" t="str">
        <f>IFERROR(__xludf.DUMMYFUNCTION("""COMPUTED_VALUE"""),"falamome@gmail.com")</f>
        <v>falamome@gmail.com</v>
      </c>
      <c r="D1009" s="127" t="str">
        <f>IFERROR(__xludf.DUMMYFUNCTION("""COMPUTED_VALUE"""),"https://drive.google.com/file/d/1oDHEBnATUQ4wNVnNggyt3rciiFBBiXNK/view?usp=drivesdk")</f>
        <v>https://drive.google.com/file/d/1oDHEBnATUQ4wNVnNggyt3rciiFBBiXNK/view?usp=drivesdk</v>
      </c>
    </row>
    <row r="1010">
      <c r="A1010" s="50" t="s">
        <v>3876</v>
      </c>
      <c r="B1010" s="50" t="str">
        <f>IFERROR(__xludf.DUMMYFUNCTION("""COMPUTED_VALUE"""),"SES-0035")</f>
        <v>SES-0035</v>
      </c>
      <c r="C1010" s="50" t="str">
        <f>IFERROR(__xludf.DUMMYFUNCTION("""COMPUTED_VALUE"""),"emilie.bouysset@labalaguere.com")</f>
        <v>emilie.bouysset@labalaguere.com</v>
      </c>
      <c r="D1010" s="127" t="str">
        <f>IFERROR(__xludf.DUMMYFUNCTION("""COMPUTED_VALUE"""),"https://drive.google.com/file/d/1ZA8i4Wdf8kI4PJJ1--Z_yBh3jimHUBym/view?usp=drivesdk")</f>
        <v>https://drive.google.com/file/d/1ZA8i4Wdf8kI4PJJ1--Z_yBh3jimHUBym/view?usp=drivesdk</v>
      </c>
    </row>
    <row r="1011">
      <c r="A1011" s="50" t="s">
        <v>3879</v>
      </c>
      <c r="B1011" s="50" t="str">
        <f>IFERROR(__xludf.DUMMYFUNCTION("""COMPUTED_VALUE"""),"SES-0049")</f>
        <v>SES-0049</v>
      </c>
      <c r="C1011" s="50" t="str">
        <f>IFERROR(__xludf.DUMMYFUNCTION("""COMPUTED_VALUE"""),"falamome@ucpa.asso.fr")</f>
        <v>falamome@ucpa.asso.fr</v>
      </c>
      <c r="D1011" s="127" t="str">
        <f>IFERROR(__xludf.DUMMYFUNCTION("""COMPUTED_VALUE"""),"https://drive.google.com/file/d/1oVaWBCtgpaqezY7ypVD5XXeQ9kz3gzAr/view?usp=drivesdk")</f>
        <v>https://drive.google.com/file/d/1oVaWBCtgpaqezY7ypVD5XXeQ9kz3gzAr/view?usp=drivesdk</v>
      </c>
    </row>
    <row r="1012">
      <c r="A1012" s="50" t="s">
        <v>3882</v>
      </c>
      <c r="B1012" s="50" t="str">
        <f>IFERROR(__xludf.DUMMYFUNCTION("""COMPUTED_VALUE"""),"SES-0046")</f>
        <v>SES-0046</v>
      </c>
      <c r="C1012" s="50" t="str">
        <f>IFERROR(__xludf.DUMMYFUNCTION("""COMPUTED_VALUE"""),"emilie.bouysset@labalaguere.com")</f>
        <v>emilie.bouysset@labalaguere.com</v>
      </c>
      <c r="D1012" s="127" t="str">
        <f>IFERROR(__xludf.DUMMYFUNCTION("""COMPUTED_VALUE"""),"https://drive.google.com/file/d/1fkMpBK0BLmh3_YDstP4BE-PRne9T0AW2/view?usp=drivesdk")</f>
        <v>https://drive.google.com/file/d/1fkMpBK0BLmh3_YDstP4BE-PRne9T0AW2/view?usp=drivesdk</v>
      </c>
    </row>
    <row r="1013">
      <c r="A1013" s="50" t="s">
        <v>3883</v>
      </c>
      <c r="B1013" s="50" t="str">
        <f>IFERROR(__xludf.DUMMYFUNCTION("""COMPUTED_VALUE"""),"SES-0045")</f>
        <v>SES-0045</v>
      </c>
      <c r="C1013" s="50" t="str">
        <f>IFERROR(__xludf.DUMMYFUNCTION("""COMPUTED_VALUE"""),"emilie.bouysset@labalaguere.com")</f>
        <v>emilie.bouysset@labalaguere.com</v>
      </c>
      <c r="D1013" s="127" t="str">
        <f>IFERROR(__xludf.DUMMYFUNCTION("""COMPUTED_VALUE"""),"https://drive.google.com/file/d/16Cyk-q6B0kCCsaS34rZfXOIE3LZ4hL5E/view?usp=drivesdk")</f>
        <v>https://drive.google.com/file/d/16Cyk-q6B0kCCsaS34rZfXOIE3LZ4hL5E/view?usp=drivesdk</v>
      </c>
    </row>
    <row r="1014">
      <c r="A1014" s="50" t="s">
        <v>3884</v>
      </c>
      <c r="B1014" s="50" t="str">
        <f>IFERROR(__xludf.DUMMYFUNCTION("""COMPUTED_VALUE"""),"SES-0045")</f>
        <v>SES-0045</v>
      </c>
      <c r="C1014" s="50" t="str">
        <f>IFERROR(__xludf.DUMMYFUNCTION("""COMPUTED_VALUE"""),"ecusey@ucpa.asso.fr")</f>
        <v>ecusey@ucpa.asso.fr</v>
      </c>
      <c r="D1014" s="127" t="str">
        <f>IFERROR(__xludf.DUMMYFUNCTION("""COMPUTED_VALUE"""),"https://drive.google.com/file/d/1UiXACf9v3xbD0kGtnAuJZQL0_z7Eug-6/view?usp=drivesdk")</f>
        <v>https://drive.google.com/file/d/1UiXACf9v3xbD0kGtnAuJZQL0_z7Eug-6/view?usp=drivesdk</v>
      </c>
    </row>
    <row r="1015">
      <c r="A1015" s="50" t="s">
        <v>3885</v>
      </c>
      <c r="B1015" s="50" t="str">
        <f>IFERROR(__xludf.DUMMYFUNCTION("""COMPUTED_VALUE"""),"SES-0045")</f>
        <v>SES-0045</v>
      </c>
      <c r="C1015" s="50" t="str">
        <f>IFERROR(__xludf.DUMMYFUNCTION("""COMPUTED_VALUE"""),"cthoby@ucpa.asso.fr")</f>
        <v>cthoby@ucpa.asso.fr</v>
      </c>
      <c r="D1015" s="127" t="str">
        <f>IFERROR(__xludf.DUMMYFUNCTION("""COMPUTED_VALUE"""),"https://drive.google.com/file/d/1ZKwV5SQaVyC6kVXtVpWehfczkX8d0DoK/view?usp=drivesdk")</f>
        <v>https://drive.google.com/file/d/1ZKwV5SQaVyC6kVXtVpWehfczkX8d0DoK/view?usp=drivesdk</v>
      </c>
    </row>
    <row r="1016">
      <c r="A1016" s="50" t="s">
        <v>3888</v>
      </c>
      <c r="B1016" s="50" t="str">
        <f>IFERROR(__xludf.DUMMYFUNCTION("""COMPUTED_VALUE"""),"SES-0035")</f>
        <v>SES-0035</v>
      </c>
      <c r="C1016" s="50" t="str">
        <f>IFERROR(__xludf.DUMMYFUNCTION("""COMPUTED_VALUE"""),"pacalbo@ucpa.asso.fr")</f>
        <v>pacalbo@ucpa.asso.fr</v>
      </c>
      <c r="D1016" s="127" t="str">
        <f>IFERROR(__xludf.DUMMYFUNCTION("""COMPUTED_VALUE"""),"https://drive.google.com/file/d/137chNIXTgJCcgO9cUdxo3H6ON9gv-wla/view?usp=drivesdk")</f>
        <v>https://drive.google.com/file/d/137chNIXTgJCcgO9cUdxo3H6ON9gv-wla/view?usp=drivesdk</v>
      </c>
    </row>
    <row r="1017">
      <c r="A1017" s="50" t="s">
        <v>3891</v>
      </c>
      <c r="B1017" s="50" t="str">
        <f>IFERROR(__xludf.DUMMYFUNCTION("""COMPUTED_VALUE"""),"SES-0049")</f>
        <v>SES-0049</v>
      </c>
      <c r="C1017" s="50" t="str">
        <f>IFERROR(__xludf.DUMMYFUNCTION("""COMPUTED_VALUE"""),"mvaujany@ucpa.asso.fr")</f>
        <v>mvaujany@ucpa.asso.fr</v>
      </c>
      <c r="D1017" s="127" t="str">
        <f>IFERROR(__xludf.DUMMYFUNCTION("""COMPUTED_VALUE"""),"https://drive.google.com/file/d/1JWNhqfm49RzpuoUIlXDiMqBPZrm8dza2/view?usp=drivesdk")</f>
        <v>https://drive.google.com/file/d/1JWNhqfm49RzpuoUIlXDiMqBPZrm8dza2/view?usp=drivesdk</v>
      </c>
    </row>
    <row r="1018">
      <c r="A1018" s="50" t="s">
        <v>3894</v>
      </c>
      <c r="B1018" s="50" t="str">
        <f>IFERROR(__xludf.DUMMYFUNCTION("""COMPUTED_VALUE"""),"SES-0050")</f>
        <v>SES-0050</v>
      </c>
      <c r="C1018" s="50" t="str">
        <f>IFERROR(__xludf.DUMMYFUNCTION("""COMPUTED_VALUE"""),"mvaujany@ucpa.asso.fr")</f>
        <v>mvaujany@ucpa.asso.fr</v>
      </c>
      <c r="D1018" s="127" t="str">
        <f>IFERROR(__xludf.DUMMYFUNCTION("""COMPUTED_VALUE"""),"https://drive.google.com/file/d/1t99oNfYgMj18uM8EIMObYpVLOaPj-jt9/view?usp=drivesdk")</f>
        <v>https://drive.google.com/file/d/1t99oNfYgMj18uM8EIMObYpVLOaPj-jt9/view?usp=drivesdk</v>
      </c>
    </row>
    <row r="1019">
      <c r="A1019" s="50" t="s">
        <v>3897</v>
      </c>
      <c r="B1019" s="50" t="str">
        <f>IFERROR(__xludf.DUMMYFUNCTION("""COMPUTED_VALUE"""),"SES-0032")</f>
        <v>SES-0032</v>
      </c>
      <c r="C1019" s="50" t="str">
        <f>IFERROR(__xludf.DUMMYFUNCTION("""COMPUTED_VALUE"""),"tsy@ucpa.asso.fr")</f>
        <v>tsy@ucpa.asso.fr</v>
      </c>
      <c r="D1019" s="127" t="str">
        <f>IFERROR(__xludf.DUMMYFUNCTION("""COMPUTED_VALUE"""),"https://drive.google.com/file/d/1fEB4k6eVka38Se_9_LtkfYxEtGTS_ry0/view?usp=drivesdk")</f>
        <v>https://drive.google.com/file/d/1fEB4k6eVka38Se_9_LtkfYxEtGTS_ry0/view?usp=drivesdk</v>
      </c>
    </row>
    <row r="1020">
      <c r="A1020" s="50" t="s">
        <v>3900</v>
      </c>
      <c r="B1020" s="50" t="str">
        <f>IFERROR(__xludf.DUMMYFUNCTION("""COMPUTED_VALUE"""),"SES-0037")</f>
        <v>SES-0037</v>
      </c>
      <c r="C1020" s="50" t="str">
        <f>IFERROR(__xludf.DUMMYFUNCTION("""COMPUTED_VALUE"""),"tsy@ucpa.asso.fr")</f>
        <v>tsy@ucpa.asso.fr</v>
      </c>
      <c r="D1020" s="127" t="str">
        <f>IFERROR(__xludf.DUMMYFUNCTION("""COMPUTED_VALUE"""),"https://drive.google.com/file/d/1LT6dEFHWqnr7I4ezyVTusAheXfj_bTRU/view?usp=drivesdk")</f>
        <v>https://drive.google.com/file/d/1LT6dEFHWqnr7I4ezyVTusAheXfj_bTRU/view?usp=drivesdk</v>
      </c>
    </row>
    <row r="1021">
      <c r="A1021" s="50" t="s">
        <v>3903</v>
      </c>
      <c r="B1021" s="50" t="str">
        <f>IFERROR(__xludf.DUMMYFUNCTION("""COMPUTED_VALUE"""),"SES-0043")</f>
        <v>SES-0043</v>
      </c>
      <c r="C1021" s="50" t="str">
        <f>IFERROR(__xludf.DUMMYFUNCTION("""COMPUTED_VALUE"""),"tsy@ucpa.asso.fr")</f>
        <v>tsy@ucpa.asso.fr</v>
      </c>
      <c r="D1021" s="127" t="str">
        <f>IFERROR(__xludf.DUMMYFUNCTION("""COMPUTED_VALUE"""),"https://drive.google.com/file/d/1BXquPeTZbBmYc0rko1VraxnWOcFx0VFq/view?usp=drivesdk")</f>
        <v>https://drive.google.com/file/d/1BXquPeTZbBmYc0rko1VraxnWOcFx0VFq/view?usp=drivesdk</v>
      </c>
    </row>
    <row r="1022">
      <c r="A1022" s="50" t="s">
        <v>3908</v>
      </c>
      <c r="B1022" s="50" t="str">
        <f>IFERROR(__xludf.DUMMYFUNCTION("""COMPUTED_VALUE"""),"SES-0049")</f>
        <v>SES-0049</v>
      </c>
      <c r="C1022" s="50" t="str">
        <f>IFERROR(__xludf.DUMMYFUNCTION("""COMPUTED_VALUE"""),"nclement@ucpa.asso.fr")</f>
        <v>nclement@ucpa.asso.fr</v>
      </c>
      <c r="D1022" s="127" t="str">
        <f>IFERROR(__xludf.DUMMYFUNCTION("""COMPUTED_VALUE"""),"https://drive.google.com/file/d/17TTn_HbcXI1sOIEYZRcgr3SSflz0iHoC/view?usp=drivesdk")</f>
        <v>https://drive.google.com/file/d/17TTn_HbcXI1sOIEYZRcgr3SSflz0iHoC/view?usp=drivesdk</v>
      </c>
    </row>
    <row r="1023">
      <c r="A1023" s="50" t="s">
        <v>3911</v>
      </c>
      <c r="B1023" s="50" t="str">
        <f>IFERROR(__xludf.DUMMYFUNCTION("""COMPUTED_VALUE"""),"SES-0050")</f>
        <v>SES-0050</v>
      </c>
      <c r="C1023" s="50" t="str">
        <f>IFERROR(__xludf.DUMMYFUNCTION("""COMPUTED_VALUE"""),"nclement@ucpa.asso.fr")</f>
        <v>nclement@ucpa.asso.fr</v>
      </c>
      <c r="D1023" s="127" t="str">
        <f>IFERROR(__xludf.DUMMYFUNCTION("""COMPUTED_VALUE"""),"https://drive.google.com/file/d/1WG13MFHT_nxkWq-Rg60w28fCNsXc1C80/view?usp=drivesdk")</f>
        <v>https://drive.google.com/file/d/1WG13MFHT_nxkWq-Rg60w28fCNsXc1C80/view?usp=drivesdk</v>
      </c>
    </row>
    <row r="1024">
      <c r="A1024" s="50" t="s">
        <v>3914</v>
      </c>
      <c r="B1024" s="50" t="str">
        <f>IFERROR(__xludf.DUMMYFUNCTION("""COMPUTED_VALUE"""),"SES-0047")</f>
        <v>SES-0047</v>
      </c>
      <c r="C1024" s="50" t="str">
        <f>IFERROR(__xludf.DUMMYFUNCTION("""COMPUTED_VALUE"""),"nclement@ucpa.asso.fr")</f>
        <v>nclement@ucpa.asso.fr</v>
      </c>
      <c r="D1024" s="127" t="str">
        <f>IFERROR(__xludf.DUMMYFUNCTION("""COMPUTED_VALUE"""),"https://drive.google.com/file/d/1u-ECS1kyeXpBGbSyURiX4kDZy8w1Woy_/view?usp=drivesdk")</f>
        <v>https://drive.google.com/file/d/1u-ECS1kyeXpBGbSyURiX4kDZy8w1Woy_/view?usp=drivesdk</v>
      </c>
    </row>
    <row r="1025">
      <c r="A1025" s="50" t="s">
        <v>3918</v>
      </c>
      <c r="B1025" s="50" t="str">
        <f>IFERROR(__xludf.DUMMYFUNCTION("""COMPUTED_VALUE"""),"SES-0051")</f>
        <v>SES-0051</v>
      </c>
      <c r="C1025" s="50" t="str">
        <f>IFERROR(__xludf.DUMMYFUNCTION("""COMPUTED_VALUE"""),"nclement@ucpa.asso.fr")</f>
        <v>nclement@ucpa.asso.fr</v>
      </c>
      <c r="D1025" s="127" t="str">
        <f>IFERROR(__xludf.DUMMYFUNCTION("""COMPUTED_VALUE"""),"https://drive.google.com/file/d/1NG1iETPbDQbl4VsEGjAKyJvz07QSqty6/view?usp=drivesdk")</f>
        <v>https://drive.google.com/file/d/1NG1iETPbDQbl4VsEGjAKyJvz07QSqty6/view?usp=drivesdk</v>
      </c>
    </row>
    <row r="1026">
      <c r="A1026" s="50" t="s">
        <v>3922</v>
      </c>
      <c r="B1026" s="50" t="str">
        <f>IFERROR(__xludf.DUMMYFUNCTION("""COMPUTED_VALUE"""),"SES-0041")</f>
        <v>SES-0041</v>
      </c>
      <c r="C1026" s="50" t="str">
        <f>IFERROR(__xludf.DUMMYFUNCTION("""COMPUTED_VALUE"""),"tsy@ucpa.asso.fr")</f>
        <v>tsy@ucpa.asso.fr</v>
      </c>
      <c r="D1026" s="127" t="str">
        <f>IFERROR(__xludf.DUMMYFUNCTION("""COMPUTED_VALUE"""),"https://drive.google.com/file/d/1Q6UnwNLWJJEDZ6J51anlLEHIMR34zmng/view?usp=drivesdk")</f>
        <v>https://drive.google.com/file/d/1Q6UnwNLWJJEDZ6J51anlLEHIMR34zmng/view?usp=drivesdk</v>
      </c>
    </row>
    <row r="1027">
      <c r="A1027" s="50" t="s">
        <v>3926</v>
      </c>
      <c r="B1027" s="50" t="str">
        <f>IFERROR(__xludf.DUMMYFUNCTION("""COMPUTED_VALUE"""),"SES-0041")</f>
        <v>SES-0041</v>
      </c>
      <c r="C1027" s="50" t="str">
        <f>IFERROR(__xludf.DUMMYFUNCTION("""COMPUTED_VALUE"""),"ffernandez@ucpa.asso.fr")</f>
        <v>ffernandez@ucpa.asso.fr</v>
      </c>
      <c r="D1027" s="127" t="str">
        <f>IFERROR(__xludf.DUMMYFUNCTION("""COMPUTED_VALUE"""),"https://drive.google.com/file/d/1Ne5sJoZ4j1BrBysSW8qGYTuvBEWbB_1a/view?usp=drivesdk")</f>
        <v>https://drive.google.com/file/d/1Ne5sJoZ4j1BrBysSW8qGYTuvBEWbB_1a/view?usp=drivesdk</v>
      </c>
    </row>
    <row r="1028">
      <c r="A1028" s="50" t="s">
        <v>3928</v>
      </c>
      <c r="B1028" s="50" t="str">
        <f>IFERROR(__xludf.DUMMYFUNCTION("""COMPUTED_VALUE"""),"SES-0039")</f>
        <v>SES-0039</v>
      </c>
      <c r="C1028" s="50" t="str">
        <f>IFERROR(__xludf.DUMMYFUNCTION("""COMPUTED_VALUE"""),"yohan.brun@telligo.fr")</f>
        <v>yohan.brun@telligo.fr</v>
      </c>
      <c r="D1028" s="127" t="str">
        <f>IFERROR(__xludf.DUMMYFUNCTION("""COMPUTED_VALUE"""),"https://drive.google.com/file/d/1QK6XZT1kgTcB0KkEQyJqXmKooiOq4KgT/view?usp=drivesdk")</f>
        <v>https://drive.google.com/file/d/1QK6XZT1kgTcB0KkEQyJqXmKooiOq4KgT/view?usp=drivesdk</v>
      </c>
    </row>
    <row r="1029">
      <c r="A1029" s="50" t="s">
        <v>3932</v>
      </c>
      <c r="B1029" s="50" t="str">
        <f>IFERROR(__xludf.DUMMYFUNCTION("""COMPUTED_VALUE"""),"SES-0032")</f>
        <v>SES-0032</v>
      </c>
      <c r="C1029" s="50" t="str">
        <f>IFERROR(__xludf.DUMMYFUNCTION("""COMPUTED_VALUE"""),"sverrier@ucpa.asso.fr")</f>
        <v>sverrier@ucpa.asso.fr</v>
      </c>
      <c r="D1029" s="127" t="str">
        <f>IFERROR(__xludf.DUMMYFUNCTION("""COMPUTED_VALUE"""),"https://drive.google.com/file/d/1q8_1CwHS10XwkBdEcpa8eiBoCSuV5DQl/view?usp=drivesdk")</f>
        <v>https://drive.google.com/file/d/1q8_1CwHS10XwkBdEcpa8eiBoCSuV5DQl/view?usp=drivesdk</v>
      </c>
    </row>
    <row r="1030">
      <c r="A1030" s="50" t="s">
        <v>3936</v>
      </c>
      <c r="B1030" s="50" t="str">
        <f>IFERROR(__xludf.DUMMYFUNCTION("""COMPUTED_VALUE"""),"SES-0047")</f>
        <v>SES-0047</v>
      </c>
      <c r="C1030" s="50" t="str">
        <f>IFERROR(__xludf.DUMMYFUNCTION("""COMPUTED_VALUE"""),"yohan.brun@telligo.fr")</f>
        <v>yohan.brun@telligo.fr</v>
      </c>
      <c r="D1030" s="127" t="str">
        <f>IFERROR(__xludf.DUMMYFUNCTION("""COMPUTED_VALUE"""),"https://drive.google.com/file/d/1sGfu70Wcc4LjjcapmkfgTytFWPWvqynz/view?usp=drivesdk")</f>
        <v>https://drive.google.com/file/d/1sGfu70Wcc4LjjcapmkfgTytFWPWvqynz/view?usp=drivesdk</v>
      </c>
    </row>
    <row r="1031">
      <c r="A1031" s="50" t="s">
        <v>3945</v>
      </c>
      <c r="B1031" s="50" t="str">
        <f>IFERROR(__xludf.DUMMYFUNCTION("""COMPUTED_VALUE"""),"SES-0034")</f>
        <v>SES-0034</v>
      </c>
      <c r="C1031" s="50" t="str">
        <f>IFERROR(__xludf.DUMMYFUNCTION("""COMPUTED_VALUE"""),"elisablanc@ymail.com")</f>
        <v>elisablanc@ymail.com</v>
      </c>
      <c r="D1031" s="127" t="str">
        <f>IFERROR(__xludf.DUMMYFUNCTION("""COMPUTED_VALUE"""),"https://drive.google.com/file/d/1ES2G_UTcdND_3B2_rwpRvPRbeBLVdLXP/view?usp=drivesdk")</f>
        <v>https://drive.google.com/file/d/1ES2G_UTcdND_3B2_rwpRvPRbeBLVdLXP/view?usp=drivesdk</v>
      </c>
    </row>
    <row r="1032">
      <c r="A1032" s="50" t="s">
        <v>3950</v>
      </c>
      <c r="B1032" s="50" t="str">
        <f>IFERROR(__xludf.DUMMYFUNCTION("""COMPUTED_VALUE"""),"SES-0034")</f>
        <v>SES-0034</v>
      </c>
      <c r="C1032" s="50" t="str">
        <f>IFERROR(__xludf.DUMMYFUNCTION("""COMPUTED_VALUE"""),"cklipfel@ucpa.asso.fr")</f>
        <v>cklipfel@ucpa.asso.fr</v>
      </c>
      <c r="D1032" s="127" t="str">
        <f>IFERROR(__xludf.DUMMYFUNCTION("""COMPUTED_VALUE"""),"https://drive.google.com/file/d/1mEyYDd0EL-60dLXEmj4Ad5jTSoIeKcTq/view?usp=drivesdk")</f>
        <v>https://drive.google.com/file/d/1mEyYDd0EL-60dLXEmj4Ad5jTSoIeKcTq/view?usp=drivesdk</v>
      </c>
    </row>
    <row r="1033">
      <c r="A1033" s="50" t="s">
        <v>3953</v>
      </c>
      <c r="B1033" s="50" t="str">
        <f>IFERROR(__xludf.DUMMYFUNCTION("""COMPUTED_VALUE"""),"SES-0049")</f>
        <v>SES-0049</v>
      </c>
      <c r="C1033" s="50" t="str">
        <f>IFERROR(__xludf.DUMMYFUNCTION("""COMPUTED_VALUE"""),"cklipfel@ucpa.asso.fr")</f>
        <v>cklipfel@ucpa.asso.fr</v>
      </c>
      <c r="D1033" s="127" t="str">
        <f>IFERROR(__xludf.DUMMYFUNCTION("""COMPUTED_VALUE"""),"https://drive.google.com/file/d/1GiE5cJJzXCImKc_dvl9GXuWLU27NXOve/view?usp=drivesdk")</f>
        <v>https://drive.google.com/file/d/1GiE5cJJzXCImKc_dvl9GXuWLU27NXOve/view?usp=drivesdk</v>
      </c>
    </row>
    <row r="1034">
      <c r="A1034" s="50" t="s">
        <v>3960</v>
      </c>
      <c r="B1034" s="50" t="str">
        <f>IFERROR(__xludf.DUMMYFUNCTION("""COMPUTED_VALUE"""),"SES-0044")</f>
        <v>SES-0044</v>
      </c>
      <c r="C1034" s="50" t="str">
        <f>IFERROR(__xludf.DUMMYFUNCTION("""COMPUTED_VALUE"""),"cklipfel@ucpa.asso.fr")</f>
        <v>cklipfel@ucpa.asso.fr</v>
      </c>
      <c r="D1034" s="127" t="str">
        <f>IFERROR(__xludf.DUMMYFUNCTION("""COMPUTED_VALUE"""),"https://drive.google.com/file/d/1XHZofesrlgeWgt5oZm4TpGakLDwd_0Zg/view?usp=drivesdk")</f>
        <v>https://drive.google.com/file/d/1XHZofesrlgeWgt5oZm4TpGakLDwd_0Zg/view?usp=drivesdk</v>
      </c>
    </row>
    <row r="1035">
      <c r="A1035" s="50" t="s">
        <v>3963</v>
      </c>
      <c r="B1035" s="50" t="str">
        <f>IFERROR(__xludf.DUMMYFUNCTION("""COMPUTED_VALUE"""),"SES-0050")</f>
        <v>SES-0050</v>
      </c>
      <c r="C1035" s="50" t="str">
        <f>IFERROR(__xludf.DUMMYFUNCTION("""COMPUTED_VALUE"""),"cklipfel@ucpa.asso.fr")</f>
        <v>cklipfel@ucpa.asso.fr</v>
      </c>
      <c r="D1035" s="127" t="str">
        <f>IFERROR(__xludf.DUMMYFUNCTION("""COMPUTED_VALUE"""),"https://drive.google.com/file/d/1-3oi5opiAM8gZubNhKvOKMJjDkFpY2Sd/view?usp=drivesdk")</f>
        <v>https://drive.google.com/file/d/1-3oi5opiAM8gZubNhKvOKMJjDkFpY2Sd/view?usp=drivesdk</v>
      </c>
    </row>
    <row r="1036">
      <c r="A1036" s="50" t="s">
        <v>3966</v>
      </c>
      <c r="B1036" s="50" t="str">
        <f>IFERROR(__xludf.DUMMYFUNCTION("""COMPUTED_VALUE"""),"SES-0051")</f>
        <v>SES-0051</v>
      </c>
      <c r="C1036" s="50" t="str">
        <f>IFERROR(__xludf.DUMMYFUNCTION("""COMPUTED_VALUE"""),"cklipfel@ucpa.asso.fr")</f>
        <v>cklipfel@ucpa.asso.fr</v>
      </c>
      <c r="D1036" s="127" t="str">
        <f>IFERROR(__xludf.DUMMYFUNCTION("""COMPUTED_VALUE"""),"https://drive.google.com/file/d/1ECDgsVUFKihoOztdsgefcjsSg5XcKfXG/view?usp=drivesdk")</f>
        <v>https://drive.google.com/file/d/1ECDgsVUFKihoOztdsgefcjsSg5XcKfXG/view?usp=drivesdk</v>
      </c>
    </row>
    <row r="1037">
      <c r="A1037" s="50" t="s">
        <v>3969</v>
      </c>
      <c r="B1037" s="50" t="str">
        <f>IFERROR(__xludf.DUMMYFUNCTION("""COMPUTED_VALUE"""),"SES-0034")</f>
        <v>SES-0034</v>
      </c>
      <c r="C1037" s="50" t="str">
        <f>IFERROR(__xludf.DUMMYFUNCTION("""COMPUTED_VALUE"""),"pgaultier@ucpa.asso.fr")</f>
        <v>pgaultier@ucpa.asso.fr</v>
      </c>
      <c r="D1037" s="127" t="str">
        <f>IFERROR(__xludf.DUMMYFUNCTION("""COMPUTED_VALUE"""),"https://drive.google.com/file/d/19FDryLeOTAHgK5y5CEAtfTJH5QlJhoKF/view?usp=drivesdk")</f>
        <v>https://drive.google.com/file/d/19FDryLeOTAHgK5y5CEAtfTJH5QlJhoKF/view?usp=drivesdk</v>
      </c>
    </row>
    <row r="1038">
      <c r="A1038" s="50" t="s">
        <v>3973</v>
      </c>
      <c r="B1038" s="50" t="str">
        <f>IFERROR(__xludf.DUMMYFUNCTION("""COMPUTED_VALUE"""),"SES-0044")</f>
        <v>SES-0044</v>
      </c>
      <c r="C1038" s="50" t="str">
        <f>IFERROR(__xludf.DUMMYFUNCTION("""COMPUTED_VALUE"""),"pgaultier@ucpa.asso.fr")</f>
        <v>pgaultier@ucpa.asso.fr</v>
      </c>
      <c r="D1038" s="127" t="str">
        <f>IFERROR(__xludf.DUMMYFUNCTION("""COMPUTED_VALUE"""),"https://drive.google.com/file/d/1nucjwqmwrUNZMcwDR9Ekq0T4q-NVqJbP/view?usp=drivesdk")</f>
        <v>https://drive.google.com/file/d/1nucjwqmwrUNZMcwDR9Ekq0T4q-NVqJbP/view?usp=drivesdk</v>
      </c>
    </row>
    <row r="1039">
      <c r="A1039" s="50" t="s">
        <v>3976</v>
      </c>
      <c r="B1039" s="50" t="str">
        <f>IFERROR(__xludf.DUMMYFUNCTION("""COMPUTED_VALUE"""),"SES-0049")</f>
        <v>SES-0049</v>
      </c>
      <c r="C1039" s="50" t="str">
        <f>IFERROR(__xludf.DUMMYFUNCTION("""COMPUTED_VALUE"""),"avermeersch@ucpa.asso.fr")</f>
        <v>avermeersch@ucpa.asso.fr</v>
      </c>
      <c r="D1039" s="127" t="str">
        <f>IFERROR(__xludf.DUMMYFUNCTION("""COMPUTED_VALUE"""),"https://drive.google.com/file/d/1sQO6PtbOfSRoTZ0DmaPdVJ0bdB6Z-cdR/view?usp=drivesdk")</f>
        <v>https://drive.google.com/file/d/1sQO6PtbOfSRoTZ0DmaPdVJ0bdB6Z-cdR/view?usp=drivesdk</v>
      </c>
    </row>
    <row r="1040">
      <c r="A1040" s="50" t="s">
        <v>3979</v>
      </c>
      <c r="B1040" s="50" t="str">
        <f>IFERROR(__xludf.DUMMYFUNCTION("""COMPUTED_VALUE"""),"SES-0034")</f>
        <v>SES-0034</v>
      </c>
      <c r="C1040" s="50" t="str">
        <f>IFERROR(__xludf.DUMMYFUNCTION("""COMPUTED_VALUE"""),"sarduain@ucpa.asso.fr")</f>
        <v>sarduain@ucpa.asso.fr</v>
      </c>
      <c r="D1040" s="127" t="str">
        <f>IFERROR(__xludf.DUMMYFUNCTION("""COMPUTED_VALUE"""),"https://drive.google.com/file/d/1tPnUhkKAp3X7JR3jAGWvxA_RtkRoyIql/view?usp=drivesdk")</f>
        <v>https://drive.google.com/file/d/1tPnUhkKAp3X7JR3jAGWvxA_RtkRoyIql/view?usp=drivesdk</v>
      </c>
    </row>
    <row r="1041">
      <c r="A1041" s="50" t="s">
        <v>3982</v>
      </c>
      <c r="B1041" s="50" t="str">
        <f>IFERROR(__xludf.DUMMYFUNCTION("""COMPUTED_VALUE"""),"SES-0044")</f>
        <v>SES-0044</v>
      </c>
      <c r="C1041" s="50" t="str">
        <f>IFERROR(__xludf.DUMMYFUNCTION("""COMPUTED_VALUE"""),"lmollard@ucpa.asso.fr")</f>
        <v>lmollard@ucpa.asso.fr</v>
      </c>
      <c r="D1041" s="127" t="str">
        <f>IFERROR(__xludf.DUMMYFUNCTION("""COMPUTED_VALUE"""),"https://drive.google.com/file/d/1X3jLVFlYFZReVvBej0wueUg9XVVQnlaA/view?usp=drivesdk")</f>
        <v>https://drive.google.com/file/d/1X3jLVFlYFZReVvBej0wueUg9XVVQnlaA/view?usp=drivesdk</v>
      </c>
    </row>
    <row r="1042">
      <c r="A1042" s="50" t="s">
        <v>3985</v>
      </c>
      <c r="B1042" s="50" t="str">
        <f>IFERROR(__xludf.DUMMYFUNCTION("""COMPUTED_VALUE"""),"SES-0034")</f>
        <v>SES-0034</v>
      </c>
      <c r="C1042" s="50" t="str">
        <f>IFERROR(__xludf.DUMMYFUNCTION("""COMPUTED_VALUE"""),"gcoste@ucpa.asso.fr")</f>
        <v>gcoste@ucpa.asso.fr</v>
      </c>
      <c r="D1042" s="127" t="str">
        <f>IFERROR(__xludf.DUMMYFUNCTION("""COMPUTED_VALUE"""),"https://drive.google.com/file/d/1AikkOU53qHS_sMmUNlL5jSlfPAIqGcOW/view?usp=drivesdk")</f>
        <v>https://drive.google.com/file/d/1AikkOU53qHS_sMmUNlL5jSlfPAIqGcOW/view?usp=drivesdk</v>
      </c>
    </row>
    <row r="1043">
      <c r="A1043" s="50" t="s">
        <v>3988</v>
      </c>
      <c r="B1043" s="50" t="str">
        <f>IFERROR(__xludf.DUMMYFUNCTION("""COMPUTED_VALUE"""),"SES-0048")</f>
        <v>SES-0048</v>
      </c>
      <c r="C1043" s="50" t="str">
        <f>IFERROR(__xludf.DUMMYFUNCTION("""COMPUTED_VALUE"""),"gcoste@ucpa.asso.fr")</f>
        <v>gcoste@ucpa.asso.fr</v>
      </c>
      <c r="D1043" s="127" t="str">
        <f>IFERROR(__xludf.DUMMYFUNCTION("""COMPUTED_VALUE"""),"https://drive.google.com/file/d/1BSCSDRTR5xPw1O7Or-qjUwZ_rr9NeQnI/view?usp=drivesdk")</f>
        <v>https://drive.google.com/file/d/1BSCSDRTR5xPw1O7Or-qjUwZ_rr9NeQnI/view?usp=drivesdk</v>
      </c>
    </row>
    <row r="1044">
      <c r="A1044" s="50" t="s">
        <v>3991</v>
      </c>
      <c r="B1044" s="50" t="str">
        <f>IFERROR(__xludf.DUMMYFUNCTION("""COMPUTED_VALUE"""),"SES-0041")</f>
        <v>SES-0041</v>
      </c>
      <c r="C1044" s="50" t="str">
        <f>IFERROR(__xludf.DUMMYFUNCTION("""COMPUTED_VALUE"""),"gcoste@ucpa.asso.fr")</f>
        <v>gcoste@ucpa.asso.fr</v>
      </c>
      <c r="D1044" s="127" t="str">
        <f>IFERROR(__xludf.DUMMYFUNCTION("""COMPUTED_VALUE"""),"https://drive.google.com/file/d/1qABkAa90ZWe46BcoV0zohbaay_k4dKUm/view?usp=drivesdk")</f>
        <v>https://drive.google.com/file/d/1qABkAa90ZWe46BcoV0zohbaay_k4dKUm/view?usp=drivesdk</v>
      </c>
    </row>
    <row r="1045">
      <c r="A1045" s="50" t="s">
        <v>3993</v>
      </c>
      <c r="B1045" s="50" t="str">
        <f>IFERROR(__xludf.DUMMYFUNCTION("""COMPUTED_VALUE"""),"SES-0043")</f>
        <v>SES-0043</v>
      </c>
      <c r="C1045" s="50" t="str">
        <f>IFERROR(__xludf.DUMMYFUNCTION("""COMPUTED_VALUE"""),"apauletcatrin@ucpa.asso.fr")</f>
        <v>apauletcatrin@ucpa.asso.fr</v>
      </c>
      <c r="D1045" s="127" t="str">
        <f>IFERROR(__xludf.DUMMYFUNCTION("""COMPUTED_VALUE"""),"https://drive.google.com/file/d/13Xwa9mcga9ZW0fnutuXj28qJYp3bLg4W/view?usp=drivesdk")</f>
        <v>https://drive.google.com/file/d/13Xwa9mcga9ZW0fnutuXj28qJYp3bLg4W/view?usp=drivesdk</v>
      </c>
    </row>
    <row r="1046">
      <c r="A1046" s="50" t="s">
        <v>3996</v>
      </c>
      <c r="B1046" s="50" t="str">
        <f>IFERROR(__xludf.DUMMYFUNCTION("""COMPUTED_VALUE"""),"SES-0037")</f>
        <v>SES-0037</v>
      </c>
      <c r="C1046" s="50" t="str">
        <f>IFERROR(__xludf.DUMMYFUNCTION("""COMPUTED_VALUE"""),"sbouteille@ucpa.asso.fr")</f>
        <v>sbouteille@ucpa.asso.fr</v>
      </c>
      <c r="D1046" s="127" t="str">
        <f>IFERROR(__xludf.DUMMYFUNCTION("""COMPUTED_VALUE"""),"https://drive.google.com/file/d/1-BWae57eKn40HbHn16gC6rgPv8oO7uXk/view?usp=drivesdk")</f>
        <v>https://drive.google.com/file/d/1-BWae57eKn40HbHn16gC6rgPv8oO7uXk/view?usp=drivesdk</v>
      </c>
    </row>
    <row r="1047">
      <c r="A1047" s="50" t="s">
        <v>3999</v>
      </c>
      <c r="B1047" s="50" t="str">
        <f>IFERROR(__xludf.DUMMYFUNCTION("""COMPUTED_VALUE"""),"SES-0039")</f>
        <v>SES-0039</v>
      </c>
      <c r="C1047" s="50" t="str">
        <f>IFERROR(__xludf.DUMMYFUNCTION("""COMPUTED_VALUE"""),"sbouteille@ucpa.asso.fr")</f>
        <v>sbouteille@ucpa.asso.fr</v>
      </c>
      <c r="D1047" s="127" t="str">
        <f>IFERROR(__xludf.DUMMYFUNCTION("""COMPUTED_VALUE"""),"https://drive.google.com/file/d/1ffYRot5Y_8na7PU-8lZ5AWkDgngbOKlu/view?usp=drivesdk")</f>
        <v>https://drive.google.com/file/d/1ffYRot5Y_8na7PU-8lZ5AWkDgngbOKlu/view?usp=drivesdk</v>
      </c>
    </row>
    <row r="1048">
      <c r="A1048" s="50" t="s">
        <v>4002</v>
      </c>
      <c r="B1048" s="50" t="str">
        <f>IFERROR(__xludf.DUMMYFUNCTION("""COMPUTED_VALUE"""),"SES-0046")</f>
        <v>SES-0046</v>
      </c>
      <c r="C1048" s="50" t="str">
        <f>IFERROR(__xludf.DUMMYFUNCTION("""COMPUTED_VALUE"""),"sbouteille@ucpa.asso.fr")</f>
        <v>sbouteille@ucpa.asso.fr</v>
      </c>
      <c r="D1048" s="127" t="str">
        <f>IFERROR(__xludf.DUMMYFUNCTION("""COMPUTED_VALUE"""),"https://drive.google.com/file/d/1ncwbiVIbEPFk5YoMIKN5sRdQls9-RUXk/view?usp=drivesdk")</f>
        <v>https://drive.google.com/file/d/1ncwbiVIbEPFk5YoMIKN5sRdQls9-RUXk/view?usp=drivesdk</v>
      </c>
    </row>
    <row r="1049">
      <c r="A1049" s="50" t="s">
        <v>4005</v>
      </c>
      <c r="B1049" s="50" t="str">
        <f>IFERROR(__xludf.DUMMYFUNCTION("""COMPUTED_VALUE"""),"SES-0040")</f>
        <v>SES-0040</v>
      </c>
      <c r="C1049" s="50" t="str">
        <f>IFERROR(__xludf.DUMMYFUNCTION("""COMPUTED_VALUE"""),"tdelcourt@ucpasl.com")</f>
        <v>tdelcourt@ucpasl.com</v>
      </c>
      <c r="D1049" s="127" t="str">
        <f>IFERROR(__xludf.DUMMYFUNCTION("""COMPUTED_VALUE"""),"https://drive.google.com/file/d/1IoJlpkxl_8DG6L9vTT8GWXuF8G1nC8Vx/view?usp=drivesdk")</f>
        <v>https://drive.google.com/file/d/1IoJlpkxl_8DG6L9vTT8GWXuF8G1nC8Vx/view?usp=drivesdk</v>
      </c>
    </row>
    <row r="1050">
      <c r="A1050" s="50" t="s">
        <v>4009</v>
      </c>
      <c r="B1050" s="50" t="str">
        <f>IFERROR(__xludf.DUMMYFUNCTION("""COMPUTED_VALUE"""),"SES-0035")</f>
        <v>SES-0035</v>
      </c>
      <c r="C1050" s="50" t="str">
        <f>IFERROR(__xludf.DUMMYFUNCTION("""COMPUTED_VALUE"""),"mmcauliffe@ucpa.asso.fr")</f>
        <v>mmcauliffe@ucpa.asso.fr</v>
      </c>
      <c r="D1050" s="127" t="str">
        <f>IFERROR(__xludf.DUMMYFUNCTION("""COMPUTED_VALUE"""),"https://drive.google.com/file/d/13UA05pelGMtC3aX4M6BSz3ycb9Jy08Fy/view?usp=drivesdk")</f>
        <v>https://drive.google.com/file/d/13UA05pelGMtC3aX4M6BSz3ycb9Jy08Fy/view?usp=drivesdk</v>
      </c>
    </row>
    <row r="1051">
      <c r="A1051" s="50" t="s">
        <v>4012</v>
      </c>
      <c r="B1051" s="50" t="str">
        <f>IFERROR(__xludf.DUMMYFUNCTION("""COMPUTED_VALUE"""),"SES-0037")</f>
        <v>SES-0037</v>
      </c>
      <c r="C1051" s="50" t="str">
        <f>IFERROR(__xludf.DUMMYFUNCTION("""COMPUTED_VALUE"""),"mmcauliffe@ucpa.asso.fr")</f>
        <v>mmcauliffe@ucpa.asso.fr</v>
      </c>
      <c r="D1051" s="127" t="str">
        <f>IFERROR(__xludf.DUMMYFUNCTION("""COMPUTED_VALUE"""),"https://drive.google.com/file/d/1swAy8MCJFB6aVa-6jwEH0otPFb0YCdzU/view?usp=drivesdk")</f>
        <v>https://drive.google.com/file/d/1swAy8MCJFB6aVa-6jwEH0otPFb0YCdzU/view?usp=drivesdk</v>
      </c>
    </row>
    <row r="1052">
      <c r="A1052" s="50" t="s">
        <v>4014</v>
      </c>
      <c r="B1052" s="50" t="str">
        <f>IFERROR(__xludf.DUMMYFUNCTION("""COMPUTED_VALUE"""),"SES-0038")</f>
        <v>SES-0038</v>
      </c>
      <c r="C1052" s="50" t="str">
        <f>IFERROR(__xludf.DUMMYFUNCTION("""COMPUTED_VALUE"""),"mmcauliffe@ucpa.asso.fr")</f>
        <v>mmcauliffe@ucpa.asso.fr</v>
      </c>
      <c r="D1052" s="127" t="str">
        <f>IFERROR(__xludf.DUMMYFUNCTION("""COMPUTED_VALUE"""),"https://drive.google.com/file/d/1sAYhV0lq6dJLxYaahBL3zJuJRItLKsh1/view?usp=drivesdk")</f>
        <v>https://drive.google.com/file/d/1sAYhV0lq6dJLxYaahBL3zJuJRItLKsh1/view?usp=drivesdk</v>
      </c>
    </row>
    <row r="1053">
      <c r="A1053" s="50" t="s">
        <v>4017</v>
      </c>
      <c r="B1053" s="50" t="str">
        <f>IFERROR(__xludf.DUMMYFUNCTION("""COMPUTED_VALUE"""),"SES-0044")</f>
        <v>SES-0044</v>
      </c>
      <c r="C1053" s="50" t="str">
        <f>IFERROR(__xludf.DUMMYFUNCTION("""COMPUTED_VALUE"""),"mmcauliffe@ucpa.asso.fr")</f>
        <v>mmcauliffe@ucpa.asso.fr</v>
      </c>
      <c r="D1053" s="127" t="str">
        <f>IFERROR(__xludf.DUMMYFUNCTION("""COMPUTED_VALUE"""),"https://drive.google.com/file/d/1qA1NMaoJKI1o5HVONYLoffNAtTNwyEfk/view?usp=drivesdk")</f>
        <v>https://drive.google.com/file/d/1qA1NMaoJKI1o5HVONYLoffNAtTNwyEfk/view?usp=drivesdk</v>
      </c>
    </row>
    <row r="1054">
      <c r="A1054" s="50" t="s">
        <v>4020</v>
      </c>
      <c r="B1054" s="50" t="str">
        <f>IFERROR(__xludf.DUMMYFUNCTION("""COMPUTED_VALUE"""),"SES-0037")</f>
        <v>SES-0037</v>
      </c>
      <c r="C1054" s="50" t="str">
        <f>IFERROR(__xludf.DUMMYFUNCTION("""COMPUTED_VALUE"""),"ccoeur@ucpa.asso.fr")</f>
        <v>ccoeur@ucpa.asso.fr</v>
      </c>
      <c r="D1054" s="127" t="str">
        <f>IFERROR(__xludf.DUMMYFUNCTION("""COMPUTED_VALUE"""),"https://drive.google.com/file/d/1AICXM3btcbZ6jGloTRhPMu3z6LeSIVI2/view?usp=drivesdk")</f>
        <v>https://drive.google.com/file/d/1AICXM3btcbZ6jGloTRhPMu3z6LeSIVI2/view?usp=drivesdk</v>
      </c>
    </row>
    <row r="1055">
      <c r="A1055" s="50" t="s">
        <v>4023</v>
      </c>
      <c r="B1055" s="50" t="str">
        <f>IFERROR(__xludf.DUMMYFUNCTION("""COMPUTED_VALUE"""),"SES-0047")</f>
        <v>SES-0047</v>
      </c>
      <c r="C1055" s="50" t="str">
        <f>IFERROR(__xludf.DUMMYFUNCTION("""COMPUTED_VALUE"""),"ccoeur@ucpa.asso.fr")</f>
        <v>ccoeur@ucpa.asso.fr</v>
      </c>
      <c r="D1055" s="127" t="str">
        <f>IFERROR(__xludf.DUMMYFUNCTION("""COMPUTED_VALUE"""),"https://drive.google.com/file/d/1Xu1fc4VJw6PoLrIkU-LbdFYmsQeUxT_r/view?usp=drivesdk")</f>
        <v>https://drive.google.com/file/d/1Xu1fc4VJw6PoLrIkU-LbdFYmsQeUxT_r/view?usp=drivesdk</v>
      </c>
    </row>
    <row r="1056">
      <c r="A1056" s="50" t="s">
        <v>4027</v>
      </c>
      <c r="B1056" s="50" t="str">
        <f>IFERROR(__xludf.DUMMYFUNCTION("""COMPUTED_VALUE"""),"SES-0036")</f>
        <v>SES-0036</v>
      </c>
      <c r="C1056" s="50" t="str">
        <f>IFERROR(__xludf.DUMMYFUNCTION("""COMPUTED_VALUE"""),"soniamolina65@gmail.com")</f>
        <v>soniamolina65@gmail.com</v>
      </c>
      <c r="D1056" s="127" t="str">
        <f>IFERROR(__xludf.DUMMYFUNCTION("""COMPUTED_VALUE"""),"https://drive.google.com/file/d/1QAAIgVDYsPLIG8z_UxUsp4OKl_lZZ-qZ/view?usp=drivesdk")</f>
        <v>https://drive.google.com/file/d/1QAAIgVDYsPLIG8z_UxUsp4OKl_lZZ-qZ/view?usp=drivesdk</v>
      </c>
    </row>
    <row r="1057">
      <c r="A1057" s="50" t="s">
        <v>4030</v>
      </c>
      <c r="B1057" s="50" t="str">
        <f>IFERROR(__xludf.DUMMYFUNCTION("""COMPUTED_VALUE"""),"SES-0040")</f>
        <v>SES-0040</v>
      </c>
      <c r="C1057" s="50" t="str">
        <f>IFERROR(__xludf.DUMMYFUNCTION("""COMPUTED_VALUE"""),"tloha@ucpa.asso.fr")</f>
        <v>tloha@ucpa.asso.fr</v>
      </c>
      <c r="D1057" s="127" t="str">
        <f>IFERROR(__xludf.DUMMYFUNCTION("""COMPUTED_VALUE"""),"https://drive.google.com/file/d/1WUkRzHtMPej4rkzdE7SDaMV0KpFyiiS9/view?usp=drivesdk")</f>
        <v>https://drive.google.com/file/d/1WUkRzHtMPej4rkzdE7SDaMV0KpFyiiS9/view?usp=drivesdk</v>
      </c>
    </row>
    <row r="1058">
      <c r="A1058" s="50" t="s">
        <v>4033</v>
      </c>
      <c r="B1058" s="50" t="str">
        <f>IFERROR(__xludf.DUMMYFUNCTION("""COMPUTED_VALUE"""),"SES-0051")</f>
        <v>SES-0051</v>
      </c>
      <c r="C1058" s="50" t="str">
        <f>IFERROR(__xludf.DUMMYFUNCTION("""COMPUTED_VALUE"""),"tloha@ucpa.asso.fr")</f>
        <v>tloha@ucpa.asso.fr</v>
      </c>
      <c r="D1058" s="127" t="str">
        <f>IFERROR(__xludf.DUMMYFUNCTION("""COMPUTED_VALUE"""),"https://drive.google.com/file/d/1ZREl2KcIWNMvVgrqDHU0N-BYQZ6Owlgh/view?usp=drivesdk")</f>
        <v>https://drive.google.com/file/d/1ZREl2KcIWNMvVgrqDHU0N-BYQZ6Owlgh/view?usp=drivesdk</v>
      </c>
    </row>
    <row r="1059">
      <c r="A1059" s="50" t="s">
        <v>4036</v>
      </c>
      <c r="B1059" s="50" t="str">
        <f>IFERROR(__xludf.DUMMYFUNCTION("""COMPUTED_VALUE"""),"SES-0052")</f>
        <v>SES-0052</v>
      </c>
      <c r="C1059" s="50" t="str">
        <f>IFERROR(__xludf.DUMMYFUNCTION("""COMPUTED_VALUE"""),"tloha@ucpa.asso.fr")</f>
        <v>tloha@ucpa.asso.fr</v>
      </c>
      <c r="D1059" s="127" t="str">
        <f>IFERROR(__xludf.DUMMYFUNCTION("""COMPUTED_VALUE"""),"https://drive.google.com/file/d/1GbMP2e-WwtpYT1bpjBT92iAWB_O8KbB5/view?usp=drivesdk")</f>
        <v>https://drive.google.com/file/d/1GbMP2e-WwtpYT1bpjBT92iAWB_O8KbB5/view?usp=drivesdk</v>
      </c>
    </row>
    <row r="1060">
      <c r="A1060" s="50" t="s">
        <v>4039</v>
      </c>
      <c r="B1060" s="50" t="str">
        <f>IFERROR(__xludf.DUMMYFUNCTION("""COMPUTED_VALUE"""),"SES-0035")</f>
        <v>SES-0035</v>
      </c>
      <c r="C1060" s="50" t="str">
        <f>IFERROR(__xludf.DUMMYFUNCTION("""COMPUTED_VALUE"""),"lcoelho@ucpa.asso.fr")</f>
        <v>lcoelho@ucpa.asso.fr</v>
      </c>
      <c r="D1060" s="127" t="str">
        <f>IFERROR(__xludf.DUMMYFUNCTION("""COMPUTED_VALUE"""),"https://drive.google.com/file/d/1CoiCkGNvlbMdPR7PwSC56p52bEhkj1_D/view?usp=drivesdk")</f>
        <v>https://drive.google.com/file/d/1CoiCkGNvlbMdPR7PwSC56p52bEhkj1_D/view?usp=drivesdk</v>
      </c>
    </row>
    <row r="1061">
      <c r="A1061" s="50" t="s">
        <v>4042</v>
      </c>
      <c r="B1061" s="50" t="str">
        <f>IFERROR(__xludf.DUMMYFUNCTION("""COMPUTED_VALUE"""),"SES-0038")</f>
        <v>SES-0038</v>
      </c>
      <c r="C1061" s="50" t="str">
        <f>IFERROR(__xludf.DUMMYFUNCTION("""COMPUTED_VALUE"""),"nclement@ucpa.asso.fr")</f>
        <v>nclement@ucpa.asso.fr</v>
      </c>
      <c r="D1061" s="127" t="str">
        <f>IFERROR(__xludf.DUMMYFUNCTION("""COMPUTED_VALUE"""),"https://drive.google.com/file/d/1gcb5FLx7VyAjD22zmUoBNYkoCh2HMCmJ/view?usp=drivesdk")</f>
        <v>https://drive.google.com/file/d/1gcb5FLx7VyAjD22zmUoBNYkoCh2HMCmJ/view?usp=drivesdk</v>
      </c>
    </row>
    <row r="1062">
      <c r="A1062" s="50" t="s">
        <v>4046</v>
      </c>
      <c r="B1062" s="50" t="str">
        <f>IFERROR(__xludf.DUMMYFUNCTION("""COMPUTED_VALUE"""),"SES-0040")</f>
        <v>SES-0040</v>
      </c>
      <c r="C1062" s="50" t="str">
        <f>IFERROR(__xludf.DUMMYFUNCTION("""COMPUTED_VALUE"""),"rrasztar@ucpa.asso.fr")</f>
        <v>rrasztar@ucpa.asso.fr</v>
      </c>
      <c r="D1062" s="127" t="str">
        <f>IFERROR(__xludf.DUMMYFUNCTION("""COMPUTED_VALUE"""),"https://drive.google.com/file/d/1SCyyD_WspP4H8TMLDPqEYhWWgBiqrXmd/view?usp=drivesdk")</f>
        <v>https://drive.google.com/file/d/1SCyyD_WspP4H8TMLDPqEYhWWgBiqrXmd/view?usp=drivesdk</v>
      </c>
    </row>
    <row r="1063">
      <c r="A1063" s="50" t="s">
        <v>4049</v>
      </c>
      <c r="B1063" s="50" t="str">
        <f>IFERROR(__xludf.DUMMYFUNCTION("""COMPUTED_VALUE"""),"SES-0040")</f>
        <v>SES-0040</v>
      </c>
      <c r="C1063" s="50" t="str">
        <f>IFERROR(__xludf.DUMMYFUNCTION("""COMPUTED_VALUE"""),"lcoelho@ucpa.asso.fr")</f>
        <v>lcoelho@ucpa.asso.fr</v>
      </c>
      <c r="D1063" s="127" t="str">
        <f>IFERROR(__xludf.DUMMYFUNCTION("""COMPUTED_VALUE"""),"https://drive.google.com/file/d/1C-ZIygFCyhHHl6OH9hELza-qIJqn9oFb/view?usp=drivesdk")</f>
        <v>https://drive.google.com/file/d/1C-ZIygFCyhHHl6OH9hELza-qIJqn9oFb/view?usp=drivesdk</v>
      </c>
    </row>
    <row r="1064">
      <c r="A1064" s="50" t="s">
        <v>4052</v>
      </c>
      <c r="B1064" s="50" t="str">
        <f>IFERROR(__xludf.DUMMYFUNCTION("""COMPUTED_VALUE"""),"SES-0038")</f>
        <v>SES-0038</v>
      </c>
      <c r="C1064" s="50" t="str">
        <f>IFERROR(__xludf.DUMMYFUNCTION("""COMPUTED_VALUE"""),"ecaron@ucpaplanete.com")</f>
        <v>ecaron@ucpaplanete.com</v>
      </c>
      <c r="D1064" s="127" t="str">
        <f>IFERROR(__xludf.DUMMYFUNCTION("""COMPUTED_VALUE"""),"https://drive.google.com/file/d/1VLCp-Zge5BDkwyRzYWEMBYhQtXV1qgcJ/view?usp=drivesdk")</f>
        <v>https://drive.google.com/file/d/1VLCp-Zge5BDkwyRzYWEMBYhQtXV1qgcJ/view?usp=drivesdk</v>
      </c>
    </row>
    <row r="1065">
      <c r="A1065" s="50" t="s">
        <v>4055</v>
      </c>
      <c r="B1065" s="50" t="str">
        <f>IFERROR(__xludf.DUMMYFUNCTION("""COMPUTED_VALUE"""),"SES-0046")</f>
        <v>SES-0046</v>
      </c>
      <c r="C1065" s="50" t="str">
        <f>IFERROR(__xludf.DUMMYFUNCTION("""COMPUTED_VALUE"""),"ecaron@ucpaplanete.com")</f>
        <v>ecaron@ucpaplanete.com</v>
      </c>
      <c r="D1065" s="127" t="str">
        <f>IFERROR(__xludf.DUMMYFUNCTION("""COMPUTED_VALUE"""),"https://drive.google.com/file/d/1QTUtD_qk4rNdoWQaD1muPhaZehVGEzn3/view?usp=drivesdk")</f>
        <v>https://drive.google.com/file/d/1QTUtD_qk4rNdoWQaD1muPhaZehVGEzn3/view?usp=drivesdk</v>
      </c>
    </row>
    <row r="1066">
      <c r="A1066" s="50" t="s">
        <v>4057</v>
      </c>
      <c r="B1066" s="50" t="str">
        <f>IFERROR(__xludf.DUMMYFUNCTION("""COMPUTED_VALUE"""),"SES-0038")</f>
        <v>SES-0038</v>
      </c>
      <c r="C1066" s="50" t="str">
        <f>IFERROR(__xludf.DUMMYFUNCTION("""COMPUTED_VALUE"""),"rseguin@ucpa.asso.fr")</f>
        <v>rseguin@ucpa.asso.fr</v>
      </c>
      <c r="D1066" s="127" t="str">
        <f>IFERROR(__xludf.DUMMYFUNCTION("""COMPUTED_VALUE"""),"https://drive.google.com/file/d/1uYhsNZHWqVOYmWL0_VDesxsOJR7xBcEs/view?usp=drivesdk")</f>
        <v>https://drive.google.com/file/d/1uYhsNZHWqVOYmWL0_VDesxsOJR7xBcEs/view?usp=drivesdk</v>
      </c>
    </row>
    <row r="1067">
      <c r="A1067" s="50" t="s">
        <v>4060</v>
      </c>
      <c r="B1067" s="50" t="str">
        <f>IFERROR(__xludf.DUMMYFUNCTION("""COMPUTED_VALUE"""),"SES-0044")</f>
        <v>SES-0044</v>
      </c>
      <c r="C1067" s="50" t="str">
        <f>IFERROR(__xludf.DUMMYFUNCTION("""COMPUTED_VALUE"""),"lpitance@ucpa.asso.fr")</f>
        <v>lpitance@ucpa.asso.fr</v>
      </c>
      <c r="D1067" s="127" t="str">
        <f>IFERROR(__xludf.DUMMYFUNCTION("""COMPUTED_VALUE"""),"https://drive.google.com/file/d/1pAD_gWC4BBp2UmyHOiUmRwkH9Kyem8ic/view?usp=drivesdk")</f>
        <v>https://drive.google.com/file/d/1pAD_gWC4BBp2UmyHOiUmRwkH9Kyem8ic/view?usp=drivesdk</v>
      </c>
    </row>
    <row r="1068">
      <c r="A1068" s="50" t="s">
        <v>4063</v>
      </c>
      <c r="B1068" s="50" t="str">
        <f>IFERROR(__xludf.DUMMYFUNCTION("""COMPUTED_VALUE"""),"SES-0032")</f>
        <v>SES-0032</v>
      </c>
      <c r="C1068" s="50" t="str">
        <f>IFERROR(__xludf.DUMMYFUNCTION("""COMPUTED_VALUE"""),"cklipfel@ucpa.asso.fr")</f>
        <v>cklipfel@ucpa.asso.fr</v>
      </c>
      <c r="D1068" s="127" t="str">
        <f>IFERROR(__xludf.DUMMYFUNCTION("""COMPUTED_VALUE"""),"https://drive.google.com/file/d/1Z-5F5RsEDVDtz1Gr_WssNuVIsQCWY8qF/view?usp=drivesdk")</f>
        <v>https://drive.google.com/file/d/1Z-5F5RsEDVDtz1Gr_WssNuVIsQCWY8qF/view?usp=drivesdk</v>
      </c>
    </row>
    <row r="1069">
      <c r="A1069" s="50" t="s">
        <v>4067</v>
      </c>
      <c r="B1069" s="50" t="str">
        <f>IFERROR(__xludf.DUMMYFUNCTION("""COMPUTED_VALUE"""),"SES-0039")</f>
        <v>SES-0039</v>
      </c>
      <c r="C1069" s="50" t="str">
        <f>IFERROR(__xludf.DUMMYFUNCTION("""COMPUTED_VALUE"""),"rseguin@ucpa.asso.fr")</f>
        <v>rseguin@ucpa.asso.fr</v>
      </c>
      <c r="D1069" s="127" t="str">
        <f>IFERROR(__xludf.DUMMYFUNCTION("""COMPUTED_VALUE"""),"https://drive.google.com/file/d/1EyJWeaaKZFOHhFf3leoVV0rVwUuiHjfJ/view?usp=drivesdk")</f>
        <v>https://drive.google.com/file/d/1EyJWeaaKZFOHhFf3leoVV0rVwUuiHjfJ/view?usp=drivesdk</v>
      </c>
    </row>
    <row r="1070">
      <c r="A1070" s="50" t="s">
        <v>4071</v>
      </c>
      <c r="B1070" s="50" t="str">
        <f>IFERROR(__xludf.DUMMYFUNCTION("""COMPUTED_VALUE"""),"SES-0043")</f>
        <v>SES-0043</v>
      </c>
      <c r="C1070" s="50" t="str">
        <f>IFERROR(__xludf.DUMMYFUNCTION("""COMPUTED_VALUE"""),"lpitance@ucpa.asso.fr")</f>
        <v>lpitance@ucpa.asso.fr</v>
      </c>
      <c r="D1070" s="127" t="str">
        <f>IFERROR(__xludf.DUMMYFUNCTION("""COMPUTED_VALUE"""),"https://drive.google.com/file/d/1jytBYglOnDxeBj5T3kYx1o1aCWoe-X1u/view?usp=drivesdk")</f>
        <v>https://drive.google.com/file/d/1jytBYglOnDxeBj5T3kYx1o1aCWoe-X1u/view?usp=drivesdk</v>
      </c>
    </row>
    <row r="1071">
      <c r="A1071" s="50" t="s">
        <v>4073</v>
      </c>
      <c r="B1071" s="50" t="str">
        <f>IFERROR(__xludf.DUMMYFUNCTION("""COMPUTED_VALUE"""),"SES-0049")</f>
        <v>SES-0049</v>
      </c>
      <c r="C1071" s="50" t="str">
        <f>IFERROR(__xludf.DUMMYFUNCTION("""COMPUTED_VALUE"""),"rseguin@ucpa.asso.fr")</f>
        <v>rseguin@ucpa.asso.fr</v>
      </c>
      <c r="D1071" s="127" t="str">
        <f>IFERROR(__xludf.DUMMYFUNCTION("""COMPUTED_VALUE"""),"https://drive.google.com/file/d/1Ee5t9AU5atAymE3UxtRM4TxNd7K9CpbV/view?usp=drivesdk")</f>
        <v>https://drive.google.com/file/d/1Ee5t9AU5atAymE3UxtRM4TxNd7K9CpbV/view?usp=drivesdk</v>
      </c>
    </row>
    <row r="1072">
      <c r="A1072" s="50" t="s">
        <v>4076</v>
      </c>
      <c r="B1072" s="50" t="str">
        <f>IFERROR(__xludf.DUMMYFUNCTION("""COMPUTED_VALUE"""),"SES-0048")</f>
        <v>SES-0048</v>
      </c>
      <c r="C1072" s="50" t="str">
        <f>IFERROR(__xludf.DUMMYFUNCTION("""COMPUTED_VALUE"""),"cklipfel@ucpa.asso.fr")</f>
        <v>cklipfel@ucpa.asso.fr</v>
      </c>
      <c r="D1072" s="127" t="str">
        <f>IFERROR(__xludf.DUMMYFUNCTION("""COMPUTED_VALUE"""),"https://drive.google.com/file/d/1ocVhlQkqCCWcat8eKNy7ZiIxZ4GVSoUA/view?usp=drivesdk")</f>
        <v>https://drive.google.com/file/d/1ocVhlQkqCCWcat8eKNy7ZiIxZ4GVSoUA/view?usp=drivesdk</v>
      </c>
    </row>
    <row r="1073">
      <c r="A1073" s="50" t="s">
        <v>4079</v>
      </c>
      <c r="B1073" s="50" t="str">
        <f>IFERROR(__xludf.DUMMYFUNCTION("""COMPUTED_VALUE"""),"SES-0046")</f>
        <v>SES-0046</v>
      </c>
      <c r="C1073" s="50" t="str">
        <f>IFERROR(__xludf.DUMMYFUNCTION("""COMPUTED_VALUE"""),"lpitance@ucpa.asso.fr")</f>
        <v>lpitance@ucpa.asso.fr</v>
      </c>
      <c r="D1073" s="127" t="str">
        <f>IFERROR(__xludf.DUMMYFUNCTION("""COMPUTED_VALUE"""),"https://drive.google.com/file/d/1PC4Le-dZn4tn510RYj4mtqlV-iNhMdxN/view?usp=drivesdk")</f>
        <v>https://drive.google.com/file/d/1PC4Le-dZn4tn510RYj4mtqlV-iNhMdxN/view?usp=drivesdk</v>
      </c>
    </row>
    <row r="1074">
      <c r="A1074" s="50" t="s">
        <v>4082</v>
      </c>
      <c r="B1074" s="50" t="str">
        <f>IFERROR(__xludf.DUMMYFUNCTION("""COMPUTED_VALUE"""),"SES-0046")</f>
        <v>SES-0046</v>
      </c>
      <c r="C1074" s="50" t="str">
        <f>IFERROR(__xludf.DUMMYFUNCTION("""COMPUTED_VALUE"""),"yohan.brun@telligo.fr")</f>
        <v>yohan.brun@telligo.fr</v>
      </c>
      <c r="D1074" s="127" t="str">
        <f>IFERROR(__xludf.DUMMYFUNCTION("""COMPUTED_VALUE"""),"https://drive.google.com/file/d/15bdvXCo_drO5-OlV0RW_qdzPtzidYx0x/view?usp=drivesdk")</f>
        <v>https://drive.google.com/file/d/15bdvXCo_drO5-OlV0RW_qdzPtzidYx0x/view?usp=drivesdk</v>
      </c>
    </row>
    <row r="1075">
      <c r="A1075" s="50" t="s">
        <v>4085</v>
      </c>
      <c r="B1075" s="50" t="str">
        <f>IFERROR(__xludf.DUMMYFUNCTION("""COMPUTED_VALUE"""),"SES-0032")</f>
        <v>SES-0032</v>
      </c>
      <c r="C1075" s="50" t="str">
        <f>IFERROR(__xludf.DUMMYFUNCTION("""COMPUTED_VALUE"""),"veronique.meigneux@gmail.com")</f>
        <v>veronique.meigneux@gmail.com</v>
      </c>
      <c r="D1075" s="127" t="str">
        <f>IFERROR(__xludf.DUMMYFUNCTION("""COMPUTED_VALUE"""),"https://drive.google.com/file/d/1MV32HwQCxZyhBfO1jw7tWNgTZ50WnnWi/view?usp=drivesdk")</f>
        <v>https://drive.google.com/file/d/1MV32HwQCxZyhBfO1jw7tWNgTZ50WnnWi/view?usp=drivesdk</v>
      </c>
    </row>
    <row r="1076">
      <c r="A1076" s="50" t="s">
        <v>4088</v>
      </c>
      <c r="B1076" s="50" t="str">
        <f>IFERROR(__xludf.DUMMYFUNCTION("""COMPUTED_VALUE"""),"SES-0045")</f>
        <v>SES-0045</v>
      </c>
      <c r="C1076" s="50" t="str">
        <f>IFERROR(__xludf.DUMMYFUNCTION("""COMPUTED_VALUE"""),"yohan.brun@telligo.fr")</f>
        <v>yohan.brun@telligo.fr</v>
      </c>
      <c r="D1076" s="127" t="str">
        <f>IFERROR(__xludf.DUMMYFUNCTION("""COMPUTED_VALUE"""),"https://drive.google.com/file/d/1TU_VFnfOXGr-nkzO3xix_n1laqr97Y7P/view?usp=drivesdk")</f>
        <v>https://drive.google.com/file/d/1TU_VFnfOXGr-nkzO3xix_n1laqr97Y7P/view?usp=drivesdk</v>
      </c>
    </row>
    <row r="1077">
      <c r="A1077" s="50" t="s">
        <v>4092</v>
      </c>
      <c r="B1077" s="50" t="str">
        <f>IFERROR(__xludf.DUMMYFUNCTION("""COMPUTED_VALUE"""),"SES-0050")</f>
        <v>SES-0050</v>
      </c>
      <c r="C1077" s="50" t="str">
        <f>IFERROR(__xludf.DUMMYFUNCTION("""COMPUTED_VALUE"""),"lcoelho@ucpa.asso.fr")</f>
        <v>lcoelho@ucpa.asso.fr</v>
      </c>
      <c r="D1077" s="127" t="str">
        <f>IFERROR(__xludf.DUMMYFUNCTION("""COMPUTED_VALUE"""),"https://drive.google.com/file/d/1vtoxYVqPLf1DHDqhC1uAXMfw6DXFAPVh/view?usp=drivesdk")</f>
        <v>https://drive.google.com/file/d/1vtoxYVqPLf1DHDqhC1uAXMfw6DXFAPVh/view?usp=drivesdk</v>
      </c>
    </row>
    <row r="1078">
      <c r="A1078" s="50" t="s">
        <v>4096</v>
      </c>
      <c r="B1078" s="50" t="str">
        <f>IFERROR(__xludf.DUMMYFUNCTION("""COMPUTED_VALUE"""),"SES-0052")</f>
        <v>SES-0052</v>
      </c>
      <c r="C1078" s="50" t="str">
        <f>IFERROR(__xludf.DUMMYFUNCTION("""COMPUTED_VALUE"""),"cklipfel@ucpa.asso.fr")</f>
        <v>cklipfel@ucpa.asso.fr</v>
      </c>
      <c r="D1078" s="127" t="str">
        <f>IFERROR(__xludf.DUMMYFUNCTION("""COMPUTED_VALUE"""),"https://drive.google.com/file/d/1bq62HxBe5_dSixW899_LtffPXQkxo_Sr/view?usp=drivesdk")</f>
        <v>https://drive.google.com/file/d/1bq62HxBe5_dSixW899_LtffPXQkxo_Sr/view?usp=drivesdk</v>
      </c>
    </row>
    <row r="1079">
      <c r="A1079" s="50" t="s">
        <v>4098</v>
      </c>
      <c r="B1079" s="50" t="str">
        <f>IFERROR(__xludf.DUMMYFUNCTION("""COMPUTED_VALUE"""),"SES-0050")</f>
        <v>SES-0050</v>
      </c>
      <c r="C1079" s="50" t="str">
        <f>IFERROR(__xludf.DUMMYFUNCTION("""COMPUTED_VALUE"""),"alison.tomine@telligo.fr")</f>
        <v>alison.tomine@telligo.fr</v>
      </c>
      <c r="D1079" s="127" t="str">
        <f>IFERROR(__xludf.DUMMYFUNCTION("""COMPUTED_VALUE"""),"https://drive.google.com/file/d/1Y0i3DBvQbyGZ-pzx29N-CvSTJU3229Nb/view?usp=drivesdk")</f>
        <v>https://drive.google.com/file/d/1Y0i3DBvQbyGZ-pzx29N-CvSTJU3229Nb/view?usp=drivesdk</v>
      </c>
    </row>
    <row r="1080">
      <c r="A1080" s="50" t="s">
        <v>4102</v>
      </c>
      <c r="B1080" s="50" t="str">
        <f>IFERROR(__xludf.DUMMYFUNCTION("""COMPUTED_VALUE"""),"SES-0052")</f>
        <v>SES-0052</v>
      </c>
      <c r="C1080" s="50" t="str">
        <f>IFERROR(__xludf.DUMMYFUNCTION("""COMPUTED_VALUE"""),"alison.tomine@telligo.fr")</f>
        <v>alison.tomine@telligo.fr</v>
      </c>
      <c r="D1080" s="127" t="str">
        <f>IFERROR(__xludf.DUMMYFUNCTION("""COMPUTED_VALUE"""),"https://drive.google.com/file/d/1mlVae5g6Dp-LDDuwH7PTDsS_5MM34hyu/view?usp=drivesdk")</f>
        <v>https://drive.google.com/file/d/1mlVae5g6Dp-LDDuwH7PTDsS_5MM34hyu/view?usp=drivesdk</v>
      </c>
    </row>
    <row r="1081">
      <c r="A1081" s="50" t="s">
        <v>4098</v>
      </c>
      <c r="B1081" s="50" t="str">
        <f>IFERROR(__xludf.DUMMYFUNCTION("""COMPUTED_VALUE"""),"SES-0050")</f>
        <v>SES-0050</v>
      </c>
      <c r="C1081" s="50" t="str">
        <f>IFERROR(__xludf.DUMMYFUNCTION("""COMPUTED_VALUE"""),"alison.tomine@telligo.fr")</f>
        <v>alison.tomine@telligo.fr</v>
      </c>
      <c r="D1081" s="127" t="str">
        <f>IFERROR(__xludf.DUMMYFUNCTION("""COMPUTED_VALUE"""),"https://drive.google.com/file/d/19qBzoZSWzf1SGv3zfapfcDunFATuGsmL/view?usp=drivesdk")</f>
        <v>https://drive.google.com/file/d/19qBzoZSWzf1SGv3zfapfcDunFATuGsmL/view?usp=drivesdk</v>
      </c>
    </row>
    <row r="1082">
      <c r="A1082" s="50" t="s">
        <v>4109</v>
      </c>
      <c r="B1082" s="50" t="str">
        <f>IFERROR(__xludf.DUMMYFUNCTION("""COMPUTED_VALUE"""),"SES-0049")</f>
        <v>SES-0049</v>
      </c>
      <c r="C1082" s="50" t="str">
        <f>IFERROR(__xludf.DUMMYFUNCTION("""COMPUTED_VALUE"""),"alison.tomine@telligo.fr")</f>
        <v>alison.tomine@telligo.fr</v>
      </c>
      <c r="D1082" s="127" t="str">
        <f>IFERROR(__xludf.DUMMYFUNCTION("""COMPUTED_VALUE"""),"https://drive.google.com/file/d/1e902dMdhWc40E4agSuCSB_vGRtEVJgYW/view?usp=drivesdk")</f>
        <v>https://drive.google.com/file/d/1e902dMdhWc40E4agSuCSB_vGRtEVJgYW/view?usp=drivesdk</v>
      </c>
    </row>
    <row r="1083">
      <c r="A1083" s="50" t="s">
        <v>4111</v>
      </c>
      <c r="B1083" s="50" t="str">
        <f>IFERROR(__xludf.DUMMYFUNCTION("""COMPUTED_VALUE"""),"SES-0045")</f>
        <v>SES-0045</v>
      </c>
      <c r="C1083" s="50" t="str">
        <f>IFERROR(__xludf.DUMMYFUNCTION("""COMPUTED_VALUE"""),"alison.tomine@telligo.fr")</f>
        <v>alison.tomine@telligo.fr</v>
      </c>
      <c r="D1083" s="127" t="str">
        <f>IFERROR(__xludf.DUMMYFUNCTION("""COMPUTED_VALUE"""),"https://drive.google.com/file/d/1FmNtsxXl5cjkyKWnwEy7CyXzYaiOyptr/view?usp=drivesdk")</f>
        <v>https://drive.google.com/file/d/1FmNtsxXl5cjkyKWnwEy7CyXzYaiOyptr/view?usp=drivesdk</v>
      </c>
    </row>
    <row r="1084">
      <c r="A1084" s="50" t="s">
        <v>4115</v>
      </c>
      <c r="B1084" s="50" t="str">
        <f>IFERROR(__xludf.DUMMYFUNCTION("""COMPUTED_VALUE"""),"SES-0033")</f>
        <v>SES-0033</v>
      </c>
      <c r="C1084" s="50" t="str">
        <f>IFERROR(__xludf.DUMMYFUNCTION("""COMPUTED_VALUE"""),"mbristol@ucpa.asso.fr")</f>
        <v>mbristol@ucpa.asso.fr</v>
      </c>
      <c r="D1084" s="127" t="str">
        <f>IFERROR(__xludf.DUMMYFUNCTION("""COMPUTED_VALUE"""),"https://drive.google.com/file/d/1We6rj1EE0-hcSXHqPDgneQE1z7na0JdA/view?usp=drivesdk")</f>
        <v>https://drive.google.com/file/d/1We6rj1EE0-hcSXHqPDgneQE1z7na0JdA/view?usp=drivesdk</v>
      </c>
    </row>
    <row r="1085">
      <c r="A1085" s="50" t="s">
        <v>4118</v>
      </c>
      <c r="B1085" s="50" t="str">
        <f>IFERROR(__xludf.DUMMYFUNCTION("""COMPUTED_VALUE"""),"SES-0038")</f>
        <v>SES-0038</v>
      </c>
      <c r="C1085" s="50" t="str">
        <f>IFERROR(__xludf.DUMMYFUNCTION("""COMPUTED_VALUE"""),"mbristol@ucpa.asso.fr")</f>
        <v>mbristol@ucpa.asso.fr</v>
      </c>
      <c r="D1085" s="127" t="str">
        <f>IFERROR(__xludf.DUMMYFUNCTION("""COMPUTED_VALUE"""),"https://drive.google.com/file/d/1iKBghHE8rRI4TGBJmGuSdFVd6mqsb0e0/view?usp=drivesdk")</f>
        <v>https://drive.google.com/file/d/1iKBghHE8rRI4TGBJmGuSdFVd6mqsb0e0/view?usp=drivesdk</v>
      </c>
    </row>
    <row r="1086">
      <c r="A1086" s="50" t="s">
        <v>4122</v>
      </c>
      <c r="B1086" s="50" t="str">
        <f>IFERROR(__xludf.DUMMYFUNCTION("""COMPUTED_VALUE"""),"SES-0043")</f>
        <v>SES-0043</v>
      </c>
      <c r="C1086" s="50" t="str">
        <f>IFERROR(__xludf.DUMMYFUNCTION("""COMPUTED_VALUE"""),"mathieu.desponts@telligo.fr")</f>
        <v>mathieu.desponts@telligo.fr</v>
      </c>
      <c r="D1086" s="127" t="str">
        <f>IFERROR(__xludf.DUMMYFUNCTION("""COMPUTED_VALUE"""),"https://drive.google.com/file/d/1SWmx_y8P3Vk9Ib1CcO8uJpOJCa3R1lBu/view?usp=drivesdk")</f>
        <v>https://drive.google.com/file/d/1SWmx_y8P3Vk9Ib1CcO8uJpOJCa3R1lBu/view?usp=drivesdk</v>
      </c>
    </row>
    <row r="1087">
      <c r="A1087" s="50" t="s">
        <v>4125</v>
      </c>
      <c r="B1087" s="50" t="str">
        <f>IFERROR(__xludf.DUMMYFUNCTION("""COMPUTED_VALUE"""),"SES-0038")</f>
        <v>SES-0038</v>
      </c>
      <c r="C1087" s="50" t="str">
        <f>IFERROR(__xludf.DUMMYFUNCTION("""COMPUTED_VALUE"""),"mathieu.desponts@telligo.fr")</f>
        <v>mathieu.desponts@telligo.fr</v>
      </c>
      <c r="D1087" s="127" t="str">
        <f>IFERROR(__xludf.DUMMYFUNCTION("""COMPUTED_VALUE"""),"https://drive.google.com/file/d/1PZJPGN4W_T71Fzi_NQFyYrblwzPhpwKX/view?usp=drivesdk")</f>
        <v>https://drive.google.com/file/d/1PZJPGN4W_T71Fzi_NQFyYrblwzPhpwKX/view?usp=drivesdk</v>
      </c>
    </row>
    <row r="1088">
      <c r="A1088" s="50" t="s">
        <v>4128</v>
      </c>
      <c r="B1088" s="50" t="str">
        <f>IFERROR(__xludf.DUMMYFUNCTION("""COMPUTED_VALUE"""),"SES-0040")</f>
        <v>SES-0040</v>
      </c>
      <c r="C1088" s="50" t="str">
        <f>IFERROR(__xludf.DUMMYFUNCTION("""COMPUTED_VALUE"""),"gebonnatd@ucpa.asso.fr")</f>
        <v>gebonnatd@ucpa.asso.fr</v>
      </c>
      <c r="D1088" s="127" t="str">
        <f>IFERROR(__xludf.DUMMYFUNCTION("""COMPUTED_VALUE"""),"https://drive.google.com/file/d/1ugMSDQnr6uZitdo5xT3R3u5CQpWN8JYn/view?usp=drivesdk")</f>
        <v>https://drive.google.com/file/d/1ugMSDQnr6uZitdo5xT3R3u5CQpWN8JYn/view?usp=drivesdk</v>
      </c>
    </row>
    <row r="1089">
      <c r="A1089" s="50" t="s">
        <v>4131</v>
      </c>
      <c r="B1089" s="50" t="str">
        <f>IFERROR(__xludf.DUMMYFUNCTION("""COMPUTED_VALUE"""),"SES-0039")</f>
        <v>SES-0039</v>
      </c>
      <c r="C1089" s="50" t="str">
        <f>IFERROR(__xludf.DUMMYFUNCTION("""COMPUTED_VALUE"""),"cgana@ucpa.asso.fr")</f>
        <v>cgana@ucpa.asso.fr</v>
      </c>
      <c r="D1089" s="127" t="str">
        <f>IFERROR(__xludf.DUMMYFUNCTION("""COMPUTED_VALUE"""),"https://drive.google.com/file/d/1BWlRs-Q01o8s_nuJ8J5eVTgUGF2W7ItV/view?usp=drivesdk")</f>
        <v>https://drive.google.com/file/d/1BWlRs-Q01o8s_nuJ8J5eVTgUGF2W7ItV/view?usp=drivesdk</v>
      </c>
    </row>
    <row r="1090">
      <c r="A1090" s="50" t="s">
        <v>4134</v>
      </c>
      <c r="B1090" s="50" t="str">
        <f>IFERROR(__xludf.DUMMYFUNCTION("""COMPUTED_VALUE"""),"SES-0033")</f>
        <v>SES-0033</v>
      </c>
      <c r="C1090" s="50" t="str">
        <f>IFERROR(__xludf.DUMMYFUNCTION("""COMPUTED_VALUE"""),"jrdavid@ucpa.asso.fr")</f>
        <v>jrdavid@ucpa.asso.fr</v>
      </c>
      <c r="D1090" s="127" t="str">
        <f>IFERROR(__xludf.DUMMYFUNCTION("""COMPUTED_VALUE"""),"https://drive.google.com/file/d/172mR11ssMb_HaBLZaZ_QmSEJvxOP7Wf3/view?usp=drivesdk")</f>
        <v>https://drive.google.com/file/d/172mR11ssMb_HaBLZaZ_QmSEJvxOP7Wf3/view?usp=drivesdk</v>
      </c>
    </row>
    <row r="1091">
      <c r="A1091" s="50" t="s">
        <v>4137</v>
      </c>
      <c r="B1091" s="50" t="str">
        <f>IFERROR(__xludf.DUMMYFUNCTION("""COMPUTED_VALUE"""),"SES-0048")</f>
        <v>SES-0048</v>
      </c>
      <c r="C1091" s="50" t="str">
        <f>IFERROR(__xludf.DUMMYFUNCTION("""COMPUTED_VALUE"""),"jrdavid@ucpa.asso.fr")</f>
        <v>jrdavid@ucpa.asso.fr</v>
      </c>
      <c r="D1091" s="127" t="str">
        <f>IFERROR(__xludf.DUMMYFUNCTION("""COMPUTED_VALUE"""),"https://drive.google.com/file/d/1f7ofcg1mXKUpndLBz4gqftmK6wKjuFjE/view?usp=drivesdk")</f>
        <v>https://drive.google.com/file/d/1f7ofcg1mXKUpndLBz4gqftmK6wKjuFjE/view?usp=drivesdk</v>
      </c>
    </row>
    <row r="1092">
      <c r="A1092" s="50" t="s">
        <v>4140</v>
      </c>
      <c r="B1092" s="50" t="str">
        <f>IFERROR(__xludf.DUMMYFUNCTION("""COMPUTED_VALUE"""),"SES-0036")</f>
        <v>SES-0036</v>
      </c>
      <c r="C1092" s="50" t="str">
        <f>IFERROR(__xludf.DUMMYFUNCTION("""COMPUTED_VALUE"""),"jrdavid@ucpa.asso.fr")</f>
        <v>jrdavid@ucpa.asso.fr</v>
      </c>
      <c r="D1092" s="127" t="str">
        <f>IFERROR(__xludf.DUMMYFUNCTION("""COMPUTED_VALUE"""),"https://drive.google.com/file/d/1eU9dLXhs5A24PLdd4_CEpmX5te7n-wm_/view?usp=drivesdk")</f>
        <v>https://drive.google.com/file/d/1eU9dLXhs5A24PLdd4_CEpmX5te7n-wm_/view?usp=drivesdk</v>
      </c>
    </row>
    <row r="1093">
      <c r="A1093" s="50" t="s">
        <v>4143</v>
      </c>
      <c r="B1093" s="50" t="str">
        <f>IFERROR(__xludf.DUMMYFUNCTION("""COMPUTED_VALUE"""),"SES-0032")</f>
        <v>SES-0032</v>
      </c>
      <c r="C1093" s="50" t="str">
        <f>IFERROR(__xludf.DUMMYFUNCTION("""COMPUTED_VALUE"""),"mmoreel@ucpa.asso.fr")</f>
        <v>mmoreel@ucpa.asso.fr</v>
      </c>
      <c r="D1093" s="127" t="str">
        <f>IFERROR(__xludf.DUMMYFUNCTION("""COMPUTED_VALUE"""),"https://drive.google.com/file/d/1vvQPzWUUzbFBZnYgiRjoxPxKzTWhQCRQ/view?usp=drivesdk")</f>
        <v>https://drive.google.com/file/d/1vvQPzWUUzbFBZnYgiRjoxPxKzTWhQCRQ/view?usp=drivesdk</v>
      </c>
    </row>
    <row r="1094">
      <c r="A1094" s="50" t="s">
        <v>4146</v>
      </c>
      <c r="B1094" s="50" t="str">
        <f>IFERROR(__xludf.DUMMYFUNCTION("""COMPUTED_VALUE"""),"SES-0037")</f>
        <v>SES-0037</v>
      </c>
      <c r="C1094" s="50" t="str">
        <f>IFERROR(__xludf.DUMMYFUNCTION("""COMPUTED_VALUE"""),"jrdavid@ucpa.asso.fr")</f>
        <v>jrdavid@ucpa.asso.fr</v>
      </c>
      <c r="D1094" s="127" t="str">
        <f>IFERROR(__xludf.DUMMYFUNCTION("""COMPUTED_VALUE"""),"https://drive.google.com/file/d/1MhcTBeRPV0VHCMQNW4rxL-l0X1AuspJO/view?usp=drivesdk")</f>
        <v>https://drive.google.com/file/d/1MhcTBeRPV0VHCMQNW4rxL-l0X1AuspJO/view?usp=drivesdk</v>
      </c>
    </row>
    <row r="1095">
      <c r="A1095" s="50" t="s">
        <v>4149</v>
      </c>
      <c r="B1095" s="50" t="str">
        <f>IFERROR(__xludf.DUMMYFUNCTION("""COMPUTED_VALUE"""),"SES-0035")</f>
        <v>SES-0035</v>
      </c>
      <c r="C1095" s="50" t="str">
        <f>IFERROR(__xludf.DUMMYFUNCTION("""COMPUTED_VALUE"""),"mmoreel@ucpa.asso.fr")</f>
        <v>mmoreel@ucpa.asso.fr</v>
      </c>
      <c r="D1095" s="127" t="str">
        <f>IFERROR(__xludf.DUMMYFUNCTION("""COMPUTED_VALUE"""),"https://drive.google.com/file/d/1DytwtG6TuA4xveEWfNOKzrbTn0bFDUG_/view?usp=drivesdk")</f>
        <v>https://drive.google.com/file/d/1DytwtG6TuA4xveEWfNOKzrbTn0bFDUG_/view?usp=drivesdk</v>
      </c>
    </row>
    <row r="1096">
      <c r="A1096" s="50" t="s">
        <v>4152</v>
      </c>
      <c r="B1096" s="50" t="str">
        <f>IFERROR(__xludf.DUMMYFUNCTION("""COMPUTED_VALUE"""),"SES-0040")</f>
        <v>SES-0040</v>
      </c>
      <c r="C1096" s="50" t="str">
        <f>IFERROR(__xludf.DUMMYFUNCTION("""COMPUTED_VALUE"""),"mmoreel@ucpa.asso.fr")</f>
        <v>mmoreel@ucpa.asso.fr</v>
      </c>
      <c r="D1096" s="127" t="str">
        <f>IFERROR(__xludf.DUMMYFUNCTION("""COMPUTED_VALUE"""),"https://drive.google.com/file/d/1H1hhRGYq_8W_jfVXO21o_PkAg7iyl7-p/view?usp=drivesdk")</f>
        <v>https://drive.google.com/file/d/1H1hhRGYq_8W_jfVXO21o_PkAg7iyl7-p/view?usp=drivesdk</v>
      </c>
    </row>
    <row r="1097">
      <c r="A1097" s="50" t="s">
        <v>4155</v>
      </c>
      <c r="B1097" s="50" t="str">
        <f>IFERROR(__xludf.DUMMYFUNCTION("""COMPUTED_VALUE"""),"SES-0033")</f>
        <v>SES-0033</v>
      </c>
      <c r="C1097" s="50" t="str">
        <f>IFERROR(__xludf.DUMMYFUNCTION("""COMPUTED_VALUE"""),"mmoreel@ucpa.asso.fr")</f>
        <v>mmoreel@ucpa.asso.fr</v>
      </c>
      <c r="D1097" s="127" t="str">
        <f>IFERROR(__xludf.DUMMYFUNCTION("""COMPUTED_VALUE"""),"https://drive.google.com/file/d/1S9LXtcF1ALkwC-YdgbAcFySFjA2qKbdu/view?usp=drivesdk")</f>
        <v>https://drive.google.com/file/d/1S9LXtcF1ALkwC-YdgbAcFySFjA2qKbdu/view?usp=drivesdk</v>
      </c>
    </row>
    <row r="1098">
      <c r="A1098" s="50" t="s">
        <v>4158</v>
      </c>
      <c r="B1098" s="50" t="str">
        <f>IFERROR(__xludf.DUMMYFUNCTION("""COMPUTED_VALUE"""),"SES-0044")</f>
        <v>SES-0044</v>
      </c>
      <c r="C1098" s="50" t="str">
        <f>IFERROR(__xludf.DUMMYFUNCTION("""COMPUTED_VALUE"""),"mmoreel@ucpa.asso.fr")</f>
        <v>mmoreel@ucpa.asso.fr</v>
      </c>
      <c r="D1098" s="127" t="str">
        <f>IFERROR(__xludf.DUMMYFUNCTION("""COMPUTED_VALUE"""),"https://drive.google.com/file/d/1riPHHNSOmevTXI7q8SZE8GoyWxwf5vX8/view?usp=drivesdk")</f>
        <v>https://drive.google.com/file/d/1riPHHNSOmevTXI7q8SZE8GoyWxwf5vX8/view?usp=drivesdk</v>
      </c>
    </row>
    <row r="1099">
      <c r="A1099" s="50" t="s">
        <v>4162</v>
      </c>
      <c r="B1099" s="50" t="str">
        <f>IFERROR(__xludf.DUMMYFUNCTION("""COMPUTED_VALUE"""),"SES-0048")</f>
        <v>SES-0048</v>
      </c>
      <c r="C1099" s="50" t="str">
        <f>IFERROR(__xludf.DUMMYFUNCTION("""COMPUTED_VALUE"""),"cthouillez@pailleron19.com")</f>
        <v>cthouillez@pailleron19.com</v>
      </c>
      <c r="D1099" s="127" t="str">
        <f>IFERROR(__xludf.DUMMYFUNCTION("""COMPUTED_VALUE"""),"https://drive.google.com/file/d/1XbaOZCRGs3OhKcC--Ca76Klidf_xlTr0/view?usp=drivesdk")</f>
        <v>https://drive.google.com/file/d/1XbaOZCRGs3OhKcC--Ca76Klidf_xlTr0/view?usp=drivesdk</v>
      </c>
    </row>
    <row r="1100">
      <c r="A1100" s="50" t="s">
        <v>4166</v>
      </c>
      <c r="B1100" s="50" t="str">
        <f>IFERROR(__xludf.DUMMYFUNCTION("""COMPUTED_VALUE"""),"SES-0035")</f>
        <v>SES-0035</v>
      </c>
      <c r="C1100" s="50" t="str">
        <f>IFERROR(__xludf.DUMMYFUNCTION("""COMPUTED_VALUE"""),"cthouillez@pailleron19.com")</f>
        <v>cthouillez@pailleron19.com</v>
      </c>
      <c r="D1100" s="127" t="str">
        <f>IFERROR(__xludf.DUMMYFUNCTION("""COMPUTED_VALUE"""),"https://drive.google.com/file/d/1umABGAZpPn06feaHOeZ7DKaUin9Ij6YR/view?usp=drivesdk")</f>
        <v>https://drive.google.com/file/d/1umABGAZpPn06feaHOeZ7DKaUin9Ij6YR/view?usp=drivesdk</v>
      </c>
    </row>
    <row r="1101">
      <c r="A1101" s="50" t="s">
        <v>4168</v>
      </c>
      <c r="B1101" s="50" t="str">
        <f>IFERROR(__xludf.DUMMYFUNCTION("""COMPUTED_VALUE"""),"SES-0038")</f>
        <v>SES-0038</v>
      </c>
      <c r="C1101" s="50" t="str">
        <f>IFERROR(__xludf.DUMMYFUNCTION("""COMPUTED_VALUE"""),"cthouillez@pailleron19.com")</f>
        <v>cthouillez@pailleron19.com</v>
      </c>
      <c r="D1101" s="127" t="str">
        <f>IFERROR(__xludf.DUMMYFUNCTION("""COMPUTED_VALUE"""),"https://drive.google.com/file/d/1v0yfj5yytbjHE10aE3X_yMpbE7DxTpgo/view?usp=drivesdk")</f>
        <v>https://drive.google.com/file/d/1v0yfj5yytbjHE10aE3X_yMpbE7DxTpgo/view?usp=drivesdk</v>
      </c>
    </row>
    <row r="1102">
      <c r="A1102" s="50" t="s">
        <v>4171</v>
      </c>
      <c r="B1102" s="50" t="str">
        <f>IFERROR(__xludf.DUMMYFUNCTION("""COMPUTED_VALUE"""),"SES-0039")</f>
        <v>SES-0039</v>
      </c>
      <c r="C1102" s="50" t="str">
        <f>IFERROR(__xludf.DUMMYFUNCTION("""COMPUTED_VALUE"""),"cthouillez@pailleron19.com")</f>
        <v>cthouillez@pailleron19.com</v>
      </c>
      <c r="D1102" s="127" t="str">
        <f>IFERROR(__xludf.DUMMYFUNCTION("""COMPUTED_VALUE"""),"https://drive.google.com/file/d/1m9FZdwGKBLDV4-zXg2jrrk2BUvKY-ca6/view?usp=drivesdk")</f>
        <v>https://drive.google.com/file/d/1m9FZdwGKBLDV4-zXg2jrrk2BUvKY-ca6/view?usp=drivesdk</v>
      </c>
    </row>
    <row r="1103">
      <c r="A1103" s="50" t="s">
        <v>4175</v>
      </c>
      <c r="B1103" s="50" t="str">
        <f>IFERROR(__xludf.DUMMYFUNCTION("""COMPUTED_VALUE"""),"SES-0036")</f>
        <v>SES-0036</v>
      </c>
      <c r="C1103" s="50" t="str">
        <f>IFERROR(__xludf.DUMMYFUNCTION("""COMPUTED_VALUE"""),"svacher@ucpa.asso.fr")</f>
        <v>svacher@ucpa.asso.fr</v>
      </c>
      <c r="D1103" s="127" t="str">
        <f>IFERROR(__xludf.DUMMYFUNCTION("""COMPUTED_VALUE"""),"https://drive.google.com/file/d/1xuWF9i3X0JCgGpsXYEhwf_sliPCIYTnn/view?usp=drivesdk")</f>
        <v>https://drive.google.com/file/d/1xuWF9i3X0JCgGpsXYEhwf_sliPCIYTnn/view?usp=drivesdk</v>
      </c>
    </row>
    <row r="1104">
      <c r="A1104" s="50" t="s">
        <v>4178</v>
      </c>
      <c r="B1104" s="50" t="str">
        <f>IFERROR(__xludf.DUMMYFUNCTION("""COMPUTED_VALUE"""),"SES-0038")</f>
        <v>SES-0038</v>
      </c>
      <c r="C1104" s="50" t="str">
        <f>IFERROR(__xludf.DUMMYFUNCTION("""COMPUTED_VALUE"""),"svacher@ucpa.asso.fr")</f>
        <v>svacher@ucpa.asso.fr</v>
      </c>
      <c r="D1104" s="127" t="str">
        <f>IFERROR(__xludf.DUMMYFUNCTION("""COMPUTED_VALUE"""),"https://drive.google.com/file/d/1x0ZhgL2SEiFrhOTcx2AS22awUWDV5tRK/view?usp=drivesdk")</f>
        <v>https://drive.google.com/file/d/1x0ZhgL2SEiFrhOTcx2AS22awUWDV5tRK/view?usp=drivesdk</v>
      </c>
    </row>
    <row r="1105">
      <c r="A1105" s="50" t="s">
        <v>4180</v>
      </c>
      <c r="B1105" s="50" t="str">
        <f>IFERROR(__xludf.DUMMYFUNCTION("""COMPUTED_VALUE"""),"SES-0041")</f>
        <v>SES-0041</v>
      </c>
      <c r="C1105" s="50" t="str">
        <f>IFERROR(__xludf.DUMMYFUNCTION("""COMPUTED_VALUE"""),"svacher@ucpa.asso.fr")</f>
        <v>svacher@ucpa.asso.fr</v>
      </c>
      <c r="D1105" s="127" t="str">
        <f>IFERROR(__xludf.DUMMYFUNCTION("""COMPUTED_VALUE"""),"https://drive.google.com/file/d/1VIOvwaU6MUSXHhuIm6gfnpfsLhvVEBbj/view?usp=drivesdk")</f>
        <v>https://drive.google.com/file/d/1VIOvwaU6MUSXHhuIm6gfnpfsLhvVEBbj/view?usp=drivesdk</v>
      </c>
    </row>
    <row r="1106">
      <c r="A1106" s="50" t="s">
        <v>4184</v>
      </c>
      <c r="B1106" s="50" t="str">
        <f>IFERROR(__xludf.DUMMYFUNCTION("""COMPUTED_VALUE"""),"SES-0034")</f>
        <v>SES-0034</v>
      </c>
      <c r="C1106" s="50" t="str">
        <f>IFERROR(__xludf.DUMMYFUNCTION("""COMPUTED_VALUE"""),"lphilippy@ucpa.asso.fr")</f>
        <v>lphilippy@ucpa.asso.fr</v>
      </c>
      <c r="D1106" s="127" t="str">
        <f>IFERROR(__xludf.DUMMYFUNCTION("""COMPUTED_VALUE"""),"https://drive.google.com/file/d/1GphMi3apYu8gE5q7JrN46o3ppqZ6o7gV/view?usp=drivesdk")</f>
        <v>https://drive.google.com/file/d/1GphMi3apYu8gE5q7JrN46o3ppqZ6o7gV/view?usp=drivesdk</v>
      </c>
    </row>
    <row r="1107">
      <c r="A1107" s="50" t="s">
        <v>4186</v>
      </c>
      <c r="B1107" s="50" t="str">
        <f>IFERROR(__xludf.DUMMYFUNCTION("""COMPUTED_VALUE"""),"SES-0033")</f>
        <v>SES-0033</v>
      </c>
      <c r="C1107" s="50" t="str">
        <f>IFERROR(__xludf.DUMMYFUNCTION("""COMPUTED_VALUE"""),"lphilippy@ucpa.asso.fr")</f>
        <v>lphilippy@ucpa.asso.fr</v>
      </c>
      <c r="D1107" s="127" t="str">
        <f>IFERROR(__xludf.DUMMYFUNCTION("""COMPUTED_VALUE"""),"https://drive.google.com/file/d/11Hj45kexgMsNjvUAUd4cu4xJu1WhZ2ZB/view?usp=drivesdk")</f>
        <v>https://drive.google.com/file/d/11Hj45kexgMsNjvUAUd4cu4xJu1WhZ2ZB/view?usp=drivesdk</v>
      </c>
    </row>
    <row r="1108">
      <c r="A1108" s="50" t="s">
        <v>4189</v>
      </c>
      <c r="B1108" s="50" t="str">
        <f>IFERROR(__xludf.DUMMYFUNCTION("""COMPUTED_VALUE"""),"SES-0049")</f>
        <v>SES-0049</v>
      </c>
      <c r="C1108" s="50" t="str">
        <f>IFERROR(__xludf.DUMMYFUNCTION("""COMPUTED_VALUE"""),"lphilippy@ucpa.asso.fr")</f>
        <v>lphilippy@ucpa.asso.fr</v>
      </c>
      <c r="D1108" s="127" t="str">
        <f>IFERROR(__xludf.DUMMYFUNCTION("""COMPUTED_VALUE"""),"https://drive.google.com/file/d/1eTlb1hZlxRDQiLNJxNBakma298ZeN9e5/view?usp=drivesdk")</f>
        <v>https://drive.google.com/file/d/1eTlb1hZlxRDQiLNJxNBakma298ZeN9e5/view?usp=drivesdk</v>
      </c>
    </row>
    <row r="1109">
      <c r="A1109" s="50" t="s">
        <v>4193</v>
      </c>
      <c r="B1109" s="50" t="str">
        <f>IFERROR(__xludf.DUMMYFUNCTION("""COMPUTED_VALUE"""),"SES-0035")</f>
        <v>SES-0035</v>
      </c>
      <c r="C1109" s="50" t="str">
        <f>IFERROR(__xludf.DUMMYFUNCTION("""COMPUTED_VALUE"""),"bibnechcharef@gmail.com")</f>
        <v>bibnechcharef@gmail.com</v>
      </c>
      <c r="D1109" s="127" t="str">
        <f>IFERROR(__xludf.DUMMYFUNCTION("""COMPUTED_VALUE"""),"https://drive.google.com/file/d/1t_GXktogUPx-Rbys1IGLrRNd6O98n8Iv/view?usp=drivesdk")</f>
        <v>https://drive.google.com/file/d/1t_GXktogUPx-Rbys1IGLrRNd6O98n8Iv/view?usp=drivesdk</v>
      </c>
    </row>
    <row r="1110">
      <c r="A1110" s="50" t="s">
        <v>4195</v>
      </c>
      <c r="B1110" s="50" t="str">
        <f>IFERROR(__xludf.DUMMYFUNCTION("""COMPUTED_VALUE"""),"SES-0034")</f>
        <v>SES-0034</v>
      </c>
      <c r="C1110" s="50" t="str">
        <f>IFERROR(__xludf.DUMMYFUNCTION("""COMPUTED_VALUE"""),"bibnechcharef@gmail.com")</f>
        <v>bibnechcharef@gmail.com</v>
      </c>
      <c r="D1110" s="127" t="str">
        <f>IFERROR(__xludf.DUMMYFUNCTION("""COMPUTED_VALUE"""),"https://drive.google.com/file/d/1zy9zKr3GkQ_xjxVG77bcqoTGYHkA-Mz5/view?usp=drivesdk")</f>
        <v>https://drive.google.com/file/d/1zy9zKr3GkQ_xjxVG77bcqoTGYHkA-Mz5/view?usp=drivesdk</v>
      </c>
    </row>
    <row r="1111">
      <c r="A1111" s="50" t="s">
        <v>4198</v>
      </c>
      <c r="B1111" s="50" t="str">
        <f>IFERROR(__xludf.DUMMYFUNCTION("""COMPUTED_VALUE"""),"SES-0045")</f>
        <v>SES-0045</v>
      </c>
      <c r="C1111" s="50" t="str">
        <f>IFERROR(__xludf.DUMMYFUNCTION("""COMPUTED_VALUE"""),"bibnechcharef@gmail.com")</f>
        <v>bibnechcharef@gmail.com</v>
      </c>
      <c r="D1111" s="127" t="str">
        <f>IFERROR(__xludf.DUMMYFUNCTION("""COMPUTED_VALUE"""),"https://drive.google.com/file/d/1wlZ6xxNDnwJ0QVq1ws_OOWpUTkgPg5TD/view?usp=drivesdk")</f>
        <v>https://drive.google.com/file/d/1wlZ6xxNDnwJ0QVq1ws_OOWpUTkgPg5TD/view?usp=drivesdk</v>
      </c>
    </row>
    <row r="1112">
      <c r="A1112" s="50" t="s">
        <v>4201</v>
      </c>
      <c r="B1112" s="50" t="str">
        <f>IFERROR(__xludf.DUMMYFUNCTION("""COMPUTED_VALUE"""),"SES-0046")</f>
        <v>SES-0046</v>
      </c>
      <c r="C1112" s="50" t="str">
        <f>IFERROR(__xludf.DUMMYFUNCTION("""COMPUTED_VALUE"""),"bibnechcharef@gmail.com")</f>
        <v>bibnechcharef@gmail.com</v>
      </c>
      <c r="D1112" s="127" t="str">
        <f>IFERROR(__xludf.DUMMYFUNCTION("""COMPUTED_VALUE"""),"https://drive.google.com/file/d/1EaWOdmSZRHJ-rFZZfrZvAnqZUXei3NrV/view?usp=drivesdk")</f>
        <v>https://drive.google.com/file/d/1EaWOdmSZRHJ-rFZZfrZvAnqZUXei3NrV/view?usp=drivesdk</v>
      </c>
    </row>
    <row r="1113">
      <c r="A1113" s="50" t="s">
        <v>4193</v>
      </c>
      <c r="B1113" s="50" t="str">
        <f>IFERROR(__xludf.DUMMYFUNCTION("""COMPUTED_VALUE"""),"SES-0035")</f>
        <v>SES-0035</v>
      </c>
      <c r="C1113" s="50" t="str">
        <f>IFERROR(__xludf.DUMMYFUNCTION("""COMPUTED_VALUE"""),"bibnechcharef@gmail.com")</f>
        <v>bibnechcharef@gmail.com</v>
      </c>
      <c r="D1113" s="127" t="str">
        <f>IFERROR(__xludf.DUMMYFUNCTION("""COMPUTED_VALUE"""),"https://drive.google.com/file/d/1lN66n2niMiMUYS59uOTFXzNxeBiXQQxi/view?usp=drivesdk")</f>
        <v>https://drive.google.com/file/d/1lN66n2niMiMUYS59uOTFXzNxeBiXQQxi/view?usp=drivesdk</v>
      </c>
    </row>
    <row r="1114">
      <c r="A1114" s="50" t="s">
        <v>4206</v>
      </c>
      <c r="B1114" s="50" t="str">
        <f>IFERROR(__xludf.DUMMYFUNCTION("""COMPUTED_VALUE"""),"SES-0039")</f>
        <v>SES-0039</v>
      </c>
      <c r="C1114" s="50" t="str">
        <f>IFERROR(__xludf.DUMMYFUNCTION("""COMPUTED_VALUE"""),"bdugrivel@ucpa.asso.fr")</f>
        <v>bdugrivel@ucpa.asso.fr</v>
      </c>
      <c r="D1114" s="127" t="str">
        <f>IFERROR(__xludf.DUMMYFUNCTION("""COMPUTED_VALUE"""),"https://drive.google.com/file/d/1O25XGUHYDnvvBO_f7ADqKR1qPqfs8acz/view?usp=drivesdk")</f>
        <v>https://drive.google.com/file/d/1O25XGUHYDnvvBO_f7ADqKR1qPqfs8acz/view?usp=drivesdk</v>
      </c>
    </row>
    <row r="1115">
      <c r="A1115" s="50" t="s">
        <v>4209</v>
      </c>
      <c r="B1115" s="50" t="str">
        <f>IFERROR(__xludf.DUMMYFUNCTION("""COMPUTED_VALUE"""),"SES-0043")</f>
        <v>SES-0043</v>
      </c>
      <c r="C1115" s="50" t="str">
        <f>IFERROR(__xludf.DUMMYFUNCTION("""COMPUTED_VALUE"""),"bdugrivel@gmail.com")</f>
        <v>bdugrivel@gmail.com</v>
      </c>
      <c r="D1115" s="127" t="str">
        <f>IFERROR(__xludf.DUMMYFUNCTION("""COMPUTED_VALUE"""),"https://drive.google.com/file/d/1uSmC6gg27UJ2wuBh1j1DWJ4WpkCi3ANK/view?usp=drivesdk")</f>
        <v>https://drive.google.com/file/d/1uSmC6gg27UJ2wuBh1j1DWJ4WpkCi3ANK/view?usp=drivesdk</v>
      </c>
    </row>
    <row r="1116">
      <c r="A1116" s="50" t="s">
        <v>4213</v>
      </c>
      <c r="B1116" s="50" t="str">
        <f>IFERROR(__xludf.DUMMYFUNCTION("""COMPUTED_VALUE"""),"SES-0048")</f>
        <v>SES-0048</v>
      </c>
      <c r="C1116" s="50" t="str">
        <f>IFERROR(__xludf.DUMMYFUNCTION("""COMPUTED_VALUE"""),"mpougheon@ucpa.asso.fr")</f>
        <v>mpougheon@ucpa.asso.fr</v>
      </c>
      <c r="D1116" s="127" t="str">
        <f>IFERROR(__xludf.DUMMYFUNCTION("""COMPUTED_VALUE"""),"https://drive.google.com/file/d/104Z2WiqwUXRjDi54lJPMGpN85TY2JgLX/view?usp=drivesdk")</f>
        <v>https://drive.google.com/file/d/104Z2WiqwUXRjDi54lJPMGpN85TY2JgLX/view?usp=drivesdk</v>
      </c>
    </row>
    <row r="1117">
      <c r="A1117" s="50" t="s">
        <v>4221</v>
      </c>
      <c r="B1117" s="50" t="str">
        <f>IFERROR(__xludf.DUMMYFUNCTION("""COMPUTED_VALUE"""),"SES-0045")</f>
        <v>SES-0045</v>
      </c>
      <c r="C1117" s="50" t="str">
        <f>IFERROR(__xludf.DUMMYFUNCTION("""COMPUTED_VALUE"""),"echochois@ucpa.asso.fr")</f>
        <v>echochois@ucpa.asso.fr</v>
      </c>
      <c r="D1117" s="127" t="str">
        <f>IFERROR(__xludf.DUMMYFUNCTION("""COMPUTED_VALUE"""),"https://drive.google.com/file/d/1rI3-xl8C7x0sAWCqvuPY7NtE1Hv-cqfm/view?usp=drivesdk")</f>
        <v>https://drive.google.com/file/d/1rI3-xl8C7x0sAWCqvuPY7NtE1Hv-cqfm/view?usp=drivesdk</v>
      </c>
    </row>
    <row r="1118">
      <c r="A1118" s="50" t="s">
        <v>4224</v>
      </c>
      <c r="B1118" s="50" t="str">
        <f>IFERROR(__xludf.DUMMYFUNCTION("""COMPUTED_VALUE"""),"SES-0049")</f>
        <v>SES-0049</v>
      </c>
      <c r="C1118" s="50" t="str">
        <f>IFERROR(__xludf.DUMMYFUNCTION("""COMPUTED_VALUE"""),"echochois@ucpa.asso.fr")</f>
        <v>echochois@ucpa.asso.fr</v>
      </c>
      <c r="D1118" s="127" t="str">
        <f>IFERROR(__xludf.DUMMYFUNCTION("""COMPUTED_VALUE"""),"https://drive.google.com/file/d/1y63JhyNiZD6Qx1WxSEbYDZxiqJmpwPkM/view?usp=drivesdk")</f>
        <v>https://drive.google.com/file/d/1y63JhyNiZD6Qx1WxSEbYDZxiqJmpwPkM/view?usp=drivesdk</v>
      </c>
    </row>
    <row r="1119">
      <c r="A1119" s="50" t="s">
        <v>4227</v>
      </c>
      <c r="B1119" s="50" t="str">
        <f>IFERROR(__xludf.DUMMYFUNCTION("""COMPUTED_VALUE"""),"SES-0046")</f>
        <v>SES-0046</v>
      </c>
      <c r="C1119" s="50" t="str">
        <f>IFERROR(__xludf.DUMMYFUNCTION("""COMPUTED_VALUE"""),"christophe.prat@telligo.fr")</f>
        <v>christophe.prat@telligo.fr</v>
      </c>
      <c r="D1119" s="127" t="str">
        <f>IFERROR(__xludf.DUMMYFUNCTION("""COMPUTED_VALUE"""),"https://drive.google.com/file/d/1n_Rzx4QVizl9jDO4MFBHpbzunAKuqSys/view?usp=drivesdk")</f>
        <v>https://drive.google.com/file/d/1n_Rzx4QVizl9jDO4MFBHpbzunAKuqSys/view?usp=drivesdk</v>
      </c>
    </row>
    <row r="1120">
      <c r="A1120" s="50" t="s">
        <v>4231</v>
      </c>
      <c r="B1120" s="50" t="str">
        <f>IFERROR(__xludf.DUMMYFUNCTION("""COMPUTED_VALUE"""),"SES-0051")</f>
        <v>SES-0051</v>
      </c>
      <c r="C1120" s="50" t="str">
        <f>IFERROR(__xludf.DUMMYFUNCTION("""COMPUTED_VALUE"""),"christophe.prat@telligo.fr")</f>
        <v>christophe.prat@telligo.fr</v>
      </c>
      <c r="D1120" s="127" t="str">
        <f>IFERROR(__xludf.DUMMYFUNCTION("""COMPUTED_VALUE"""),"https://drive.google.com/file/d/13705YYlhlMJrnAdoeTmZo-dHv9NFXz7d/view?usp=drivesdk")</f>
        <v>https://drive.google.com/file/d/13705YYlhlMJrnAdoeTmZo-dHv9NFXz7d/view?usp=drivesdk</v>
      </c>
    </row>
    <row r="1121">
      <c r="A1121" s="50" t="s">
        <v>4234</v>
      </c>
      <c r="B1121" s="50" t="str">
        <f>IFERROR(__xludf.DUMMYFUNCTION("""COMPUTED_VALUE"""),"SES-0045")</f>
        <v>SES-0045</v>
      </c>
      <c r="C1121" s="50" t="str">
        <f>IFERROR(__xludf.DUMMYFUNCTION("""COMPUTED_VALUE"""),"christophe.prat@telligo.fr")</f>
        <v>christophe.prat@telligo.fr</v>
      </c>
      <c r="D1121" s="127" t="str">
        <f>IFERROR(__xludf.DUMMYFUNCTION("""COMPUTED_VALUE"""),"https://drive.google.com/file/d/1gYsjueT5dWSxfZjPD217j54difMa5TVi/view?usp=drivesdk")</f>
        <v>https://drive.google.com/file/d/1gYsjueT5dWSxfZjPD217j54difMa5TVi/view?usp=drivesdk</v>
      </c>
    </row>
    <row r="1122">
      <c r="A1122" s="50" t="s">
        <v>4238</v>
      </c>
      <c r="B1122" s="50" t="str">
        <f>IFERROR(__xludf.DUMMYFUNCTION("""COMPUTED_VALUE"""),"SES-0040")</f>
        <v>SES-0040</v>
      </c>
      <c r="C1122" s="50" t="str">
        <f>IFERROR(__xludf.DUMMYFUNCTION("""COMPUTED_VALUE"""),"lchouvet@ucpa.asso.fr")</f>
        <v>lchouvet@ucpa.asso.fr</v>
      </c>
      <c r="D1122" s="127" t="str">
        <f>IFERROR(__xludf.DUMMYFUNCTION("""COMPUTED_VALUE"""),"https://drive.google.com/file/d/1O0PVx3px5U3EkjJeAyWYeahLFi08XBni/view?usp=drivesdk")</f>
        <v>https://drive.google.com/file/d/1O0PVx3px5U3EkjJeAyWYeahLFi08XBni/view?usp=drivesdk</v>
      </c>
    </row>
    <row r="1123">
      <c r="A1123" s="50" t="s">
        <v>4240</v>
      </c>
      <c r="B1123" s="50" t="str">
        <f>IFERROR(__xludf.DUMMYFUNCTION("""COMPUTED_VALUE"""),"SES-0045")</f>
        <v>SES-0045</v>
      </c>
      <c r="C1123" s="50" t="str">
        <f>IFERROR(__xludf.DUMMYFUNCTION("""COMPUTED_VALUE"""),"nchansard@ucpa.asso.fr")</f>
        <v>nchansard@ucpa.asso.fr</v>
      </c>
      <c r="D1123" s="127" t="str">
        <f>IFERROR(__xludf.DUMMYFUNCTION("""COMPUTED_VALUE"""),"https://drive.google.com/file/d/1whFtmLt5GafAWnjX8r8c5Rc6RwtheWPu/view?usp=drivesdk")</f>
        <v>https://drive.google.com/file/d/1whFtmLt5GafAWnjX8r8c5Rc6RwtheWPu/view?usp=drivesdk</v>
      </c>
    </row>
    <row r="1124">
      <c r="A1124" s="50" t="s">
        <v>4243</v>
      </c>
      <c r="B1124" s="50" t="str">
        <f>IFERROR(__xludf.DUMMYFUNCTION("""COMPUTED_VALUE"""),"SES-0043")</f>
        <v>SES-0043</v>
      </c>
      <c r="C1124" s="50" t="str">
        <f>IFERROR(__xludf.DUMMYFUNCTION("""COMPUTED_VALUE"""),"nchansard@ucpa.asso.fr")</f>
        <v>nchansard@ucpa.asso.fr</v>
      </c>
      <c r="D1124" s="127" t="str">
        <f>IFERROR(__xludf.DUMMYFUNCTION("""COMPUTED_VALUE"""),"https://drive.google.com/file/d/1kOM8XLip7zbl4tu3kaM3xSCS7kmgd52n/view?usp=drivesdk")</f>
        <v>https://drive.google.com/file/d/1kOM8XLip7zbl4tu3kaM3xSCS7kmgd52n/view?usp=drivesdk</v>
      </c>
    </row>
    <row r="1125">
      <c r="A1125" s="50" t="s">
        <v>4247</v>
      </c>
      <c r="B1125" s="50" t="str">
        <f>IFERROR(__xludf.DUMMYFUNCTION("""COMPUTED_VALUE"""),"SES-0033")</f>
        <v>SES-0033</v>
      </c>
      <c r="C1125" s="50" t="str">
        <f>IFERROR(__xludf.DUMMYFUNCTION("""COMPUTED_VALUE"""),"abricout@ucpa.asso.fr")</f>
        <v>abricout@ucpa.asso.fr</v>
      </c>
      <c r="D1125" s="127" t="str">
        <f>IFERROR(__xludf.DUMMYFUNCTION("""COMPUTED_VALUE"""),"https://drive.google.com/file/d/1kxEp7L3skZ0UrWyYPrqhrRNOkT3Dkb7l/view?usp=drivesdk")</f>
        <v>https://drive.google.com/file/d/1kxEp7L3skZ0UrWyYPrqhrRNOkT3Dkb7l/view?usp=drivesdk</v>
      </c>
    </row>
    <row r="1126">
      <c r="A1126" s="50" t="s">
        <v>4250</v>
      </c>
      <c r="B1126" s="50" t="str">
        <f>IFERROR(__xludf.DUMMYFUNCTION("""COMPUTED_VALUE"""),"SES-0048")</f>
        <v>SES-0048</v>
      </c>
      <c r="C1126" s="50" t="str">
        <f>IFERROR(__xludf.DUMMYFUNCTION("""COMPUTED_VALUE"""),"abricout@ucpa.asso.fr")</f>
        <v>abricout@ucpa.asso.fr</v>
      </c>
      <c r="D1126" s="127" t="str">
        <f>IFERROR(__xludf.DUMMYFUNCTION("""COMPUTED_VALUE"""),"https://drive.google.com/file/d/1kAcXftCVFoOBpOxeq9LP6nNtn3XSqrIX/view?usp=drivesdk")</f>
        <v>https://drive.google.com/file/d/1kAcXftCVFoOBpOxeq9LP6nNtn3XSqrIX/view?usp=drivesdk</v>
      </c>
    </row>
    <row r="1127">
      <c r="A1127" s="50" t="s">
        <v>4254</v>
      </c>
      <c r="B1127" s="50" t="str">
        <f>IFERROR(__xludf.DUMMYFUNCTION("""COMPUTED_VALUE"""),"SES-0045")</f>
        <v>SES-0045</v>
      </c>
      <c r="C1127" s="50" t="str">
        <f>IFERROR(__xludf.DUMMYFUNCTION("""COMPUTED_VALUE"""),"mmohamed@ucpa.asso.fr")</f>
        <v>mmohamed@ucpa.asso.fr</v>
      </c>
      <c r="D1127" s="127" t="str">
        <f>IFERROR(__xludf.DUMMYFUNCTION("""COMPUTED_VALUE"""),"https://drive.google.com/file/d/1AQC66clB7tpIRYZJA48I4LYR983-ZLmU/view?usp=drivesdk")</f>
        <v>https://drive.google.com/file/d/1AQC66clB7tpIRYZJA48I4LYR983-ZLmU/view?usp=drivesdk</v>
      </c>
    </row>
    <row r="1128">
      <c r="A1128" s="50" t="s">
        <v>4257</v>
      </c>
      <c r="B1128" s="50" t="str">
        <f>IFERROR(__xludf.DUMMYFUNCTION("""COMPUTED_VALUE"""),"SES-0040")</f>
        <v>SES-0040</v>
      </c>
      <c r="C1128" s="50" t="str">
        <f>IFERROR(__xludf.DUMMYFUNCTION("""COMPUTED_VALUE"""),"mmohamed@ucpa.asso.fr")</f>
        <v>mmohamed@ucpa.asso.fr</v>
      </c>
      <c r="D1128" s="127" t="str">
        <f>IFERROR(__xludf.DUMMYFUNCTION("""COMPUTED_VALUE"""),"https://drive.google.com/file/d/1o7m1YO5Fanl5wdNBRvXe6u60SWF8ABPi/view?usp=drivesdk")</f>
        <v>https://drive.google.com/file/d/1o7m1YO5Fanl5wdNBRvXe6u60SWF8ABPi/view?usp=drivesdk</v>
      </c>
    </row>
    <row r="1129">
      <c r="A1129" s="50" t="s">
        <v>4260</v>
      </c>
      <c r="B1129" s="50" t="str">
        <f>IFERROR(__xludf.DUMMYFUNCTION("""COMPUTED_VALUE"""),"SES-0040")</f>
        <v>SES-0040</v>
      </c>
      <c r="C1129" s="50" t="str">
        <f>IFERROR(__xludf.DUMMYFUNCTION("""COMPUTED_VALUE"""),"iestrade@ucpa.asso.fr")</f>
        <v>iestrade@ucpa.asso.fr</v>
      </c>
      <c r="D1129" s="127" t="str">
        <f>IFERROR(__xludf.DUMMYFUNCTION("""COMPUTED_VALUE"""),"https://drive.google.com/file/d/1_tB4B_-wIis7Vn9hK8N6t142jZEj0mO7/view?usp=drivesdk")</f>
        <v>https://drive.google.com/file/d/1_tB4B_-wIis7Vn9hK8N6t142jZEj0mO7/view?usp=drivesdk</v>
      </c>
    </row>
    <row r="1130">
      <c r="A1130" s="50" t="s">
        <v>4261</v>
      </c>
      <c r="B1130" s="50" t="str">
        <f>IFERROR(__xludf.DUMMYFUNCTION("""COMPUTED_VALUE"""),"SES-0040")</f>
        <v>SES-0040</v>
      </c>
      <c r="C1130" s="50" t="str">
        <f>IFERROR(__xludf.DUMMYFUNCTION("""COMPUTED_VALUE"""),"tguillory@ucpa.asso.fr")</f>
        <v>tguillory@ucpa.asso.fr</v>
      </c>
      <c r="D1130" s="127" t="str">
        <f>IFERROR(__xludf.DUMMYFUNCTION("""COMPUTED_VALUE"""),"https://drive.google.com/file/d/1B310rptRKlYhj4--PA50YRy6W6Bz-p81/view?usp=drivesdk")</f>
        <v>https://drive.google.com/file/d/1B310rptRKlYhj4--PA50YRy6W6Bz-p81/view?usp=drivesdk</v>
      </c>
    </row>
    <row r="1131">
      <c r="A1131" s="50" t="s">
        <v>4266</v>
      </c>
      <c r="B1131" s="50" t="str">
        <f>IFERROR(__xludf.DUMMYFUNCTION("""COMPUTED_VALUE"""),"SES-0033")</f>
        <v>SES-0033</v>
      </c>
      <c r="C1131" s="50" t="str">
        <f>IFERROR(__xludf.DUMMYFUNCTION("""COMPUTED_VALUE"""),"aude-marie.cresson@ipag.fr")</f>
        <v>aude-marie.cresson@ipag.fr</v>
      </c>
      <c r="D1131" s="127" t="str">
        <f>IFERROR(__xludf.DUMMYFUNCTION("""COMPUTED_VALUE"""),"https://drive.google.com/file/d/1gGjTJ5_tmL3mSyb4HXmSf-5gbipoMxLo/view?usp=drivesdk")</f>
        <v>https://drive.google.com/file/d/1gGjTJ5_tmL3mSyb4HXmSf-5gbipoMxLo/view?usp=drivesdk</v>
      </c>
    </row>
    <row r="1132">
      <c r="A1132" s="50" t="s">
        <v>4270</v>
      </c>
      <c r="B1132" s="50" t="str">
        <f>IFERROR(__xludf.DUMMYFUNCTION("""COMPUTED_VALUE"""),"SES-0046")</f>
        <v>SES-0046</v>
      </c>
      <c r="C1132" s="50" t="str">
        <f>IFERROR(__xludf.DUMMYFUNCTION("""COMPUTED_VALUE"""),"mmohamed@ucpa.asso.fr")</f>
        <v>mmohamed@ucpa.asso.fr</v>
      </c>
      <c r="D1132" s="127" t="str">
        <f>IFERROR(__xludf.DUMMYFUNCTION("""COMPUTED_VALUE"""),"https://drive.google.com/file/d/1-rkXznDKWCsIJ2YUSMup-Zeuyac_yXDP/view?usp=drivesdk")</f>
        <v>https://drive.google.com/file/d/1-rkXznDKWCsIJ2YUSMup-Zeuyac_yXDP/view?usp=drivesdk</v>
      </c>
    </row>
    <row r="1133">
      <c r="A1133" s="50" t="s">
        <v>4273</v>
      </c>
      <c r="B1133" s="50" t="str">
        <f>IFERROR(__xludf.DUMMYFUNCTION("""COMPUTED_VALUE"""),"SES-0037")</f>
        <v>SES-0037</v>
      </c>
      <c r="C1133" s="50" t="str">
        <f>IFERROR(__xludf.DUMMYFUNCTION("""COMPUTED_VALUE"""),"mpougheon@ucpa.asso.fr")</f>
        <v>mpougheon@ucpa.asso.fr</v>
      </c>
      <c r="D1133" s="127" t="str">
        <f>IFERROR(__xludf.DUMMYFUNCTION("""COMPUTED_VALUE"""),"https://drive.google.com/file/d/12OyzJ9_7tdprAl49fZbj8LhYcf7_WIRq/view?usp=drivesdk")</f>
        <v>https://drive.google.com/file/d/12OyzJ9_7tdprAl49fZbj8LhYcf7_WIRq/view?usp=drivesdk</v>
      </c>
    </row>
    <row r="1134">
      <c r="A1134" s="50" t="s">
        <v>4277</v>
      </c>
      <c r="B1134" s="50" t="str">
        <f>IFERROR(__xludf.DUMMYFUNCTION("""COMPUTED_VALUE"""),"SES-0035")</f>
        <v>SES-0035</v>
      </c>
      <c r="C1134" s="50" t="str">
        <f>IFERROR(__xludf.DUMMYFUNCTION("""COMPUTED_VALUE"""),"mpougheon@ucpa.asso.fr")</f>
        <v>mpougheon@ucpa.asso.fr</v>
      </c>
      <c r="D1134" s="127" t="str">
        <f>IFERROR(__xludf.DUMMYFUNCTION("""COMPUTED_VALUE"""),"https://drive.google.com/file/d/12VAfKydrkL0R97gvfIfE47qJi5cRPQzm/view?usp=drivesdk")</f>
        <v>https://drive.google.com/file/d/12VAfKydrkL0R97gvfIfE47qJi5cRPQzm/view?usp=drivesdk</v>
      </c>
    </row>
    <row r="1135">
      <c r="A1135" s="50" t="s">
        <v>4281</v>
      </c>
      <c r="B1135" s="50" t="str">
        <f>IFERROR(__xludf.DUMMYFUNCTION("""COMPUTED_VALUE"""),"SES-0035")</f>
        <v>SES-0035</v>
      </c>
      <c r="C1135" s="50" t="str">
        <f>IFERROR(__xludf.DUMMYFUNCTION("""COMPUTED_VALUE"""),"ecusey@ucpa.asso.fr")</f>
        <v>ecusey@ucpa.asso.fr</v>
      </c>
      <c r="D1135" s="127" t="str">
        <f>IFERROR(__xludf.DUMMYFUNCTION("""COMPUTED_VALUE"""),"https://drive.google.com/file/d/1L8qWSeQMHJjOWMFZdcBMrhIdbavutjBz/view?usp=drivesdk")</f>
        <v>https://drive.google.com/file/d/1L8qWSeQMHJjOWMFZdcBMrhIdbavutjBz/view?usp=drivesdk</v>
      </c>
    </row>
    <row r="1136">
      <c r="A1136" s="50" t="s">
        <v>4284</v>
      </c>
      <c r="B1136" s="50" t="str">
        <f>IFERROR(__xludf.DUMMYFUNCTION("""COMPUTED_VALUE"""),"SES-0042")</f>
        <v>SES-0042</v>
      </c>
      <c r="C1136" s="50" t="str">
        <f>IFERROR(__xludf.DUMMYFUNCTION("""COMPUTED_VALUE"""),"melanie.costa@labalaguere.com")</f>
        <v>melanie.costa@labalaguere.com</v>
      </c>
      <c r="D1136" s="127" t="str">
        <f>IFERROR(__xludf.DUMMYFUNCTION("""COMPUTED_VALUE"""),"https://drive.google.com/file/d/1AIQrs9lm5fgNpzCpTbsyCniU2ceOqcEC/view?usp=drivesdk")</f>
        <v>https://drive.google.com/file/d/1AIQrs9lm5fgNpzCpTbsyCniU2ceOqcEC/view?usp=drivesdk</v>
      </c>
    </row>
    <row r="1137">
      <c r="A1137" s="50" t="s">
        <v>4287</v>
      </c>
      <c r="B1137" s="50" t="str">
        <f>IFERROR(__xludf.DUMMYFUNCTION("""COMPUTED_VALUE"""),"SES-0049")</f>
        <v>SES-0049</v>
      </c>
      <c r="C1137" s="50" t="str">
        <f>IFERROR(__xludf.DUMMYFUNCTION("""COMPUTED_VALUE"""),"melanie.costa@labalaguere.com")</f>
        <v>melanie.costa@labalaguere.com</v>
      </c>
      <c r="D1137" s="127" t="str">
        <f>IFERROR(__xludf.DUMMYFUNCTION("""COMPUTED_VALUE"""),"https://drive.google.com/file/d/12fu9WGdUdUyiytEWWRT7YcUMZfb7Dr89/view?usp=drivesdk")</f>
        <v>https://drive.google.com/file/d/12fu9WGdUdUyiytEWWRT7YcUMZfb7Dr89/view?usp=drivesdk</v>
      </c>
    </row>
    <row r="1138">
      <c r="A1138" s="50" t="s">
        <v>4293</v>
      </c>
      <c r="B1138" s="50" t="str">
        <f>IFERROR(__xludf.DUMMYFUNCTION("""COMPUTED_VALUE"""),"SES-0047")</f>
        <v>SES-0047</v>
      </c>
      <c r="C1138" s="50" t="str">
        <f>IFERROR(__xludf.DUMMYFUNCTION("""COMPUTED_VALUE"""),"melanie.costa@labalaguere.com")</f>
        <v>melanie.costa@labalaguere.com</v>
      </c>
      <c r="D1138" s="127" t="str">
        <f>IFERROR(__xludf.DUMMYFUNCTION("""COMPUTED_VALUE"""),"https://drive.google.com/file/d/1yryu5TpVeAfLINGpQ1ywx08h8n4i860e/view?usp=drivesdk")</f>
        <v>https://drive.google.com/file/d/1yryu5TpVeAfLINGpQ1ywx08h8n4i860e/view?usp=drivesdk</v>
      </c>
    </row>
    <row r="1139">
      <c r="A1139" s="50" t="s">
        <v>4296</v>
      </c>
      <c r="B1139" s="50" t="str">
        <f>IFERROR(__xludf.DUMMYFUNCTION("""COMPUTED_VALUE"""),"SES-0041")</f>
        <v>SES-0041</v>
      </c>
      <c r="C1139" s="50" t="str">
        <f>IFERROR(__xludf.DUMMYFUNCTION("""COMPUTED_VALUE"""),"sbruneau@ucpa.asso.fr")</f>
        <v>sbruneau@ucpa.asso.fr</v>
      </c>
      <c r="D1139" s="127" t="str">
        <f>IFERROR(__xludf.DUMMYFUNCTION("""COMPUTED_VALUE"""),"https://drive.google.com/file/d/1LSaSD0NEXa3oknl7mm2NRhHfW9Ja9Um9/view?usp=drivesdk")</f>
        <v>https://drive.google.com/file/d/1LSaSD0NEXa3oknl7mm2NRhHfW9Ja9Um9/view?usp=drivesdk</v>
      </c>
    </row>
    <row r="1140">
      <c r="A1140" s="50" t="s">
        <v>4299</v>
      </c>
      <c r="B1140" s="50" t="str">
        <f>IFERROR(__xludf.DUMMYFUNCTION("""COMPUTED_VALUE"""),"SES-0040")</f>
        <v>SES-0040</v>
      </c>
      <c r="C1140" s="50" t="str">
        <f>IFERROR(__xludf.DUMMYFUNCTION("""COMPUTED_VALUE"""),"jbuhr@ucpa.asso.fr")</f>
        <v>jbuhr@ucpa.asso.fr</v>
      </c>
      <c r="D1140" s="127" t="str">
        <f>IFERROR(__xludf.DUMMYFUNCTION("""COMPUTED_VALUE"""),"https://drive.google.com/file/d/11bk2oQUJtohm47nPV5LM_Prz5PzFkmiM/view?usp=drivesdk")</f>
        <v>https://drive.google.com/file/d/11bk2oQUJtohm47nPV5LM_Prz5PzFkmiM/view?usp=drivesdk</v>
      </c>
    </row>
    <row r="1141">
      <c r="A1141" s="50" t="s">
        <v>4302</v>
      </c>
      <c r="B1141" s="50" t="str">
        <f>IFERROR(__xludf.DUMMYFUNCTION("""COMPUTED_VALUE"""),"SES-0048")</f>
        <v>SES-0048</v>
      </c>
      <c r="C1141" s="50" t="str">
        <f>IFERROR(__xludf.DUMMYFUNCTION("""COMPUTED_VALUE"""),"mval@ucpa.asso.fr")</f>
        <v>mval@ucpa.asso.fr</v>
      </c>
      <c r="D1141" s="127" t="str">
        <f>IFERROR(__xludf.DUMMYFUNCTION("""COMPUTED_VALUE"""),"https://drive.google.com/file/d/1UQrQhhpICpoJYUv1LMuZIPBIb2a1o8nK/view?usp=drivesdk")</f>
        <v>https://drive.google.com/file/d/1UQrQhhpICpoJYUv1LMuZIPBIb2a1o8nK/view?usp=drivesdk</v>
      </c>
    </row>
    <row r="1142">
      <c r="A1142" s="50" t="s">
        <v>4305</v>
      </c>
      <c r="B1142" s="50" t="str">
        <f>IFERROR(__xludf.DUMMYFUNCTION("""COMPUTED_VALUE"""),"SES-0047")</f>
        <v>SES-0047</v>
      </c>
      <c r="C1142" s="50" t="str">
        <f>IFERROR(__xludf.DUMMYFUNCTION("""COMPUTED_VALUE"""),"cjoureau@ucpa.asso.fr")</f>
        <v>cjoureau@ucpa.asso.fr</v>
      </c>
      <c r="D1142" s="127" t="str">
        <f>IFERROR(__xludf.DUMMYFUNCTION("""COMPUTED_VALUE"""),"https://drive.google.com/file/d/1qcTRLwBs5Hbv3u3mgbV1qZjOYs2dwkLw/view?usp=drivesdk")</f>
        <v>https://drive.google.com/file/d/1qcTRLwBs5Hbv3u3mgbV1qZjOYs2dwkLw/view?usp=drivesdk</v>
      </c>
    </row>
    <row r="1143">
      <c r="A1143" s="50" t="s">
        <v>4308</v>
      </c>
      <c r="B1143" s="50" t="str">
        <f>IFERROR(__xludf.DUMMYFUNCTION("""COMPUTED_VALUE"""),"SES-0039")</f>
        <v>SES-0039</v>
      </c>
      <c r="C1143" s="50" t="str">
        <f>IFERROR(__xludf.DUMMYFUNCTION("""COMPUTED_VALUE"""),"cjoureau@ucpa.asso.fr")</f>
        <v>cjoureau@ucpa.asso.fr</v>
      </c>
      <c r="D1143" s="127" t="str">
        <f>IFERROR(__xludf.DUMMYFUNCTION("""COMPUTED_VALUE"""),"https://drive.google.com/file/d/1A8mDECxDSdhNoKGzkivVx1gJALZEscrW/view?usp=drivesdk")</f>
        <v>https://drive.google.com/file/d/1A8mDECxDSdhNoKGzkivVx1gJALZEscrW/view?usp=drivesdk</v>
      </c>
    </row>
    <row r="1144">
      <c r="A1144" s="50" t="s">
        <v>4311</v>
      </c>
      <c r="B1144" s="50" t="str">
        <f>IFERROR(__xludf.DUMMYFUNCTION("""COMPUTED_VALUE"""),"SES-0041")</f>
        <v>SES-0041</v>
      </c>
      <c r="C1144" s="50" t="str">
        <f>IFERROR(__xludf.DUMMYFUNCTION("""COMPUTED_VALUE"""),"cjoureau@ucpa.asso.fr")</f>
        <v>cjoureau@ucpa.asso.fr</v>
      </c>
      <c r="D1144" s="127" t="str">
        <f>IFERROR(__xludf.DUMMYFUNCTION("""COMPUTED_VALUE"""),"https://drive.google.com/file/d/1EPxlYi4PMGMtat0Yv6cLlGxSmLZhC1bs/view?usp=drivesdk")</f>
        <v>https://drive.google.com/file/d/1EPxlYi4PMGMtat0Yv6cLlGxSmLZhC1bs/view?usp=drivesdk</v>
      </c>
    </row>
    <row r="1145">
      <c r="A1145" s="50" t="s">
        <v>4314</v>
      </c>
      <c r="B1145" s="50" t="str">
        <f>IFERROR(__xludf.DUMMYFUNCTION("""COMPUTED_VALUE"""),"SES-0043")</f>
        <v>SES-0043</v>
      </c>
      <c r="C1145" s="50" t="str">
        <f>IFERROR(__xludf.DUMMYFUNCTION("""COMPUTED_VALUE"""),"cjoureau@ucpa.asso.fr")</f>
        <v>cjoureau@ucpa.asso.fr</v>
      </c>
      <c r="D1145" s="127" t="str">
        <f>IFERROR(__xludf.DUMMYFUNCTION("""COMPUTED_VALUE"""),"https://drive.google.com/file/d/1jLIimRwHpJN5KbeNW4SwCfdg9onBFY3e/view?usp=drivesdk")</f>
        <v>https://drive.google.com/file/d/1jLIimRwHpJN5KbeNW4SwCfdg9onBFY3e/view?usp=drivesdk</v>
      </c>
    </row>
    <row r="1146">
      <c r="A1146" s="50" t="s">
        <v>4317</v>
      </c>
      <c r="B1146" s="50" t="str">
        <f>IFERROR(__xludf.DUMMYFUNCTION("""COMPUTED_VALUE"""),"SES-0041")</f>
        <v>SES-0041</v>
      </c>
      <c r="C1146" s="50" t="str">
        <f>IFERROR(__xludf.DUMMYFUNCTION("""COMPUTED_VALUE"""),"emilie.bouysset@gmail.com")</f>
        <v>emilie.bouysset@gmail.com</v>
      </c>
      <c r="D1146" s="127" t="str">
        <f>IFERROR(__xludf.DUMMYFUNCTION("""COMPUTED_VALUE"""),"https://drive.google.com/file/d/1f5a4fDoZSqVQn6_wZNpXMWZh5Th06E59/view?usp=drivesdk")</f>
        <v>https://drive.google.com/file/d/1f5a4fDoZSqVQn6_wZNpXMWZh5Th06E59/view?usp=drivesdk</v>
      </c>
    </row>
    <row r="1147">
      <c r="A1147" s="50" t="s">
        <v>4322</v>
      </c>
      <c r="B1147" s="50" t="str">
        <f>IFERROR(__xludf.DUMMYFUNCTION("""COMPUTED_VALUE"""),"SES-0043")</f>
        <v>SES-0043</v>
      </c>
      <c r="C1147" s="50" t="str">
        <f>IFERROR(__xludf.DUMMYFUNCTION("""COMPUTED_VALUE"""),"emilie.bouysset@gmail.com")</f>
        <v>emilie.bouysset@gmail.com</v>
      </c>
      <c r="D1147" s="127" t="str">
        <f>IFERROR(__xludf.DUMMYFUNCTION("""COMPUTED_VALUE"""),"https://drive.google.com/file/d/1ReVWAdYgLKJ4tK2TRkWEQJrHyY-Uu-Bh/view?usp=drivesdk")</f>
        <v>https://drive.google.com/file/d/1ReVWAdYgLKJ4tK2TRkWEQJrHyY-Uu-Bh/view?usp=drivesdk</v>
      </c>
    </row>
    <row r="1148">
      <c r="A1148" s="50" t="s">
        <v>4325</v>
      </c>
      <c r="B1148" s="50" t="str">
        <f>IFERROR(__xludf.DUMMYFUNCTION("""COMPUTED_VALUE"""),"SES-0033")</f>
        <v>SES-0033</v>
      </c>
      <c r="C1148" s="50" t="str">
        <f>IFERROR(__xludf.DUMMYFUNCTION("""COMPUTED_VALUE"""),"dsamson@ucpa.asso.fr")</f>
        <v>dsamson@ucpa.asso.fr</v>
      </c>
      <c r="D1148" s="127" t="str">
        <f>IFERROR(__xludf.DUMMYFUNCTION("""COMPUTED_VALUE"""),"https://drive.google.com/file/d/1JNb6UaoVSjh1-p5T_DA9UQ4f938z8unv/view?usp=drivesdk")</f>
        <v>https://drive.google.com/file/d/1JNb6UaoVSjh1-p5T_DA9UQ4f938z8unv/view?usp=drivesdk</v>
      </c>
    </row>
    <row r="1149">
      <c r="A1149" s="50" t="s">
        <v>4330</v>
      </c>
      <c r="B1149" s="50" t="str">
        <f>IFERROR(__xludf.DUMMYFUNCTION("""COMPUTED_VALUE"""),"SES-0035")</f>
        <v>SES-0035</v>
      </c>
      <c r="C1149" s="50" t="str">
        <f>IFERROR(__xludf.DUMMYFUNCTION("""COMPUTED_VALUE"""),"dsamson@ucpa.asso.fr")</f>
        <v>dsamson@ucpa.asso.fr</v>
      </c>
      <c r="D1149" s="127" t="str">
        <f>IFERROR(__xludf.DUMMYFUNCTION("""COMPUTED_VALUE"""),"https://drive.google.com/file/d/1U6ATqlF0gBqbvUBvBAJ6Krh0Mj3GAyTF/view?usp=drivesdk")</f>
        <v>https://drive.google.com/file/d/1U6ATqlF0gBqbvUBvBAJ6Krh0Mj3GAyTF/view?usp=drivesdk</v>
      </c>
    </row>
    <row r="1150">
      <c r="A1150" s="50" t="s">
        <v>4333</v>
      </c>
      <c r="B1150" s="50" t="str">
        <f>IFERROR(__xludf.DUMMYFUNCTION("""COMPUTED_VALUE"""),"SES-0042")</f>
        <v>SES-0042</v>
      </c>
      <c r="C1150" s="50" t="str">
        <f>IFERROR(__xludf.DUMMYFUNCTION("""COMPUTED_VALUE"""),"dsamson@ucpa.asso.fr")</f>
        <v>dsamson@ucpa.asso.fr</v>
      </c>
      <c r="D1150" s="127" t="str">
        <f>IFERROR(__xludf.DUMMYFUNCTION("""COMPUTED_VALUE"""),"https://drive.google.com/file/d/1aukm0JC9_N6_c78Ts1B5YYMvY6A-_um8/view?usp=drivesdk")</f>
        <v>https://drive.google.com/file/d/1aukm0JC9_N6_c78Ts1B5YYMvY6A-_um8/view?usp=drivesdk</v>
      </c>
    </row>
    <row r="1151">
      <c r="A1151" s="50" t="s">
        <v>4337</v>
      </c>
      <c r="B1151" s="50" t="str">
        <f>IFERROR(__xludf.DUMMYFUNCTION("""COMPUTED_VALUE"""),"SES-0048")</f>
        <v>SES-0048</v>
      </c>
      <c r="C1151" s="50" t="str">
        <f>IFERROR(__xludf.DUMMYFUNCTION("""COMPUTED_VALUE"""),"jortole@ucpa.asso.fr")</f>
        <v>jortole@ucpa.asso.fr</v>
      </c>
      <c r="D1151" s="127" t="str">
        <f>IFERROR(__xludf.DUMMYFUNCTION("""COMPUTED_VALUE"""),"https://drive.google.com/file/d/1pQslyafh5w6LXKs-4hvwoDaeOx6oKCqv/view?usp=drivesdk")</f>
        <v>https://drive.google.com/file/d/1pQslyafh5w6LXKs-4hvwoDaeOx6oKCqv/view?usp=drivesdk</v>
      </c>
    </row>
    <row r="1152">
      <c r="A1152" s="50" t="s">
        <v>4341</v>
      </c>
      <c r="B1152" s="50" t="str">
        <f>IFERROR(__xludf.DUMMYFUNCTION("""COMPUTED_VALUE"""),"SES-0042")</f>
        <v>SES-0042</v>
      </c>
      <c r="C1152" s="50" t="str">
        <f>IFERROR(__xludf.DUMMYFUNCTION("""COMPUTED_VALUE"""),"jortole@ucpa.asso.fr")</f>
        <v>jortole@ucpa.asso.fr</v>
      </c>
      <c r="D1152" s="127" t="str">
        <f>IFERROR(__xludf.DUMMYFUNCTION("""COMPUTED_VALUE"""),"https://drive.google.com/file/d/17VMFzHxY5tq76J7w4BG0NGbr50TCTg0F/view?usp=drivesdk")</f>
        <v>https://drive.google.com/file/d/17VMFzHxY5tq76J7w4BG0NGbr50TCTg0F/view?usp=drivesdk</v>
      </c>
    </row>
    <row r="1153">
      <c r="A1153" s="50" t="s">
        <v>4345</v>
      </c>
      <c r="B1153" s="50" t="str">
        <f>IFERROR(__xludf.DUMMYFUNCTION("""COMPUTED_VALUE"""),"SES-0043")</f>
        <v>SES-0043</v>
      </c>
      <c r="C1153" s="50" t="str">
        <f>IFERROR(__xludf.DUMMYFUNCTION("""COMPUTED_VALUE"""),"afoltz@ucpa.asso.fr")</f>
        <v>afoltz@ucpa.asso.fr</v>
      </c>
      <c r="D1153" s="127" t="str">
        <f>IFERROR(__xludf.DUMMYFUNCTION("""COMPUTED_VALUE"""),"https://drive.google.com/file/d/1ka0FW4QzFTQTmLb6acx24wkpaOVWoZk4/view?usp=drivesdk")</f>
        <v>https://drive.google.com/file/d/1ka0FW4QzFTQTmLb6acx24wkpaOVWoZk4/view?usp=drivesdk</v>
      </c>
    </row>
    <row r="1154">
      <c r="A1154" s="50" t="s">
        <v>4349</v>
      </c>
      <c r="B1154" s="50" t="str">
        <f>IFERROR(__xludf.DUMMYFUNCTION("""COMPUTED_VALUE"""),"SES-0042")</f>
        <v>SES-0042</v>
      </c>
      <c r="C1154" s="50" t="str">
        <f>IFERROR(__xludf.DUMMYFUNCTION("""COMPUTED_VALUE"""),"lfabricina@ucpa.asso.fr")</f>
        <v>lfabricina@ucpa.asso.fr</v>
      </c>
      <c r="D1154" s="127" t="str">
        <f>IFERROR(__xludf.DUMMYFUNCTION("""COMPUTED_VALUE"""),"https://drive.google.com/file/d/1LhQY-kwPVHwQjVoIgby6ROOPlcuLZNsU/view?usp=drivesdk")</f>
        <v>https://drive.google.com/file/d/1LhQY-kwPVHwQjVoIgby6ROOPlcuLZNsU/view?usp=drivesdk</v>
      </c>
    </row>
    <row r="1155">
      <c r="A1155" s="50" t="s">
        <v>4352</v>
      </c>
      <c r="B1155" s="50" t="str">
        <f>IFERROR(__xludf.DUMMYFUNCTION("""COMPUTED_VALUE"""),"SES-0043")</f>
        <v>SES-0043</v>
      </c>
      <c r="C1155" s="50" t="str">
        <f>IFERROR(__xludf.DUMMYFUNCTION("""COMPUTED_VALUE"""),"meriem.lyaoui@telligo.fr")</f>
        <v>meriem.lyaoui@telligo.fr</v>
      </c>
      <c r="D1155" s="127" t="str">
        <f>IFERROR(__xludf.DUMMYFUNCTION("""COMPUTED_VALUE"""),"https://drive.google.com/file/d/1t1XAeIm6WneH_o9USomfLYCVTxSRqbqJ/view?usp=drivesdk")</f>
        <v>https://drive.google.com/file/d/1t1XAeIm6WneH_o9USomfLYCVTxSRqbqJ/view?usp=drivesdk</v>
      </c>
    </row>
    <row r="1156">
      <c r="A1156" s="50" t="s">
        <v>4356</v>
      </c>
      <c r="B1156" s="50" t="str">
        <f>IFERROR(__xludf.DUMMYFUNCTION("""COMPUTED_VALUE"""),"SES-0032")</f>
        <v>SES-0032</v>
      </c>
      <c r="C1156" s="50" t="str">
        <f>IFERROR(__xludf.DUMMYFUNCTION("""COMPUTED_VALUE"""),"meriem.lyaoui@telligo.fr")</f>
        <v>meriem.lyaoui@telligo.fr</v>
      </c>
      <c r="D1156" s="127" t="str">
        <f>IFERROR(__xludf.DUMMYFUNCTION("""COMPUTED_VALUE"""),"https://drive.google.com/file/d/1yY0R-I6iYqbfARW7_YXHptE674DCxqru/view?usp=drivesdk")</f>
        <v>https://drive.google.com/file/d/1yY0R-I6iYqbfARW7_YXHptE674DCxqru/view?usp=drivesdk</v>
      </c>
    </row>
    <row r="1157">
      <c r="A1157" s="50" t="s">
        <v>4360</v>
      </c>
      <c r="B1157" s="50" t="str">
        <f>IFERROR(__xludf.DUMMYFUNCTION("""COMPUTED_VALUE"""),"SES-0032")</f>
        <v>SES-0032</v>
      </c>
      <c r="C1157" s="50" t="str">
        <f>IFERROR(__xludf.DUMMYFUNCTION("""COMPUTED_VALUE"""),"ngibert@ucpa.asso.fr")</f>
        <v>ngibert@ucpa.asso.fr</v>
      </c>
      <c r="D1157" s="127" t="str">
        <f>IFERROR(__xludf.DUMMYFUNCTION("""COMPUTED_VALUE"""),"https://drive.google.com/file/d/1UCKFjybPKQGoqRovEw1rgLnAeCEixTg4/view?usp=drivesdk")</f>
        <v>https://drive.google.com/file/d/1UCKFjybPKQGoqRovEw1rgLnAeCEixTg4/view?usp=drivesdk</v>
      </c>
    </row>
    <row r="1158">
      <c r="A1158" s="50" t="s">
        <v>4363</v>
      </c>
      <c r="B1158" s="50" t="str">
        <f>IFERROR(__xludf.DUMMYFUNCTION("""COMPUTED_VALUE"""),"SES-0034")</f>
        <v>SES-0034</v>
      </c>
      <c r="C1158" s="50" t="str">
        <f>IFERROR(__xludf.DUMMYFUNCTION("""COMPUTED_VALUE"""),"ngibert@ucpa.asso.fr")</f>
        <v>ngibert@ucpa.asso.fr</v>
      </c>
      <c r="D1158" s="127" t="str">
        <f>IFERROR(__xludf.DUMMYFUNCTION("""COMPUTED_VALUE"""),"https://drive.google.com/file/d/1EAnUAtRi2hq17rVtJF6Hjmpp800zf3Mz/view?usp=drivesdk")</f>
        <v>https://drive.google.com/file/d/1EAnUAtRi2hq17rVtJF6Hjmpp800zf3Mz/view?usp=drivesdk</v>
      </c>
    </row>
    <row r="1159">
      <c r="A1159" s="50" t="s">
        <v>4365</v>
      </c>
      <c r="B1159" s="50" t="str">
        <f>IFERROR(__xludf.DUMMYFUNCTION("""COMPUTED_VALUE"""),"SES-0044")</f>
        <v>SES-0044</v>
      </c>
      <c r="C1159" s="50" t="str">
        <f>IFERROR(__xludf.DUMMYFUNCTION("""COMPUTED_VALUE"""),"cmoret@ucpa.asso.fr")</f>
        <v>cmoret@ucpa.asso.fr</v>
      </c>
      <c r="D1159" s="127" t="str">
        <f>IFERROR(__xludf.DUMMYFUNCTION("""COMPUTED_VALUE"""),"https://drive.google.com/file/d/1iIBbbjHSgphUQTZp05pHFILE4XckMtSu/view?usp=drivesdk")</f>
        <v>https://drive.google.com/file/d/1iIBbbjHSgphUQTZp05pHFILE4XckMtSu/view?usp=drivesdk</v>
      </c>
    </row>
    <row r="1160">
      <c r="A1160" s="50" t="s">
        <v>4368</v>
      </c>
      <c r="B1160" s="50" t="str">
        <f>IFERROR(__xludf.DUMMYFUNCTION("""COMPUTED_VALUE"""),"SES-0047")</f>
        <v>SES-0047</v>
      </c>
      <c r="C1160" s="50" t="str">
        <f>IFERROR(__xludf.DUMMYFUNCTION("""COMPUTED_VALUE"""),"sheurtel@ucpa.asso.fr")</f>
        <v>sheurtel@ucpa.asso.fr</v>
      </c>
      <c r="D1160" s="127" t="str">
        <f>IFERROR(__xludf.DUMMYFUNCTION("""COMPUTED_VALUE"""),"https://drive.google.com/file/d/1l-FQDh_6BWqFULLKRVsqfXx--Fa2XEM8/view?usp=drivesdk")</f>
        <v>https://drive.google.com/file/d/1l-FQDh_6BWqFULLKRVsqfXx--Fa2XEM8/view?usp=drivesdk</v>
      </c>
    </row>
    <row r="1161">
      <c r="A1161" s="50" t="s">
        <v>4372</v>
      </c>
      <c r="B1161" s="50" t="str">
        <f>IFERROR(__xludf.DUMMYFUNCTION("""COMPUTED_VALUE"""),"SES-0051")</f>
        <v>SES-0051</v>
      </c>
      <c r="C1161" s="50" t="str">
        <f>IFERROR(__xludf.DUMMYFUNCTION("""COMPUTED_VALUE"""),"sylvie.martins@destination-decouverte.fr")</f>
        <v>sylvie.martins@destination-decouverte.fr</v>
      </c>
      <c r="D1161" s="127" t="str">
        <f>IFERROR(__xludf.DUMMYFUNCTION("""COMPUTED_VALUE"""),"https://drive.google.com/file/d/1rTFJETQAZqawxp7VV2sD_vSpUo9AvrpN/view?usp=drivesdk")</f>
        <v>https://drive.google.com/file/d/1rTFJETQAZqawxp7VV2sD_vSpUo9AvrpN/view?usp=drivesdk</v>
      </c>
    </row>
    <row r="1162">
      <c r="A1162" s="50" t="s">
        <v>4376</v>
      </c>
      <c r="B1162" s="50" t="str">
        <f>IFERROR(__xludf.DUMMYFUNCTION("""COMPUTED_VALUE"""),"SES-0033")</f>
        <v>SES-0033</v>
      </c>
      <c r="C1162" s="50" t="str">
        <f>IFERROR(__xludf.DUMMYFUNCTION("""COMPUTED_VALUE"""),"ngibert@ucpa.asso.fr")</f>
        <v>ngibert@ucpa.asso.fr</v>
      </c>
      <c r="D1162" s="127" t="str">
        <f>IFERROR(__xludf.DUMMYFUNCTION("""COMPUTED_VALUE"""),"https://drive.google.com/file/d/1jv_TdxgHdwacmOLMKSSpEyK-Sr_cI0Jv/view?usp=drivesdk")</f>
        <v>https://drive.google.com/file/d/1jv_TdxgHdwacmOLMKSSpEyK-Sr_cI0Jv/view?usp=drivesdk</v>
      </c>
    </row>
    <row r="1163">
      <c r="A1163" s="50" t="s">
        <v>4379</v>
      </c>
      <c r="B1163" s="50" t="str">
        <f>IFERROR(__xludf.DUMMYFUNCTION("""COMPUTED_VALUE"""),"SES-0033")</f>
        <v>SES-0033</v>
      </c>
      <c r="C1163" s="50" t="str">
        <f>IFERROR(__xludf.DUMMYFUNCTION("""COMPUTED_VALUE"""),"sylvie.martins@destination-decouverte.fr")</f>
        <v>sylvie.martins@destination-decouverte.fr</v>
      </c>
      <c r="D1163" s="127" t="str">
        <f>IFERROR(__xludf.DUMMYFUNCTION("""COMPUTED_VALUE"""),"https://drive.google.com/file/d/1Oe-SduoMDLsZBPIbGBWRxCawPGgUWfPU/view?usp=drivesdk")</f>
        <v>https://drive.google.com/file/d/1Oe-SduoMDLsZBPIbGBWRxCawPGgUWfPU/view?usp=drivesdk</v>
      </c>
    </row>
    <row r="1164">
      <c r="A1164" s="50" t="s">
        <v>4383</v>
      </c>
      <c r="B1164" s="50" t="str">
        <f>IFERROR(__xludf.DUMMYFUNCTION("""COMPUTED_VALUE"""),"SES-0048")</f>
        <v>SES-0048</v>
      </c>
      <c r="C1164" s="50" t="str">
        <f>IFERROR(__xludf.DUMMYFUNCTION("""COMPUTED_VALUE"""),"cpetit1@ucpa.asso.fr")</f>
        <v>cpetit1@ucpa.asso.fr</v>
      </c>
      <c r="D1164" s="127" t="str">
        <f>IFERROR(__xludf.DUMMYFUNCTION("""COMPUTED_VALUE"""),"https://drive.google.com/file/d/1Lr2DRWAWIYyMOcjmGhPE28CnffCA729p/view?usp=drivesdk")</f>
        <v>https://drive.google.com/file/d/1Lr2DRWAWIYyMOcjmGhPE28CnffCA729p/view?usp=drivesdk</v>
      </c>
    </row>
    <row r="1165">
      <c r="A1165" s="50" t="s">
        <v>4387</v>
      </c>
      <c r="B1165" s="50" t="str">
        <f>IFERROR(__xludf.DUMMYFUNCTION("""COMPUTED_VALUE"""),"SES-0052")</f>
        <v>SES-0052</v>
      </c>
      <c r="C1165" s="50" t="str">
        <f>IFERROR(__xludf.DUMMYFUNCTION("""COMPUTED_VALUE"""),"sylvie.martins@destination-decouverte.fr")</f>
        <v>sylvie.martins@destination-decouverte.fr</v>
      </c>
      <c r="D1165" s="127" t="str">
        <f>IFERROR(__xludf.DUMMYFUNCTION("""COMPUTED_VALUE"""),"https://drive.google.com/file/d/11RvUfGG0adkkgf-4aqtpJRi5EMYwKF9V/view?usp=drivesdk")</f>
        <v>https://drive.google.com/file/d/11RvUfGG0adkkgf-4aqtpJRi5EMYwKF9V/view?usp=drivesdk</v>
      </c>
    </row>
    <row r="1166">
      <c r="A1166" s="50" t="s">
        <v>4390</v>
      </c>
      <c r="B1166" s="50" t="str">
        <f>IFERROR(__xludf.DUMMYFUNCTION("""COMPUTED_VALUE"""),"SES-0042")</f>
        <v>SES-0042</v>
      </c>
      <c r="C1166" s="50" t="str">
        <f>IFERROR(__xludf.DUMMYFUNCTION("""COMPUTED_VALUE"""),"hello-loudenvielle@wellness-sport-camping.com")</f>
        <v>hello-loudenvielle@wellness-sport-camping.com</v>
      </c>
      <c r="D1166" s="127" t="str">
        <f>IFERROR(__xludf.DUMMYFUNCTION("""COMPUTED_VALUE"""),"https://drive.google.com/file/d/16uBoPbec8ADsz2rmqltSrEr9ym5qLMVs/view?usp=drivesdk")</f>
        <v>https://drive.google.com/file/d/16uBoPbec8ADsz2rmqltSrEr9ym5qLMVs/view?usp=drivesdk</v>
      </c>
    </row>
    <row r="1167">
      <c r="A1167" s="50" t="s">
        <v>4393</v>
      </c>
      <c r="B1167" s="50" t="str">
        <f>IFERROR(__xludf.DUMMYFUNCTION("""COMPUTED_VALUE"""),"SES-0033")</f>
        <v>SES-0033</v>
      </c>
      <c r="C1167" s="50" t="str">
        <f>IFERROR(__xludf.DUMMYFUNCTION("""COMPUTED_VALUE"""),"pascale.favre@laudon.fr")</f>
        <v>pascale.favre@laudon.fr</v>
      </c>
      <c r="D1167" s="127" t="str">
        <f>IFERROR(__xludf.DUMMYFUNCTION("""COMPUTED_VALUE"""),"https://drive.google.com/file/d/1izHE3Trpt6KGQ9CQlZtFleJWaPieDs2y/view?usp=drivesdk")</f>
        <v>https://drive.google.com/file/d/1izHE3Trpt6KGQ9CQlZtFleJWaPieDs2y/view?usp=drivesdk</v>
      </c>
    </row>
    <row r="1168">
      <c r="A1168" s="50" t="s">
        <v>4395</v>
      </c>
      <c r="B1168" s="50" t="str">
        <f>IFERROR(__xludf.DUMMYFUNCTION("""COMPUTED_VALUE"""),"SES-0041")</f>
        <v>SES-0041</v>
      </c>
      <c r="C1168" s="50" t="str">
        <f>IFERROR(__xludf.DUMMYFUNCTION("""COMPUTED_VALUE"""),"mdurand@ucpa.asso.fr")</f>
        <v>mdurand@ucpa.asso.fr</v>
      </c>
      <c r="D1168" s="127" t="str">
        <f>IFERROR(__xludf.DUMMYFUNCTION("""COMPUTED_VALUE"""),"https://drive.google.com/file/d/17_8L4UgqYDvFU7el7O5OuK4QY_s2PJKC/view?usp=drivesdk")</f>
        <v>https://drive.google.com/file/d/17_8L4UgqYDvFU7el7O5OuK4QY_s2PJKC/view?usp=drivesdk</v>
      </c>
    </row>
    <row r="1169">
      <c r="A1169" s="50" t="s">
        <v>4396</v>
      </c>
      <c r="B1169" s="50" t="str">
        <f>IFERROR(__xludf.DUMMYFUNCTION("""COMPUTED_VALUE"""),"SES-0037")</f>
        <v>SES-0037</v>
      </c>
      <c r="C1169" s="50" t="str">
        <f>IFERROR(__xludf.DUMMYFUNCTION("""COMPUTED_VALUE"""),"mdurand@ucpa.asso.fr")</f>
        <v>mdurand@ucpa.asso.fr</v>
      </c>
      <c r="D1169" s="127" t="str">
        <f>IFERROR(__xludf.DUMMYFUNCTION("""COMPUTED_VALUE"""),"https://drive.google.com/file/d/1_CTOhQx5U-DFj_4Olzdkplnhy4yRy0u-/view?usp=drivesdk")</f>
        <v>https://drive.google.com/file/d/1_CTOhQx5U-DFj_4Olzdkplnhy4yRy0u-/view?usp=drivesdk</v>
      </c>
    </row>
    <row r="1170">
      <c r="A1170" s="50" t="s">
        <v>4398</v>
      </c>
      <c r="B1170" s="50" t="str">
        <f>IFERROR(__xludf.DUMMYFUNCTION("""COMPUTED_VALUE"""),"SES-0052")</f>
        <v>SES-0052</v>
      </c>
      <c r="C1170" s="50" t="str">
        <f>IFERROR(__xludf.DUMMYFUNCTION("""COMPUTED_VALUE"""),"mdurand@ucpa.asso.fr")</f>
        <v>mdurand@ucpa.asso.fr</v>
      </c>
      <c r="D1170" s="127" t="str">
        <f>IFERROR(__xludf.DUMMYFUNCTION("""COMPUTED_VALUE"""),"https://drive.google.com/file/d/14Wk2HTyZgyboTtm2VtwacrwcfR-PXsJb/view?usp=drivesdk")</f>
        <v>https://drive.google.com/file/d/14Wk2HTyZgyboTtm2VtwacrwcfR-PXsJb/view?usp=drivesdk</v>
      </c>
    </row>
    <row r="1171">
      <c r="A1171" s="50" t="s">
        <v>4399</v>
      </c>
      <c r="B1171" s="50" t="str">
        <f>IFERROR(__xludf.DUMMYFUNCTION("""COMPUTED_VALUE"""),"SES-0044")</f>
        <v>SES-0044</v>
      </c>
      <c r="C1171" s="50" t="str">
        <f>IFERROR(__xludf.DUMMYFUNCTION("""COMPUTED_VALUE"""),"vbuffy@ucpa.asso.fr")</f>
        <v>vbuffy@ucpa.asso.fr</v>
      </c>
      <c r="D1171" s="127" t="str">
        <f>IFERROR(__xludf.DUMMYFUNCTION("""COMPUTED_VALUE"""),"https://drive.google.com/file/d/1iun3StuOQ-oDVCciy8FUWdFy2QM6bNNG/view?usp=drivesdk")</f>
        <v>https://drive.google.com/file/d/1iun3StuOQ-oDVCciy8FUWdFy2QM6bNNG/view?usp=drivesdk</v>
      </c>
    </row>
    <row r="1172">
      <c r="A1172" s="50" t="s">
        <v>4403</v>
      </c>
      <c r="B1172" s="50" t="str">
        <f>IFERROR(__xludf.DUMMYFUNCTION("""COMPUTED_VALUE"""),"SES-0033")</f>
        <v>SES-0033</v>
      </c>
      <c r="C1172" s="50" t="str">
        <f>IFERROR(__xludf.DUMMYFUNCTION("""COMPUTED_VALUE"""),"roger.deher@orange.fr")</f>
        <v>roger.deher@orange.fr</v>
      </c>
      <c r="D1172" s="127" t="str">
        <f>IFERROR(__xludf.DUMMYFUNCTION("""COMPUTED_VALUE"""),"https://drive.google.com/file/d/1kfDfa37UXb6RfvOEKl32KY-MFTjrjZZH/view?usp=drivesdk")</f>
        <v>https://drive.google.com/file/d/1kfDfa37UXb6RfvOEKl32KY-MFTjrjZZH/view?usp=drivesdk</v>
      </c>
    </row>
    <row r="1173">
      <c r="A1173" s="50" t="s">
        <v>4405</v>
      </c>
      <c r="B1173" s="50" t="str">
        <f>IFERROR(__xludf.DUMMYFUNCTION("""COMPUTED_VALUE"""),"SES-0048")</f>
        <v>SES-0048</v>
      </c>
      <c r="C1173" s="50" t="str">
        <f>IFERROR(__xludf.DUMMYFUNCTION("""COMPUTED_VALUE"""),"roger.deher@orange.fr")</f>
        <v>roger.deher@orange.fr</v>
      </c>
      <c r="D1173" s="127" t="str">
        <f>IFERROR(__xludf.DUMMYFUNCTION("""COMPUTED_VALUE"""),"https://drive.google.com/file/d/1WcWNE6w4SoqltMI-U8h7MbgtO_f0OrC1/view?usp=drivesdk")</f>
        <v>https://drive.google.com/file/d/1WcWNE6w4SoqltMI-U8h7MbgtO_f0OrC1/view?usp=drivesdk</v>
      </c>
    </row>
    <row r="1174">
      <c r="A1174" s="50" t="s">
        <v>4406</v>
      </c>
      <c r="B1174" s="50" t="str">
        <f>IFERROR(__xludf.DUMMYFUNCTION("""COMPUTED_VALUE"""),"SES-0036")</f>
        <v>SES-0036</v>
      </c>
      <c r="C1174" s="50" t="str">
        <f>IFERROR(__xludf.DUMMYFUNCTION("""COMPUTED_VALUE"""),"roger.deher@orange.fr")</f>
        <v>roger.deher@orange.fr</v>
      </c>
      <c r="D1174" s="127" t="str">
        <f>IFERROR(__xludf.DUMMYFUNCTION("""COMPUTED_VALUE"""),"https://drive.google.com/file/d/11dZmdaqrNK0tOb4lYLRIXqMRIQwD82Fk/view?usp=drivesdk")</f>
        <v>https://drive.google.com/file/d/11dZmdaqrNK0tOb4lYLRIXqMRIQwD82Fk/view?usp=drivesdk</v>
      </c>
    </row>
    <row r="1175">
      <c r="A1175" s="50" t="s">
        <v>4407</v>
      </c>
      <c r="B1175" s="50" t="str">
        <f>IFERROR(__xludf.DUMMYFUNCTION("""COMPUTED_VALUE"""),"SES-0037")</f>
        <v>SES-0037</v>
      </c>
      <c r="C1175" s="50" t="str">
        <f>IFERROR(__xludf.DUMMYFUNCTION("""COMPUTED_VALUE"""),"roger.deher@orange.fr")</f>
        <v>roger.deher@orange.fr</v>
      </c>
      <c r="D1175" s="127" t="str">
        <f>IFERROR(__xludf.DUMMYFUNCTION("""COMPUTED_VALUE"""),"https://drive.google.com/file/d/13bi2VECSs7npO9Zx9V6c1WvNzmKEZUGR/view?usp=drivesdk")</f>
        <v>https://drive.google.com/file/d/13bi2VECSs7npO9Zx9V6c1WvNzmKEZUGR/view?usp=drivesdk</v>
      </c>
    </row>
    <row r="1176">
      <c r="A1176" s="50" t="s">
        <v>4408</v>
      </c>
      <c r="B1176" s="50" t="str">
        <f>IFERROR(__xludf.DUMMYFUNCTION("""COMPUTED_VALUE"""),"SES-0042")</f>
        <v>SES-0042</v>
      </c>
      <c r="C1176" s="50" t="str">
        <f>IFERROR(__xludf.DUMMYFUNCTION("""COMPUTED_VALUE"""),"roger.deher@orange.fr")</f>
        <v>roger.deher@orange.fr</v>
      </c>
      <c r="D1176" s="127" t="str">
        <f>IFERROR(__xludf.DUMMYFUNCTION("""COMPUTED_VALUE"""),"https://drive.google.com/file/d/1iDYkKTHzpdzgvPR0sYfBXErMlywGZifz/view?usp=drivesdk")</f>
        <v>https://drive.google.com/file/d/1iDYkKTHzpdzgvPR0sYfBXErMlywGZifz/view?usp=drivesdk</v>
      </c>
    </row>
    <row r="1177">
      <c r="A1177" s="50" t="s">
        <v>4409</v>
      </c>
      <c r="B1177" s="50" t="str">
        <f>IFERROR(__xludf.DUMMYFUNCTION("""COMPUTED_VALUE"""),"SES-0049")</f>
        <v>SES-0049</v>
      </c>
      <c r="C1177" s="50" t="str">
        <f>IFERROR(__xludf.DUMMYFUNCTION("""COMPUTED_VALUE"""),"vbuffy@ucpa.asso.fr")</f>
        <v>vbuffy@ucpa.asso.fr</v>
      </c>
      <c r="D1177" s="127" t="str">
        <f>IFERROR(__xludf.DUMMYFUNCTION("""COMPUTED_VALUE"""),"https://drive.google.com/file/d/1JiQH5lSB3SN2ZK_UW3kIf_nqmKqo7g-i/view?usp=drivesdk")</f>
        <v>https://drive.google.com/file/d/1JiQH5lSB3SN2ZK_UW3kIf_nqmKqo7g-i/view?usp=drivesdk</v>
      </c>
    </row>
    <row r="1178">
      <c r="A1178" s="50" t="s">
        <v>4410</v>
      </c>
      <c r="B1178" s="50" t="str">
        <f>IFERROR(__xludf.DUMMYFUNCTION("""COMPUTED_VALUE"""),"SES-0051")</f>
        <v>SES-0051</v>
      </c>
      <c r="C1178" s="50" t="str">
        <f>IFERROR(__xludf.DUMMYFUNCTION("""COMPUTED_VALUE"""),"vbuffy@ucpa.asso.fr")</f>
        <v>vbuffy@ucpa.asso.fr</v>
      </c>
      <c r="D1178" s="127" t="str">
        <f>IFERROR(__xludf.DUMMYFUNCTION("""COMPUTED_VALUE"""),"https://drive.google.com/file/d/1agGAReMCB9sw-WDaKNvjKadkIYNTxjif/view?usp=drivesdk")</f>
        <v>https://drive.google.com/file/d/1agGAReMCB9sw-WDaKNvjKadkIYNTxjif/view?usp=drivesdk</v>
      </c>
    </row>
    <row r="1179">
      <c r="A1179" s="50" t="s">
        <v>4411</v>
      </c>
      <c r="B1179" s="50" t="str">
        <f>IFERROR(__xludf.DUMMYFUNCTION("""COMPUTED_VALUE"""),"SES-0044")</f>
        <v>SES-0044</v>
      </c>
      <c r="C1179" s="50" t="str">
        <f>IFERROR(__xludf.DUMMYFUNCTION("""COMPUTED_VALUE"""),"mattias.nilsson@labalaguere.com")</f>
        <v>mattias.nilsson@labalaguere.com</v>
      </c>
      <c r="D1179" s="127" t="str">
        <f>IFERROR(__xludf.DUMMYFUNCTION("""COMPUTED_VALUE"""),"https://drive.google.com/file/d/11Ahpwp6C0GV5R5JO_EfeDm80Yi2pQX-6/view?usp=drivesdk")</f>
        <v>https://drive.google.com/file/d/11Ahpwp6C0GV5R5JO_EfeDm80Yi2pQX-6/view?usp=drivesdk</v>
      </c>
    </row>
    <row r="1180">
      <c r="A1180" s="50" t="s">
        <v>4412</v>
      </c>
      <c r="B1180" s="50" t="str">
        <f>IFERROR(__xludf.DUMMYFUNCTION("""COMPUTED_VALUE"""),"SES-0049")</f>
        <v>SES-0049</v>
      </c>
      <c r="C1180" s="50" t="str">
        <f>IFERROR(__xludf.DUMMYFUNCTION("""COMPUTED_VALUE"""),"mattias.nilsson@labalaguere.com")</f>
        <v>mattias.nilsson@labalaguere.com</v>
      </c>
      <c r="D1180" s="127" t="str">
        <f>IFERROR(__xludf.DUMMYFUNCTION("""COMPUTED_VALUE"""),"https://drive.google.com/file/d/1MZbQzPYPKRQ0Vb6ZWGyZmXbQUm6L-IQM/view?usp=drivesdk")</f>
        <v>https://drive.google.com/file/d/1MZbQzPYPKRQ0Vb6ZWGyZmXbQUm6L-IQM/view?usp=drivesdk</v>
      </c>
    </row>
    <row r="1181">
      <c r="A1181" s="50" t="s">
        <v>4413</v>
      </c>
      <c r="B1181" s="50" t="str">
        <f>IFERROR(__xludf.DUMMYFUNCTION("""COMPUTED_VALUE"""),"SES-0050")</f>
        <v>SES-0050</v>
      </c>
      <c r="C1181" s="50" t="str">
        <f>IFERROR(__xludf.DUMMYFUNCTION("""COMPUTED_VALUE"""),"mattias.nilsson@labalaguere.com")</f>
        <v>mattias.nilsson@labalaguere.com</v>
      </c>
      <c r="D1181" s="127" t="str">
        <f>IFERROR(__xludf.DUMMYFUNCTION("""COMPUTED_VALUE"""),"https://drive.google.com/file/d/1T1W8DvM0f_N8Om8k7qCK7sIJl2IDJMwY/view?usp=drivesdk")</f>
        <v>https://drive.google.com/file/d/1T1W8DvM0f_N8Om8k7qCK7sIJl2IDJMwY/view?usp=drivesdk</v>
      </c>
    </row>
    <row r="1182">
      <c r="A1182" s="50" t="s">
        <v>4414</v>
      </c>
      <c r="B1182" s="50" t="str">
        <f>IFERROR(__xludf.DUMMYFUNCTION("""COMPUTED_VALUE"""),"SES-0052")</f>
        <v>SES-0052</v>
      </c>
      <c r="C1182" s="50" t="str">
        <f>IFERROR(__xludf.DUMMYFUNCTION("""COMPUTED_VALUE"""),"mattias.nilsson@labalaguere.com")</f>
        <v>mattias.nilsson@labalaguere.com</v>
      </c>
      <c r="D1182" s="127" t="str">
        <f>IFERROR(__xludf.DUMMYFUNCTION("""COMPUTED_VALUE"""),"https://drive.google.com/file/d/1cawqkGZNMs8tluB07TtTMhcddEzUILMT/view?usp=drivesdk")</f>
        <v>https://drive.google.com/file/d/1cawqkGZNMs8tluB07TtTMhcddEzUILMT/view?usp=drivesdk</v>
      </c>
    </row>
    <row r="1183">
      <c r="A1183" s="50" t="s">
        <v>4415</v>
      </c>
      <c r="B1183" s="50" t="str">
        <f>IFERROR(__xludf.DUMMYFUNCTION("""COMPUTED_VALUE"""),"SES-0051")</f>
        <v>SES-0051</v>
      </c>
      <c r="C1183" s="50" t="str">
        <f>IFERROR(__xludf.DUMMYFUNCTION("""COMPUTED_VALUE"""),"mattias.nilsson@labalaguere.com")</f>
        <v>mattias.nilsson@labalaguere.com</v>
      </c>
      <c r="D1183" s="127" t="str">
        <f>IFERROR(__xludf.DUMMYFUNCTION("""COMPUTED_VALUE"""),"https://drive.google.com/file/d/1KSe695ljfgV2jBr8UATkkADwcg_k-Fip/view?usp=drivesdk")</f>
        <v>https://drive.google.com/file/d/1KSe695ljfgV2jBr8UATkkADwcg_k-Fip/view?usp=drivesdk</v>
      </c>
    </row>
    <row r="1184">
      <c r="A1184" s="50" t="s">
        <v>4417</v>
      </c>
      <c r="B1184" s="50" t="str">
        <f>IFERROR(__xludf.DUMMYFUNCTION("""COMPUTED_VALUE"""),"SES-0040")</f>
        <v>SES-0040</v>
      </c>
      <c r="C1184" s="50" t="str">
        <f>IFERROR(__xludf.DUMMYFUNCTION("""COMPUTED_VALUE"""),"stephane.tavernier@telligo.fr")</f>
        <v>stephane.tavernier@telligo.fr</v>
      </c>
      <c r="D1184" s="127" t="str">
        <f>IFERROR(__xludf.DUMMYFUNCTION("""COMPUTED_VALUE"""),"https://drive.google.com/file/d/1mmlDxVMHEYa9IkMfFlJBIa1BPLxjZLZb/view?usp=drivesdk")</f>
        <v>https://drive.google.com/file/d/1mmlDxVMHEYa9IkMfFlJBIa1BPLxjZLZb/view?usp=drivesdk</v>
      </c>
    </row>
    <row r="1185">
      <c r="A1185" s="50" t="s">
        <v>4418</v>
      </c>
      <c r="B1185" s="50" t="str">
        <f>IFERROR(__xludf.DUMMYFUNCTION("""COMPUTED_VALUE"""),"SES-0036")</f>
        <v>SES-0036</v>
      </c>
      <c r="C1185" s="50" t="str">
        <f>IFERROR(__xludf.DUMMYFUNCTION("""COMPUTED_VALUE"""),"mattias.nilsson@labalaguere.com")</f>
        <v>mattias.nilsson@labalaguere.com</v>
      </c>
      <c r="D1185" s="127" t="str">
        <f>IFERROR(__xludf.DUMMYFUNCTION("""COMPUTED_VALUE"""),"https://drive.google.com/file/d/1RUsGQix9oiVtXZy7U4sWdH47vV3mtrof/view?usp=drivesdk")</f>
        <v>https://drive.google.com/file/d/1RUsGQix9oiVtXZy7U4sWdH47vV3mtrof/view?usp=drivesdk</v>
      </c>
    </row>
    <row r="1186">
      <c r="A1186" s="50" t="s">
        <v>4419</v>
      </c>
      <c r="B1186" s="50" t="str">
        <f>IFERROR(__xludf.DUMMYFUNCTION("""COMPUTED_VALUE"""),"SES-0052")</f>
        <v>SES-0052</v>
      </c>
      <c r="C1186" s="50" t="str">
        <f>IFERROR(__xludf.DUMMYFUNCTION("""COMPUTED_VALUE"""),"stephane.tavernier@telligo.fr")</f>
        <v>stephane.tavernier@telligo.fr</v>
      </c>
      <c r="D1186" s="127" t="str">
        <f>IFERROR(__xludf.DUMMYFUNCTION("""COMPUTED_VALUE"""),"https://drive.google.com/file/d/1QjvKXZ-FWcryIL499ua6eQkP47uArvY7/view?usp=drivesdk")</f>
        <v>https://drive.google.com/file/d/1QjvKXZ-FWcryIL499ua6eQkP47uArvY7/view?usp=drivesdk</v>
      </c>
    </row>
    <row r="1187">
      <c r="A1187" s="50" t="s">
        <v>4426</v>
      </c>
      <c r="B1187" s="50" t="str">
        <f>IFERROR(__xludf.DUMMYFUNCTION("""COMPUTED_VALUE"""),"SES-0050")</f>
        <v>SES-0050</v>
      </c>
      <c r="C1187" s="50" t="str">
        <f>IFERROR(__xludf.DUMMYFUNCTION("""COMPUTED_VALUE"""),"stephane.tavernier@telligo.fr")</f>
        <v>stephane.tavernier@telligo.fr</v>
      </c>
      <c r="D1187" s="127" t="str">
        <f>IFERROR(__xludf.DUMMYFUNCTION("""COMPUTED_VALUE"""),"https://drive.google.com/file/d/1Iz3k5XX7KR5AJF1cjmsJDjS0wXdZm0ZD/view?usp=drivesdk")</f>
        <v>https://drive.google.com/file/d/1Iz3k5XX7KR5AJF1cjmsJDjS0wXdZm0ZD/view?usp=drivesdk</v>
      </c>
    </row>
    <row r="1188">
      <c r="A1188" s="50" t="s">
        <v>4430</v>
      </c>
      <c r="B1188" s="50" t="str">
        <f>IFERROR(__xludf.DUMMYFUNCTION("""COMPUTED_VALUE"""),"SES-0047")</f>
        <v>SES-0047</v>
      </c>
      <c r="C1188" s="50" t="str">
        <f>IFERROR(__xludf.DUMMYFUNCTION("""COMPUTED_VALUE"""),"stephane.tavernier@telligo.fr")</f>
        <v>stephane.tavernier@telligo.fr</v>
      </c>
      <c r="D1188" s="127" t="str">
        <f>IFERROR(__xludf.DUMMYFUNCTION("""COMPUTED_VALUE"""),"https://drive.google.com/file/d/1_ZfVoIcMLMk_tK10-RgfYEfetEzFxWrk/view?usp=drivesdk")</f>
        <v>https://drive.google.com/file/d/1_ZfVoIcMLMk_tK10-RgfYEfetEzFxWrk/view?usp=drivesdk</v>
      </c>
    </row>
    <row r="1189">
      <c r="A1189" s="50" t="s">
        <v>4431</v>
      </c>
      <c r="B1189" s="50" t="str">
        <f>IFERROR(__xludf.DUMMYFUNCTION("""COMPUTED_VALUE"""),"SES-0047")</f>
        <v>SES-0047</v>
      </c>
      <c r="C1189" s="50" t="str">
        <f>IFERROR(__xludf.DUMMYFUNCTION("""COMPUTED_VALUE"""),"martial@labalaguere.com")</f>
        <v>martial@labalaguere.com</v>
      </c>
      <c r="D1189" s="127" t="str">
        <f>IFERROR(__xludf.DUMMYFUNCTION("""COMPUTED_VALUE"""),"https://drive.google.com/file/d/1a8Pw5kV6NbScfH2PXHwr1MJrhw-TbxcF/view?usp=drivesdk")</f>
        <v>https://drive.google.com/file/d/1a8Pw5kV6NbScfH2PXHwr1MJrhw-TbxcF/view?usp=drivesdk</v>
      </c>
    </row>
    <row r="1190">
      <c r="A1190" s="50" t="s">
        <v>4432</v>
      </c>
      <c r="B1190" s="50" t="str">
        <f>IFERROR(__xludf.DUMMYFUNCTION("""COMPUTED_VALUE"""),"SES-0036")</f>
        <v>SES-0036</v>
      </c>
      <c r="C1190" s="50" t="str">
        <f>IFERROR(__xludf.DUMMYFUNCTION("""COMPUTED_VALUE"""),"jmathlouthi@ucpa.asso.fr")</f>
        <v>jmathlouthi@ucpa.asso.fr</v>
      </c>
      <c r="D1190" s="127" t="str">
        <f>IFERROR(__xludf.DUMMYFUNCTION("""COMPUTED_VALUE"""),"https://drive.google.com/file/d/1IrgUWCCZLYZyO7xP3wD-wSyCleM2Fe2M/view?usp=drivesdk")</f>
        <v>https://drive.google.com/file/d/1IrgUWCCZLYZyO7xP3wD-wSyCleM2Fe2M/view?usp=drivesdk</v>
      </c>
    </row>
    <row r="1191">
      <c r="A1191" s="50" t="s">
        <v>4433</v>
      </c>
      <c r="B1191" s="50" t="str">
        <f>IFERROR(__xludf.DUMMYFUNCTION("""COMPUTED_VALUE"""),"SES-0037")</f>
        <v>SES-0037</v>
      </c>
      <c r="C1191" s="50" t="str">
        <f>IFERROR(__xludf.DUMMYFUNCTION("""COMPUTED_VALUE"""),"jmathlouthi@ucpa.asso.fr")</f>
        <v>jmathlouthi@ucpa.asso.fr</v>
      </c>
      <c r="D1191" s="127" t="str">
        <f>IFERROR(__xludf.DUMMYFUNCTION("""COMPUTED_VALUE"""),"https://drive.google.com/file/d/123U7zFe2sPaKZARGqIpRHgEVPqbhYcCy/view?usp=drivesdk")</f>
        <v>https://drive.google.com/file/d/123U7zFe2sPaKZARGqIpRHgEVPqbhYcCy/view?usp=drivesdk</v>
      </c>
    </row>
    <row r="1192">
      <c r="A1192" s="50" t="s">
        <v>4434</v>
      </c>
      <c r="B1192" s="50" t="str">
        <f>IFERROR(__xludf.DUMMYFUNCTION("""COMPUTED_VALUE"""),"SES-0037")</f>
        <v>SES-0037</v>
      </c>
      <c r="C1192" s="50" t="str">
        <f>IFERROR(__xludf.DUMMYFUNCTION("""COMPUTED_VALUE"""),"ldubos@ucpa.asso.fr")</f>
        <v>ldubos@ucpa.asso.fr</v>
      </c>
      <c r="D1192" s="127" t="str">
        <f>IFERROR(__xludf.DUMMYFUNCTION("""COMPUTED_VALUE"""),"https://drive.google.com/file/d/1aWDXwvx5Mlzb9zAYPqXQcFAerUp8d50d/view?usp=drivesdk")</f>
        <v>https://drive.google.com/file/d/1aWDXwvx5Mlzb9zAYPqXQcFAerUp8d50d/view?usp=drivesdk</v>
      </c>
    </row>
    <row r="1193">
      <c r="A1193" s="50" t="s">
        <v>4435</v>
      </c>
      <c r="B1193" s="50" t="str">
        <f>IFERROR(__xludf.DUMMYFUNCTION("""COMPUTED_VALUE"""),"SES-0053")</f>
        <v>SES-0053</v>
      </c>
      <c r="C1193" s="50" t="str">
        <f>IFERROR(__xludf.DUMMYFUNCTION("""COMPUTED_VALUE"""),"vmeigneux@ucpa.asso.fr")</f>
        <v>vmeigneux@ucpa.asso.fr</v>
      </c>
      <c r="D1193" s="127" t="str">
        <f>IFERROR(__xludf.DUMMYFUNCTION("""COMPUTED_VALUE"""),"https://drive.google.com/file/d/1faTtC1j1lOhDi6dob9Nve9I2TUKYxsLs/view?usp=drivesdk")</f>
        <v>https://drive.google.com/file/d/1faTtC1j1lOhDi6dob9Nve9I2TUKYxsLs/view?usp=drivesdk</v>
      </c>
    </row>
    <row r="1194">
      <c r="A1194" s="50" t="s">
        <v>4436</v>
      </c>
      <c r="B1194" s="50" t="str">
        <f>IFERROR(__xludf.DUMMYFUNCTION("""COMPUTED_VALUE"""),"SES-0048")</f>
        <v>SES-0048</v>
      </c>
      <c r="C1194" s="50" t="str">
        <f>IFERROR(__xludf.DUMMYFUNCTION("""COMPUTED_VALUE"""),"fcapitaine@ucpa.asso.fr")</f>
        <v>fcapitaine@ucpa.asso.fr</v>
      </c>
      <c r="D1194" s="127" t="str">
        <f>IFERROR(__xludf.DUMMYFUNCTION("""COMPUTED_VALUE"""),"https://drive.google.com/file/d/1qGDz9BY-moVr0dWwMT0R0M2acU7-Ea-8/view?usp=drivesdk")</f>
        <v>https://drive.google.com/file/d/1qGDz9BY-moVr0dWwMT0R0M2acU7-Ea-8/view?usp=drivesdk</v>
      </c>
    </row>
    <row r="1195">
      <c r="A1195" s="50" t="s">
        <v>4437</v>
      </c>
      <c r="B1195" s="50" t="str">
        <f>IFERROR(__xludf.DUMMYFUNCTION("""COMPUTED_VALUE"""),"SES-0036")</f>
        <v>SES-0036</v>
      </c>
      <c r="C1195" s="50" t="str">
        <f>IFERROR(__xludf.DUMMYFUNCTION("""COMPUTED_VALUE"""),"fcapitaine@ucpa.asso.fr")</f>
        <v>fcapitaine@ucpa.asso.fr</v>
      </c>
      <c r="D1195" s="127" t="str">
        <f>IFERROR(__xludf.DUMMYFUNCTION("""COMPUTED_VALUE"""),"https://drive.google.com/file/d/10vZM8bTh4Oq5PlSwmVSx5iC2vaAukXr4/view?usp=drivesdk")</f>
        <v>https://drive.google.com/file/d/10vZM8bTh4Oq5PlSwmVSx5iC2vaAukXr4/view?usp=drivesdk</v>
      </c>
    </row>
    <row r="1196">
      <c r="A1196" s="50" t="s">
        <v>4438</v>
      </c>
      <c r="B1196" s="50" t="str">
        <f>IFERROR(__xludf.DUMMYFUNCTION("""COMPUTED_VALUE"""),"SES-0049")</f>
        <v>SES-0049</v>
      </c>
      <c r="C1196" s="50" t="str">
        <f>IFERROR(__xludf.DUMMYFUNCTION("""COMPUTED_VALUE"""),"jmathlouthi@ucpa.asso.fr")</f>
        <v>jmathlouthi@ucpa.asso.fr</v>
      </c>
      <c r="D1196" s="127" t="str">
        <f>IFERROR(__xludf.DUMMYFUNCTION("""COMPUTED_VALUE"""),"https://drive.google.com/file/d/13JfjrI-VrzRKPWw-hYgK4RLj2Mj_44Sl/view?usp=drivesdk")</f>
        <v>https://drive.google.com/file/d/13JfjrI-VrzRKPWw-hYgK4RLj2Mj_44Sl/view?usp=drivesdk</v>
      </c>
    </row>
    <row r="1197">
      <c r="A1197" s="50" t="s">
        <v>4439</v>
      </c>
      <c r="B1197" s="50" t="str">
        <f>IFERROR(__xludf.DUMMYFUNCTION("""COMPUTED_VALUE"""),"SES-0047")</f>
        <v>SES-0047</v>
      </c>
      <c r="C1197" s="50" t="str">
        <f>IFERROR(__xludf.DUMMYFUNCTION("""COMPUTED_VALUE"""),"jmathlouthi@ucpa.asso.fr")</f>
        <v>jmathlouthi@ucpa.asso.fr</v>
      </c>
      <c r="D1197" s="127" t="str">
        <f>IFERROR(__xludf.DUMMYFUNCTION("""COMPUTED_VALUE"""),"https://drive.google.com/file/d/19ScSMatIEvqS_4B0GjE07Dsm4zvu4Tt7/view?usp=drivesdk")</f>
        <v>https://drive.google.com/file/d/19ScSMatIEvqS_4B0GjE07Dsm4zvu4Tt7/view?usp=drivesdk</v>
      </c>
    </row>
    <row r="1198">
      <c r="A1198" s="50" t="s">
        <v>4440</v>
      </c>
      <c r="B1198" s="50" t="str">
        <f>IFERROR(__xludf.DUMMYFUNCTION("""COMPUTED_VALUE"""),"SES-0050")</f>
        <v>SES-0050</v>
      </c>
      <c r="C1198" s="50" t="str">
        <f>IFERROR(__xludf.DUMMYFUNCTION("""COMPUTED_VALUE"""),"jmathlouthi@ucpa.asso.fr")</f>
        <v>jmathlouthi@ucpa.asso.fr</v>
      </c>
      <c r="D1198" s="127" t="str">
        <f>IFERROR(__xludf.DUMMYFUNCTION("""COMPUTED_VALUE"""),"https://drive.google.com/file/d/17O7C-RfA2PIZleEu2jpZOx-Qm4TO8Gzq/view?usp=drivesdk")</f>
        <v>https://drive.google.com/file/d/17O7C-RfA2PIZleEu2jpZOx-Qm4TO8Gzq/view?usp=drivesdk</v>
      </c>
    </row>
    <row r="1199">
      <c r="A1199" s="50" t="s">
        <v>4441</v>
      </c>
      <c r="B1199" s="50" t="str">
        <f>IFERROR(__xludf.DUMMYFUNCTION("""COMPUTED_VALUE"""),"SES-0051")</f>
        <v>SES-0051</v>
      </c>
      <c r="C1199" s="50" t="str">
        <f>IFERROR(__xludf.DUMMYFUNCTION("""COMPUTED_VALUE"""),"jmathlouthi@ucpa.asso.fr")</f>
        <v>jmathlouthi@ucpa.asso.fr</v>
      </c>
      <c r="D1199" s="127" t="str">
        <f>IFERROR(__xludf.DUMMYFUNCTION("""COMPUTED_VALUE"""),"https://drive.google.com/file/d/1AGhDJmXdeqIuSWbyHOZctIPCbihGUpfh/view?usp=drivesdk")</f>
        <v>https://drive.google.com/file/d/1AGhDJmXdeqIuSWbyHOZctIPCbihGUpfh/view?usp=drivesdk</v>
      </c>
    </row>
    <row r="1200">
      <c r="A1200" s="50" t="s">
        <v>4442</v>
      </c>
      <c r="B1200" s="50" t="str">
        <f>IFERROR(__xludf.DUMMYFUNCTION("""COMPUTED_VALUE"""),"SES-0034")</f>
        <v>SES-0034</v>
      </c>
      <c r="C1200" s="50" t="str">
        <f>IFERROR(__xludf.DUMMYFUNCTION("""COMPUTED_VALUE"""),"ttimizar@ucpa.asso.fr")</f>
        <v>ttimizar@ucpa.asso.fr</v>
      </c>
      <c r="D1200" s="127" t="str">
        <f>IFERROR(__xludf.DUMMYFUNCTION("""COMPUTED_VALUE"""),"https://drive.google.com/file/d/13VTTEkgmVTEOcX8UHQ-edFE3a8Dix_jr/view?usp=drivesdk")</f>
        <v>https://drive.google.com/file/d/13VTTEkgmVTEOcX8UHQ-edFE3a8Dix_jr/view?usp=drivesdk</v>
      </c>
    </row>
    <row r="1201">
      <c r="A1201" s="50" t="s">
        <v>4443</v>
      </c>
      <c r="B1201" s="50" t="str">
        <f>IFERROR(__xludf.DUMMYFUNCTION("""COMPUTED_VALUE"""),"SES-0049")</f>
        <v>SES-0049</v>
      </c>
      <c r="C1201" s="50" t="str">
        <f>IFERROR(__xludf.DUMMYFUNCTION("""COMPUTED_VALUE"""),"tsturzer@ucpa.asso.fr")</f>
        <v>tsturzer@ucpa.asso.fr</v>
      </c>
      <c r="D1201" s="127" t="str">
        <f>IFERROR(__xludf.DUMMYFUNCTION("""COMPUTED_VALUE"""),"https://drive.google.com/file/d/13X04JxP2XEqq2rxrXo4Vyu6rsk34OTHn/view?usp=drivesdk")</f>
        <v>https://drive.google.com/file/d/13X04JxP2XEqq2rxrXo4Vyu6rsk34OTHn/view?usp=drivesdk</v>
      </c>
    </row>
    <row r="1202">
      <c r="A1202" s="50" t="s">
        <v>4444</v>
      </c>
      <c r="B1202" s="50" t="str">
        <f>IFERROR(__xludf.DUMMYFUNCTION("""COMPUTED_VALUE"""),"SES-0048")</f>
        <v>SES-0048</v>
      </c>
      <c r="C1202" s="50" t="str">
        <f>IFERROR(__xludf.DUMMYFUNCTION("""COMPUTED_VALUE"""),"jmathlouthi@ucpa.asso.fr")</f>
        <v>jmathlouthi@ucpa.asso.fr</v>
      </c>
      <c r="D1202" s="127" t="str">
        <f>IFERROR(__xludf.DUMMYFUNCTION("""COMPUTED_VALUE"""),"https://drive.google.com/file/d/1cf845s3XxCWE0D1c-ocJe9BzhciL6h1G/view?usp=drivesdk")</f>
        <v>https://drive.google.com/file/d/1cf845s3XxCWE0D1c-ocJe9BzhciL6h1G/view?usp=drivesdk</v>
      </c>
    </row>
    <row r="1203">
      <c r="A1203" s="50" t="s">
        <v>4445</v>
      </c>
      <c r="B1203" s="50" t="str">
        <f>IFERROR(__xludf.DUMMYFUNCTION("""COMPUTED_VALUE"""),"SES-0042")</f>
        <v>SES-0042</v>
      </c>
      <c r="C1203" s="50" t="str">
        <f>IFERROR(__xludf.DUMMYFUNCTION("""COMPUTED_VALUE"""),"jmathlouthi@ucpa.asso.fr")</f>
        <v>jmathlouthi@ucpa.asso.fr</v>
      </c>
      <c r="D1203" s="127" t="str">
        <f>IFERROR(__xludf.DUMMYFUNCTION("""COMPUTED_VALUE"""),"https://drive.google.com/file/d/1CFEmhS9tEpcJtZsq-Xp6UFNZf3MybZ1z/view?usp=drivesdk")</f>
        <v>https://drive.google.com/file/d/1CFEmhS9tEpcJtZsq-Xp6UFNZf3MybZ1z/view?usp=drivesdk</v>
      </c>
    </row>
    <row r="1204">
      <c r="A1204" s="50" t="s">
        <v>4449</v>
      </c>
      <c r="B1204" s="50" t="str">
        <f>IFERROR(__xludf.DUMMYFUNCTION("""COMPUTED_VALUE"""),"SES-0053")</f>
        <v>SES-0053</v>
      </c>
      <c r="C1204" s="50" t="str">
        <f>IFERROR(__xludf.DUMMYFUNCTION("""COMPUTED_VALUE"""),"jmathlouthi@ucpa.asso.fr")</f>
        <v>jmathlouthi@ucpa.asso.fr</v>
      </c>
      <c r="D1204" s="127" t="str">
        <f>IFERROR(__xludf.DUMMYFUNCTION("""COMPUTED_VALUE"""),"https://drive.google.com/file/d/1inggga0hMQZkxw0_C1qlqIkdvmFZKh1n/view?usp=drivesdk")</f>
        <v>https://drive.google.com/file/d/1inggga0hMQZkxw0_C1qlqIkdvmFZKh1n/view?usp=drivesdk</v>
      </c>
    </row>
    <row r="1205">
      <c r="A1205" s="50" t="s">
        <v>4450</v>
      </c>
      <c r="B1205" s="50" t="str">
        <f>IFERROR(__xludf.DUMMYFUNCTION("""COMPUTED_VALUE"""),"SES-0052")</f>
        <v>SES-0052</v>
      </c>
      <c r="C1205" s="50" t="str">
        <f>IFERROR(__xludf.DUMMYFUNCTION("""COMPUTED_VALUE"""),"jmathlouthi@ucpa.asso.fr")</f>
        <v>jmathlouthi@ucpa.asso.fr</v>
      </c>
      <c r="D1205" s="127" t="str">
        <f>IFERROR(__xludf.DUMMYFUNCTION("""COMPUTED_VALUE"""),"https://drive.google.com/file/d/1Z83TMgC8F76c8qoCZ4ewAdecAtwiuVHe/view?usp=drivesdk")</f>
        <v>https://drive.google.com/file/d/1Z83TMgC8F76c8qoCZ4ewAdecAtwiuVHe/view?usp=drivesdk</v>
      </c>
    </row>
    <row r="1206">
      <c r="A1206" s="50" t="s">
        <v>4451</v>
      </c>
      <c r="B1206" s="50" t="str">
        <f>IFERROR(__xludf.DUMMYFUNCTION("""COMPUTED_VALUE"""),"SES-0048")</f>
        <v>SES-0048</v>
      </c>
      <c r="C1206" s="50" t="str">
        <f>IFERROR(__xludf.DUMMYFUNCTION("""COMPUTED_VALUE"""),"ptassy@ucpa.asso.fr")</f>
        <v>ptassy@ucpa.asso.fr</v>
      </c>
      <c r="D1206" s="127" t="str">
        <f>IFERROR(__xludf.DUMMYFUNCTION("""COMPUTED_VALUE"""),"https://drive.google.com/file/d/1sYRFWMwHuL-e3GCAU2raj2KoyID07C7N/view?usp=drivesdk")</f>
        <v>https://drive.google.com/file/d/1sYRFWMwHuL-e3GCAU2raj2KoyID07C7N/view?usp=drivesdk</v>
      </c>
    </row>
    <row r="1207">
      <c r="A1207" s="50" t="s">
        <v>4452</v>
      </c>
      <c r="B1207" s="50" t="str">
        <f>IFERROR(__xludf.DUMMYFUNCTION("""COMPUTED_VALUE"""),"SES-0042")</f>
        <v>SES-0042</v>
      </c>
      <c r="C1207" s="50" t="str">
        <f>IFERROR(__xludf.DUMMYFUNCTION("""COMPUTED_VALUE"""),"ptassy@ucpa.asso.fr")</f>
        <v>ptassy@ucpa.asso.fr</v>
      </c>
      <c r="D1207" s="127" t="str">
        <f>IFERROR(__xludf.DUMMYFUNCTION("""COMPUTED_VALUE"""),"https://drive.google.com/file/d/12fVLUBZP_XfA8UUKcqsHJkeO8t4aJ7Jv/view?usp=drivesdk")</f>
        <v>https://drive.google.com/file/d/12fVLUBZP_XfA8UUKcqsHJkeO8t4aJ7Jv/view?usp=drivesdk</v>
      </c>
    </row>
    <row r="1208">
      <c r="A1208" s="50" t="s">
        <v>4453</v>
      </c>
      <c r="B1208" s="50" t="str">
        <f>IFERROR(__xludf.DUMMYFUNCTION("""COMPUTED_VALUE"""),"SES-0047")</f>
        <v>SES-0047</v>
      </c>
      <c r="C1208" s="50" t="str">
        <f>IFERROR(__xludf.DUMMYFUNCTION("""COMPUTED_VALUE"""),"gebonnard@ucpa.asso.fr")</f>
        <v>gebonnard@ucpa.asso.fr</v>
      </c>
      <c r="D1208" s="127" t="str">
        <f>IFERROR(__xludf.DUMMYFUNCTION("""COMPUTED_VALUE"""),"https://drive.google.com/file/d/1-EmFVafEUsFXk3Xq7TNe34EXUOOUj_nd/view?usp=drivesdk")</f>
        <v>https://drive.google.com/file/d/1-EmFVafEUsFXk3Xq7TNe34EXUOOUj_nd/view?usp=drivesdk</v>
      </c>
    </row>
    <row r="1209">
      <c r="A1209" s="50" t="s">
        <v>4454</v>
      </c>
      <c r="B1209" s="50" t="str">
        <f>IFERROR(__xludf.DUMMYFUNCTION("""COMPUTED_VALUE"""),"SES-0050")</f>
        <v>SES-0050</v>
      </c>
      <c r="C1209" s="50" t="str">
        <f>IFERROR(__xludf.DUMMYFUNCTION("""COMPUTED_VALUE"""),"gebonnard@ucpa.asso.fr")</f>
        <v>gebonnard@ucpa.asso.fr</v>
      </c>
      <c r="D1209" s="127" t="str">
        <f>IFERROR(__xludf.DUMMYFUNCTION("""COMPUTED_VALUE"""),"https://drive.google.com/file/d/1MxOreHKGb5jx4Ekkl-t5OAbyXSxe9aK8/view?usp=drivesdk")</f>
        <v>https://drive.google.com/file/d/1MxOreHKGb5jx4Ekkl-t5OAbyXSxe9aK8/view?usp=drivesdk</v>
      </c>
    </row>
    <row r="1210">
      <c r="A1210" s="50" t="s">
        <v>4455</v>
      </c>
      <c r="B1210" s="50" t="str">
        <f>IFERROR(__xludf.DUMMYFUNCTION("""COMPUTED_VALUE"""),"SES-0042")</f>
        <v>SES-0042</v>
      </c>
      <c r="C1210" s="50" t="str">
        <f>IFERROR(__xludf.DUMMYFUNCTION("""COMPUTED_VALUE"""),"claugier@ucpa.asso.fr")</f>
        <v>claugier@ucpa.asso.fr</v>
      </c>
      <c r="D1210" s="127" t="str">
        <f>IFERROR(__xludf.DUMMYFUNCTION("""COMPUTED_VALUE"""),"https://drive.google.com/file/d/1Xq76ClV6kGuTeOK0CeTDfpeCBVbKYwN0/view?usp=drivesdk")</f>
        <v>https://drive.google.com/file/d/1Xq76ClV6kGuTeOK0CeTDfpeCBVbKYwN0/view?usp=drivesdk</v>
      </c>
    </row>
    <row r="1211">
      <c r="A1211" s="50" t="s">
        <v>4456</v>
      </c>
      <c r="B1211" s="50" t="str">
        <f>IFERROR(__xludf.DUMMYFUNCTION("""COMPUTED_VALUE"""),"SES-0049")</f>
        <v>SES-0049</v>
      </c>
      <c r="C1211" s="50" t="str">
        <f>IFERROR(__xludf.DUMMYFUNCTION("""COMPUTED_VALUE"""),"claugier@ucpa.asso.fr")</f>
        <v>claugier@ucpa.asso.fr</v>
      </c>
      <c r="D1211" s="127" t="str">
        <f>IFERROR(__xludf.DUMMYFUNCTION("""COMPUTED_VALUE"""),"https://drive.google.com/file/d/1F3AbC8ZihlINDAowcKOa0srVgV5w4PGM/view?usp=drivesdk")</f>
        <v>https://drive.google.com/file/d/1F3AbC8ZihlINDAowcKOa0srVgV5w4PGM/view?usp=drivesdk</v>
      </c>
    </row>
    <row r="1212">
      <c r="A1212" s="50" t="s">
        <v>4457</v>
      </c>
      <c r="B1212" s="50" t="str">
        <f>IFERROR(__xludf.DUMMYFUNCTION("""COMPUTED_VALUE"""),"SES-0050")</f>
        <v>SES-0050</v>
      </c>
      <c r="C1212" s="50" t="str">
        <f>IFERROR(__xludf.DUMMYFUNCTION("""COMPUTED_VALUE"""),"claugier@ucpa.asso.fr")</f>
        <v>claugier@ucpa.asso.fr</v>
      </c>
      <c r="D1212" s="127" t="str">
        <f>IFERROR(__xludf.DUMMYFUNCTION("""COMPUTED_VALUE"""),"https://drive.google.com/file/d/14XaaFIRNscb8KJjqHbM5qX9szQZnwke5/view?usp=drivesdk")</f>
        <v>https://drive.google.com/file/d/14XaaFIRNscb8KJjqHbM5qX9szQZnwke5/view?usp=drivesdk</v>
      </c>
    </row>
    <row r="1213">
      <c r="A1213" s="50" t="s">
        <v>4461</v>
      </c>
      <c r="B1213" s="50" t="str">
        <f>IFERROR(__xludf.DUMMYFUNCTION("""COMPUTED_VALUE"""),"SES-0049")</f>
        <v>SES-0049</v>
      </c>
      <c r="C1213" s="50" t="str">
        <f>IFERROR(__xludf.DUMMYFUNCTION("""COMPUTED_VALUE"""),"snobis@ucpa.asso.fr")</f>
        <v>snobis@ucpa.asso.fr</v>
      </c>
      <c r="D1213" s="127" t="str">
        <f>IFERROR(__xludf.DUMMYFUNCTION("""COMPUTED_VALUE"""),"https://drive.google.com/file/d/1aSdkp1d8ARf35S24HaVON0WWWDK4WRSK/view?usp=drivesdk")</f>
        <v>https://drive.google.com/file/d/1aSdkp1d8ARf35S24HaVON0WWWDK4WRSK/view?usp=drivesdk</v>
      </c>
    </row>
    <row r="1214">
      <c r="A1214" s="50" t="s">
        <v>4462</v>
      </c>
      <c r="B1214" s="50" t="str">
        <f>IFERROR(__xludf.DUMMYFUNCTION("""COMPUTED_VALUE"""),"SES-0049")</f>
        <v>SES-0049</v>
      </c>
      <c r="C1214" s="50" t="str">
        <f>IFERROR(__xludf.DUMMYFUNCTION("""COMPUTED_VALUE"""),"cmoret@ucpa.asso.fr")</f>
        <v>cmoret@ucpa.asso.fr</v>
      </c>
      <c r="D1214" s="127" t="str">
        <f>IFERROR(__xludf.DUMMYFUNCTION("""COMPUTED_VALUE"""),"https://drive.google.com/file/d/1t1_qUGPYgfwCKihvlosr6if_WLGCuYr_/view?usp=drivesdk")</f>
        <v>https://drive.google.com/file/d/1t1_qUGPYgfwCKihvlosr6if_WLGCuYr_/view?usp=drivesdk</v>
      </c>
    </row>
    <row r="1215">
      <c r="A1215" s="50" t="s">
        <v>4463</v>
      </c>
      <c r="B1215" s="50" t="str">
        <f>IFERROR(__xludf.DUMMYFUNCTION("""COMPUTED_VALUE"""),"SES-0048")</f>
        <v>SES-0048</v>
      </c>
      <c r="C1215" s="50" t="str">
        <f>IFERROR(__xludf.DUMMYFUNCTION("""COMPUTED_VALUE"""),"marie.defer@tootazimut.fr")</f>
        <v>marie.defer@tootazimut.fr</v>
      </c>
      <c r="D1215" s="127" t="str">
        <f>IFERROR(__xludf.DUMMYFUNCTION("""COMPUTED_VALUE"""),"https://drive.google.com/file/d/1dtb8cicfBOaoqhAc4v1bM9zxCzeMulzr/view?usp=drivesdk")</f>
        <v>https://drive.google.com/file/d/1dtb8cicfBOaoqhAc4v1bM9zxCzeMulzr/view?usp=drivesdk</v>
      </c>
    </row>
    <row r="1216">
      <c r="A1216" s="50" t="s">
        <v>4464</v>
      </c>
      <c r="B1216" s="50" t="str">
        <f>IFERROR(__xludf.DUMMYFUNCTION("""COMPUTED_VALUE"""),"SES-0034")</f>
        <v>SES-0034</v>
      </c>
      <c r="C1216" s="50" t="str">
        <f>IFERROR(__xludf.DUMMYFUNCTION("""COMPUTED_VALUE"""),"lverrier@ucpa.asso.fr")</f>
        <v>lverrier@ucpa.asso.fr</v>
      </c>
      <c r="D1216" s="127" t="str">
        <f>IFERROR(__xludf.DUMMYFUNCTION("""COMPUTED_VALUE"""),"https://drive.google.com/file/d/1sTLvFGFh7QDhiTQTwyo3RTUCq8ZVnm4L/view?usp=drivesdk")</f>
        <v>https://drive.google.com/file/d/1sTLvFGFh7QDhiTQTwyo3RTUCq8ZVnm4L/view?usp=drivesdk</v>
      </c>
    </row>
    <row r="1217">
      <c r="A1217" s="50" t="s">
        <v>4465</v>
      </c>
      <c r="B1217" s="50" t="str">
        <f>IFERROR(__xludf.DUMMYFUNCTION("""COMPUTED_VALUE"""),"SES-0052")</f>
        <v>SES-0052</v>
      </c>
      <c r="C1217" s="50" t="str">
        <f>IFERROR(__xludf.DUMMYFUNCTION("""COMPUTED_VALUE"""),"brichez@ucpa.asso.fr")</f>
        <v>brichez@ucpa.asso.fr</v>
      </c>
      <c r="D1217" s="127" t="str">
        <f>IFERROR(__xludf.DUMMYFUNCTION("""COMPUTED_VALUE"""),"https://drive.google.com/file/d/1W_FVS-Cpj9I8ytOX_FDDbaYJfsL_iIQG/view?usp=drivesdk")</f>
        <v>https://drive.google.com/file/d/1W_FVS-Cpj9I8ytOX_FDDbaYJfsL_iIQG/view?usp=drivesdk</v>
      </c>
    </row>
    <row r="1218">
      <c r="A1218" s="50" t="s">
        <v>4466</v>
      </c>
      <c r="B1218" s="50" t="str">
        <f>IFERROR(__xludf.DUMMYFUNCTION("""COMPUTED_VALUE"""),"SES-0053")</f>
        <v>SES-0053</v>
      </c>
      <c r="C1218" s="50" t="str">
        <f>IFERROR(__xludf.DUMMYFUNCTION("""COMPUTED_VALUE"""),"lverrier@ucpa.asso.fr")</f>
        <v>lverrier@ucpa.asso.fr</v>
      </c>
      <c r="D1218" s="127" t="str">
        <f>IFERROR(__xludf.DUMMYFUNCTION("""COMPUTED_VALUE"""),"https://drive.google.com/file/d/1gUexielzW4CzqdXwbeSt-dcig9m9IfF5/view?usp=drivesdk")</f>
        <v>https://drive.google.com/file/d/1gUexielzW4CzqdXwbeSt-dcig9m9IfF5/view?usp=drivesdk</v>
      </c>
    </row>
    <row r="1219">
      <c r="A1219" s="50" t="s">
        <v>4467</v>
      </c>
      <c r="B1219" s="50" t="str">
        <f>IFERROR(__xludf.DUMMYFUNCTION("""COMPUTED_VALUE"""),"SES-0047")</f>
        <v>SES-0047</v>
      </c>
      <c r="C1219" s="50" t="str">
        <f>IFERROR(__xludf.DUMMYFUNCTION("""COMPUTED_VALUE"""),"lverrier@ucpa.asso.fr")</f>
        <v>lverrier@ucpa.asso.fr</v>
      </c>
      <c r="D1219" s="127" t="str">
        <f>IFERROR(__xludf.DUMMYFUNCTION("""COMPUTED_VALUE"""),"https://drive.google.com/file/d/120TX49HmzKM1_YAS2soLgh93hyjS_NYD/view?usp=drivesdk")</f>
        <v>https://drive.google.com/file/d/120TX49HmzKM1_YAS2soLgh93hyjS_NYD/view?usp=drivesdk</v>
      </c>
    </row>
    <row r="1220">
      <c r="A1220" s="50" t="s">
        <v>4468</v>
      </c>
      <c r="B1220" s="50" t="str">
        <f>IFERROR(__xludf.DUMMYFUNCTION("""COMPUTED_VALUE"""),"SES-0053")</f>
        <v>SES-0053</v>
      </c>
      <c r="C1220" s="50" t="str">
        <f>IFERROR(__xludf.DUMMYFUNCTION("""COMPUTED_VALUE"""),"sverrier@ucpa.asso.fr")</f>
        <v>sverrier@ucpa.asso.fr</v>
      </c>
      <c r="D1220" s="127" t="str">
        <f>IFERROR(__xludf.DUMMYFUNCTION("""COMPUTED_VALUE"""),"https://drive.google.com/file/d/1zeXiePsQOYaCzZcybtsJdT5VdRsO62dE/view?usp=drivesdk")</f>
        <v>https://drive.google.com/file/d/1zeXiePsQOYaCzZcybtsJdT5VdRsO62dE/view?usp=drivesdk</v>
      </c>
    </row>
    <row r="1221">
      <c r="A1221" s="50" t="s">
        <v>4469</v>
      </c>
      <c r="B1221" s="50" t="str">
        <f>IFERROR(__xludf.DUMMYFUNCTION("""COMPUTED_VALUE"""),"SES-0047")</f>
        <v>SES-0047</v>
      </c>
      <c r="C1221" s="50" t="str">
        <f>IFERROR(__xludf.DUMMYFUNCTION("""COMPUTED_VALUE"""),"sverrier@ucpa.asso.fr")</f>
        <v>sverrier@ucpa.asso.fr</v>
      </c>
      <c r="D1221" s="127" t="str">
        <f>IFERROR(__xludf.DUMMYFUNCTION("""COMPUTED_VALUE"""),"https://drive.google.com/file/d/19Gkup9g-XH9Tr-twU1s7fUcvxwPc_hUJ/view?usp=drivesdk")</f>
        <v>https://drive.google.com/file/d/19Gkup9g-XH9Tr-twU1s7fUcvxwPc_hUJ/view?usp=drivesdk</v>
      </c>
    </row>
    <row r="1222">
      <c r="A1222" s="50" t="s">
        <v>4470</v>
      </c>
      <c r="B1222" s="50" t="str">
        <f>IFERROR(__xludf.DUMMYFUNCTION("""COMPUTED_VALUE"""),"SES-0034")</f>
        <v>SES-0034</v>
      </c>
      <c r="C1222" s="50" t="str">
        <f>IFERROR(__xludf.DUMMYFUNCTION("""COMPUTED_VALUE"""),"sverrier@ucpa.asso.fr")</f>
        <v>sverrier@ucpa.asso.fr</v>
      </c>
      <c r="D1222" s="127" t="str">
        <f>IFERROR(__xludf.DUMMYFUNCTION("""COMPUTED_VALUE"""),"https://drive.google.com/file/d/1lX8yn9HmvtyFyRi6ArOti-5JdlHI-qAU/view?usp=drivesdk")</f>
        <v>https://drive.google.com/file/d/1lX8yn9HmvtyFyRi6ArOti-5JdlHI-qAU/view?usp=drivesdk</v>
      </c>
    </row>
    <row r="1223">
      <c r="A1223" s="50" t="s">
        <v>4471</v>
      </c>
      <c r="B1223" s="50" t="str">
        <f>IFERROR(__xludf.DUMMYFUNCTION("""COMPUTED_VALUE"""),"SES-0048")</f>
        <v>SES-0048</v>
      </c>
      <c r="C1223" s="50" t="str">
        <f>IFERROR(__xludf.DUMMYFUNCTION("""COMPUTED_VALUE"""),"sbessas@ucpa.asso.fr")</f>
        <v>sbessas@ucpa.asso.fr</v>
      </c>
      <c r="D1223" s="127" t="str">
        <f>IFERROR(__xludf.DUMMYFUNCTION("""COMPUTED_VALUE"""),"https://drive.google.com/file/d/1IXulvuVAFf201zF5UGDUcQHR98PAFwVr/view?usp=drivesdk")</f>
        <v>https://drive.google.com/file/d/1IXulvuVAFf201zF5UGDUcQHR98PAFwVr/view?usp=drivesdk</v>
      </c>
    </row>
    <row r="1224">
      <c r="A1224" s="50" t="s">
        <v>4472</v>
      </c>
      <c r="B1224" s="50" t="str">
        <f>IFERROR(__xludf.DUMMYFUNCTION("""COMPUTED_VALUE"""),"SES-0048")</f>
        <v>SES-0048</v>
      </c>
      <c r="C1224" s="50" t="str">
        <f>IFERROR(__xludf.DUMMYFUNCTION("""COMPUTED_VALUE"""),"hmaziere@ucpa.asso.fr")</f>
        <v>hmaziere@ucpa.asso.fr</v>
      </c>
      <c r="D1224" s="127" t="str">
        <f>IFERROR(__xludf.DUMMYFUNCTION("""COMPUTED_VALUE"""),"https://drive.google.com/file/d/1xMvqm5Hg1D4loZ_LVDZMfxHUWZ3MVTCg/view?usp=drivesdk")</f>
        <v>https://drive.google.com/file/d/1xMvqm5Hg1D4loZ_LVDZMfxHUWZ3MVTCg/view?usp=drivesdk</v>
      </c>
    </row>
    <row r="1225">
      <c r="A1225" s="50" t="s">
        <v>4473</v>
      </c>
      <c r="B1225" s="50" t="str">
        <f>IFERROR(__xludf.DUMMYFUNCTION("""COMPUTED_VALUE"""),"SES-0049")</f>
        <v>SES-0049</v>
      </c>
      <c r="C1225" s="50" t="str">
        <f>IFERROR(__xludf.DUMMYFUNCTION("""COMPUTED_VALUE"""),"hmaziere@ucpa.asso.fr")</f>
        <v>hmaziere@ucpa.asso.fr</v>
      </c>
      <c r="D1225" s="127" t="str">
        <f>IFERROR(__xludf.DUMMYFUNCTION("""COMPUTED_VALUE"""),"https://drive.google.com/file/d/1xi0n7BOS-1-vYqO5ikcHQ41nqItgs21o/view?usp=drivesdk")</f>
        <v>https://drive.google.com/file/d/1xi0n7BOS-1-vYqO5ikcHQ41nqItgs21o/view?usp=drivesdk</v>
      </c>
    </row>
    <row r="1226">
      <c r="A1226" s="50" t="s">
        <v>4474</v>
      </c>
      <c r="B1226" s="50" t="str">
        <f>IFERROR(__xludf.DUMMYFUNCTION("""COMPUTED_VALUE"""),"SES-0050")</f>
        <v>SES-0050</v>
      </c>
      <c r="C1226" s="50" t="str">
        <f>IFERROR(__xludf.DUMMYFUNCTION("""COMPUTED_VALUE"""),"hmaziere@ucpa.asso.fr")</f>
        <v>hmaziere@ucpa.asso.fr</v>
      </c>
      <c r="D1226" s="127" t="str">
        <f>IFERROR(__xludf.DUMMYFUNCTION("""COMPUTED_VALUE"""),"https://drive.google.com/file/d/1-LOW33gdY0Tk58Y57i2MIkGR_STvMjx5/view?usp=drivesdk")</f>
        <v>https://drive.google.com/file/d/1-LOW33gdY0Tk58Y57i2MIkGR_STvMjx5/view?usp=drivesdk</v>
      </c>
    </row>
    <row r="1227">
      <c r="A1227" s="50" t="s">
        <v>4475</v>
      </c>
      <c r="B1227" s="50" t="str">
        <f>IFERROR(__xludf.DUMMYFUNCTION("""COMPUTED_VALUE"""),"SES-0051")</f>
        <v>SES-0051</v>
      </c>
      <c r="C1227" s="50" t="str">
        <f>IFERROR(__xludf.DUMMYFUNCTION("""COMPUTED_VALUE"""),"hmaziere@ucpa.asso.fr")</f>
        <v>hmaziere@ucpa.asso.fr</v>
      </c>
      <c r="D1227" s="127" t="str">
        <f>IFERROR(__xludf.DUMMYFUNCTION("""COMPUTED_VALUE"""),"https://drive.google.com/file/d/1KJxoHCaA9IUzBsaTPYZhXkoPgZHWpz1V/view?usp=drivesdk")</f>
        <v>https://drive.google.com/file/d/1KJxoHCaA9IUzBsaTPYZhXkoPgZHWpz1V/view?usp=drivesdk</v>
      </c>
    </row>
    <row r="1228">
      <c r="A1228" s="50" t="s">
        <v>4476</v>
      </c>
      <c r="B1228" s="50" t="str">
        <f>IFERROR(__xludf.DUMMYFUNCTION("""COMPUTED_VALUE"""),"SES-0050")</f>
        <v>SES-0050</v>
      </c>
      <c r="C1228" s="50" t="str">
        <f>IFERROR(__xludf.DUMMYFUNCTION("""COMPUTED_VALUE"""),"bdarmon@ucpa.asso.fr")</f>
        <v>bdarmon@ucpa.asso.fr</v>
      </c>
      <c r="D1228" s="127" t="str">
        <f>IFERROR(__xludf.DUMMYFUNCTION("""COMPUTED_VALUE"""),"https://drive.google.com/file/d/1hRzrGIsPfPmBwpUD87d3sbp22BWE-XF6/view?usp=drivesdk")</f>
        <v>https://drive.google.com/file/d/1hRzrGIsPfPmBwpUD87d3sbp22BWE-XF6/view?usp=drivesdk</v>
      </c>
    </row>
    <row r="1229">
      <c r="A1229" s="50" t="s">
        <v>4477</v>
      </c>
      <c r="B1229" s="50" t="str">
        <f>IFERROR(__xludf.DUMMYFUNCTION("""COMPUTED_VALUE"""),"SES-0048")</f>
        <v>SES-0048</v>
      </c>
      <c r="C1229" s="50" t="str">
        <f>IFERROR(__xludf.DUMMYFUNCTION("""COMPUTED_VALUE"""),"bdarmon@ucpa.asso.fr")</f>
        <v>bdarmon@ucpa.asso.fr</v>
      </c>
      <c r="D1229" s="127" t="str">
        <f>IFERROR(__xludf.DUMMYFUNCTION("""COMPUTED_VALUE"""),"https://drive.google.com/file/d/1KOzrEm9I8zzB_nlYGp62VTpdmKP2ZHEl/view?usp=drivesdk")</f>
        <v>https://drive.google.com/file/d/1KOzrEm9I8zzB_nlYGp62VTpdmKP2ZHEl/view?usp=drivesdk</v>
      </c>
    </row>
    <row r="1230">
      <c r="A1230" s="50" t="s">
        <v>4478</v>
      </c>
      <c r="B1230" s="50" t="str">
        <f>IFERROR(__xludf.DUMMYFUNCTION("""COMPUTED_VALUE"""),"SES-0053")</f>
        <v>SES-0053</v>
      </c>
      <c r="C1230" s="50" t="str">
        <f>IFERROR(__xludf.DUMMYFUNCTION("""COMPUTED_VALUE"""),"aspicq@ucpa.asso.fr")</f>
        <v>aspicq@ucpa.asso.fr</v>
      </c>
      <c r="D1230" s="127" t="str">
        <f>IFERROR(__xludf.DUMMYFUNCTION("""COMPUTED_VALUE"""),"https://drive.google.com/file/d/1Uh3wz1vmxX4BwMmzZyibmp75aZJdSjrs/view?usp=drivesdk")</f>
        <v>https://drive.google.com/file/d/1Uh3wz1vmxX4BwMmzZyibmp75aZJdSjrs/view?usp=drivesdk</v>
      </c>
    </row>
    <row r="1231">
      <c r="A1231" s="50" t="s">
        <v>4479</v>
      </c>
      <c r="B1231" s="50" t="str">
        <f>IFERROR(__xludf.DUMMYFUNCTION("""COMPUTED_VALUE"""),"SES-0049")</f>
        <v>SES-0049</v>
      </c>
      <c r="C1231" s="50" t="str">
        <f>IFERROR(__xludf.DUMMYFUNCTION("""COMPUTED_VALUE"""),"mmoreau@ucpa.asso.fr")</f>
        <v>mmoreau@ucpa.asso.fr</v>
      </c>
      <c r="D1231" s="127" t="str">
        <f>IFERROR(__xludf.DUMMYFUNCTION("""COMPUTED_VALUE"""),"https://drive.google.com/file/d/1FvhGXvPVSRyXdhZ3OVEEM0oG5yVxtfl6/view?usp=drivesdk")</f>
        <v>https://drive.google.com/file/d/1FvhGXvPVSRyXdhZ3OVEEM0oG5yVxtfl6/view?usp=drivesdk</v>
      </c>
    </row>
    <row r="1232">
      <c r="A1232" s="50" t="s">
        <v>4480</v>
      </c>
      <c r="B1232" s="50" t="str">
        <f>IFERROR(__xludf.DUMMYFUNCTION("""COMPUTED_VALUE"""),"SES-0048")</f>
        <v>SES-0048</v>
      </c>
      <c r="C1232" s="50" t="str">
        <f>IFERROR(__xludf.DUMMYFUNCTION("""COMPUTED_VALUE"""),"jm.jugielaffitte@labalaguere.com")</f>
        <v>jm.jugielaffitte@labalaguere.com</v>
      </c>
      <c r="D1232" s="127" t="str">
        <f>IFERROR(__xludf.DUMMYFUNCTION("""COMPUTED_VALUE"""),"https://drive.google.com/file/d/1I5ho_O4uYc0Dd1kKTVBOz2r9Ft6CJWD1/view?usp=drivesdk")</f>
        <v>https://drive.google.com/file/d/1I5ho_O4uYc0Dd1kKTVBOz2r9Ft6CJWD1/view?usp=drivesdk</v>
      </c>
    </row>
    <row r="1233">
      <c r="A1233" s="50" t="s">
        <v>4481</v>
      </c>
      <c r="B1233" s="50" t="str">
        <f>IFERROR(__xludf.DUMMYFUNCTION("""COMPUTED_VALUE"""),"SES-0049")</f>
        <v>SES-0049</v>
      </c>
      <c r="C1233" s="50" t="str">
        <f>IFERROR(__xludf.DUMMYFUNCTION("""COMPUTED_VALUE"""),"jm.jugielaffitte@labalaguere.com")</f>
        <v>jm.jugielaffitte@labalaguere.com</v>
      </c>
      <c r="D1233" s="127" t="str">
        <f>IFERROR(__xludf.DUMMYFUNCTION("""COMPUTED_VALUE"""),"https://drive.google.com/file/d/11LZnKoiao062PPu4dIJIDiGPJHIVt_Ku/view?usp=drivesdk")</f>
        <v>https://drive.google.com/file/d/11LZnKoiao062PPu4dIJIDiGPJHIVt_Ku/view?usp=drivesdk</v>
      </c>
    </row>
    <row r="1234">
      <c r="A1234" s="50" t="s">
        <v>4482</v>
      </c>
      <c r="B1234" s="50" t="str">
        <f>IFERROR(__xludf.DUMMYFUNCTION("""COMPUTED_VALUE"""),"SES-0036")</f>
        <v>SES-0036</v>
      </c>
      <c r="C1234" s="50" t="str">
        <f>IFERROR(__xludf.DUMMYFUNCTION("""COMPUTED_VALUE"""),"cpetit1@ucpa.asso.fr")</f>
        <v>cpetit1@ucpa.asso.fr</v>
      </c>
      <c r="D1234" s="127" t="str">
        <f>IFERROR(__xludf.DUMMYFUNCTION("""COMPUTED_VALUE"""),"https://drive.google.com/file/d/155a6GRSj_4WT8LqkzNaZMXZxSgCBKEq8/view?usp=drivesdk")</f>
        <v>https://drive.google.com/file/d/155a6GRSj_4WT8LqkzNaZMXZxSgCBKEq8/view?usp=drivesdk</v>
      </c>
    </row>
    <row r="1235">
      <c r="A1235" s="50" t="s">
        <v>4483</v>
      </c>
      <c r="B1235" s="50" t="str">
        <f>IFERROR(__xludf.DUMMYFUNCTION("""COMPUTED_VALUE"""),"SES-0040")</f>
        <v>SES-0040</v>
      </c>
      <c r="C1235" s="50" t="str">
        <f>IFERROR(__xludf.DUMMYFUNCTION("""COMPUTED_VALUE"""),"cpetit1@ucpa.asso.fr")</f>
        <v>cpetit1@ucpa.asso.fr</v>
      </c>
      <c r="D1235" s="127" t="str">
        <f>IFERROR(__xludf.DUMMYFUNCTION("""COMPUTED_VALUE"""),"https://drive.google.com/file/d/1QrQnlkGaI2f3NmlCSFN2geb8YLDwxjP_/view?usp=drivesdk")</f>
        <v>https://drive.google.com/file/d/1QrQnlkGaI2f3NmlCSFN2geb8YLDwxjP_/view?usp=drivesdk</v>
      </c>
    </row>
    <row r="1236">
      <c r="A1236" s="50" t="s">
        <v>4484</v>
      </c>
      <c r="B1236" s="50" t="str">
        <f>IFERROR(__xludf.DUMMYFUNCTION("""COMPUTED_VALUE"""),"SES-0049")</f>
        <v>SES-0049</v>
      </c>
      <c r="C1236" s="50" t="str">
        <f>IFERROR(__xludf.DUMMYFUNCTION("""COMPUTED_VALUE"""),"cpetit1@ucpa.asso.fr")</f>
        <v>cpetit1@ucpa.asso.fr</v>
      </c>
      <c r="D1236" s="127" t="str">
        <f>IFERROR(__xludf.DUMMYFUNCTION("""COMPUTED_VALUE"""),"https://drive.google.com/file/d/1xY1_RAO9vaHLXbPhrG-5QBGvDyjglPks/view?usp=drivesdk")</f>
        <v>https://drive.google.com/file/d/1xY1_RAO9vaHLXbPhrG-5QBGvDyjglPks/view?usp=drivesdk</v>
      </c>
    </row>
    <row r="1237">
      <c r="A1237" s="50" t="s">
        <v>4485</v>
      </c>
      <c r="B1237" s="50" t="str">
        <f>IFERROR(__xludf.DUMMYFUNCTION("""COMPUTED_VALUE"""),"SES-0048")</f>
        <v>SES-0048</v>
      </c>
      <c r="C1237" s="50" t="str">
        <f>IFERROR(__xludf.DUMMYFUNCTION("""COMPUTED_VALUE"""),"ttimizar@ucpa.asso.fr")</f>
        <v>ttimizar@ucpa.asso.fr</v>
      </c>
      <c r="D1237" s="127" t="str">
        <f>IFERROR(__xludf.DUMMYFUNCTION("""COMPUTED_VALUE"""),"https://drive.google.com/file/d/1DThE8fELLdWkDXuOumFmvqKaOr5CMbLm/view?usp=drivesdk")</f>
        <v>https://drive.google.com/file/d/1DThE8fELLdWkDXuOumFmvqKaOr5CMbLm/view?usp=drivesdk</v>
      </c>
    </row>
    <row r="1238">
      <c r="A1238" s="50" t="s">
        <v>4486</v>
      </c>
      <c r="B1238" s="50" t="str">
        <f>IFERROR(__xludf.DUMMYFUNCTION("""COMPUTED_VALUE"""),"SES-0048")</f>
        <v>SES-0048</v>
      </c>
      <c r="C1238" s="50" t="str">
        <f>IFERROR(__xludf.DUMMYFUNCTION("""COMPUTED_VALUE"""),"abouillon@ucpa.asso.fr")</f>
        <v>abouillon@ucpa.asso.fr</v>
      </c>
      <c r="D1238" s="127" t="str">
        <f>IFERROR(__xludf.DUMMYFUNCTION("""COMPUTED_VALUE"""),"https://drive.google.com/file/d/1u2AHZjEgRj0WlLyw8YdpjCDYn0IEy57_/view?usp=drivesdk")</f>
        <v>https://drive.google.com/file/d/1u2AHZjEgRj0WlLyw8YdpjCDYn0IEy57_/view?usp=drivesdk</v>
      </c>
    </row>
    <row r="1239">
      <c r="A1239" s="50" t="s">
        <v>4487</v>
      </c>
      <c r="B1239" s="50" t="str">
        <f>IFERROR(__xludf.DUMMYFUNCTION("""COMPUTED_VALUE"""),"SES-0047")</f>
        <v>SES-0047</v>
      </c>
      <c r="C1239" s="50" t="str">
        <f>IFERROR(__xludf.DUMMYFUNCTION("""COMPUTED_VALUE"""),"sbruneau@ucpa.asso.fr")</f>
        <v>sbruneau@ucpa.asso.fr</v>
      </c>
      <c r="D1239" s="127" t="str">
        <f>IFERROR(__xludf.DUMMYFUNCTION("""COMPUTED_VALUE"""),"https://drive.google.com/file/d/1kbEr3H78koi0th7xR-iabMVbfn34CdHG/view?usp=drivesdk")</f>
        <v>https://drive.google.com/file/d/1kbEr3H78koi0th7xR-iabMVbfn34CdHG/view?usp=drivesdk</v>
      </c>
    </row>
    <row r="1240">
      <c r="A1240" s="50" t="s">
        <v>4488</v>
      </c>
      <c r="B1240" s="50" t="str">
        <f>IFERROR(__xludf.DUMMYFUNCTION("""COMPUTED_VALUE"""),"SES-0036")</f>
        <v>SES-0036</v>
      </c>
      <c r="C1240" s="50" t="str">
        <f>IFERROR(__xludf.DUMMYFUNCTION("""COMPUTED_VALUE"""),"msambe@ucpa.asso.fr")</f>
        <v>msambe@ucpa.asso.fr</v>
      </c>
      <c r="D1240" s="127" t="str">
        <f>IFERROR(__xludf.DUMMYFUNCTION("""COMPUTED_VALUE"""),"https://drive.google.com/file/d/1jenZg44BpwSPdp3csgVWVnMrY_wS74he/view?usp=drivesdk")</f>
        <v>https://drive.google.com/file/d/1jenZg44BpwSPdp3csgVWVnMrY_wS74he/view?usp=drivesdk</v>
      </c>
    </row>
    <row r="1241">
      <c r="A1241" s="50" t="s">
        <v>4489</v>
      </c>
      <c r="B1241" s="50" t="str">
        <f>IFERROR(__xludf.DUMMYFUNCTION("""COMPUTED_VALUE"""),"SES-0049")</f>
        <v>SES-0049</v>
      </c>
      <c r="C1241" s="50" t="str">
        <f>IFERROR(__xludf.DUMMYFUNCTION("""COMPUTED_VALUE"""),"anthony.beghin@telligo.fr")</f>
        <v>anthony.beghin@telligo.fr</v>
      </c>
      <c r="D1241" s="127" t="str">
        <f>IFERROR(__xludf.DUMMYFUNCTION("""COMPUTED_VALUE"""),"https://drive.google.com/file/d/1DAQvxERMKRX3UfpVVgshaGYll-syJNJI/view?usp=drivesdk")</f>
        <v>https://drive.google.com/file/d/1DAQvxERMKRX3UfpVVgshaGYll-syJNJI/view?usp=drivesdk</v>
      </c>
    </row>
    <row r="1242">
      <c r="A1242" s="50" t="s">
        <v>4490</v>
      </c>
      <c r="B1242" s="50" t="str">
        <f>IFERROR(__xludf.DUMMYFUNCTION("""COMPUTED_VALUE"""),"SES-0031")</f>
        <v>SES-0031</v>
      </c>
      <c r="C1242" s="50" t="str">
        <f>IFERROR(__xludf.DUMMYFUNCTION("""COMPUTED_VALUE"""),"ucpa-formation@ucpa.asso.fr")</f>
        <v>ucpa-formation@ucpa.asso.fr</v>
      </c>
      <c r="D1242" s="127" t="str">
        <f>IFERROR(__xludf.DUMMYFUNCTION("""COMPUTED_VALUE"""),"https://drive.google.com/file/d/1okR6RO16Es1Ac76hW1snW6qksTqdIRlB/view?usp=drivesdk")</f>
        <v>https://drive.google.com/file/d/1okR6RO16Es1Ac76hW1snW6qksTqdIRlB/view?usp=drivesdk</v>
      </c>
    </row>
    <row r="1243">
      <c r="A1243" s="50" t="s">
        <v>4491</v>
      </c>
      <c r="B1243" s="50" t="str">
        <f>IFERROR(__xludf.DUMMYFUNCTION("""COMPUTED_VALUE"""),"SES-0053")</f>
        <v>SES-0053</v>
      </c>
      <c r="C1243" s="50" t="str">
        <f>IFERROR(__xludf.DUMMYFUNCTION("""COMPUTED_VALUE"""),"mmoreel@ucpa.asso.fr")</f>
        <v>mmoreel@ucpa.asso.fr</v>
      </c>
      <c r="D1243" s="127" t="str">
        <f>IFERROR(__xludf.DUMMYFUNCTION("""COMPUTED_VALUE"""),"https://drive.google.com/file/d/1iIgZW0KzUwhDPWpp0ktINlnprMzHYUc_/view?usp=drivesdk")</f>
        <v>https://drive.google.com/file/d/1iIgZW0KzUwhDPWpp0ktINlnprMzHYUc_/view?usp=drivesdk</v>
      </c>
    </row>
    <row r="1244">
      <c r="A1244" s="50" t="s">
        <v>4492</v>
      </c>
      <c r="B1244" s="50" t="str">
        <f>IFERROR(__xludf.DUMMYFUNCTION("""COMPUTED_VALUE"""),"SES-0049")</f>
        <v>SES-0049</v>
      </c>
      <c r="C1244" s="50" t="str">
        <f>IFERROR(__xludf.DUMMYFUNCTION("""COMPUTED_VALUE"""),"ldeneboude@ucpa.asso.fr")</f>
        <v>ldeneboude@ucpa.asso.fr</v>
      </c>
      <c r="D1244" s="127" t="str">
        <f>IFERROR(__xludf.DUMMYFUNCTION("""COMPUTED_VALUE"""),"https://drive.google.com/file/d/111euacnQHeNuzTUQDU9bUDT4X6TnBpFy/view?usp=drivesdk")</f>
        <v>https://drive.google.com/file/d/111euacnQHeNuzTUQDU9bUDT4X6TnBpFy/view?usp=drivesdk</v>
      </c>
    </row>
    <row r="1245">
      <c r="A1245" s="50" t="s">
        <v>4493</v>
      </c>
      <c r="B1245" s="50" t="str">
        <f>IFERROR(__xludf.DUMMYFUNCTION("""COMPUTED_VALUE"""),"SES-0053")</f>
        <v>SES-0053</v>
      </c>
      <c r="C1245" s="50" t="str">
        <f>IFERROR(__xludf.DUMMYFUNCTION("""COMPUTED_VALUE"""),"ldeneboude@ucpa.asso.fr")</f>
        <v>ldeneboude@ucpa.asso.fr</v>
      </c>
      <c r="D1245" s="127" t="str">
        <f>IFERROR(__xludf.DUMMYFUNCTION("""COMPUTED_VALUE"""),"https://drive.google.com/file/d/1oqhetvZvtKcMV5E9K_MF_GI2OHbCcfSB/view?usp=drivesdk")</f>
        <v>https://drive.google.com/file/d/1oqhetvZvtKcMV5E9K_MF_GI2OHbCcfSB/view?usp=drivesdk</v>
      </c>
    </row>
    <row r="1246">
      <c r="A1246" s="50" t="s">
        <v>4494</v>
      </c>
      <c r="B1246" s="50" t="str">
        <f>IFERROR(__xludf.DUMMYFUNCTION("""COMPUTED_VALUE"""),"SES-0048")</f>
        <v>SES-0048</v>
      </c>
      <c r="C1246" s="50" t="str">
        <f>IFERROR(__xludf.DUMMYFUNCTION("""COMPUTED_VALUE"""),"bbunel@ucpa.asso.fr")</f>
        <v>bbunel@ucpa.asso.fr</v>
      </c>
      <c r="D1246" s="127" t="str">
        <f>IFERROR(__xludf.DUMMYFUNCTION("""COMPUTED_VALUE"""),"https://drive.google.com/file/d/18BybA_uNNxanK1m7z263JKwTPCPB_GkB/view?usp=drivesdk")</f>
        <v>https://drive.google.com/file/d/18BybA_uNNxanK1m7z263JKwTPCPB_GkB/view?usp=drivesdk</v>
      </c>
    </row>
    <row r="1247">
      <c r="A1247" s="50" t="s">
        <v>4495</v>
      </c>
      <c r="B1247" s="50" t="str">
        <f>IFERROR(__xludf.DUMMYFUNCTION("""COMPUTED_VALUE"""),"SES-0048")</f>
        <v>SES-0048</v>
      </c>
      <c r="C1247" s="50" t="str">
        <f>IFERROR(__xludf.DUMMYFUNCTION("""COMPUTED_VALUE"""),"vcroue@ucpa.asso.fr")</f>
        <v>vcroue@ucpa.asso.fr</v>
      </c>
      <c r="D1247" s="127" t="str">
        <f>IFERROR(__xludf.DUMMYFUNCTION("""COMPUTED_VALUE"""),"https://drive.google.com/file/d/15qI3aTE3VmRU_cRFWUNyUSr_LfK04O-X/view?usp=drivesdk")</f>
        <v>https://drive.google.com/file/d/15qI3aTE3VmRU_cRFWUNyUSr_LfK04O-X/view?usp=drivesdk</v>
      </c>
    </row>
    <row r="1248">
      <c r="A1248" s="50" t="s">
        <v>4496</v>
      </c>
      <c r="B1248" s="50" t="str">
        <f>IFERROR(__xludf.DUMMYFUNCTION("""COMPUTED_VALUE"""),"SES-0051")</f>
        <v>SES-0051</v>
      </c>
      <c r="C1248" s="50" t="str">
        <f>IFERROR(__xludf.DUMMYFUNCTION("""COMPUTED_VALUE"""),"abrossard@ucpa.asso.fr")</f>
        <v>abrossard@ucpa.asso.fr</v>
      </c>
      <c r="D1248" s="127" t="str">
        <f>IFERROR(__xludf.DUMMYFUNCTION("""COMPUTED_VALUE"""),"https://drive.google.com/file/d/1lu3g-YMK7-WxLuP2xKZEl50yCe8wg-AU/view?usp=drivesdk")</f>
        <v>https://drive.google.com/file/d/1lu3g-YMK7-WxLuP2xKZEl50yCe8wg-AU/view?usp=drivesdk</v>
      </c>
    </row>
    <row r="1249">
      <c r="A1249" s="50" t="s">
        <v>4497</v>
      </c>
      <c r="B1249" s="50" t="str">
        <f>IFERROR(__xludf.DUMMYFUNCTION("""COMPUTED_VALUE"""),"SES-0049")</f>
        <v>SES-0049</v>
      </c>
      <c r="C1249" s="50" t="str">
        <f>IFERROR(__xludf.DUMMYFUNCTION("""COMPUTED_VALUE"""),"abrossard@ucpa.asso.fr")</f>
        <v>abrossard@ucpa.asso.fr</v>
      </c>
      <c r="D1249" s="127" t="str">
        <f>IFERROR(__xludf.DUMMYFUNCTION("""COMPUTED_VALUE"""),"https://drive.google.com/file/d/1fAZacasNtWJYQqfkPKGpP4XNrGa_qrkq/view?usp=drivesdk")</f>
        <v>https://drive.google.com/file/d/1fAZacasNtWJYQqfkPKGpP4XNrGa_qrkq/view?usp=drivesdk</v>
      </c>
    </row>
    <row r="1250">
      <c r="A1250" s="50" t="s">
        <v>4498</v>
      </c>
      <c r="B1250" s="50" t="str">
        <f>IFERROR(__xludf.DUMMYFUNCTION("""COMPUTED_VALUE"""),"SES-0050")</f>
        <v>SES-0050</v>
      </c>
      <c r="C1250" s="50" t="str">
        <f>IFERROR(__xludf.DUMMYFUNCTION("""COMPUTED_VALUE"""),"abrossard@ucpa.asso.fr")</f>
        <v>abrossard@ucpa.asso.fr</v>
      </c>
      <c r="D1250" s="127" t="str">
        <f>IFERROR(__xludf.DUMMYFUNCTION("""COMPUTED_VALUE"""),"https://drive.google.com/file/d/134tzKd_zmSXq88vld9O_49joDFEuiMi4/view?usp=drivesdk")</f>
        <v>https://drive.google.com/file/d/134tzKd_zmSXq88vld9O_49joDFEuiMi4/view?usp=drivesdk</v>
      </c>
    </row>
    <row r="1251">
      <c r="A1251" s="50" t="s">
        <v>4499</v>
      </c>
      <c r="B1251" s="50" t="str">
        <f>IFERROR(__xludf.DUMMYFUNCTION("""COMPUTED_VALUE"""),"SES-0052")</f>
        <v>SES-0052</v>
      </c>
      <c r="C1251" s="50" t="str">
        <f>IFERROR(__xludf.DUMMYFUNCTION("""COMPUTED_VALUE"""),"abrossard@ucpa.asso.fr")</f>
        <v>abrossard@ucpa.asso.fr</v>
      </c>
      <c r="D1251" s="127" t="str">
        <f>IFERROR(__xludf.DUMMYFUNCTION("""COMPUTED_VALUE"""),"https://drive.google.com/file/d/1MLmwLSFpTn8UINmJijV7JgOKiJk8rDAO/view?usp=drivesdk")</f>
        <v>https://drive.google.com/file/d/1MLmwLSFpTn8UINmJijV7JgOKiJk8rDAO/view?usp=drivesdk</v>
      </c>
    </row>
    <row r="1252">
      <c r="A1252" s="50" t="s">
        <v>4500</v>
      </c>
      <c r="B1252" s="50" t="str">
        <f>IFERROR(__xludf.DUMMYFUNCTION("""COMPUTED_VALUE"""),"SES-0048")</f>
        <v>SES-0048</v>
      </c>
      <c r="C1252" s="50" t="str">
        <f>IFERROR(__xludf.DUMMYFUNCTION("""COMPUTED_VALUE"""),"abrossard@ucpa.asso.fr")</f>
        <v>abrossard@ucpa.asso.fr</v>
      </c>
      <c r="D1252" s="127" t="str">
        <f>IFERROR(__xludf.DUMMYFUNCTION("""COMPUTED_VALUE"""),"https://drive.google.com/file/d/1xzTCneMl8_e4j-AhpjFi_e3tDFpMTMhn/view?usp=drivesdk")</f>
        <v>https://drive.google.com/file/d/1xzTCneMl8_e4j-AhpjFi_e3tDFpMTMhn/view?usp=drivesdk</v>
      </c>
    </row>
    <row r="1253">
      <c r="A1253" s="50" t="s">
        <v>4501</v>
      </c>
      <c r="B1253" s="50" t="str">
        <f>IFERROR(__xludf.DUMMYFUNCTION("""COMPUTED_VALUE"""),"SES-0048")</f>
        <v>SES-0048</v>
      </c>
      <c r="C1253" s="50" t="str">
        <f>IFERROR(__xludf.DUMMYFUNCTION("""COMPUTED_VALUE"""),"rseguin@ucpa.asso.fr")</f>
        <v>rseguin@ucpa.asso.fr</v>
      </c>
      <c r="D1253" s="127" t="str">
        <f>IFERROR(__xludf.DUMMYFUNCTION("""COMPUTED_VALUE"""),"https://drive.google.com/file/d/1V9wQS5MAdhk7tr5JXD8_vQfQ3XIcI6C9/view?usp=drivesdk")</f>
        <v>https://drive.google.com/file/d/1V9wQS5MAdhk7tr5JXD8_vQfQ3XIcI6C9/view?usp=drivesdk</v>
      </c>
    </row>
    <row r="1254">
      <c r="A1254" s="50" t="s">
        <v>4502</v>
      </c>
      <c r="B1254" s="50" t="str">
        <f>IFERROR(__xludf.DUMMYFUNCTION("""COMPUTED_VALUE"""),"SES-0048")</f>
        <v>SES-0048</v>
      </c>
      <c r="C1254" s="50" t="str">
        <f>IFERROR(__xludf.DUMMYFUNCTION("""COMPUTED_VALUE"""),"blecomte@ucpa.asso.fr")</f>
        <v>blecomte@ucpa.asso.fr</v>
      </c>
      <c r="D1254" s="127" t="str">
        <f>IFERROR(__xludf.DUMMYFUNCTION("""COMPUTED_VALUE"""),"https://drive.google.com/file/d/1tDbbOiTJ5_-kTXB3n6O_I4xaHeGx2Fsc/view?usp=drivesdk")</f>
        <v>https://drive.google.com/file/d/1tDbbOiTJ5_-kTXB3n6O_I4xaHeGx2Fsc/view?usp=drivesdk</v>
      </c>
    </row>
    <row r="1255">
      <c r="A1255" s="50" t="s">
        <v>4503</v>
      </c>
      <c r="B1255" s="50" t="str">
        <f>IFERROR(__xludf.DUMMYFUNCTION("""COMPUTED_VALUE"""),"SES-0048")</f>
        <v>SES-0048</v>
      </c>
      <c r="C1255" s="50" t="str">
        <f>IFERROR(__xludf.DUMMYFUNCTION("""COMPUTED_VALUE"""),"sheurtel@ucpa.asso.fr")</f>
        <v>sheurtel@ucpa.asso.fr</v>
      </c>
      <c r="D1255" s="127" t="str">
        <f>IFERROR(__xludf.DUMMYFUNCTION("""COMPUTED_VALUE"""),"https://drive.google.com/file/d/12cVHVbGsR0KEPTsUcArt9eu8PPJgfWWo/view?usp=drivesdk")</f>
        <v>https://drive.google.com/file/d/12cVHVbGsR0KEPTsUcArt9eu8PPJgfWWo/view?usp=drivesdk</v>
      </c>
    </row>
    <row r="1256">
      <c r="A1256" s="50" t="s">
        <v>4504</v>
      </c>
      <c r="B1256" s="50" t="str">
        <f>IFERROR(__xludf.DUMMYFUNCTION("""COMPUTED_VALUE"""),"SES-0035")</f>
        <v>SES-0035</v>
      </c>
      <c r="C1256" s="50" t="str">
        <f>IFERROR(__xludf.DUMMYFUNCTION("""COMPUTED_VALUE"""),"rhalimi@ucpa.asso.fr")</f>
        <v>rhalimi@ucpa.asso.fr</v>
      </c>
      <c r="D1256" s="127" t="str">
        <f>IFERROR(__xludf.DUMMYFUNCTION("""COMPUTED_VALUE"""),"https://drive.google.com/file/d/1dVxGobnf7EaD7Cd70xKOy0jiM6WOG5_b/view?usp=drivesdk")</f>
        <v>https://drive.google.com/file/d/1dVxGobnf7EaD7Cd70xKOy0jiM6WOG5_b/view?usp=drivesdk</v>
      </c>
    </row>
    <row r="1257">
      <c r="A1257" s="50" t="s">
        <v>4505</v>
      </c>
      <c r="B1257" s="50" t="str">
        <f>IFERROR(__xludf.DUMMYFUNCTION("""COMPUTED_VALUE"""),"SES-0053")</f>
        <v>SES-0053</v>
      </c>
      <c r="C1257" s="50" t="str">
        <f>IFERROR(__xludf.DUMMYFUNCTION("""COMPUTED_VALUE"""),"rhalimi@ucpa.asso.fr")</f>
        <v>rhalimi@ucpa.asso.fr</v>
      </c>
      <c r="D1257" s="127" t="str">
        <f>IFERROR(__xludf.DUMMYFUNCTION("""COMPUTED_VALUE"""),"https://drive.google.com/file/d/1DYszIHCZtaG16mJfvYtl-81m06G6w5Th/view?usp=drivesdk")</f>
        <v>https://drive.google.com/file/d/1DYszIHCZtaG16mJfvYtl-81m06G6w5Th/view?usp=drivesdk</v>
      </c>
    </row>
    <row r="1258">
      <c r="A1258" s="50" t="s">
        <v>4506</v>
      </c>
      <c r="B1258" s="50" t="str">
        <f>IFERROR(__xludf.DUMMYFUNCTION("""COMPUTED_VALUE"""),"SES-0053")</f>
        <v>SES-0053</v>
      </c>
      <c r="C1258" s="50" t="str">
        <f>IFERROR(__xludf.DUMMYFUNCTION("""COMPUTED_VALUE"""),"cklipfel@ucpa.asso.fr")</f>
        <v>cklipfel@ucpa.asso.fr</v>
      </c>
      <c r="D1258" s="127" t="str">
        <f>IFERROR(__xludf.DUMMYFUNCTION("""COMPUTED_VALUE"""),"https://drive.google.com/file/d/1hR76Bhe1Q6NOvra3BZONyldic2ibrhJh/view?usp=drivesdk")</f>
        <v>https://drive.google.com/file/d/1hR76Bhe1Q6NOvra3BZONyldic2ibrhJh/view?usp=drivesdk</v>
      </c>
    </row>
    <row r="1259">
      <c r="A1259" s="50" t="s">
        <v>4507</v>
      </c>
      <c r="B1259" s="50" t="str">
        <f>IFERROR(__xludf.DUMMYFUNCTION("""COMPUTED_VALUE"""),"SES-0048")</f>
        <v>SES-0048</v>
      </c>
      <c r="C1259" s="50" t="str">
        <f>IFERROR(__xludf.DUMMYFUNCTION("""COMPUTED_VALUE"""),"mpitiot@ucpa.asso.fr")</f>
        <v>mpitiot@ucpa.asso.fr</v>
      </c>
      <c r="D1259" s="127" t="str">
        <f>IFERROR(__xludf.DUMMYFUNCTION("""COMPUTED_VALUE"""),"https://drive.google.com/file/d/1wck3JmkGKcMlYBmOyrWVT5M5D7femgaB/view?usp=drivesdk")</f>
        <v>https://drive.google.com/file/d/1wck3JmkGKcMlYBmOyrWVT5M5D7femgaB/view?usp=drivesdk</v>
      </c>
    </row>
    <row r="1260">
      <c r="A1260" s="50" t="s">
        <v>4508</v>
      </c>
      <c r="B1260" s="50" t="str">
        <f>IFERROR(__xludf.DUMMYFUNCTION("""COMPUTED_VALUE"""),"SES-0048")</f>
        <v>SES-0048</v>
      </c>
      <c r="C1260" s="50" t="str">
        <f>IFERROR(__xludf.DUMMYFUNCTION("""COMPUTED_VALUE"""),"bibnechcharef@ucpa.asso.fr")</f>
        <v>bibnechcharef@ucpa.asso.fr</v>
      </c>
      <c r="D1260" s="127" t="str">
        <f>IFERROR(__xludf.DUMMYFUNCTION("""COMPUTED_VALUE"""),"https://drive.google.com/file/d/1EpfCnqrLhTsnzRwjVP8LzF_BUCam3vAN/view?usp=drivesdk")</f>
        <v>https://drive.google.com/file/d/1EpfCnqrLhTsnzRwjVP8LzF_BUCam3vAN/view?usp=drivesdk</v>
      </c>
    </row>
    <row r="1261">
      <c r="A1261" s="50" t="s">
        <v>4509</v>
      </c>
      <c r="B1261" s="50" t="str">
        <f>IFERROR(__xludf.DUMMYFUNCTION("""COMPUTED_VALUE"""),"SES-0051")</f>
        <v>SES-0051</v>
      </c>
      <c r="C1261" s="50" t="str">
        <f>IFERROR(__xludf.DUMMYFUNCTION("""COMPUTED_VALUE"""),"tsturzer@ucpa.asso.fr")</f>
        <v>tsturzer@ucpa.asso.fr</v>
      </c>
      <c r="D1261" s="127" t="str">
        <f>IFERROR(__xludf.DUMMYFUNCTION("""COMPUTED_VALUE"""),"https://drive.google.com/file/d/1bQUiVScrVVO7Q95HpVO9Cz8r01kdjOe4/view?usp=drivesdk")</f>
        <v>https://drive.google.com/file/d/1bQUiVScrVVO7Q95HpVO9Cz8r01kdjOe4/view?usp=drivesdk</v>
      </c>
    </row>
    <row r="1262">
      <c r="A1262" s="50" t="s">
        <v>4510</v>
      </c>
      <c r="B1262" s="50" t="str">
        <f>IFERROR(__xludf.DUMMYFUNCTION("""COMPUTED_VALUE"""),"SES-0053")</f>
        <v>SES-0053</v>
      </c>
      <c r="C1262" s="50" t="str">
        <f>IFERROR(__xludf.DUMMYFUNCTION("""COMPUTED_VALUE"""),"maid@ucpa.asso.fr")</f>
        <v>maid@ucpa.asso.fr</v>
      </c>
      <c r="D1262" s="127" t="str">
        <f>IFERROR(__xludf.DUMMYFUNCTION("""COMPUTED_VALUE"""),"https://drive.google.com/file/d/1fNBMQP4ZR7XlM3xcxec_pBhHgV7FQFFk/view?usp=drivesdk")</f>
        <v>https://drive.google.com/file/d/1fNBMQP4ZR7XlM3xcxec_pBhHgV7FQFFk/view?usp=drivesdk</v>
      </c>
    </row>
    <row r="1263">
      <c r="A1263" s="50" t="s">
        <v>4511</v>
      </c>
      <c r="B1263" s="50" t="str">
        <f>IFERROR(__xludf.DUMMYFUNCTION("""COMPUTED_VALUE"""),"SES-0049")</f>
        <v>SES-0049</v>
      </c>
      <c r="C1263" s="50" t="str">
        <f>IFERROR(__xludf.DUMMYFUNCTION("""COMPUTED_VALUE"""),"maid@ucpa.asso.fr")</f>
        <v>maid@ucpa.asso.fr</v>
      </c>
      <c r="D1263" s="127" t="str">
        <f>IFERROR(__xludf.DUMMYFUNCTION("""COMPUTED_VALUE"""),"https://drive.google.com/file/d/1XvyHTCrOAz4u8ryOWD0KQ8qRc_E6eapz/view?usp=drivesdk")</f>
        <v>https://drive.google.com/file/d/1XvyHTCrOAz4u8ryOWD0KQ8qRc_E6eapz/view?usp=drivesdk</v>
      </c>
    </row>
    <row r="1264">
      <c r="A1264" s="50" t="s">
        <v>4512</v>
      </c>
      <c r="B1264" s="50" t="str">
        <f>IFERROR(__xludf.DUMMYFUNCTION("""COMPUTED_VALUE"""),"SES-0050")</f>
        <v>SES-0050</v>
      </c>
      <c r="C1264" s="50" t="str">
        <f>IFERROR(__xludf.DUMMYFUNCTION("""COMPUTED_VALUE"""),"rhalimi@ucpa.asso.fr")</f>
        <v>rhalimi@ucpa.asso.fr</v>
      </c>
      <c r="D1264" s="127" t="str">
        <f>IFERROR(__xludf.DUMMYFUNCTION("""COMPUTED_VALUE"""),"https://drive.google.com/file/d/1DO8eAmcFEzhTgyxFREEcDS9VUL7Rx1QJ/view?usp=drivesdk")</f>
        <v>https://drive.google.com/file/d/1DO8eAmcFEzhTgyxFREEcDS9VUL7Rx1QJ/view?usp=drivesdk</v>
      </c>
    </row>
    <row r="1265">
      <c r="A1265" s="50" t="s">
        <v>4513</v>
      </c>
      <c r="B1265" s="50" t="str">
        <f>IFERROR(__xludf.DUMMYFUNCTION("""COMPUTED_VALUE"""),"SES-0051")</f>
        <v>SES-0051</v>
      </c>
      <c r="C1265" s="50" t="str">
        <f>IFERROR(__xludf.DUMMYFUNCTION("""COMPUTED_VALUE"""),"rhalimi@ucpa.asso.fr")</f>
        <v>rhalimi@ucpa.asso.fr</v>
      </c>
      <c r="D1265" s="127" t="str">
        <f>IFERROR(__xludf.DUMMYFUNCTION("""COMPUTED_VALUE"""),"https://drive.google.com/file/d/1N8j5EKgwdD8qlfJ3-5QMnZrSE_5vNror/view?usp=drivesdk")</f>
        <v>https://drive.google.com/file/d/1N8j5EKgwdD8qlfJ3-5QMnZrSE_5vNror/view?usp=drivesdk</v>
      </c>
    </row>
    <row r="1266">
      <c r="A1266" s="50" t="s">
        <v>4514</v>
      </c>
      <c r="B1266" s="50" t="str">
        <f>IFERROR(__xludf.DUMMYFUNCTION("""COMPUTED_VALUE"""),"SES-0052")</f>
        <v>SES-0052</v>
      </c>
      <c r="C1266" s="50" t="str">
        <f>IFERROR(__xludf.DUMMYFUNCTION("""COMPUTED_VALUE"""),"rhalimi@ucpa.asso.fr")</f>
        <v>rhalimi@ucpa.asso.fr</v>
      </c>
      <c r="D1266" s="127" t="str">
        <f>IFERROR(__xludf.DUMMYFUNCTION("""COMPUTED_VALUE"""),"https://drive.google.com/file/d/1gqnS9tE8DCohx0y9ekaKtg3tElx0oHqQ/view?usp=drivesdk")</f>
        <v>https://drive.google.com/file/d/1gqnS9tE8DCohx0y9ekaKtg3tElx0oHqQ/view?usp=drivesdk</v>
      </c>
    </row>
    <row r="1267">
      <c r="A1267" s="50" t="s">
        <v>4515</v>
      </c>
      <c r="B1267" s="50" t="str">
        <f>IFERROR(__xludf.DUMMYFUNCTION("""COMPUTED_VALUE"""),"SES-0045")</f>
        <v>SES-0045</v>
      </c>
      <c r="C1267" s="50" t="str">
        <f>IFERROR(__xludf.DUMMYFUNCTION("""COMPUTED_VALUE"""),"lfeuillet@ucpa.asso.fr")</f>
        <v>lfeuillet@ucpa.asso.fr</v>
      </c>
      <c r="D1267" s="127" t="str">
        <f>IFERROR(__xludf.DUMMYFUNCTION("""COMPUTED_VALUE"""),"https://drive.google.com/file/d/11BWy5YC0z3uzqqJMj-4uAxvS-017KpIE/view?usp=drivesdk")</f>
        <v>https://drive.google.com/file/d/11BWy5YC0z3uzqqJMj-4uAxvS-017KpIE/view?usp=drivesdk</v>
      </c>
    </row>
    <row r="1268">
      <c r="A1268" s="50" t="s">
        <v>4516</v>
      </c>
      <c r="B1268" s="50" t="str">
        <f>IFERROR(__xludf.DUMMYFUNCTION("""COMPUTED_VALUE"""),"SES-0047")</f>
        <v>SES-0047</v>
      </c>
      <c r="C1268" s="50" t="str">
        <f>IFERROR(__xludf.DUMMYFUNCTION("""COMPUTED_VALUE"""),"lfeuillet@ucpa.asso.fr")</f>
        <v>lfeuillet@ucpa.asso.fr</v>
      </c>
      <c r="D1268" s="127" t="str">
        <f>IFERROR(__xludf.DUMMYFUNCTION("""COMPUTED_VALUE"""),"https://drive.google.com/file/d/12XFkywjyCqUQOgDpuBARTecssYHN9_xP/view?usp=drivesdk")</f>
        <v>https://drive.google.com/file/d/12XFkywjyCqUQOgDpuBARTecssYHN9_xP/view?usp=drivesdk</v>
      </c>
    </row>
    <row r="1269">
      <c r="A1269" s="50" t="s">
        <v>4517</v>
      </c>
      <c r="B1269" s="50" t="str">
        <f>IFERROR(__xludf.DUMMYFUNCTION("""COMPUTED_VALUE"""),"SES-0044")</f>
        <v>SES-0044</v>
      </c>
      <c r="C1269" s="50" t="str">
        <f>IFERROR(__xludf.DUMMYFUNCTION("""COMPUTED_VALUE"""),"lfeuillet@ucpa.asso.fr")</f>
        <v>lfeuillet@ucpa.asso.fr</v>
      </c>
      <c r="D1269" s="127" t="str">
        <f>IFERROR(__xludf.DUMMYFUNCTION("""COMPUTED_VALUE"""),"https://drive.google.com/file/d/1fENL5y2TtN0wae2kzsq4nXSfQFDCNTsD/view?usp=drivesdk")</f>
        <v>https://drive.google.com/file/d/1fENL5y2TtN0wae2kzsq4nXSfQFDCNTsD/view?usp=drivesdk</v>
      </c>
    </row>
    <row r="1270">
      <c r="A1270" s="50" t="s">
        <v>4518</v>
      </c>
      <c r="B1270" s="50" t="str">
        <f>IFERROR(__xludf.DUMMYFUNCTION("""COMPUTED_VALUE"""),"SES-0044")</f>
        <v>SES-0044</v>
      </c>
      <c r="C1270" s="50" t="str">
        <f>IFERROR(__xludf.DUMMYFUNCTION("""COMPUTED_VALUE"""),"nchansard@ucpa.asso.fr")</f>
        <v>nchansard@ucpa.asso.fr</v>
      </c>
      <c r="D1270" s="127" t="str">
        <f>IFERROR(__xludf.DUMMYFUNCTION("""COMPUTED_VALUE"""),"https://drive.google.com/file/d/178SOwwXVJ1Kfl5HrJUTmDKMQhcToBqEa/view?usp=drivesdk")</f>
        <v>https://drive.google.com/file/d/178SOwwXVJ1Kfl5HrJUTmDKMQhcToBqEa/view?usp=drivesdk</v>
      </c>
    </row>
    <row r="1271">
      <c r="A1271" s="50" t="s">
        <v>4519</v>
      </c>
      <c r="B1271" s="50" t="str">
        <f>IFERROR(__xludf.DUMMYFUNCTION("""COMPUTED_VALUE"""),"SES-0034")</f>
        <v>SES-0034</v>
      </c>
      <c r="C1271" s="50" t="str">
        <f>IFERROR(__xludf.DUMMYFUNCTION("""COMPUTED_VALUE"""),"mmoreel@ucpa.asso.fr")</f>
        <v>mmoreel@ucpa.asso.fr</v>
      </c>
      <c r="D1271" s="127" t="str">
        <f>IFERROR(__xludf.DUMMYFUNCTION("""COMPUTED_VALUE"""),"https://drive.google.com/file/d/1dLDz4OVdQ8ZWvw1-FIvhJUgyo_IRGwgk/view?usp=drivesdk")</f>
        <v>https://drive.google.com/file/d/1dLDz4OVdQ8ZWvw1-FIvhJUgyo_IRGwgk/view?usp=drivesdk</v>
      </c>
    </row>
    <row r="1272">
      <c r="A1272" s="50" t="s">
        <v>4520</v>
      </c>
      <c r="B1272" s="50" t="str">
        <f>IFERROR(__xludf.DUMMYFUNCTION("""COMPUTED_VALUE"""),"SES-0051")</f>
        <v>SES-0051</v>
      </c>
      <c r="C1272" s="50" t="str">
        <f>IFERROR(__xludf.DUMMYFUNCTION("""COMPUTED_VALUE"""),"mpitiot@ucpa.asso.fr")</f>
        <v>mpitiot@ucpa.asso.fr</v>
      </c>
      <c r="D1272" s="127" t="str">
        <f>IFERROR(__xludf.DUMMYFUNCTION("""COMPUTED_VALUE"""),"https://drive.google.com/file/d/187IH5VlHQVG2s9771FxadR3UsXERxA7P/view?usp=drivesdk")</f>
        <v>https://drive.google.com/file/d/187IH5VlHQVG2s9771FxadR3UsXERxA7P/view?usp=drivesdk</v>
      </c>
    </row>
    <row r="1273">
      <c r="A1273" s="50" t="s">
        <v>4521</v>
      </c>
      <c r="B1273" s="50" t="str">
        <f>IFERROR(__xludf.DUMMYFUNCTION("""COMPUTED_VALUE"""),"SES-0049")</f>
        <v>SES-0049</v>
      </c>
      <c r="C1273" s="50" t="str">
        <f>IFERROR(__xludf.DUMMYFUNCTION("""COMPUTED_VALUE"""),"mpitiot@ucpa.asso.fr")</f>
        <v>mpitiot@ucpa.asso.fr</v>
      </c>
      <c r="D1273" s="127" t="str">
        <f>IFERROR(__xludf.DUMMYFUNCTION("""COMPUTED_VALUE"""),"https://drive.google.com/file/d/1zKIZmQGN1vh-S4AlW-PynrEpsYRjo16n/view?usp=drivesdk")</f>
        <v>https://drive.google.com/file/d/1zKIZmQGN1vh-S4AlW-PynrEpsYRjo16n/view?usp=drivesdk</v>
      </c>
    </row>
    <row r="1274">
      <c r="A1274" s="50" t="s">
        <v>4522</v>
      </c>
      <c r="B1274" s="50" t="str">
        <f>IFERROR(__xludf.DUMMYFUNCTION("""COMPUTED_VALUE"""),"SES-0050")</f>
        <v>SES-0050</v>
      </c>
      <c r="C1274" s="50" t="str">
        <f>IFERROR(__xludf.DUMMYFUNCTION("""COMPUTED_VALUE"""),"mpitiot@ucpa.asso.fr")</f>
        <v>mpitiot@ucpa.asso.fr</v>
      </c>
      <c r="D1274" s="127" t="str">
        <f>IFERROR(__xludf.DUMMYFUNCTION("""COMPUTED_VALUE"""),"https://drive.google.com/file/d/1AdEL_jsQ06s7xX5sA2tejFB0i-KYHSls/view?usp=drivesdk")</f>
        <v>https://drive.google.com/file/d/1AdEL_jsQ06s7xX5sA2tejFB0i-KYHSls/view?usp=drivesdk</v>
      </c>
    </row>
    <row r="1275">
      <c r="A1275" s="50" t="s">
        <v>4523</v>
      </c>
      <c r="B1275" s="50" t="str">
        <f>IFERROR(__xludf.DUMMYFUNCTION("""COMPUTED_VALUE"""),"SES-0038")</f>
        <v>SES-0038</v>
      </c>
      <c r="C1275" s="50" t="str">
        <f>IFERROR(__xludf.DUMMYFUNCTION("""COMPUTED_VALUE"""),"pacalbo@ucpa.asso.fr")</f>
        <v>pacalbo@ucpa.asso.fr</v>
      </c>
      <c r="D1275" s="127" t="str">
        <f>IFERROR(__xludf.DUMMYFUNCTION("""COMPUTED_VALUE"""),"https://drive.google.com/file/d/1xc0SwJ_9Bv1HqDSbV6l0HCwH2JheY9nE/view?usp=drivesdk")</f>
        <v>https://drive.google.com/file/d/1xc0SwJ_9Bv1HqDSbV6l0HCwH2JheY9nE/view?usp=drivesdk</v>
      </c>
    </row>
    <row r="1276">
      <c r="A1276" s="50" t="s">
        <v>4524</v>
      </c>
      <c r="B1276" s="50" t="str">
        <f>IFERROR(__xludf.DUMMYFUNCTION("""COMPUTED_VALUE"""),"SES-0049")</f>
        <v>SES-0049</v>
      </c>
      <c r="C1276" s="50" t="str">
        <f>IFERROR(__xludf.DUMMYFUNCTION("""COMPUTED_VALUE"""),"fcapitaine@ucpa.asso.fr")</f>
        <v>fcapitaine@ucpa.asso.fr</v>
      </c>
      <c r="D1276" s="127" t="str">
        <f>IFERROR(__xludf.DUMMYFUNCTION("""COMPUTED_VALUE"""),"https://drive.google.com/file/d/1nzdcY8OX1LeMF7hZFJgF50VuBVytyQLA/view?usp=drivesdk")</f>
        <v>https://drive.google.com/file/d/1nzdcY8OX1LeMF7hZFJgF50VuBVytyQLA/view?usp=drivesdk</v>
      </c>
    </row>
    <row r="1277">
      <c r="A1277" s="50" t="s">
        <v>4525</v>
      </c>
      <c r="B1277" s="50" t="str">
        <f>IFERROR(__xludf.DUMMYFUNCTION("""COMPUTED_VALUE"""),"SES-0050")</f>
        <v>SES-0050</v>
      </c>
      <c r="C1277" s="50" t="str">
        <f>IFERROR(__xludf.DUMMYFUNCTION("""COMPUTED_VALUE"""),"fcapitaine@ucpa.asso.fr")</f>
        <v>fcapitaine@ucpa.asso.fr</v>
      </c>
      <c r="D1277" s="127" t="str">
        <f>IFERROR(__xludf.DUMMYFUNCTION("""COMPUTED_VALUE"""),"https://drive.google.com/file/d/1RdUSu8vFwHi_R9idhV9eck3TMZU7-r5v/view?usp=drivesdk")</f>
        <v>https://drive.google.com/file/d/1RdUSu8vFwHi_R9idhV9eck3TMZU7-r5v/view?usp=drivesdk</v>
      </c>
    </row>
    <row r="1278">
      <c r="A1278" s="50" t="s">
        <v>4526</v>
      </c>
      <c r="B1278" s="50" t="str">
        <f>IFERROR(__xludf.DUMMYFUNCTION("""COMPUTED_VALUE"""),"SES-0051")</f>
        <v>SES-0051</v>
      </c>
      <c r="C1278" s="50" t="str">
        <f>IFERROR(__xludf.DUMMYFUNCTION("""COMPUTED_VALUE"""),"fcapitaine@ucpa.asso.fr")</f>
        <v>fcapitaine@ucpa.asso.fr</v>
      </c>
      <c r="D1278" s="127" t="str">
        <f>IFERROR(__xludf.DUMMYFUNCTION("""COMPUTED_VALUE"""),"https://drive.google.com/file/d/12fOl5QgxgqiAtPoMYymyGpNnqeIvdPHm/view?usp=drivesdk")</f>
        <v>https://drive.google.com/file/d/12fOl5QgxgqiAtPoMYymyGpNnqeIvdPHm/view?usp=drivesdk</v>
      </c>
    </row>
    <row r="1279">
      <c r="A1279" s="50" t="s">
        <v>4527</v>
      </c>
      <c r="B1279" s="50" t="str">
        <f>IFERROR(__xludf.DUMMYFUNCTION("""COMPUTED_VALUE"""),"SES-0052")</f>
        <v>SES-0052</v>
      </c>
      <c r="C1279" s="50" t="str">
        <f>IFERROR(__xludf.DUMMYFUNCTION("""COMPUTED_VALUE"""),"fcapitaine@ucpa.asso.fr")</f>
        <v>fcapitaine@ucpa.asso.fr</v>
      </c>
      <c r="D1279" s="127" t="str">
        <f>IFERROR(__xludf.DUMMYFUNCTION("""COMPUTED_VALUE"""),"https://drive.google.com/file/d/1XY-f1VXbDYgxWHGJI-sZ-wajzSEr7nwL/view?usp=drivesdk")</f>
        <v>https://drive.google.com/file/d/1XY-f1VXbDYgxWHGJI-sZ-wajzSEr7nwL/view?usp=drivesdk</v>
      </c>
    </row>
    <row r="1280">
      <c r="A1280" s="50" t="s">
        <v>4528</v>
      </c>
      <c r="B1280" s="50" t="str">
        <f>IFERROR(__xludf.DUMMYFUNCTION("""COMPUTED_VALUE"""),"SES-0036")</f>
        <v>SES-0036</v>
      </c>
      <c r="C1280" s="50" t="str">
        <f>IFERROR(__xludf.DUMMYFUNCTION("""COMPUTED_VALUE"""),"ttimizar@ucpa.asso.fr")</f>
        <v>ttimizar@ucpa.asso.fr</v>
      </c>
      <c r="D1280" s="127" t="str">
        <f>IFERROR(__xludf.DUMMYFUNCTION("""COMPUTED_VALUE"""),"https://drive.google.com/file/d/1kBsJHw8yrv1orVKvvjrHTlVN_W1PBB1a/view?usp=drivesdk")</f>
        <v>https://drive.google.com/file/d/1kBsJHw8yrv1orVKvvjrHTlVN_W1PBB1a/view?usp=drivesdk</v>
      </c>
    </row>
    <row r="1281">
      <c r="A1281" s="50" t="s">
        <v>4529</v>
      </c>
      <c r="B1281" s="50" t="str">
        <f>IFERROR(__xludf.DUMMYFUNCTION("""COMPUTED_VALUE"""),"SES-0042")</f>
        <v>SES-0042</v>
      </c>
      <c r="C1281" s="50" t="str">
        <f>IFERROR(__xludf.DUMMYFUNCTION("""COMPUTED_VALUE"""),"lfeuillet@ucpa.asso.fr")</f>
        <v>lfeuillet@ucpa.asso.fr</v>
      </c>
      <c r="D1281" s="127" t="str">
        <f>IFERROR(__xludf.DUMMYFUNCTION("""COMPUTED_VALUE"""),"https://drive.google.com/file/d/13xgBmeD-4Vu2mAaJEDB_fMxd1aPexXqM/view?usp=drivesdk")</f>
        <v>https://drive.google.com/file/d/13xgBmeD-4Vu2mAaJEDB_fMxd1aPexXqM/view?usp=drivesdk</v>
      </c>
    </row>
    <row r="1282">
      <c r="A1282" s="50" t="s">
        <v>4530</v>
      </c>
      <c r="B1282" s="50" t="str">
        <f>IFERROR(__xludf.DUMMYFUNCTION("""COMPUTED_VALUE"""),"SES-0046")</f>
        <v>SES-0046</v>
      </c>
      <c r="C1282" s="50" t="str">
        <f>IFERROR(__xludf.DUMMYFUNCTION("""COMPUTED_VALUE"""),"nleturcq@ucpa.asso.fr")</f>
        <v>nleturcq@ucpa.asso.fr</v>
      </c>
      <c r="D1282" s="127" t="str">
        <f>IFERROR(__xludf.DUMMYFUNCTION("""COMPUTED_VALUE"""),"https://drive.google.com/file/d/1rFC0BrB8dXUaZwpQirLKcp-4Emdo9UW-/view?usp=drivesdk")</f>
        <v>https://drive.google.com/file/d/1rFC0BrB8dXUaZwpQirLKcp-4Emdo9UW-/view?usp=drivesdk</v>
      </c>
    </row>
    <row r="1283">
      <c r="A1283" s="50" t="s">
        <v>4531</v>
      </c>
      <c r="B1283" s="50" t="str">
        <f>IFERROR(__xludf.DUMMYFUNCTION("""COMPUTED_VALUE"""),"SES-0049")</f>
        <v>SES-0049</v>
      </c>
      <c r="C1283" s="50" t="str">
        <f>IFERROR(__xludf.DUMMYFUNCTION("""COMPUTED_VALUE"""),"nleturcq@ucpa.asso.fr")</f>
        <v>nleturcq@ucpa.asso.fr</v>
      </c>
      <c r="D1283" s="127" t="str">
        <f>IFERROR(__xludf.DUMMYFUNCTION("""COMPUTED_VALUE"""),"https://drive.google.com/file/d/1xNsZKlVb3dJwk1FOsOJoEyjlXT1tsXjZ/view?usp=drivesdk")</f>
        <v>https://drive.google.com/file/d/1xNsZKlVb3dJwk1FOsOJoEyjlXT1tsXjZ/view?usp=drivesdk</v>
      </c>
    </row>
    <row r="1284">
      <c r="A1284" s="50" t="s">
        <v>4532</v>
      </c>
      <c r="B1284" s="50" t="str">
        <f>IFERROR(__xludf.DUMMYFUNCTION("""COMPUTED_VALUE"""),"SES-0049")</f>
        <v>SES-0049</v>
      </c>
      <c r="C1284" s="50" t="str">
        <f>IFERROR(__xludf.DUMMYFUNCTION("""COMPUTED_VALUE"""),"ningigliardi@ucpa.asso.fr")</f>
        <v>ningigliardi@ucpa.asso.fr</v>
      </c>
      <c r="D1284" s="127" t="str">
        <f>IFERROR(__xludf.DUMMYFUNCTION("""COMPUTED_VALUE"""),"https://drive.google.com/file/d/1HaEgV7GEK5ebtGZ4b9gS8FM-T6WEQbrf/view?usp=drivesdk")</f>
        <v>https://drive.google.com/file/d/1HaEgV7GEK5ebtGZ4b9gS8FM-T6WEQbrf/view?usp=drivesdk</v>
      </c>
    </row>
    <row r="1285">
      <c r="A1285" s="50" t="s">
        <v>4533</v>
      </c>
      <c r="B1285" s="50" t="str">
        <f>IFERROR(__xludf.DUMMYFUNCTION("""COMPUTED_VALUE"""),"SES-0051")</f>
        <v>SES-0051</v>
      </c>
      <c r="C1285" s="50" t="str">
        <f>IFERROR(__xludf.DUMMYFUNCTION("""COMPUTED_VALUE"""),"ningigliardi@ucpa.asso.fr")</f>
        <v>ningigliardi@ucpa.asso.fr</v>
      </c>
      <c r="D1285" s="127" t="str">
        <f>IFERROR(__xludf.DUMMYFUNCTION("""COMPUTED_VALUE"""),"https://drive.google.com/file/d/1qVtyqZKwKxHEzP32RHmZdQgnjgYsGVjl/view?usp=drivesdk")</f>
        <v>https://drive.google.com/file/d/1qVtyqZKwKxHEzP32RHmZdQgnjgYsGVjl/view?usp=drivesdk</v>
      </c>
    </row>
    <row r="1286">
      <c r="A1286" s="50" t="s">
        <v>4534</v>
      </c>
      <c r="B1286" s="50" t="str">
        <f>IFERROR(__xludf.DUMMYFUNCTION("""COMPUTED_VALUE"""),"SES-0038")</f>
        <v>SES-0038</v>
      </c>
      <c r="C1286" s="50" t="str">
        <f>IFERROR(__xludf.DUMMYFUNCTION("""COMPUTED_VALUE"""),"abrossard@ucpa.asso.fr")</f>
        <v>abrossard@ucpa.asso.fr</v>
      </c>
      <c r="D1286" s="127" t="str">
        <f>IFERROR(__xludf.DUMMYFUNCTION("""COMPUTED_VALUE"""),"https://drive.google.com/file/d/1xPainOlO8U05r0BCermbbyn-koKLGE42/view?usp=drivesdk")</f>
        <v>https://drive.google.com/file/d/1xPainOlO8U05r0BCermbbyn-koKLGE42/view?usp=drivesdk</v>
      </c>
    </row>
    <row r="1287">
      <c r="A1287" s="50" t="s">
        <v>4535</v>
      </c>
      <c r="B1287" s="50" t="str">
        <f>IFERROR(__xludf.DUMMYFUNCTION("""COMPUTED_VALUE"""),"SES-0051")</f>
        <v>SES-0051</v>
      </c>
      <c r="C1287" s="50" t="str">
        <f>IFERROR(__xludf.DUMMYFUNCTION("""COMPUTED_VALUE"""),"pacalbo@ucpa.asso.fr")</f>
        <v>pacalbo@ucpa.asso.fr</v>
      </c>
      <c r="D1287" s="127" t="str">
        <f>IFERROR(__xludf.DUMMYFUNCTION("""COMPUTED_VALUE"""),"https://drive.google.com/file/d/1EpmGQYCQGjq9eZhEC_kCHN17pCeKyKav/view?usp=drivesdk")</f>
        <v>https://drive.google.com/file/d/1EpmGQYCQGjq9eZhEC_kCHN17pCeKyKav/view?usp=drivesdk</v>
      </c>
    </row>
    <row r="1288">
      <c r="A1288" s="50" t="s">
        <v>4536</v>
      </c>
      <c r="B1288" s="50" t="str">
        <f>IFERROR(__xludf.DUMMYFUNCTION("""COMPUTED_VALUE"""),"SES-0049")</f>
        <v>SES-0049</v>
      </c>
      <c r="C1288" s="50" t="str">
        <f>IFERROR(__xludf.DUMMYFUNCTION("""COMPUTED_VALUE"""),"pacalbo@ucpa.asso.fr")</f>
        <v>pacalbo@ucpa.asso.fr</v>
      </c>
      <c r="D1288" s="127" t="str">
        <f>IFERROR(__xludf.DUMMYFUNCTION("""COMPUTED_VALUE"""),"https://drive.google.com/file/d/1A-rMKLNNa2ly19_BBPyV0FS2I2UirLip/view?usp=drivesdk")</f>
        <v>https://drive.google.com/file/d/1A-rMKLNNa2ly19_BBPyV0FS2I2UirLip/view?usp=drivesdk</v>
      </c>
    </row>
    <row r="1289">
      <c r="A1289" s="50" t="s">
        <v>4537</v>
      </c>
      <c r="B1289" s="50" t="str">
        <f>IFERROR(__xludf.DUMMYFUNCTION("""COMPUTED_VALUE"""),"SES-0049")</f>
        <v>SES-0049</v>
      </c>
      <c r="C1289" s="50" t="str">
        <f>IFERROR(__xludf.DUMMYFUNCTION("""COMPUTED_VALUE"""),"sbouteille@ucpa.asso.fr")</f>
        <v>sbouteille@ucpa.asso.fr</v>
      </c>
      <c r="D1289" s="127" t="str">
        <f>IFERROR(__xludf.DUMMYFUNCTION("""COMPUTED_VALUE"""),"https://drive.google.com/file/d/1s7f8iHYdIwDOUl_Fvzies_5sOZk666yz/view?usp=drivesdk")</f>
        <v>https://drive.google.com/file/d/1s7f8iHYdIwDOUl_Fvzies_5sOZk666yz/view?usp=drivesdk</v>
      </c>
    </row>
    <row r="1290">
      <c r="A1290" s="50" t="s">
        <v>4538</v>
      </c>
      <c r="B1290" s="50" t="str">
        <f>IFERROR(__xludf.DUMMYFUNCTION("""COMPUTED_VALUE"""),"SES-0046")</f>
        <v>SES-0046</v>
      </c>
      <c r="C1290" s="50" t="str">
        <f>IFERROR(__xludf.DUMMYFUNCTION("""COMPUTED_VALUE"""),"pacalbo@ucpa.asso.fr")</f>
        <v>pacalbo@ucpa.asso.fr</v>
      </c>
      <c r="D1290" s="127" t="str">
        <f>IFERROR(__xludf.DUMMYFUNCTION("""COMPUTED_VALUE"""),"https://drive.google.com/file/d/1KUncDcng9CCS7FozPVuk0Y-nTB6cQrH7/view?usp=drivesdk")</f>
        <v>https://drive.google.com/file/d/1KUncDcng9CCS7FozPVuk0Y-nTB6cQrH7/view?usp=drivesdk</v>
      </c>
    </row>
    <row r="1291">
      <c r="A1291" s="50" t="s">
        <v>4539</v>
      </c>
      <c r="B1291" s="50" t="str">
        <f>IFERROR(__xludf.DUMMYFUNCTION("""COMPUTED_VALUE"""),"SES-0040")</f>
        <v>SES-0040</v>
      </c>
      <c r="C1291" s="50" t="str">
        <f>IFERROR(__xludf.DUMMYFUNCTION("""COMPUTED_VALUE"""),"pacalbo@ucpa.asso.fr")</f>
        <v>pacalbo@ucpa.asso.fr</v>
      </c>
      <c r="D1291" s="127" t="str">
        <f>IFERROR(__xludf.DUMMYFUNCTION("""COMPUTED_VALUE"""),"https://drive.google.com/file/d/1n2LpGEXWGi8CI0JVtYonH3xS02qHi2Iu/view?usp=drivesdk")</f>
        <v>https://drive.google.com/file/d/1n2LpGEXWGi8CI0JVtYonH3xS02qHi2Iu/view?usp=drivesdk</v>
      </c>
    </row>
    <row r="1292">
      <c r="A1292" s="50" t="s">
        <v>4540</v>
      </c>
      <c r="B1292" s="50" t="str">
        <f>IFERROR(__xludf.DUMMYFUNCTION("""COMPUTED_VALUE"""),"SES-0043")</f>
        <v>SES-0043</v>
      </c>
      <c r="C1292" s="50" t="str">
        <f>IFERROR(__xludf.DUMMYFUNCTION("""COMPUTED_VALUE"""),"rhalimi@ucpa.asso.fr")</f>
        <v>rhalimi@ucpa.asso.fr</v>
      </c>
      <c r="D1292" s="127" t="str">
        <f>IFERROR(__xludf.DUMMYFUNCTION("""COMPUTED_VALUE"""),"https://drive.google.com/file/d/1jE6-4VMFHR0S106pQlZkYLNroXE1NvV0/view?usp=drivesdk")</f>
        <v>https://drive.google.com/file/d/1jE6-4VMFHR0S106pQlZkYLNroXE1NvV0/view?usp=drivesdk</v>
      </c>
    </row>
    <row r="1293">
      <c r="A1293" s="50" t="s">
        <v>4541</v>
      </c>
      <c r="B1293" s="50" t="str">
        <f>IFERROR(__xludf.DUMMYFUNCTION("""COMPUTED_VALUE"""),"SES-0041")</f>
        <v>SES-0041</v>
      </c>
      <c r="C1293" s="50" t="str">
        <f>IFERROR(__xludf.DUMMYFUNCTION("""COMPUTED_VALUE"""),"fsaussac@ucpa.asso.fr")</f>
        <v>fsaussac@ucpa.asso.fr</v>
      </c>
      <c r="D1293" s="127" t="str">
        <f>IFERROR(__xludf.DUMMYFUNCTION("""COMPUTED_VALUE"""),"https://drive.google.com/file/d/1z1mkO00wSDsbqCnsmlKYx3RbKN1dvCXu/view?usp=drivesdk")</f>
        <v>https://drive.google.com/file/d/1z1mkO00wSDsbqCnsmlKYx3RbKN1dvCXu/view?usp=drivesdk</v>
      </c>
    </row>
    <row r="1294">
      <c r="A1294" s="50" t="s">
        <v>4542</v>
      </c>
      <c r="B1294" s="50" t="str">
        <f>IFERROR(__xludf.DUMMYFUNCTION("""COMPUTED_VALUE"""),"SES-0043")</f>
        <v>SES-0043</v>
      </c>
      <c r="C1294" s="50" t="str">
        <f>IFERROR(__xludf.DUMMYFUNCTION("""COMPUTED_VALUE"""),"fsaussac@ucpa.asso.fr")</f>
        <v>fsaussac@ucpa.asso.fr</v>
      </c>
      <c r="D1294" s="127" t="str">
        <f>IFERROR(__xludf.DUMMYFUNCTION("""COMPUTED_VALUE"""),"https://drive.google.com/file/d/1G9r2xgkTjUZeCbzaKlX1BabQFQImA9ms/view?usp=drivesdk")</f>
        <v>https://drive.google.com/file/d/1G9r2xgkTjUZeCbzaKlX1BabQFQImA9ms/view?usp=drivesdk</v>
      </c>
    </row>
    <row r="1295">
      <c r="A1295" s="50" t="s">
        <v>4543</v>
      </c>
      <c r="B1295" s="50" t="str">
        <f>IFERROR(__xludf.DUMMYFUNCTION("""COMPUTED_VALUE"""),"SES-0041")</f>
        <v>SES-0041</v>
      </c>
      <c r="C1295" s="50" t="str">
        <f>IFERROR(__xludf.DUMMYFUNCTION("""COMPUTED_VALUE"""),"ivanneph@ucpa.asso.fr")</f>
        <v>ivanneph@ucpa.asso.fr</v>
      </c>
      <c r="D1295" s="127" t="str">
        <f>IFERROR(__xludf.DUMMYFUNCTION("""COMPUTED_VALUE"""),"https://drive.google.com/file/d/1xi_JdJMvRBSMpKACx30nNU51mrrDS7d7/view?usp=drivesdk")</f>
        <v>https://drive.google.com/file/d/1xi_JdJMvRBSMpKACx30nNU51mrrDS7d7/view?usp=drivesdk</v>
      </c>
    </row>
    <row r="1296">
      <c r="A1296" s="50" t="s">
        <v>4544</v>
      </c>
      <c r="B1296" s="50" t="str">
        <f>IFERROR(__xludf.DUMMYFUNCTION("""COMPUTED_VALUE"""),"SES-0043")</f>
        <v>SES-0043</v>
      </c>
      <c r="C1296" s="50" t="str">
        <f>IFERROR(__xludf.DUMMYFUNCTION("""COMPUTED_VALUE"""),"ivanneph@ucpa.asso.fr")</f>
        <v>ivanneph@ucpa.asso.fr</v>
      </c>
      <c r="D1296" s="127" t="str">
        <f>IFERROR(__xludf.DUMMYFUNCTION("""COMPUTED_VALUE"""),"https://drive.google.com/file/d/1uAoK7XjG58SCXT7imwmxrjW6sFUl8-BZ/view?usp=drivesdk")</f>
        <v>https://drive.google.com/file/d/1uAoK7XjG58SCXT7imwmxrjW6sFUl8-BZ/view?usp=drivesdk</v>
      </c>
    </row>
    <row r="1297">
      <c r="A1297" s="50" t="s">
        <v>4545</v>
      </c>
      <c r="B1297" s="50" t="str">
        <f>IFERROR(__xludf.DUMMYFUNCTION("""COMPUTED_VALUE"""),"SES-0046")</f>
        <v>SES-0046</v>
      </c>
      <c r="C1297" s="50" t="str">
        <f>IFERROR(__xludf.DUMMYFUNCTION("""COMPUTED_VALUE"""),"matthieu.blanc@telligo.fr")</f>
        <v>matthieu.blanc@telligo.fr</v>
      </c>
      <c r="D1297" s="127" t="str">
        <f>IFERROR(__xludf.DUMMYFUNCTION("""COMPUTED_VALUE"""),"https://drive.google.com/file/d/1zm6x2R3UHlzaqddSAw6bSws8XM6K30_t/view?usp=drivesdk")</f>
        <v>https://drive.google.com/file/d/1zm6x2R3UHlzaqddSAw6bSws8XM6K30_t/view?usp=drivesdk</v>
      </c>
    </row>
    <row r="1298">
      <c r="A1298" s="50" t="s">
        <v>4546</v>
      </c>
      <c r="B1298" s="50" t="str">
        <f>IFERROR(__xludf.DUMMYFUNCTION("""COMPUTED_VALUE"""),"SES-0041")</f>
        <v>SES-0041</v>
      </c>
      <c r="C1298" s="50" t="str">
        <f>IFERROR(__xludf.DUMMYFUNCTION("""COMPUTED_VALUE"""),"mmoreel@ucpa.asso.fr")</f>
        <v>mmoreel@ucpa.asso.fr</v>
      </c>
      <c r="D1298" s="127" t="str">
        <f>IFERROR(__xludf.DUMMYFUNCTION("""COMPUTED_VALUE"""),"https://drive.google.com/file/d/1buR_XQHrGgmolzGQnWXyMgIOMd5X18e6/view?usp=drivesdk")</f>
        <v>https://drive.google.com/file/d/1buR_XQHrGgmolzGQnWXyMgIOMd5X18e6/view?usp=drivesdk</v>
      </c>
    </row>
    <row r="1299">
      <c r="A1299" s="50" t="s">
        <v>4547</v>
      </c>
      <c r="B1299" s="50" t="str">
        <f>IFERROR(__xludf.DUMMYFUNCTION("""COMPUTED_VALUE"""),"SES-0045")</f>
        <v>SES-0045</v>
      </c>
      <c r="C1299" s="50" t="str">
        <f>IFERROR(__xludf.DUMMYFUNCTION("""COMPUTED_VALUE"""),"cjoureau@ucpa.asso.fr")</f>
        <v>cjoureau@ucpa.asso.fr</v>
      </c>
      <c r="D1299" s="127" t="str">
        <f>IFERROR(__xludf.DUMMYFUNCTION("""COMPUTED_VALUE"""),"https://drive.google.com/file/d/1Ql_0mR6hPDQfhzvN73TB_trPvaDbGHZp/view?usp=drivesdk")</f>
        <v>https://drive.google.com/file/d/1Ql_0mR6hPDQfhzvN73TB_trPvaDbGHZp/view?usp=drivesdk</v>
      </c>
    </row>
    <row r="1300">
      <c r="A1300" s="50" t="s">
        <v>4548</v>
      </c>
      <c r="B1300" s="50" t="str">
        <f>IFERROR(__xludf.DUMMYFUNCTION("""COMPUTED_VALUE"""),"SES-0049")</f>
        <v>SES-0049</v>
      </c>
      <c r="C1300" s="50" t="str">
        <f>IFERROR(__xludf.DUMMYFUNCTION("""COMPUTED_VALUE"""),"slabetant@ucpa.asso.fr")</f>
        <v>slabetant@ucpa.asso.fr</v>
      </c>
      <c r="D1300" s="127" t="str">
        <f>IFERROR(__xludf.DUMMYFUNCTION("""COMPUTED_VALUE"""),"https://drive.google.com/file/d/1olNJAlyR1zUI0lx0g9ebHm5d7a3JaOAW/view?usp=drivesdk")</f>
        <v>https://drive.google.com/file/d/1olNJAlyR1zUI0lx0g9ebHm5d7a3JaOAW/view?usp=drivesdk</v>
      </c>
    </row>
    <row r="1301">
      <c r="A1301" s="50" t="s">
        <v>4549</v>
      </c>
      <c r="B1301" s="50" t="str">
        <f>IFERROR(__xludf.DUMMYFUNCTION("""COMPUTED_VALUE"""),"SES-0044")</f>
        <v>SES-0044</v>
      </c>
      <c r="C1301" s="50" t="str">
        <f>IFERROR(__xludf.DUMMYFUNCTION("""COMPUTED_VALUE"""),"slabetant@ucpa.asso.fr")</f>
        <v>slabetant@ucpa.asso.fr</v>
      </c>
      <c r="D1301" s="127" t="str">
        <f>IFERROR(__xludf.DUMMYFUNCTION("""COMPUTED_VALUE"""),"https://drive.google.com/file/d/1r9P2huWI6x27fya48evaZiohUaYVmwWN/view?usp=drivesdk")</f>
        <v>https://drive.google.com/file/d/1r9P2huWI6x27fya48evaZiohUaYVmwWN/view?usp=drivesdk</v>
      </c>
    </row>
    <row r="1302">
      <c r="A1302" s="50" t="s">
        <v>4550</v>
      </c>
      <c r="B1302" s="50" t="str">
        <f>IFERROR(__xludf.DUMMYFUNCTION("""COMPUTED_VALUE"""),"SES-0042")</f>
        <v>SES-0042</v>
      </c>
      <c r="C1302" s="50" t="str">
        <f>IFERROR(__xludf.DUMMYFUNCTION("""COMPUTED_VALUE"""),"mmoreel@ucpa.asso.fr")</f>
        <v>mmoreel@ucpa.asso.fr</v>
      </c>
      <c r="D1302" s="127" t="str">
        <f>IFERROR(__xludf.DUMMYFUNCTION("""COMPUTED_VALUE"""),"https://drive.google.com/file/d/1H39CLdCHrQBZcJF6xB3S_9j6nKYqsDnn/view?usp=drivesdk")</f>
        <v>https://drive.google.com/file/d/1H39CLdCHrQBZcJF6xB3S_9j6nKYqsDnn/view?usp=drivesdk</v>
      </c>
    </row>
    <row r="1303">
      <c r="A1303" s="50" t="s">
        <v>4551</v>
      </c>
      <c r="B1303" s="50" t="str">
        <f>IFERROR(__xludf.DUMMYFUNCTION("""COMPUTED_VALUE"""),"SES-0047")</f>
        <v>SES-0047</v>
      </c>
      <c r="C1303" s="50" t="str">
        <f>IFERROR(__xludf.DUMMYFUNCTION("""COMPUTED_VALUE"""),"lgeulin@ucpa.asso.fr")</f>
        <v>lgeulin@ucpa.asso.fr</v>
      </c>
      <c r="D1303" s="127" t="str">
        <f>IFERROR(__xludf.DUMMYFUNCTION("""COMPUTED_VALUE"""),"https://drive.google.com/file/d/1ZXUmGRjHhVEUESCYxZ6g9OxxYCYTCOAB/view?usp=drivesdk")</f>
        <v>https://drive.google.com/file/d/1ZXUmGRjHhVEUESCYxZ6g9OxxYCYTCOAB/view?usp=drivesdk</v>
      </c>
    </row>
    <row r="1304">
      <c r="A1304" s="50" t="s">
        <v>4552</v>
      </c>
      <c r="B1304" s="50" t="str">
        <f>IFERROR(__xludf.DUMMYFUNCTION("""COMPUTED_VALUE"""),"SES-0049")</f>
        <v>SES-0049</v>
      </c>
      <c r="C1304" s="50" t="str">
        <f>IFERROR(__xludf.DUMMYFUNCTION("""COMPUTED_VALUE"""),"cjoly@ucpa.asso.fr")</f>
        <v>cjoly@ucpa.asso.fr</v>
      </c>
      <c r="D1304" s="127" t="str">
        <f>IFERROR(__xludf.DUMMYFUNCTION("""COMPUTED_VALUE"""),"https://drive.google.com/file/d/1tePI-pzvT1SZYwi_fdzkifwi38RprcVS/view?usp=drivesdk")</f>
        <v>https://drive.google.com/file/d/1tePI-pzvT1SZYwi_fdzkifwi38RprcVS/view?usp=drivesdk</v>
      </c>
    </row>
    <row r="1305">
      <c r="A1305" s="50" t="s">
        <v>4553</v>
      </c>
      <c r="B1305" s="50" t="str">
        <f>IFERROR(__xludf.DUMMYFUNCTION("""COMPUTED_VALUE"""),"SES-0051")</f>
        <v>SES-0051</v>
      </c>
      <c r="C1305" s="50" t="str">
        <f>IFERROR(__xludf.DUMMYFUNCTION("""COMPUTED_VALUE"""),"cjoly@ucpa.asso.fr")</f>
        <v>cjoly@ucpa.asso.fr</v>
      </c>
      <c r="D1305" s="127" t="str">
        <f>IFERROR(__xludf.DUMMYFUNCTION("""COMPUTED_VALUE"""),"https://drive.google.com/file/d/1G96Rc8ueoAQS2ndygfTY0q4VH6ytGPd5/view?usp=drivesdk")</f>
        <v>https://drive.google.com/file/d/1G96Rc8ueoAQS2ndygfTY0q4VH6ytGPd5/view?usp=drivesdk</v>
      </c>
    </row>
    <row r="1306">
      <c r="A1306" s="50" t="s">
        <v>4554</v>
      </c>
      <c r="B1306" s="50" t="str">
        <f>IFERROR(__xludf.DUMMYFUNCTION("""COMPUTED_VALUE"""),"SES-0045")</f>
        <v>SES-0045</v>
      </c>
      <c r="C1306" s="50" t="str">
        <f>IFERROR(__xludf.DUMMYFUNCTION("""COMPUTED_VALUE"""),"apauletcatrin@ucpa.asso.fr")</f>
        <v>apauletcatrin@ucpa.asso.fr</v>
      </c>
      <c r="D1306" s="127" t="str">
        <f>IFERROR(__xludf.DUMMYFUNCTION("""COMPUTED_VALUE"""),"https://drive.google.com/file/d/1F4HnLJwmLepe_QZpEZ2Fm1jbWGdcBiAd/view?usp=drivesdk")</f>
        <v>https://drive.google.com/file/d/1F4HnLJwmLepe_QZpEZ2Fm1jbWGdcBiAd/view?usp=drivesdk</v>
      </c>
    </row>
    <row r="1307">
      <c r="A1307" s="50" t="s">
        <v>4555</v>
      </c>
      <c r="B1307" s="50" t="str">
        <f>IFERROR(__xludf.DUMMYFUNCTION("""COMPUTED_VALUE"""),"SES-0045")</f>
        <v>SES-0045</v>
      </c>
      <c r="C1307" s="50" t="str">
        <f>IFERROR(__xludf.DUMMYFUNCTION("""COMPUTED_VALUE"""),"bdarmon@ucpa.asso.fr")</f>
        <v>bdarmon@ucpa.asso.fr</v>
      </c>
      <c r="D1307" s="127" t="str">
        <f>IFERROR(__xludf.DUMMYFUNCTION("""COMPUTED_VALUE"""),"https://drive.google.com/file/d/1k4mcWHQpVCyn69KAX_u2IDwDbabsepYM/view?usp=drivesdk")</f>
        <v>https://drive.google.com/file/d/1k4mcWHQpVCyn69KAX_u2IDwDbabsepYM/view?usp=drivesdk</v>
      </c>
    </row>
    <row r="1308">
      <c r="A1308" s="50" t="s">
        <v>4556</v>
      </c>
      <c r="B1308" s="50" t="str">
        <f>IFERROR(__xludf.DUMMYFUNCTION("""COMPUTED_VALUE"""),"SES-0050")</f>
        <v>SES-0050</v>
      </c>
      <c r="C1308" s="50" t="str">
        <f>IFERROR(__xludf.DUMMYFUNCTION("""COMPUTED_VALUE"""),"ccoeur@ucpa.asso.fr")</f>
        <v>ccoeur@ucpa.asso.fr</v>
      </c>
      <c r="D1308" s="127" t="str">
        <f>IFERROR(__xludf.DUMMYFUNCTION("""COMPUTED_VALUE"""),"https://drive.google.com/file/d/1DRpTHFH65q_5yjEuBNkW34boNpYybJly/view?usp=drivesdk")</f>
        <v>https://drive.google.com/file/d/1DRpTHFH65q_5yjEuBNkW34boNpYybJly/view?usp=drivesdk</v>
      </c>
    </row>
    <row r="1309">
      <c r="A1309" s="50" t="s">
        <v>4557</v>
      </c>
      <c r="B1309" s="50" t="str">
        <f>IFERROR(__xludf.DUMMYFUNCTION("""COMPUTED_VALUE"""),"SES-0051")</f>
        <v>SES-0051</v>
      </c>
      <c r="C1309" s="50" t="str">
        <f>IFERROR(__xludf.DUMMYFUNCTION("""COMPUTED_VALUE"""),"ccoeur@ucpa.asso.fr")</f>
        <v>ccoeur@ucpa.asso.fr</v>
      </c>
      <c r="D1309" s="127" t="str">
        <f>IFERROR(__xludf.DUMMYFUNCTION("""COMPUTED_VALUE"""),"https://drive.google.com/file/d/14GCY7aStn_L1N-452p6uBNml29IZVpWo/view?usp=drivesdk")</f>
        <v>https://drive.google.com/file/d/14GCY7aStn_L1N-452p6uBNml29IZVpWo/view?usp=drivesdk</v>
      </c>
    </row>
    <row r="1310">
      <c r="A1310" s="50" t="s">
        <v>4558</v>
      </c>
      <c r="B1310" s="50" t="str">
        <f>IFERROR(__xludf.DUMMYFUNCTION("""COMPUTED_VALUE"""),"SES-0050")</f>
        <v>SES-0050</v>
      </c>
      <c r="C1310" s="50" t="str">
        <f>IFERROR(__xludf.DUMMYFUNCTION("""COMPUTED_VALUE"""),"betty.boillon@telligo.fr")</f>
        <v>betty.boillon@telligo.fr</v>
      </c>
      <c r="D1310" s="127" t="str">
        <f>IFERROR(__xludf.DUMMYFUNCTION("""COMPUTED_VALUE"""),"https://drive.google.com/file/d/18wVyYWMHbegRH2TFlLbmbmR6uLozX-LR/view?usp=drivesdk")</f>
        <v>https://drive.google.com/file/d/18wVyYWMHbegRH2TFlLbmbmR6uLozX-LR/view?usp=drivesdk</v>
      </c>
    </row>
    <row r="1311">
      <c r="A1311" s="50" t="s">
        <v>4559</v>
      </c>
      <c r="B1311" s="50" t="str">
        <f>IFERROR(__xludf.DUMMYFUNCTION("""COMPUTED_VALUE"""),"SES-0046")</f>
        <v>SES-0046</v>
      </c>
      <c r="C1311" s="50" t="str">
        <f>IFERROR(__xludf.DUMMYFUNCTION("""COMPUTED_VALUE"""),"echochois@ucpa.asso.fr")</f>
        <v>echochois@ucpa.asso.fr</v>
      </c>
      <c r="D1311" s="127" t="str">
        <f>IFERROR(__xludf.DUMMYFUNCTION("""COMPUTED_VALUE"""),"https://drive.google.com/file/d/1_KuF9GSyOF3W5eLMI_dH_-bkLLrgTjEB/view?usp=drivesdk")</f>
        <v>https://drive.google.com/file/d/1_KuF9GSyOF3W5eLMI_dH_-bkLLrgTjEB/view?usp=drivesdk</v>
      </c>
    </row>
    <row r="1312">
      <c r="A1312" s="50" t="s">
        <v>4560</v>
      </c>
      <c r="B1312" s="50" t="str">
        <f>IFERROR(__xludf.DUMMYFUNCTION("""COMPUTED_VALUE"""),"SES-0050")</f>
        <v>SES-0050</v>
      </c>
      <c r="C1312" s="50" t="str">
        <f>IFERROR(__xludf.DUMMYFUNCTION("""COMPUTED_VALUE"""),"torresclaireanne@hotmail.fr")</f>
        <v>torresclaireanne@hotmail.fr</v>
      </c>
      <c r="D1312" s="127" t="str">
        <f>IFERROR(__xludf.DUMMYFUNCTION("""COMPUTED_VALUE"""),"https://drive.google.com/file/d/1wr5a-KbhHvBdwJZ_xJg2K6ZRFHTsOXQ0/view?usp=drivesdk")</f>
        <v>https://drive.google.com/file/d/1wr5a-KbhHvBdwJZ_xJg2K6ZRFHTsOXQ0/view?usp=drivesdk</v>
      </c>
    </row>
    <row r="1313">
      <c r="A1313" s="50" t="s">
        <v>4561</v>
      </c>
      <c r="B1313" s="50" t="str">
        <f>IFERROR(__xludf.DUMMYFUNCTION("""COMPUTED_VALUE"""),"SES-0051")</f>
        <v>SES-0051</v>
      </c>
      <c r="C1313" s="50" t="str">
        <f>IFERROR(__xludf.DUMMYFUNCTION("""COMPUTED_VALUE"""),"torresclaireanne@hotmail.fr")</f>
        <v>torresclaireanne@hotmail.fr</v>
      </c>
      <c r="D1313" s="127" t="str">
        <f>IFERROR(__xludf.DUMMYFUNCTION("""COMPUTED_VALUE"""),"https://drive.google.com/file/d/1LXHP0ZQEHYEzDXeAivmHYGNI2VuHAO16/view?usp=drivesdk")</f>
        <v>https://drive.google.com/file/d/1LXHP0ZQEHYEzDXeAivmHYGNI2VuHAO16/view?usp=drivesdk</v>
      </c>
    </row>
    <row r="1314">
      <c r="A1314" s="50" t="s">
        <v>4562</v>
      </c>
      <c r="B1314" s="50" t="str">
        <f>IFERROR(__xludf.DUMMYFUNCTION("""COMPUTED_VALUE"""),"SES-0052")</f>
        <v>SES-0052</v>
      </c>
      <c r="C1314" s="50" t="str">
        <f>IFERROR(__xludf.DUMMYFUNCTION("""COMPUTED_VALUE"""),"torresclaireanne@hotmail.fr")</f>
        <v>torresclaireanne@hotmail.fr</v>
      </c>
      <c r="D1314" s="127" t="str">
        <f>IFERROR(__xludf.DUMMYFUNCTION("""COMPUTED_VALUE"""),"https://drive.google.com/file/d/1AX8YueUIRgFz4olNxEePoMuT2sasgjT-/view?usp=drivesdk")</f>
        <v>https://drive.google.com/file/d/1AX8YueUIRgFz4olNxEePoMuT2sasgjT-/view?usp=drivesdk</v>
      </c>
    </row>
    <row r="1315">
      <c r="A1315" s="50" t="s">
        <v>4563</v>
      </c>
      <c r="B1315" s="50" t="str">
        <f>IFERROR(__xludf.DUMMYFUNCTION("""COMPUTED_VALUE"""),"SES-0052")</f>
        <v>SES-0052</v>
      </c>
      <c r="C1315" s="50" t="str">
        <f>IFERROR(__xludf.DUMMYFUNCTION("""COMPUTED_VALUE"""),"tfort@ucpa.asso.fr")</f>
        <v>tfort@ucpa.asso.fr</v>
      </c>
      <c r="D1315" s="127" t="str">
        <f>IFERROR(__xludf.DUMMYFUNCTION("""COMPUTED_VALUE"""),"https://drive.google.com/file/d/1BGw3ll2WvTUeanqjQQu4kJhdVqRUMXKK/view?usp=drivesdk")</f>
        <v>https://drive.google.com/file/d/1BGw3ll2WvTUeanqjQQu4kJhdVqRUMXKK/view?usp=drivesdk</v>
      </c>
    </row>
    <row r="1316">
      <c r="A1316" s="50" t="s">
        <v>4564</v>
      </c>
      <c r="B1316" s="50" t="str">
        <f>IFERROR(__xludf.DUMMYFUNCTION("""COMPUTED_VALUE"""),"SES-0047")</f>
        <v>SES-0047</v>
      </c>
      <c r="C1316" s="50" t="str">
        <f>IFERROR(__xludf.DUMMYFUNCTION("""COMPUTED_VALUE"""),"mmoreel@ucpa.asso.fr")</f>
        <v>mmoreel@ucpa.asso.fr</v>
      </c>
      <c r="D1316" s="127" t="str">
        <f>IFERROR(__xludf.DUMMYFUNCTION("""COMPUTED_VALUE"""),"https://drive.google.com/file/d/1-zhUerGGleMbormZ1EEfBizVbQFXI8Nd/view?usp=drivesdk")</f>
        <v>https://drive.google.com/file/d/1-zhUerGGleMbormZ1EEfBizVbQFXI8Nd/view?usp=drivesdk</v>
      </c>
    </row>
    <row r="1317">
      <c r="A1317" s="50" t="s">
        <v>4565</v>
      </c>
      <c r="B1317" s="50" t="str">
        <f>IFERROR(__xludf.DUMMYFUNCTION("""COMPUTED_VALUE"""),"SES-0050")</f>
        <v>SES-0050</v>
      </c>
      <c r="C1317" s="50" t="str">
        <f>IFERROR(__xludf.DUMMYFUNCTION("""COMPUTED_VALUE"""),"afraile@ucpa.asso.fr")</f>
        <v>afraile@ucpa.asso.fr</v>
      </c>
      <c r="D1317" s="127" t="str">
        <f>IFERROR(__xludf.DUMMYFUNCTION("""COMPUTED_VALUE"""),"https://drive.google.com/file/d/11h6oubJqh9p0vIaKW7QlP_4u0W2DCRad/view?usp=drivesdk")</f>
        <v>https://drive.google.com/file/d/11h6oubJqh9p0vIaKW7QlP_4u0W2DCRad/view?usp=drivesdk</v>
      </c>
    </row>
    <row r="1318">
      <c r="A1318" s="50" t="s">
        <v>4566</v>
      </c>
      <c r="B1318" s="50" t="str">
        <f>IFERROR(__xludf.DUMMYFUNCTION("""COMPUTED_VALUE"""),"SES-0050")</f>
        <v>SES-0050</v>
      </c>
      <c r="C1318" s="50" t="str">
        <f>IFERROR(__xludf.DUMMYFUNCTION("""COMPUTED_VALUE"""),"rseguin@ucpa.asso.fr")</f>
        <v>rseguin@ucpa.asso.fr</v>
      </c>
      <c r="D1318" s="127" t="str">
        <f>IFERROR(__xludf.DUMMYFUNCTION("""COMPUTED_VALUE"""),"https://drive.google.com/file/d/1LdCBgij_uL7UOL4jWLJro4yI1qzRCrjd/view?usp=drivesdk")</f>
        <v>https://drive.google.com/file/d/1LdCBgij_uL7UOL4jWLJro4yI1qzRCrjd/view?usp=drivesdk</v>
      </c>
    </row>
    <row r="1319">
      <c r="A1319" s="50" t="s">
        <v>4567</v>
      </c>
      <c r="B1319" s="50" t="str">
        <f>IFERROR(__xludf.DUMMYFUNCTION("""COMPUTED_VALUE"""),"SES-0050")</f>
        <v>SES-0050</v>
      </c>
      <c r="C1319" s="50" t="str">
        <f>IFERROR(__xludf.DUMMYFUNCTION("""COMPUTED_VALUE"""),"gguervin@ucpa.asso.fr")</f>
        <v>gguervin@ucpa.asso.fr</v>
      </c>
      <c r="D1319" s="127" t="str">
        <f>IFERROR(__xludf.DUMMYFUNCTION("""COMPUTED_VALUE"""),"https://drive.google.com/file/d/1dBYsJmlTublK1hDdOSusSMWY1A8uKdBh/view?usp=drivesdk")</f>
        <v>https://drive.google.com/file/d/1dBYsJmlTublK1hDdOSusSMWY1A8uKdBh/view?usp=drivesdk</v>
      </c>
    </row>
    <row r="1320">
      <c r="A1320" s="50" t="s">
        <v>4568</v>
      </c>
      <c r="B1320" s="50" t="str">
        <f>IFERROR(__xludf.DUMMYFUNCTION("""COMPUTED_VALUE"""),"SES-0050")</f>
        <v>SES-0050</v>
      </c>
      <c r="C1320" s="50" t="str">
        <f>IFERROR(__xludf.DUMMYFUNCTION("""COMPUTED_VALUE"""),"vmathelin@ucpa.asso.fr")</f>
        <v>vmathelin@ucpa.asso.fr</v>
      </c>
      <c r="D1320" s="127" t="str">
        <f>IFERROR(__xludf.DUMMYFUNCTION("""COMPUTED_VALUE"""),"https://drive.google.com/file/d/10OqGLYyPH9VVoZRSlMBdEtWdfIaM2ESX/view?usp=drivesdk")</f>
        <v>https://drive.google.com/file/d/10OqGLYyPH9VVoZRSlMBdEtWdfIaM2ESX/view?usp=drivesdk</v>
      </c>
    </row>
    <row r="1321">
      <c r="A1321" s="50" t="s">
        <v>4569</v>
      </c>
      <c r="B1321" s="50" t="str">
        <f>IFERROR(__xludf.DUMMYFUNCTION("""COMPUTED_VALUE"""),"SES-0050")</f>
        <v>SES-0050</v>
      </c>
      <c r="C1321" s="50" t="str">
        <f>IFERROR(__xludf.DUMMYFUNCTION("""COMPUTED_VALUE"""),"asavoji@ucpa.asso.fr")</f>
        <v>asavoji@ucpa.asso.fr</v>
      </c>
      <c r="D1321" s="127" t="str">
        <f>IFERROR(__xludf.DUMMYFUNCTION("""COMPUTED_VALUE"""),"https://drive.google.com/file/d/1UM-XbH6nJUx-WKhsONPiEcxspvUmq732/view?usp=drivesdk")</f>
        <v>https://drive.google.com/file/d/1UM-XbH6nJUx-WKhsONPiEcxspvUmq732/view?usp=drivesdk</v>
      </c>
    </row>
    <row r="1322">
      <c r="A1322" s="50" t="s">
        <v>4570</v>
      </c>
      <c r="B1322" s="50" t="str">
        <f>IFERROR(__xludf.DUMMYFUNCTION("""COMPUTED_VALUE"""),"SES-0050")</f>
        <v>SES-0050</v>
      </c>
      <c r="C1322" s="50" t="str">
        <f>IFERROR(__xludf.DUMMYFUNCTION("""COMPUTED_VALUE"""),"msugg@ucpa.asso.fr")</f>
        <v>msugg@ucpa.asso.fr</v>
      </c>
      <c r="D1322" s="127" t="str">
        <f>IFERROR(__xludf.DUMMYFUNCTION("""COMPUTED_VALUE"""),"https://drive.google.com/file/d/10S8mf0_Aiag4qKSHsd8T8pJDFkfebyQR/view?usp=drivesdk")</f>
        <v>https://drive.google.com/file/d/10S8mf0_Aiag4qKSHsd8T8pJDFkfebyQR/view?usp=drivesdk</v>
      </c>
    </row>
    <row r="1323">
      <c r="A1323" s="50" t="s">
        <v>4571</v>
      </c>
      <c r="B1323" s="50" t="str">
        <f>IFERROR(__xludf.DUMMYFUNCTION("""COMPUTED_VALUE"""),"SES-0050")</f>
        <v>SES-0050</v>
      </c>
      <c r="C1323" s="50" t="str">
        <f>IFERROR(__xludf.DUMMYFUNCTION("""COMPUTED_VALUE"""),"falamome@ucpa.asso.fr")</f>
        <v>falamome@ucpa.asso.fr</v>
      </c>
      <c r="D1323" s="127" t="str">
        <f>IFERROR(__xludf.DUMMYFUNCTION("""COMPUTED_VALUE"""),"https://drive.google.com/file/d/1IKoegxGDrveWbt7SNC3haCUh2P4Uwjhm/view?usp=drivesdk")</f>
        <v>https://drive.google.com/file/d/1IKoegxGDrveWbt7SNC3haCUh2P4Uwjhm/view?usp=drivesdk</v>
      </c>
    </row>
    <row r="1324">
      <c r="A1324" s="50" t="s">
        <v>4571</v>
      </c>
      <c r="B1324" s="50" t="str">
        <f>IFERROR(__xludf.DUMMYFUNCTION("""COMPUTED_VALUE"""),"SES-0050")</f>
        <v>SES-0050</v>
      </c>
      <c r="C1324" s="50" t="str">
        <f>IFERROR(__xludf.DUMMYFUNCTION("""COMPUTED_VALUE"""),"falamome@ucpa.asso.fr")</f>
        <v>falamome@ucpa.asso.fr</v>
      </c>
      <c r="D1324" s="127" t="str">
        <f>IFERROR(__xludf.DUMMYFUNCTION("""COMPUTED_VALUE"""),"https://drive.google.com/file/d/1SCSpPMNySb0vylAVIvsV9qZrZTlk9-pq/view?usp=drivesdk")</f>
        <v>https://drive.google.com/file/d/1SCSpPMNySb0vylAVIvsV9qZrZTlk9-pq/view?usp=drivesdk</v>
      </c>
    </row>
    <row r="1325">
      <c r="A1325" s="50" t="s">
        <v>4572</v>
      </c>
      <c r="B1325" s="50" t="str">
        <f>IFERROR(__xludf.DUMMYFUNCTION("""COMPUTED_VALUE"""),"SES-0050")</f>
        <v>SES-0050</v>
      </c>
      <c r="C1325" s="50" t="str">
        <f>IFERROR(__xludf.DUMMYFUNCTION("""COMPUTED_VALUE"""),"Achina@ucpa.asso.fr")</f>
        <v>Achina@ucpa.asso.fr</v>
      </c>
      <c r="D1325" s="127" t="str">
        <f>IFERROR(__xludf.DUMMYFUNCTION("""COMPUTED_VALUE"""),"https://drive.google.com/file/d/1q7omPXclTJ_SN6wlYj8m5hPce38V9L27/view?usp=drivesdk")</f>
        <v>https://drive.google.com/file/d/1q7omPXclTJ_SN6wlYj8m5hPce38V9L27/view?usp=drivesdk</v>
      </c>
    </row>
    <row r="1326">
      <c r="A1326" s="50" t="s">
        <v>4573</v>
      </c>
      <c r="B1326" s="50" t="str">
        <f>IFERROR(__xludf.DUMMYFUNCTION("""COMPUTED_VALUE"""),"SES-0052")</f>
        <v>SES-0052</v>
      </c>
      <c r="C1326" s="50" t="str">
        <f>IFERROR(__xludf.DUMMYFUNCTION("""COMPUTED_VALUE"""),"Achina@ucpa.asso.fr")</f>
        <v>Achina@ucpa.asso.fr</v>
      </c>
      <c r="D1326" s="127" t="str">
        <f>IFERROR(__xludf.DUMMYFUNCTION("""COMPUTED_VALUE"""),"https://drive.google.com/file/d/1W-OatYKQTNVJUdTGX-UtsQSZ1Bbl2HRb/view?usp=drivesdk")</f>
        <v>https://drive.google.com/file/d/1W-OatYKQTNVJUdTGX-UtsQSZ1Bbl2HRb/view?usp=drivesdk</v>
      </c>
    </row>
    <row r="1327">
      <c r="A1327" s="50" t="s">
        <v>4574</v>
      </c>
      <c r="B1327" s="50" t="str">
        <f>IFERROR(__xludf.DUMMYFUNCTION("""COMPUTED_VALUE"""),"SES-0051")</f>
        <v>SES-0051</v>
      </c>
      <c r="C1327" s="50" t="str">
        <f>IFERROR(__xludf.DUMMYFUNCTION("""COMPUTED_VALUE"""),"Achina@ucpa.asso.fr")</f>
        <v>Achina@ucpa.asso.fr</v>
      </c>
      <c r="D1327" s="127" t="str">
        <f>IFERROR(__xludf.DUMMYFUNCTION("""COMPUTED_VALUE"""),"https://drive.google.com/file/d/1am_r1Ug7tmcGI8se9y2uzAiJCpAZ2wC7/view?usp=drivesdk")</f>
        <v>https://drive.google.com/file/d/1am_r1Ug7tmcGI8se9y2uzAiJCpAZ2wC7/view?usp=drivesdk</v>
      </c>
    </row>
    <row r="1328">
      <c r="A1328" s="50" t="s">
        <v>4575</v>
      </c>
      <c r="B1328" s="50" t="str">
        <f>IFERROR(__xludf.DUMMYFUNCTION("""COMPUTED_VALUE"""),"SES-0050")</f>
        <v>SES-0050</v>
      </c>
      <c r="C1328" s="50" t="str">
        <f>IFERROR(__xludf.DUMMYFUNCTION("""COMPUTED_VALUE"""),"lverrier@ucpa.asso.fr")</f>
        <v>lverrier@ucpa.asso.fr</v>
      </c>
      <c r="D1328" s="127" t="str">
        <f>IFERROR(__xludf.DUMMYFUNCTION("""COMPUTED_VALUE"""),"https://drive.google.com/file/d/13LtFcm5xPrC5-ZXF2r5vMtbOQAwbgfZ5/view?usp=drivesdk")</f>
        <v>https://drive.google.com/file/d/13LtFcm5xPrC5-ZXF2r5vMtbOQAwbgfZ5/view?usp=drivesdk</v>
      </c>
    </row>
    <row r="1329">
      <c r="A1329" s="50" t="s">
        <v>4576</v>
      </c>
      <c r="B1329" s="50" t="str">
        <f>IFERROR(__xludf.DUMMYFUNCTION("""COMPUTED_VALUE"""),"SES-0051")</f>
        <v>SES-0051</v>
      </c>
      <c r="C1329" s="50" t="str">
        <f>IFERROR(__xludf.DUMMYFUNCTION("""COMPUTED_VALUE"""),"vmathelin@ucpa.asso.fr")</f>
        <v>vmathelin@ucpa.asso.fr</v>
      </c>
      <c r="D1329" s="127" t="str">
        <f>IFERROR(__xludf.DUMMYFUNCTION("""COMPUTED_VALUE"""),"https://drive.google.com/file/d/1YfX44b9ic04btKo6wFV5wcZ5K76_PELb/view?usp=drivesdk")</f>
        <v>https://drive.google.com/file/d/1YfX44b9ic04btKo6wFV5wcZ5K76_PELb/view?usp=drivesdk</v>
      </c>
    </row>
    <row r="1330">
      <c r="A1330" s="50" t="s">
        <v>4577</v>
      </c>
      <c r="B1330" s="50" t="str">
        <f>IFERROR(__xludf.DUMMYFUNCTION("""COMPUTED_VALUE"""),"SES-0052")</f>
        <v>SES-0052</v>
      </c>
      <c r="C1330" s="50" t="str">
        <f>IFERROR(__xludf.DUMMYFUNCTION("""COMPUTED_VALUE"""),"vmathelin@ucpa.asso.fr")</f>
        <v>vmathelin@ucpa.asso.fr</v>
      </c>
      <c r="D1330" s="127" t="str">
        <f>IFERROR(__xludf.DUMMYFUNCTION("""COMPUTED_VALUE"""),"https://drive.google.com/file/d/1nZTZME7JUcWE9qwaAn33lN7LiwdSXh_W/view?usp=drivesdk")</f>
        <v>https://drive.google.com/file/d/1nZTZME7JUcWE9qwaAn33lN7LiwdSXh_W/view?usp=drivesdk</v>
      </c>
    </row>
    <row r="1331">
      <c r="A1331" s="50" t="s">
        <v>4578</v>
      </c>
      <c r="B1331" s="50" t="str">
        <f>IFERROR(__xludf.DUMMYFUNCTION("""COMPUTED_VALUE"""),"SES-0051")</f>
        <v>SES-0051</v>
      </c>
      <c r="C1331" s="50" t="str">
        <f>IFERROR(__xludf.DUMMYFUNCTION("""COMPUTED_VALUE"""),"bdarmon@ucpa.asso.fr")</f>
        <v>bdarmon@ucpa.asso.fr</v>
      </c>
      <c r="D1331" s="127" t="str">
        <f>IFERROR(__xludf.DUMMYFUNCTION("""COMPUTED_VALUE"""),"https://drive.google.com/file/d/12vaFaFC3pYPNq2v5Bb27o2TdBofDuIJv/view?usp=drivesdk")</f>
        <v>https://drive.google.com/file/d/12vaFaFC3pYPNq2v5Bb27o2TdBofDuIJv/view?usp=drivesdk</v>
      </c>
    </row>
    <row r="1332">
      <c r="A1332" s="50" t="s">
        <v>4579</v>
      </c>
      <c r="B1332" s="50" t="str">
        <f>IFERROR(__xludf.DUMMYFUNCTION("""COMPUTED_VALUE"""),"SES-0052")</f>
        <v>SES-0052</v>
      </c>
      <c r="C1332" s="50" t="str">
        <f>IFERROR(__xludf.DUMMYFUNCTION("""COMPUTED_VALUE"""),"bdarmon@ucpa.asso.fr")</f>
        <v>bdarmon@ucpa.asso.fr</v>
      </c>
      <c r="D1332" s="127" t="str">
        <f>IFERROR(__xludf.DUMMYFUNCTION("""COMPUTED_VALUE"""),"https://drive.google.com/file/d/1iXncbfkmTY55_-TN4_EoDJIBfj-XvQUA/view?usp=drivesdk")</f>
        <v>https://drive.google.com/file/d/1iXncbfkmTY55_-TN4_EoDJIBfj-XvQUA/view?usp=drivesdk</v>
      </c>
    </row>
    <row r="1333">
      <c r="A1333" s="50" t="s">
        <v>4580</v>
      </c>
      <c r="B1333" s="50" t="str">
        <f>IFERROR(__xludf.DUMMYFUNCTION("""COMPUTED_VALUE"""),"SES-0052")</f>
        <v>SES-0052</v>
      </c>
      <c r="C1333" s="50" t="str">
        <f>IFERROR(__xludf.DUMMYFUNCTION("""COMPUTED_VALUE"""),"blecomte@ucpa.asso.fr")</f>
        <v>blecomte@ucpa.asso.fr</v>
      </c>
      <c r="D1333" s="127" t="str">
        <f>IFERROR(__xludf.DUMMYFUNCTION("""COMPUTED_VALUE"""),"https://drive.google.com/file/d/1f0zqOvUtbCK4nFhNweOhkw3-24tazfRl/view?usp=drivesdk")</f>
        <v>https://drive.google.com/file/d/1f0zqOvUtbCK4nFhNweOhkw3-24tazfRl/view?usp=drivesdk</v>
      </c>
    </row>
    <row r="1334">
      <c r="A1334" s="50" t="s">
        <v>4581</v>
      </c>
      <c r="B1334" s="50" t="str">
        <f>IFERROR(__xludf.DUMMYFUNCTION("""COMPUTED_VALUE"""),"SES-0052")</f>
        <v>SES-0052</v>
      </c>
      <c r="C1334" s="50" t="str">
        <f>IFERROR(__xludf.DUMMYFUNCTION("""COMPUTED_VALUE"""),"snobis@ucpa.asso.fr")</f>
        <v>snobis@ucpa.asso.fr</v>
      </c>
      <c r="D1334" s="127" t="str">
        <f>IFERROR(__xludf.DUMMYFUNCTION("""COMPUTED_VALUE"""),"https://drive.google.com/file/d/12s3_0uL1uB23ZAgERYO6BkBaCBLQfdEI/view?usp=drivesdk")</f>
        <v>https://drive.google.com/file/d/12s3_0uL1uB23ZAgERYO6BkBaCBLQfdEI/view?usp=drivesdk</v>
      </c>
    </row>
    <row r="1335">
      <c r="A1335" s="50"/>
      <c r="B1335" s="50"/>
      <c r="C1335" s="50"/>
      <c r="D1335" s="50"/>
    </row>
    <row r="1336">
      <c r="A1336" s="50"/>
      <c r="B1336" s="50"/>
      <c r="C1336" s="50"/>
      <c r="D1336" s="50"/>
    </row>
    <row r="1337">
      <c r="A1337" s="50"/>
      <c r="B1337" s="50"/>
      <c r="C1337" s="50"/>
      <c r="D1337" s="50"/>
    </row>
    <row r="1338">
      <c r="A1338" s="50"/>
      <c r="B1338" s="50"/>
      <c r="C1338" s="50"/>
      <c r="D1338" s="50"/>
    </row>
    <row r="1339">
      <c r="A1339" s="50"/>
      <c r="B1339" s="50"/>
      <c r="C1339" s="50"/>
      <c r="D1339" s="50"/>
    </row>
    <row r="1340">
      <c r="A1340" s="50"/>
      <c r="B1340" s="50"/>
      <c r="C1340" s="50"/>
      <c r="D1340" s="50"/>
    </row>
    <row r="1341">
      <c r="A1341" s="50"/>
      <c r="B1341" s="50"/>
      <c r="C1341" s="50"/>
      <c r="D1341" s="50"/>
    </row>
    <row r="1342">
      <c r="A1342" s="50"/>
      <c r="B1342" s="50"/>
      <c r="C1342" s="50"/>
      <c r="D1342" s="50"/>
    </row>
    <row r="1343">
      <c r="A1343" s="50"/>
      <c r="B1343" s="50"/>
      <c r="C1343" s="50"/>
      <c r="D1343" s="50"/>
    </row>
    <row r="1344">
      <c r="A1344" s="50"/>
      <c r="B1344" s="50"/>
      <c r="C1344" s="50"/>
      <c r="D1344" s="50"/>
    </row>
    <row r="1345">
      <c r="A1345" s="50"/>
      <c r="B1345" s="50"/>
      <c r="C1345" s="50"/>
      <c r="D1345" s="50"/>
    </row>
    <row r="1346">
      <c r="A1346" s="50"/>
      <c r="B1346" s="50"/>
      <c r="C1346" s="50"/>
      <c r="D1346" s="50"/>
    </row>
    <row r="1347">
      <c r="A1347" s="50"/>
      <c r="B1347" s="50"/>
      <c r="C1347" s="50"/>
      <c r="D1347" s="50"/>
    </row>
    <row r="1348">
      <c r="A1348" s="50"/>
      <c r="B1348" s="50"/>
      <c r="C1348" s="50"/>
      <c r="D1348" s="50"/>
    </row>
    <row r="1349">
      <c r="A1349" s="50"/>
      <c r="B1349" s="50"/>
      <c r="C1349" s="50"/>
      <c r="D1349" s="50"/>
    </row>
    <row r="1350">
      <c r="A1350" s="50"/>
      <c r="B1350" s="50"/>
      <c r="C1350" s="50"/>
      <c r="D1350" s="50"/>
    </row>
    <row r="1351">
      <c r="A1351" s="50"/>
      <c r="B1351" s="50"/>
      <c r="C1351" s="50"/>
      <c r="D1351" s="50"/>
    </row>
    <row r="1352">
      <c r="A1352" s="50"/>
      <c r="B1352" s="50"/>
      <c r="C1352" s="50"/>
      <c r="D1352" s="50"/>
    </row>
    <row r="1353">
      <c r="A1353" s="50"/>
      <c r="B1353" s="50"/>
      <c r="C1353" s="50"/>
      <c r="D1353" s="50"/>
    </row>
    <row r="1354">
      <c r="A1354" s="50"/>
      <c r="B1354" s="50"/>
      <c r="C1354" s="50"/>
      <c r="D1354" s="50"/>
    </row>
    <row r="1355">
      <c r="A1355" s="50"/>
      <c r="B1355" s="50"/>
      <c r="C1355" s="50"/>
      <c r="D1355" s="50"/>
    </row>
    <row r="1356">
      <c r="A1356" s="50"/>
      <c r="B1356" s="50"/>
      <c r="C1356" s="50"/>
      <c r="D1356" s="50"/>
    </row>
    <row r="1357">
      <c r="A1357" s="50"/>
      <c r="B1357" s="50"/>
      <c r="C1357" s="50"/>
      <c r="D1357" s="50"/>
    </row>
    <row r="1358">
      <c r="A1358" s="50"/>
      <c r="B1358" s="50"/>
      <c r="C1358" s="50"/>
      <c r="D1358" s="50"/>
    </row>
    <row r="1359">
      <c r="A1359" s="50"/>
      <c r="B1359" s="50"/>
      <c r="C1359" s="50"/>
      <c r="D1359" s="50"/>
    </row>
    <row r="1360">
      <c r="A1360" s="50"/>
      <c r="B1360" s="50"/>
      <c r="C1360" s="50"/>
      <c r="D1360" s="50"/>
    </row>
    <row r="1361">
      <c r="A1361" s="50"/>
      <c r="B1361" s="50"/>
      <c r="C1361" s="50"/>
      <c r="D1361" s="50"/>
    </row>
    <row r="1362">
      <c r="A1362" s="50"/>
      <c r="B1362" s="50"/>
      <c r="C1362" s="50"/>
      <c r="D1362" s="50"/>
    </row>
    <row r="1363">
      <c r="A1363" s="50"/>
      <c r="B1363" s="50"/>
      <c r="C1363" s="50"/>
      <c r="D1363" s="50"/>
    </row>
    <row r="1364">
      <c r="A1364" s="50"/>
      <c r="B1364" s="50"/>
      <c r="C1364" s="50"/>
      <c r="D1364" s="50"/>
    </row>
    <row r="1365">
      <c r="A1365" s="50"/>
      <c r="B1365" s="50"/>
      <c r="C1365" s="50"/>
      <c r="D1365" s="50"/>
    </row>
    <row r="1366">
      <c r="A1366" s="50"/>
      <c r="B1366" s="50"/>
      <c r="C1366" s="50"/>
      <c r="D1366" s="50"/>
    </row>
    <row r="1367">
      <c r="A1367" s="50"/>
      <c r="B1367" s="50"/>
      <c r="C1367" s="50"/>
      <c r="D1367" s="50"/>
    </row>
    <row r="1368">
      <c r="A1368" s="50"/>
      <c r="B1368" s="50"/>
      <c r="C1368" s="50"/>
      <c r="D1368" s="50"/>
    </row>
    <row r="1369">
      <c r="A1369" s="50"/>
      <c r="B1369" s="50"/>
      <c r="C1369" s="50"/>
      <c r="D1369" s="50"/>
    </row>
    <row r="1370">
      <c r="A1370" s="50"/>
      <c r="B1370" s="50"/>
      <c r="C1370" s="50"/>
      <c r="D1370" s="50"/>
    </row>
    <row r="1371">
      <c r="A1371" s="50"/>
      <c r="B1371" s="50"/>
      <c r="C1371" s="50"/>
      <c r="D1371" s="50"/>
    </row>
    <row r="1372">
      <c r="A1372" s="50"/>
      <c r="B1372" s="50"/>
      <c r="C1372" s="50"/>
      <c r="D1372" s="50"/>
    </row>
    <row r="1373">
      <c r="A1373" s="50"/>
      <c r="B1373" s="50"/>
      <c r="C1373" s="50"/>
      <c r="D1373" s="50"/>
    </row>
    <row r="1374">
      <c r="A1374" s="50"/>
      <c r="B1374" s="50"/>
      <c r="C1374" s="50"/>
      <c r="D1374" s="50"/>
    </row>
    <row r="1375">
      <c r="A1375" s="50"/>
      <c r="B1375" s="50"/>
      <c r="C1375" s="50"/>
      <c r="D1375" s="50"/>
    </row>
    <row r="1376">
      <c r="A1376" s="50"/>
      <c r="B1376" s="50"/>
      <c r="C1376" s="50"/>
      <c r="D1376" s="50"/>
    </row>
    <row r="1377">
      <c r="A1377" s="50"/>
      <c r="B1377" s="50"/>
      <c r="C1377" s="50"/>
      <c r="D1377" s="50"/>
    </row>
    <row r="1378">
      <c r="A1378" s="50"/>
      <c r="B1378" s="50"/>
      <c r="C1378" s="50"/>
      <c r="D1378" s="50"/>
    </row>
    <row r="1379">
      <c r="A1379" s="50"/>
      <c r="B1379" s="50"/>
      <c r="C1379" s="50"/>
      <c r="D1379" s="50"/>
    </row>
    <row r="1380">
      <c r="A1380" s="50"/>
      <c r="B1380" s="50"/>
      <c r="C1380" s="50"/>
      <c r="D1380" s="50"/>
    </row>
    <row r="1381">
      <c r="A1381" s="50"/>
      <c r="B1381" s="50"/>
      <c r="C1381" s="50"/>
      <c r="D1381" s="50"/>
    </row>
    <row r="1382">
      <c r="A1382" s="50"/>
      <c r="B1382" s="50"/>
      <c r="C1382" s="50"/>
      <c r="D1382" s="50"/>
    </row>
    <row r="1383">
      <c r="A1383" s="50"/>
      <c r="B1383" s="50"/>
      <c r="C1383" s="50"/>
      <c r="D1383" s="50"/>
    </row>
    <row r="1384">
      <c r="A1384" s="50"/>
      <c r="B1384" s="50"/>
      <c r="C1384" s="50"/>
      <c r="D1384" s="50"/>
    </row>
    <row r="1385">
      <c r="A1385" s="50"/>
      <c r="B1385" s="50"/>
      <c r="C1385" s="50"/>
      <c r="D1385" s="50"/>
    </row>
    <row r="1386">
      <c r="A1386" s="50"/>
      <c r="B1386" s="50"/>
      <c r="C1386" s="50"/>
      <c r="D1386" s="50"/>
    </row>
    <row r="1387">
      <c r="A1387" s="50"/>
      <c r="B1387" s="50"/>
      <c r="C1387" s="50"/>
      <c r="D1387" s="50"/>
    </row>
    <row r="1388">
      <c r="A1388" s="50"/>
      <c r="B1388" s="50"/>
      <c r="C1388" s="50"/>
      <c r="D1388" s="50"/>
    </row>
    <row r="1389">
      <c r="A1389" s="50"/>
      <c r="B1389" s="50"/>
      <c r="C1389" s="50"/>
      <c r="D1389" s="50"/>
    </row>
    <row r="1390">
      <c r="A1390" s="50"/>
      <c r="B1390" s="50"/>
      <c r="C1390" s="50"/>
      <c r="D1390" s="50"/>
    </row>
    <row r="1391">
      <c r="A1391" s="50"/>
      <c r="B1391" s="50"/>
      <c r="C1391" s="50"/>
      <c r="D1391" s="50"/>
    </row>
    <row r="1392">
      <c r="A1392" s="50"/>
      <c r="B1392" s="50"/>
      <c r="C1392" s="50"/>
      <c r="D1392" s="50"/>
    </row>
    <row r="1393">
      <c r="A1393" s="50"/>
      <c r="B1393" s="50"/>
      <c r="C1393" s="50"/>
      <c r="D1393" s="50"/>
    </row>
    <row r="1394">
      <c r="A1394" s="50"/>
      <c r="B1394" s="50"/>
      <c r="C1394" s="50"/>
      <c r="D1394" s="50"/>
    </row>
    <row r="1395">
      <c r="A1395" s="50"/>
      <c r="B1395" s="50"/>
      <c r="C1395" s="50"/>
      <c r="D1395" s="50"/>
    </row>
    <row r="1396">
      <c r="A1396" s="50"/>
      <c r="B1396" s="50"/>
      <c r="C1396" s="50"/>
      <c r="D1396" s="50"/>
    </row>
    <row r="1397">
      <c r="A1397" s="50"/>
      <c r="B1397" s="50"/>
      <c r="C1397" s="50"/>
      <c r="D1397" s="50"/>
    </row>
    <row r="1398">
      <c r="A1398" s="50"/>
      <c r="B1398" s="50"/>
      <c r="C1398" s="50"/>
      <c r="D1398" s="50"/>
    </row>
    <row r="1399">
      <c r="A1399" s="50"/>
      <c r="B1399" s="50"/>
      <c r="C1399" s="50"/>
      <c r="D1399" s="50"/>
    </row>
    <row r="1400">
      <c r="A1400" s="50"/>
      <c r="B1400" s="50"/>
      <c r="C1400" s="50"/>
      <c r="D1400" s="50"/>
    </row>
    <row r="1401">
      <c r="A1401" s="50"/>
      <c r="B1401" s="50"/>
      <c r="C1401" s="50"/>
      <c r="D1401" s="50"/>
    </row>
    <row r="1402">
      <c r="A1402" s="50"/>
      <c r="B1402" s="50"/>
      <c r="C1402" s="50"/>
      <c r="D1402" s="50"/>
    </row>
    <row r="1403">
      <c r="A1403" s="50"/>
      <c r="B1403" s="50"/>
      <c r="C1403" s="50"/>
      <c r="D1403" s="50"/>
    </row>
    <row r="1404">
      <c r="A1404" s="50"/>
      <c r="B1404" s="50"/>
      <c r="C1404" s="50"/>
      <c r="D1404" s="50"/>
    </row>
    <row r="1405">
      <c r="A1405" s="50"/>
      <c r="B1405" s="50"/>
      <c r="C1405" s="50"/>
      <c r="D1405" s="50"/>
    </row>
    <row r="1406">
      <c r="A1406" s="50"/>
      <c r="B1406" s="50"/>
      <c r="C1406" s="50"/>
      <c r="D1406" s="50"/>
    </row>
    <row r="1407">
      <c r="A1407" s="50"/>
      <c r="B1407" s="50"/>
      <c r="C1407" s="50"/>
      <c r="D1407" s="50"/>
    </row>
    <row r="1408">
      <c r="A1408" s="50"/>
      <c r="B1408" s="50"/>
      <c r="C1408" s="50"/>
      <c r="D1408" s="50"/>
    </row>
    <row r="1409">
      <c r="A1409" s="50"/>
      <c r="B1409" s="50"/>
      <c r="C1409" s="50"/>
      <c r="D1409" s="50"/>
    </row>
    <row r="1410">
      <c r="A1410" s="50"/>
      <c r="B1410" s="50"/>
      <c r="C1410" s="50"/>
      <c r="D1410" s="50"/>
    </row>
    <row r="1411">
      <c r="A1411" s="50"/>
      <c r="B1411" s="50"/>
      <c r="C1411" s="50"/>
      <c r="D1411" s="50"/>
    </row>
    <row r="1412">
      <c r="A1412" s="50"/>
      <c r="B1412" s="50"/>
      <c r="C1412" s="50"/>
      <c r="D1412" s="50"/>
    </row>
    <row r="1413">
      <c r="A1413" s="50"/>
      <c r="B1413" s="50"/>
      <c r="C1413" s="50"/>
      <c r="D1413" s="50"/>
    </row>
    <row r="1414">
      <c r="A1414" s="50"/>
      <c r="B1414" s="50"/>
      <c r="C1414" s="50"/>
      <c r="D1414" s="50"/>
    </row>
    <row r="1415">
      <c r="A1415" s="50"/>
      <c r="B1415" s="50"/>
      <c r="C1415" s="50"/>
      <c r="D1415" s="50"/>
    </row>
    <row r="1416">
      <c r="A1416" s="50"/>
      <c r="B1416" s="50"/>
      <c r="C1416" s="50"/>
      <c r="D1416" s="50"/>
    </row>
    <row r="1417">
      <c r="A1417" s="50"/>
      <c r="B1417" s="50"/>
      <c r="C1417" s="50"/>
      <c r="D1417" s="50"/>
    </row>
    <row r="1418">
      <c r="A1418" s="50"/>
      <c r="B1418" s="50"/>
      <c r="C1418" s="50"/>
      <c r="D1418" s="50"/>
    </row>
    <row r="1419">
      <c r="A1419" s="50"/>
      <c r="B1419" s="50"/>
      <c r="C1419" s="50"/>
      <c r="D1419" s="50"/>
    </row>
    <row r="1420">
      <c r="A1420" s="50"/>
      <c r="B1420" s="50"/>
      <c r="C1420" s="50"/>
      <c r="D1420" s="50"/>
    </row>
    <row r="1421">
      <c r="A1421" s="50"/>
      <c r="B1421" s="50"/>
      <c r="C1421" s="50"/>
      <c r="D1421" s="50"/>
    </row>
    <row r="1422">
      <c r="A1422" s="50"/>
      <c r="B1422" s="50"/>
      <c r="C1422" s="50"/>
      <c r="D1422" s="50"/>
    </row>
    <row r="1423">
      <c r="A1423" s="50"/>
      <c r="B1423" s="50"/>
      <c r="C1423" s="50"/>
      <c r="D1423" s="50"/>
    </row>
    <row r="1424">
      <c r="A1424" s="50"/>
      <c r="B1424" s="50"/>
      <c r="C1424" s="50"/>
      <c r="D1424" s="50"/>
    </row>
    <row r="1425">
      <c r="A1425" s="50"/>
      <c r="B1425" s="50"/>
      <c r="C1425" s="50"/>
      <c r="D1425" s="50"/>
    </row>
    <row r="1426">
      <c r="A1426" s="50"/>
      <c r="B1426" s="50"/>
      <c r="C1426" s="50"/>
      <c r="D1426" s="50"/>
    </row>
    <row r="1427">
      <c r="A1427" s="50"/>
      <c r="B1427" s="50"/>
      <c r="C1427" s="50"/>
      <c r="D1427" s="50"/>
    </row>
    <row r="1428">
      <c r="A1428" s="50"/>
      <c r="B1428" s="50"/>
      <c r="C1428" s="50"/>
      <c r="D1428" s="50"/>
    </row>
    <row r="1429">
      <c r="A1429" s="50"/>
      <c r="B1429" s="50"/>
      <c r="C1429" s="50"/>
      <c r="D1429" s="50"/>
    </row>
    <row r="1430">
      <c r="A1430" s="50"/>
      <c r="B1430" s="50"/>
      <c r="C1430" s="50"/>
      <c r="D1430" s="50"/>
    </row>
    <row r="1431">
      <c r="A1431" s="50"/>
      <c r="B1431" s="50"/>
      <c r="C1431" s="50"/>
      <c r="D1431" s="50"/>
    </row>
    <row r="1432">
      <c r="A1432" s="50"/>
      <c r="B1432" s="50"/>
      <c r="C1432" s="50"/>
      <c r="D1432" s="50"/>
    </row>
    <row r="1433">
      <c r="A1433" s="50"/>
      <c r="B1433" s="50"/>
      <c r="C1433" s="50"/>
      <c r="D1433" s="50"/>
    </row>
    <row r="1434">
      <c r="A1434" s="50"/>
      <c r="B1434" s="50"/>
      <c r="C1434" s="50"/>
      <c r="D1434" s="50"/>
    </row>
    <row r="1435">
      <c r="A1435" s="50"/>
      <c r="B1435" s="50"/>
      <c r="C1435" s="50"/>
      <c r="D1435" s="50"/>
    </row>
    <row r="1436">
      <c r="A1436" s="50"/>
      <c r="B1436" s="50"/>
      <c r="C1436" s="50"/>
      <c r="D1436" s="50"/>
    </row>
    <row r="1437">
      <c r="A1437" s="50"/>
      <c r="B1437" s="50"/>
      <c r="C1437" s="50"/>
      <c r="D1437" s="50"/>
    </row>
    <row r="1438">
      <c r="A1438" s="50"/>
      <c r="B1438" s="50"/>
      <c r="C1438" s="50"/>
      <c r="D1438" s="50"/>
    </row>
    <row r="1439">
      <c r="A1439" s="50"/>
      <c r="B1439" s="50"/>
      <c r="C1439" s="50"/>
      <c r="D1439" s="50"/>
    </row>
    <row r="1440">
      <c r="A1440" s="50"/>
      <c r="B1440" s="50"/>
      <c r="C1440" s="50"/>
      <c r="D1440" s="50"/>
    </row>
    <row r="1441">
      <c r="A1441" s="50"/>
      <c r="B1441" s="50"/>
      <c r="C1441" s="50"/>
      <c r="D1441" s="50"/>
    </row>
    <row r="1442">
      <c r="A1442" s="50"/>
      <c r="B1442" s="50"/>
      <c r="C1442" s="50"/>
      <c r="D1442" s="50"/>
    </row>
    <row r="1443">
      <c r="A1443" s="50"/>
      <c r="B1443" s="50"/>
      <c r="C1443" s="50"/>
      <c r="D1443" s="50"/>
    </row>
    <row r="1444">
      <c r="A1444" s="50"/>
      <c r="B1444" s="50"/>
      <c r="C1444" s="50"/>
      <c r="D1444" s="50"/>
    </row>
    <row r="1445">
      <c r="A1445" s="50"/>
      <c r="B1445" s="50"/>
      <c r="C1445" s="50"/>
      <c r="D1445" s="50"/>
    </row>
    <row r="1446">
      <c r="A1446" s="50"/>
      <c r="B1446" s="50"/>
      <c r="C1446" s="50"/>
      <c r="D1446" s="50"/>
    </row>
    <row r="1447">
      <c r="A1447" s="50"/>
      <c r="B1447" s="50"/>
      <c r="C1447" s="50"/>
      <c r="D1447" s="50"/>
    </row>
    <row r="1448">
      <c r="A1448" s="50"/>
      <c r="B1448" s="50"/>
      <c r="C1448" s="50"/>
      <c r="D1448" s="50"/>
    </row>
    <row r="1449">
      <c r="A1449" s="50"/>
      <c r="B1449" s="50"/>
      <c r="C1449" s="50"/>
      <c r="D1449" s="50"/>
    </row>
    <row r="1450">
      <c r="A1450" s="50"/>
      <c r="B1450" s="50"/>
      <c r="C1450" s="50"/>
      <c r="D1450" s="50"/>
    </row>
    <row r="1451">
      <c r="A1451" s="50"/>
      <c r="B1451" s="50"/>
      <c r="C1451" s="50"/>
      <c r="D1451" s="50"/>
    </row>
    <row r="1452">
      <c r="A1452" s="50"/>
      <c r="B1452" s="50"/>
      <c r="C1452" s="50"/>
      <c r="D1452" s="50"/>
    </row>
    <row r="1453">
      <c r="A1453" s="50"/>
      <c r="B1453" s="50"/>
      <c r="C1453" s="50"/>
      <c r="D1453" s="50"/>
    </row>
    <row r="1454">
      <c r="A1454" s="50"/>
      <c r="B1454" s="50"/>
      <c r="C1454" s="50"/>
      <c r="D1454" s="50"/>
    </row>
    <row r="1455">
      <c r="A1455" s="50"/>
      <c r="B1455" s="50"/>
      <c r="C1455" s="50"/>
      <c r="D1455" s="50"/>
    </row>
    <row r="1456">
      <c r="A1456" s="50"/>
      <c r="B1456" s="50"/>
      <c r="C1456" s="50"/>
      <c r="D1456" s="50"/>
    </row>
    <row r="1457">
      <c r="A1457" s="50"/>
      <c r="B1457" s="50"/>
      <c r="C1457" s="50"/>
      <c r="D1457" s="50"/>
    </row>
    <row r="1458">
      <c r="A1458" s="50"/>
      <c r="B1458" s="50"/>
      <c r="C1458" s="50"/>
      <c r="D1458" s="50"/>
    </row>
    <row r="1459">
      <c r="A1459" s="50"/>
      <c r="B1459" s="50"/>
      <c r="C1459" s="50"/>
      <c r="D1459" s="50"/>
    </row>
    <row r="1460">
      <c r="A1460" s="50"/>
      <c r="B1460" s="50"/>
      <c r="C1460" s="50"/>
      <c r="D1460" s="50"/>
    </row>
    <row r="1461">
      <c r="A1461" s="50"/>
      <c r="B1461" s="50"/>
      <c r="C1461" s="50"/>
      <c r="D1461" s="50"/>
    </row>
    <row r="1462">
      <c r="A1462" s="50"/>
      <c r="B1462" s="50"/>
      <c r="C1462" s="50"/>
      <c r="D1462" s="50"/>
    </row>
    <row r="1463">
      <c r="A1463" s="50"/>
      <c r="B1463" s="50"/>
      <c r="C1463" s="50"/>
      <c r="D1463" s="50"/>
    </row>
    <row r="1464">
      <c r="A1464" s="50"/>
      <c r="B1464" s="50"/>
      <c r="C1464" s="50"/>
      <c r="D1464" s="50"/>
    </row>
    <row r="1465">
      <c r="A1465" s="50"/>
      <c r="B1465" s="50"/>
      <c r="C1465" s="50"/>
      <c r="D1465" s="50"/>
    </row>
    <row r="1466">
      <c r="A1466" s="50"/>
      <c r="B1466" s="50"/>
      <c r="C1466" s="50"/>
      <c r="D1466" s="50"/>
    </row>
    <row r="1467">
      <c r="A1467" s="50"/>
      <c r="B1467" s="50"/>
      <c r="C1467" s="50"/>
      <c r="D1467" s="50"/>
    </row>
    <row r="1468">
      <c r="A1468" s="50"/>
      <c r="B1468" s="50"/>
      <c r="C1468" s="50"/>
      <c r="D1468" s="50"/>
    </row>
    <row r="1469">
      <c r="A1469" s="50"/>
      <c r="B1469" s="50"/>
      <c r="C1469" s="50"/>
      <c r="D1469" s="50"/>
    </row>
    <row r="1470">
      <c r="A1470" s="50"/>
      <c r="B1470" s="50"/>
      <c r="C1470" s="50"/>
      <c r="D1470" s="50"/>
    </row>
    <row r="1471">
      <c r="A1471" s="50"/>
      <c r="B1471" s="50"/>
      <c r="C1471" s="50"/>
      <c r="D1471" s="50"/>
    </row>
    <row r="1472">
      <c r="A1472" s="50"/>
      <c r="B1472" s="50"/>
      <c r="C1472" s="50"/>
      <c r="D1472" s="50"/>
    </row>
    <row r="1473">
      <c r="A1473" s="50"/>
      <c r="B1473" s="50"/>
      <c r="C1473" s="50"/>
      <c r="D1473" s="50"/>
    </row>
    <row r="1474">
      <c r="A1474" s="50"/>
      <c r="B1474" s="50"/>
      <c r="C1474" s="50"/>
      <c r="D1474" s="50"/>
    </row>
    <row r="1475">
      <c r="A1475" s="50"/>
      <c r="B1475" s="50"/>
      <c r="C1475" s="50"/>
      <c r="D1475" s="50"/>
    </row>
    <row r="1476">
      <c r="A1476" s="50"/>
      <c r="B1476" s="50"/>
      <c r="C1476" s="50"/>
      <c r="D1476" s="50"/>
    </row>
    <row r="1477">
      <c r="A1477" s="50"/>
      <c r="B1477" s="50"/>
      <c r="C1477" s="50"/>
      <c r="D1477" s="50"/>
    </row>
    <row r="1478">
      <c r="A1478" s="50"/>
      <c r="B1478" s="50"/>
      <c r="C1478" s="50"/>
      <c r="D1478" s="50"/>
    </row>
    <row r="1479">
      <c r="A1479" s="50"/>
      <c r="B1479" s="50"/>
      <c r="C1479" s="50"/>
      <c r="D1479" s="50"/>
    </row>
    <row r="1480">
      <c r="A1480" s="50"/>
      <c r="B1480" s="50"/>
      <c r="C1480" s="50"/>
      <c r="D1480" s="50"/>
    </row>
    <row r="1481">
      <c r="A1481" s="50"/>
      <c r="B1481" s="50"/>
      <c r="C1481" s="50"/>
      <c r="D1481" s="50"/>
    </row>
    <row r="1482">
      <c r="A1482" s="50"/>
      <c r="B1482" s="50"/>
      <c r="C1482" s="50"/>
      <c r="D1482" s="50"/>
    </row>
    <row r="1483">
      <c r="A1483" s="50"/>
      <c r="B1483" s="50"/>
      <c r="C1483" s="50"/>
      <c r="D1483" s="50"/>
    </row>
    <row r="1484">
      <c r="A1484" s="50"/>
      <c r="B1484" s="50"/>
      <c r="C1484" s="50"/>
      <c r="D1484" s="50"/>
    </row>
    <row r="1485">
      <c r="A1485" s="50"/>
      <c r="B1485" s="50"/>
      <c r="C1485" s="50"/>
      <c r="D1485" s="50"/>
    </row>
    <row r="1486">
      <c r="A1486" s="50"/>
      <c r="B1486" s="50"/>
      <c r="C1486" s="50"/>
      <c r="D1486" s="50"/>
    </row>
    <row r="1487">
      <c r="A1487" s="50"/>
      <c r="B1487" s="50"/>
      <c r="C1487" s="50"/>
      <c r="D1487" s="50"/>
    </row>
    <row r="1488">
      <c r="A1488" s="50"/>
      <c r="B1488" s="50"/>
      <c r="C1488" s="50"/>
      <c r="D1488" s="50"/>
    </row>
    <row r="1489">
      <c r="A1489" s="50"/>
      <c r="B1489" s="50"/>
      <c r="C1489" s="50"/>
      <c r="D1489" s="50"/>
    </row>
    <row r="1490">
      <c r="A1490" s="50"/>
      <c r="B1490" s="50"/>
      <c r="C1490" s="50"/>
      <c r="D1490" s="50"/>
    </row>
    <row r="1491">
      <c r="A1491" s="50"/>
      <c r="B1491" s="50"/>
      <c r="C1491" s="50"/>
      <c r="D1491" s="50"/>
    </row>
    <row r="1492">
      <c r="A1492" s="50"/>
      <c r="B1492" s="50"/>
      <c r="C1492" s="50"/>
      <c r="D1492" s="50"/>
    </row>
    <row r="1493">
      <c r="A1493" s="50"/>
      <c r="B1493" s="50"/>
      <c r="C1493" s="50"/>
      <c r="D1493" s="50"/>
    </row>
    <row r="1494">
      <c r="A1494" s="50"/>
      <c r="B1494" s="50"/>
      <c r="C1494" s="50"/>
      <c r="D1494" s="50"/>
    </row>
    <row r="1495">
      <c r="A1495" s="50"/>
      <c r="B1495" s="50"/>
      <c r="C1495" s="50"/>
      <c r="D1495" s="50"/>
    </row>
    <row r="1496">
      <c r="A1496" s="50"/>
      <c r="B1496" s="50"/>
      <c r="C1496" s="50"/>
      <c r="D1496" s="50"/>
    </row>
    <row r="1497">
      <c r="A1497" s="50"/>
      <c r="B1497" s="50"/>
      <c r="C1497" s="50"/>
      <c r="D1497" s="50"/>
    </row>
    <row r="1498">
      <c r="A1498" s="50"/>
      <c r="B1498" s="50"/>
      <c r="C1498" s="50"/>
      <c r="D1498" s="50"/>
    </row>
    <row r="1499">
      <c r="A1499" s="50"/>
      <c r="B1499" s="50"/>
      <c r="C1499" s="50"/>
      <c r="D1499" s="50"/>
    </row>
    <row r="1500">
      <c r="A1500" s="50"/>
      <c r="B1500" s="50"/>
      <c r="C1500" s="50"/>
      <c r="D1500" s="50"/>
    </row>
    <row r="1501">
      <c r="A1501" s="50"/>
      <c r="B1501" s="50"/>
      <c r="C1501" s="50"/>
      <c r="D1501" s="50"/>
    </row>
    <row r="1502">
      <c r="A1502" s="50"/>
      <c r="B1502" s="50"/>
      <c r="C1502" s="50"/>
      <c r="D1502" s="50"/>
    </row>
    <row r="1503">
      <c r="A1503" s="50"/>
      <c r="B1503" s="50"/>
      <c r="C1503" s="50"/>
      <c r="D1503" s="50"/>
    </row>
    <row r="1504">
      <c r="A1504" s="50"/>
      <c r="B1504" s="50"/>
      <c r="C1504" s="50"/>
      <c r="D1504" s="50"/>
    </row>
    <row r="1505">
      <c r="A1505" s="50"/>
      <c r="B1505" s="50"/>
      <c r="C1505" s="50"/>
      <c r="D1505" s="50"/>
    </row>
    <row r="1506">
      <c r="A1506" s="50"/>
      <c r="B1506" s="50"/>
      <c r="C1506" s="50"/>
      <c r="D1506" s="50"/>
    </row>
    <row r="1507">
      <c r="A1507" s="50"/>
      <c r="B1507" s="50"/>
      <c r="C1507" s="50"/>
      <c r="D1507" s="50"/>
    </row>
    <row r="1508">
      <c r="A1508" s="50"/>
      <c r="B1508" s="50"/>
      <c r="C1508" s="50"/>
      <c r="D1508" s="50"/>
    </row>
    <row r="1509">
      <c r="A1509" s="50"/>
      <c r="B1509" s="50"/>
      <c r="C1509" s="50"/>
      <c r="D1509" s="50"/>
    </row>
    <row r="1510">
      <c r="A1510" s="50"/>
      <c r="B1510" s="50"/>
      <c r="C1510" s="50"/>
      <c r="D1510" s="50"/>
    </row>
    <row r="1511">
      <c r="A1511" s="50"/>
      <c r="B1511" s="50"/>
      <c r="C1511" s="50"/>
      <c r="D1511" s="50"/>
    </row>
    <row r="1512">
      <c r="A1512" s="50"/>
      <c r="B1512" s="50"/>
      <c r="C1512" s="50"/>
      <c r="D1512" s="50"/>
    </row>
    <row r="1513">
      <c r="A1513" s="50"/>
      <c r="B1513" s="50"/>
      <c r="C1513" s="50"/>
      <c r="D1513" s="50"/>
    </row>
    <row r="1514">
      <c r="A1514" s="50"/>
      <c r="B1514" s="50"/>
      <c r="C1514" s="50"/>
      <c r="D1514" s="50"/>
    </row>
    <row r="1515">
      <c r="A1515" s="50"/>
      <c r="B1515" s="50"/>
      <c r="C1515" s="50"/>
      <c r="D1515" s="50"/>
    </row>
    <row r="1516">
      <c r="A1516" s="50"/>
      <c r="B1516" s="50"/>
      <c r="C1516" s="50"/>
      <c r="D1516" s="50"/>
    </row>
    <row r="1517">
      <c r="A1517" s="50"/>
      <c r="B1517" s="50"/>
      <c r="C1517" s="50"/>
      <c r="D1517" s="50"/>
    </row>
    <row r="1518">
      <c r="A1518" s="50"/>
      <c r="B1518" s="50"/>
      <c r="C1518" s="50"/>
      <c r="D1518" s="50"/>
    </row>
    <row r="1519">
      <c r="A1519" s="50"/>
      <c r="B1519" s="50"/>
      <c r="C1519" s="50"/>
      <c r="D1519" s="50"/>
    </row>
    <row r="1520">
      <c r="A1520" s="50"/>
      <c r="B1520" s="50"/>
      <c r="C1520" s="50"/>
      <c r="D1520" s="50"/>
    </row>
    <row r="1521">
      <c r="A1521" s="50"/>
      <c r="B1521" s="50"/>
      <c r="C1521" s="50"/>
      <c r="D1521" s="50"/>
    </row>
    <row r="1522">
      <c r="A1522" s="50"/>
      <c r="B1522" s="50"/>
      <c r="C1522" s="50"/>
      <c r="D1522" s="50"/>
    </row>
    <row r="1523">
      <c r="A1523" s="50"/>
      <c r="B1523" s="50"/>
      <c r="C1523" s="50"/>
      <c r="D1523" s="50"/>
    </row>
    <row r="1524">
      <c r="A1524" s="50"/>
      <c r="B1524" s="50"/>
      <c r="C1524" s="50"/>
      <c r="D1524" s="50"/>
    </row>
    <row r="1525">
      <c r="A1525" s="50"/>
      <c r="B1525" s="50"/>
      <c r="C1525" s="50"/>
      <c r="D1525" s="50"/>
    </row>
    <row r="1526">
      <c r="A1526" s="50"/>
      <c r="B1526" s="50"/>
      <c r="C1526" s="50"/>
      <c r="D1526" s="50"/>
    </row>
    <row r="1527">
      <c r="A1527" s="50"/>
      <c r="B1527" s="50"/>
      <c r="C1527" s="50"/>
      <c r="D1527" s="50"/>
    </row>
    <row r="1528">
      <c r="A1528" s="50"/>
      <c r="B1528" s="50"/>
      <c r="C1528" s="50"/>
      <c r="D1528" s="50"/>
    </row>
    <row r="1529">
      <c r="A1529" s="50"/>
      <c r="B1529" s="50"/>
      <c r="C1529" s="50"/>
      <c r="D1529" s="50"/>
    </row>
    <row r="1530">
      <c r="A1530" s="50"/>
      <c r="B1530" s="50"/>
      <c r="C1530" s="50"/>
      <c r="D1530" s="50"/>
    </row>
    <row r="1531">
      <c r="A1531" s="50"/>
      <c r="B1531" s="50"/>
      <c r="C1531" s="50"/>
      <c r="D1531" s="50"/>
    </row>
    <row r="1532">
      <c r="A1532" s="50"/>
      <c r="B1532" s="50"/>
      <c r="C1532" s="50"/>
      <c r="D1532" s="50"/>
    </row>
    <row r="1533">
      <c r="A1533" s="50"/>
      <c r="B1533" s="50"/>
      <c r="C1533" s="50"/>
      <c r="D1533" s="50"/>
    </row>
    <row r="1534">
      <c r="A1534" s="50"/>
      <c r="B1534" s="50"/>
      <c r="C1534" s="50"/>
      <c r="D1534" s="50"/>
    </row>
    <row r="1535">
      <c r="A1535" s="50"/>
      <c r="B1535" s="50"/>
      <c r="C1535" s="50"/>
      <c r="D1535" s="50"/>
    </row>
    <row r="1536">
      <c r="A1536" s="50"/>
      <c r="B1536" s="50"/>
      <c r="C1536" s="50"/>
      <c r="D1536" s="50"/>
    </row>
    <row r="1537">
      <c r="A1537" s="50"/>
      <c r="B1537" s="50"/>
      <c r="C1537" s="50"/>
      <c r="D1537" s="50"/>
    </row>
    <row r="1538">
      <c r="A1538" s="50"/>
      <c r="B1538" s="50"/>
      <c r="C1538" s="50"/>
      <c r="D1538" s="50"/>
    </row>
    <row r="1539">
      <c r="A1539" s="50"/>
      <c r="B1539" s="50"/>
      <c r="C1539" s="50"/>
      <c r="D1539" s="50"/>
    </row>
    <row r="1540">
      <c r="A1540" s="50"/>
      <c r="B1540" s="50"/>
      <c r="C1540" s="50"/>
      <c r="D1540" s="50"/>
    </row>
    <row r="1541">
      <c r="A1541" s="50"/>
      <c r="B1541" s="50"/>
      <c r="C1541" s="50"/>
      <c r="D1541" s="50"/>
    </row>
    <row r="1542">
      <c r="A1542" s="50"/>
      <c r="B1542" s="50"/>
      <c r="C1542" s="50"/>
      <c r="D1542" s="50"/>
    </row>
    <row r="1543">
      <c r="A1543" s="50"/>
      <c r="B1543" s="50"/>
      <c r="C1543" s="50"/>
      <c r="D1543" s="50"/>
    </row>
    <row r="1544">
      <c r="A1544" s="50"/>
      <c r="B1544" s="50"/>
      <c r="C1544" s="50"/>
      <c r="D1544" s="50"/>
    </row>
    <row r="1545">
      <c r="A1545" s="50"/>
      <c r="B1545" s="50"/>
      <c r="C1545" s="50"/>
      <c r="D1545" s="50"/>
    </row>
    <row r="1546">
      <c r="A1546" s="50"/>
      <c r="B1546" s="50"/>
      <c r="C1546" s="50"/>
      <c r="D1546" s="50"/>
    </row>
    <row r="1547">
      <c r="A1547" s="50"/>
      <c r="B1547" s="50"/>
      <c r="C1547" s="50"/>
      <c r="D1547" s="50"/>
    </row>
    <row r="1548">
      <c r="A1548" s="50"/>
      <c r="B1548" s="50"/>
      <c r="C1548" s="50"/>
      <c r="D1548" s="50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</hyperlinks>
  <drawing r:id="rId133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3" max="3" width="35.75"/>
  </cols>
  <sheetData>
    <row r="1">
      <c r="A1" s="124" t="s">
        <v>2470</v>
      </c>
      <c r="B1" s="124" t="s">
        <v>2471</v>
      </c>
      <c r="C1" s="124" t="s">
        <v>2472</v>
      </c>
    </row>
    <row r="2">
      <c r="A2" s="125"/>
    </row>
    <row r="3">
      <c r="A3" s="125"/>
    </row>
    <row r="4">
      <c r="A4" s="125"/>
    </row>
    <row r="5">
      <c r="A5" s="125"/>
    </row>
    <row r="6">
      <c r="A6" s="125"/>
    </row>
    <row r="7">
      <c r="A7" s="125"/>
    </row>
    <row r="8">
      <c r="A8" s="125"/>
    </row>
    <row r="9">
      <c r="A9" s="125"/>
    </row>
    <row r="10">
      <c r="A10" s="125"/>
    </row>
    <row r="11">
      <c r="A11" s="125"/>
    </row>
    <row r="12">
      <c r="A12" s="125"/>
    </row>
    <row r="13">
      <c r="A13" s="125"/>
    </row>
    <row r="14">
      <c r="A14" s="125"/>
    </row>
    <row r="15">
      <c r="A15" s="125"/>
    </row>
    <row r="16">
      <c r="A16" s="125"/>
    </row>
    <row r="17">
      <c r="A17" s="125"/>
    </row>
    <row r="18">
      <c r="A18" s="125"/>
    </row>
    <row r="19">
      <c r="A19" s="125"/>
    </row>
    <row r="20">
      <c r="A20" s="125"/>
    </row>
    <row r="21">
      <c r="A21" s="125"/>
    </row>
    <row r="22">
      <c r="A22" s="125"/>
    </row>
    <row r="23">
      <c r="A23" s="125"/>
    </row>
    <row r="24">
      <c r="A24" s="125"/>
    </row>
    <row r="25">
      <c r="A25" s="125"/>
    </row>
    <row r="26">
      <c r="A26" s="125"/>
    </row>
    <row r="27">
      <c r="A27" s="125"/>
    </row>
    <row r="28">
      <c r="A28" s="125"/>
    </row>
    <row r="29">
      <c r="A29" s="125"/>
    </row>
    <row r="30">
      <c r="A30" s="125"/>
    </row>
    <row r="31">
      <c r="A31" s="125"/>
    </row>
    <row r="32">
      <c r="A32" s="125"/>
    </row>
    <row r="33">
      <c r="A33" s="125"/>
    </row>
    <row r="34">
      <c r="A34" s="125"/>
    </row>
    <row r="35">
      <c r="A35" s="125"/>
    </row>
    <row r="36">
      <c r="A36" s="125"/>
    </row>
    <row r="37">
      <c r="A37" s="125"/>
    </row>
    <row r="38">
      <c r="A38" s="125"/>
    </row>
    <row r="39">
      <c r="A39" s="125"/>
    </row>
    <row r="40">
      <c r="A40" s="125"/>
    </row>
    <row r="41">
      <c r="A41" s="125"/>
    </row>
    <row r="42">
      <c r="A42" s="125"/>
    </row>
    <row r="43">
      <c r="A43" s="125"/>
    </row>
    <row r="44">
      <c r="A44" s="125"/>
    </row>
    <row r="45">
      <c r="A45" s="125"/>
    </row>
    <row r="46">
      <c r="A46" s="125"/>
    </row>
    <row r="47">
      <c r="A47" s="125"/>
    </row>
    <row r="48">
      <c r="A48" s="125"/>
    </row>
    <row r="49">
      <c r="A49" s="125"/>
    </row>
    <row r="50">
      <c r="A50" s="125"/>
    </row>
    <row r="51">
      <c r="A51" s="125"/>
    </row>
    <row r="52">
      <c r="A52" s="125"/>
    </row>
    <row r="53">
      <c r="A53" s="125"/>
    </row>
    <row r="54">
      <c r="A54" s="125"/>
    </row>
    <row r="55">
      <c r="A55" s="125"/>
    </row>
    <row r="56">
      <c r="A56" s="125"/>
    </row>
    <row r="57">
      <c r="A57" s="125"/>
    </row>
    <row r="58">
      <c r="A58" s="125"/>
    </row>
    <row r="59">
      <c r="A59" s="125"/>
    </row>
    <row r="60">
      <c r="A60" s="125"/>
    </row>
    <row r="61">
      <c r="A61" s="125"/>
    </row>
    <row r="62">
      <c r="A62" s="125"/>
    </row>
    <row r="63">
      <c r="A63" s="125"/>
    </row>
    <row r="64">
      <c r="A64" s="125"/>
    </row>
    <row r="65">
      <c r="A65" s="125"/>
    </row>
    <row r="66">
      <c r="A66" s="125"/>
    </row>
    <row r="67">
      <c r="A67" s="125"/>
    </row>
    <row r="68">
      <c r="A68" s="125"/>
    </row>
    <row r="69">
      <c r="A69" s="125"/>
    </row>
    <row r="70">
      <c r="A70" s="125"/>
    </row>
    <row r="71">
      <c r="A71" s="125"/>
    </row>
    <row r="72">
      <c r="A72" s="125"/>
    </row>
    <row r="73">
      <c r="A73" s="125"/>
    </row>
    <row r="74">
      <c r="A74" s="125"/>
    </row>
    <row r="75">
      <c r="A75" s="125"/>
    </row>
    <row r="76">
      <c r="A76" s="125"/>
    </row>
    <row r="77">
      <c r="A77" s="125"/>
    </row>
    <row r="78">
      <c r="A78" s="125"/>
    </row>
    <row r="79">
      <c r="A79" s="125"/>
    </row>
    <row r="80">
      <c r="A80" s="125"/>
    </row>
    <row r="81">
      <c r="A81" s="125"/>
    </row>
    <row r="82">
      <c r="A82" s="125"/>
    </row>
    <row r="83">
      <c r="A83" s="125"/>
    </row>
    <row r="84">
      <c r="A84" s="125"/>
    </row>
    <row r="85">
      <c r="A85" s="125"/>
    </row>
    <row r="86">
      <c r="A86" s="125"/>
    </row>
    <row r="87">
      <c r="A87" s="125"/>
    </row>
    <row r="88">
      <c r="A88" s="125"/>
    </row>
    <row r="89">
      <c r="A89" s="125"/>
    </row>
    <row r="90">
      <c r="A90" s="125"/>
    </row>
    <row r="91">
      <c r="A91" s="125"/>
    </row>
    <row r="92">
      <c r="A92" s="125"/>
    </row>
    <row r="93">
      <c r="A93" s="125"/>
    </row>
    <row r="94">
      <c r="A94" s="125"/>
    </row>
    <row r="95">
      <c r="A95" s="125"/>
    </row>
    <row r="96">
      <c r="A96" s="125"/>
    </row>
    <row r="97">
      <c r="A97" s="125"/>
    </row>
    <row r="98">
      <c r="A98" s="125"/>
    </row>
    <row r="99">
      <c r="A99" s="125"/>
    </row>
    <row r="100">
      <c r="A100" s="125"/>
    </row>
    <row r="101">
      <c r="A101" s="125"/>
    </row>
    <row r="102">
      <c r="A102" s="125"/>
    </row>
    <row r="103">
      <c r="A103" s="125"/>
    </row>
    <row r="104">
      <c r="A104" s="125"/>
    </row>
    <row r="105">
      <c r="A105" s="125"/>
    </row>
    <row r="106">
      <c r="A106" s="125"/>
    </row>
    <row r="107">
      <c r="A107" s="125"/>
    </row>
    <row r="108">
      <c r="A108" s="125"/>
    </row>
    <row r="109">
      <c r="A109" s="125"/>
    </row>
    <row r="110">
      <c r="A110" s="125"/>
    </row>
    <row r="111">
      <c r="A111" s="125"/>
    </row>
    <row r="112">
      <c r="A112" s="125"/>
    </row>
    <row r="113">
      <c r="A113" s="125"/>
    </row>
    <row r="114">
      <c r="A114" s="125"/>
    </row>
    <row r="115">
      <c r="A115" s="125"/>
    </row>
    <row r="116">
      <c r="A116" s="125"/>
    </row>
    <row r="117">
      <c r="A117" s="125"/>
    </row>
    <row r="118">
      <c r="A118" s="125"/>
    </row>
    <row r="119">
      <c r="A119" s="125"/>
    </row>
    <row r="120">
      <c r="A120" s="125"/>
    </row>
    <row r="121">
      <c r="A121" s="125"/>
    </row>
    <row r="122">
      <c r="A122" s="125"/>
    </row>
    <row r="123">
      <c r="A123" s="125"/>
    </row>
    <row r="124">
      <c r="A124" s="125"/>
    </row>
    <row r="125">
      <c r="A125" s="125"/>
    </row>
    <row r="126">
      <c r="A126" s="12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0.38"/>
    <col customWidth="1" min="4" max="4" width="14.13"/>
    <col customWidth="1" min="5" max="5" width="9.63"/>
    <col customWidth="1" min="9" max="9" width="31.75"/>
    <col customWidth="1" min="10" max="10" width="22.13"/>
  </cols>
  <sheetData>
    <row r="1">
      <c r="A1" s="129" t="s">
        <v>2500</v>
      </c>
      <c r="B1" s="129" t="s">
        <v>110</v>
      </c>
      <c r="C1" s="129" t="s">
        <v>2502</v>
      </c>
      <c r="D1" s="129" t="s">
        <v>15</v>
      </c>
      <c r="E1" s="129" t="s">
        <v>16</v>
      </c>
      <c r="F1" s="129" t="s">
        <v>17</v>
      </c>
      <c r="G1" s="129" t="s">
        <v>22</v>
      </c>
      <c r="H1" s="129" t="s">
        <v>84</v>
      </c>
      <c r="I1" s="129" t="s">
        <v>2504</v>
      </c>
      <c r="J1" s="129" t="s">
        <v>2505</v>
      </c>
      <c r="K1" s="129" t="s">
        <v>11</v>
      </c>
      <c r="L1" s="129" t="s">
        <v>2506</v>
      </c>
      <c r="M1" s="129" t="s">
        <v>2507</v>
      </c>
      <c r="N1" s="129" t="s">
        <v>12</v>
      </c>
    </row>
    <row r="2">
      <c r="A2" s="9" t="s">
        <v>2509</v>
      </c>
      <c r="B2" s="9"/>
      <c r="C2" s="9"/>
      <c r="D2" s="9"/>
      <c r="E2" s="130"/>
      <c r="F2" s="130"/>
      <c r="G2" s="9"/>
      <c r="H2" s="29"/>
      <c r="I2" s="113"/>
      <c r="J2" s="29"/>
      <c r="K2" s="9"/>
      <c r="L2" s="29"/>
      <c r="M2" s="29"/>
      <c r="N2" s="29"/>
    </row>
    <row r="3">
      <c r="A3" s="29"/>
      <c r="B3" s="131" t="str">
        <f>IFERROR(__xludf.DUMMYFUNCTION("QUERY(SESSIONS!B2:AH1002,""SELECT B,O,D,E,F,X,M,P,T,Q,R,S,U WHERE D  &gt; DATE '""&amp;TEXT(TODAY(),""yyyy-MM-dd"")&amp;""' AND  K = true AND M &gt; 0 order by D "")"),"SES-0002")</f>
        <v>SES-0002</v>
      </c>
      <c r="C3" s="29" t="str">
        <f>IFERROR(__xludf.DUMMYFUNCTION("""COMPUTED_VALUE"""),"Gemini")</f>
        <v>Gemini</v>
      </c>
      <c r="D3" s="132">
        <f>IFERROR(__xludf.DUMMYFUNCTION("""COMPUTED_VALUE"""),46226.0)</f>
        <v>46226</v>
      </c>
      <c r="E3" s="130">
        <f>IFERROR(__xludf.DUMMYFUNCTION("""COMPUTED_VALUE"""),0.375)</f>
        <v>0.375</v>
      </c>
      <c r="F3" s="130">
        <f>IFERROR(__xludf.DUMMYFUNCTION("""COMPUTED_VALUE"""),0.4791666666678793)</f>
        <v>0.4791666667</v>
      </c>
      <c r="G3" s="29" t="str">
        <f>IFERROR(__xludf.DUMMYFUNCTION("""COMPUTED_VALUE"""),"DISTANCIEL")</f>
        <v>DISTANCIEL</v>
      </c>
      <c r="H3" s="29">
        <f>IFERROR(__xludf.DUMMYFUNCTION("""COMPUTED_VALUE"""),150.0)</f>
        <v>150</v>
      </c>
      <c r="I3" s="133"/>
      <c r="J3" s="133" t="str">
        <f>IFERROR(__xludf.DUMMYFUNCTION("""COMPUTED_VALUE"""),"https://docs.google.com/forms/d/e/1FAIpQLSeizAy3PO3esDiiugp_bv1E3tocJkuTTplHXzL7ZV9Z6RnVzQ/viewform?usp=pp_url&amp;entry.1709222927=Gemini jeudi 23 juillet 2026 [SES-0002]")</f>
        <v>https://docs.google.com/forms/d/e/1FAIpQLSeizAy3PO3esDiiugp_bv1E3tocJkuTTplHXzL7ZV9Z6RnVzQ/viewform?usp=pp_url&amp;entry.1709222927=Gemini jeudi 23 juillet 2026 [SES-0002]</v>
      </c>
      <c r="K3" s="29" t="str">
        <f>IFERROR(__xludf.DUMMYFUNCTION("""COMPUTED_VALUE"""),"GEMINI")</f>
        <v>GEMINI</v>
      </c>
      <c r="L3" s="133"/>
      <c r="M3" s="29"/>
      <c r="N3" s="133" t="str">
        <f>IFERROR(__xludf.DUMMYFUNCTION("""COMPUTED_VALUE"""),"Prise en main des outils de Gemini pour savoir l'utilisé de la meilleure façon et d'optimisé c'est taches.")</f>
        <v>Prise en main des outils de Gemini pour savoir l'utilisé de la meilleure façon et d'optimisé c'est taches.</v>
      </c>
    </row>
    <row r="4">
      <c r="A4" s="29"/>
      <c r="B4" s="29" t="str">
        <f>IFERROR(__xludf.DUMMYFUNCTION("""COMPUTED_VALUE"""),"SES-0003")</f>
        <v>SES-0003</v>
      </c>
      <c r="C4" s="29" t="str">
        <f>IFERROR(__xludf.DUMMYFUNCTION("""COMPUTED_VALUE"""),"Gemini")</f>
        <v>Gemini</v>
      </c>
      <c r="D4" s="132">
        <f>IFERROR(__xludf.DUMMYFUNCTION("""COMPUTED_VALUE"""),46226.0)</f>
        <v>46226</v>
      </c>
      <c r="E4" s="130">
        <f>IFERROR(__xludf.DUMMYFUNCTION("""COMPUTED_VALUE"""),0.5833333333321207)</f>
        <v>0.5833333333</v>
      </c>
      <c r="F4" s="130">
        <f>IFERROR(__xludf.DUMMYFUNCTION("""COMPUTED_VALUE"""),0.6458333333321207)</f>
        <v>0.6458333333</v>
      </c>
      <c r="G4" s="29" t="str">
        <f>IFERROR(__xludf.DUMMYFUNCTION("""COMPUTED_VALUE"""),"DISTANCIEL")</f>
        <v>DISTANCIEL</v>
      </c>
      <c r="H4" s="29">
        <f>IFERROR(__xludf.DUMMYFUNCTION("""COMPUTED_VALUE"""),150.0)</f>
        <v>150</v>
      </c>
      <c r="I4" s="133"/>
      <c r="J4" s="133" t="str">
        <f>IFERROR(__xludf.DUMMYFUNCTION("""COMPUTED_VALUE"""),"https://docs.google.com/forms/d/e/1FAIpQLSeizAy3PO3esDiiugp_bv1E3tocJkuTTplHXzL7ZV9Z6RnVzQ/viewform?usp=pp_url&amp;entry.1709222927=Gemini jeudi 23 juillet 2026 [SES-0003]")</f>
        <v>https://docs.google.com/forms/d/e/1FAIpQLSeizAy3PO3esDiiugp_bv1E3tocJkuTTplHXzL7ZV9Z6RnVzQ/viewform?usp=pp_url&amp;entry.1709222927=Gemini jeudi 23 juillet 2026 [SES-0003]</v>
      </c>
      <c r="K4" s="29" t="str">
        <f>IFERROR(__xludf.DUMMYFUNCTION("""COMPUTED_VALUE"""),"GEMINI")</f>
        <v>GEMINI</v>
      </c>
      <c r="L4" s="133"/>
      <c r="M4" s="29"/>
      <c r="N4" s="133" t="str">
        <f>IFERROR(__xludf.DUMMYFUNCTION("""COMPUTED_VALUE"""),"Prise en main des outils de Gemini pour savoir l'utilisé de la meilleure façon et d'optimisé c'est taches.")</f>
        <v>Prise en main des outils de Gemini pour savoir l'utilisé de la meilleure façon et d'optimisé c'est taches.</v>
      </c>
    </row>
    <row r="5">
      <c r="A5" s="29"/>
      <c r="B5" s="29"/>
      <c r="C5" s="29"/>
      <c r="D5" s="132"/>
      <c r="E5" s="130"/>
      <c r="F5" s="130"/>
      <c r="G5" s="29"/>
      <c r="H5" s="29"/>
      <c r="I5" s="133"/>
      <c r="J5" s="133"/>
      <c r="K5" s="29"/>
      <c r="L5" s="133"/>
      <c r="M5" s="29"/>
      <c r="N5" s="133"/>
    </row>
    <row r="6">
      <c r="A6" s="29"/>
      <c r="B6" s="29"/>
      <c r="C6" s="29"/>
      <c r="D6" s="132"/>
      <c r="E6" s="130"/>
      <c r="F6" s="130"/>
      <c r="G6" s="29"/>
      <c r="H6" s="29"/>
      <c r="I6" s="133"/>
      <c r="J6" s="133"/>
      <c r="K6" s="29"/>
      <c r="L6" s="133"/>
      <c r="M6" s="29"/>
      <c r="N6" s="133"/>
    </row>
    <row r="7">
      <c r="A7" s="134"/>
      <c r="B7" s="134"/>
      <c r="C7" s="134"/>
      <c r="D7" s="135"/>
      <c r="E7" s="136"/>
      <c r="F7" s="136"/>
      <c r="G7" s="134"/>
      <c r="H7" s="134"/>
      <c r="I7" s="137"/>
      <c r="J7" s="137"/>
      <c r="K7" s="134"/>
      <c r="L7" s="137"/>
      <c r="M7" s="134"/>
      <c r="N7" s="137"/>
    </row>
    <row r="8">
      <c r="A8" s="134"/>
      <c r="B8" s="134"/>
      <c r="C8" s="134"/>
      <c r="D8" s="135"/>
      <c r="E8" s="136"/>
      <c r="F8" s="136"/>
      <c r="G8" s="134"/>
      <c r="H8" s="134"/>
      <c r="I8" s="137"/>
      <c r="J8" s="137"/>
      <c r="K8" s="134"/>
      <c r="L8" s="137"/>
      <c r="M8" s="134"/>
      <c r="N8" s="137"/>
    </row>
    <row r="9">
      <c r="A9" s="134"/>
      <c r="B9" s="134"/>
      <c r="C9" s="134"/>
      <c r="D9" s="135"/>
      <c r="E9" s="136"/>
      <c r="F9" s="136"/>
      <c r="G9" s="134"/>
      <c r="H9" s="134"/>
      <c r="I9" s="137"/>
      <c r="J9" s="137"/>
      <c r="K9" s="134"/>
      <c r="L9" s="137"/>
      <c r="M9" s="134"/>
      <c r="N9" s="137"/>
    </row>
    <row r="10">
      <c r="A10" s="134"/>
      <c r="B10" s="134"/>
      <c r="C10" s="134"/>
      <c r="D10" s="135"/>
      <c r="E10" s="136"/>
      <c r="F10" s="136"/>
      <c r="G10" s="134"/>
      <c r="H10" s="134"/>
      <c r="I10" s="137"/>
      <c r="J10" s="137"/>
      <c r="K10" s="134"/>
      <c r="L10" s="137"/>
      <c r="M10" s="134"/>
      <c r="N10" s="137"/>
    </row>
    <row r="11">
      <c r="A11" s="134"/>
      <c r="B11" s="134"/>
      <c r="C11" s="134"/>
      <c r="D11" s="135"/>
      <c r="E11" s="136"/>
      <c r="F11" s="136"/>
      <c r="G11" s="134"/>
      <c r="H11" s="134"/>
      <c r="I11" s="137"/>
      <c r="J11" s="137"/>
      <c r="K11" s="134"/>
      <c r="L11" s="137"/>
      <c r="M11" s="134"/>
      <c r="N11" s="137"/>
    </row>
    <row r="12">
      <c r="A12" s="134"/>
      <c r="B12" s="134"/>
      <c r="C12" s="134"/>
      <c r="D12" s="135"/>
      <c r="E12" s="136"/>
      <c r="F12" s="136"/>
      <c r="G12" s="134"/>
      <c r="H12" s="134"/>
      <c r="I12" s="137"/>
      <c r="J12" s="137"/>
      <c r="K12" s="134"/>
      <c r="L12" s="137"/>
      <c r="M12" s="134"/>
      <c r="N12" s="137"/>
    </row>
    <row r="13">
      <c r="A13" s="134"/>
      <c r="B13" s="134"/>
      <c r="C13" s="134"/>
      <c r="D13" s="135"/>
      <c r="E13" s="136"/>
      <c r="F13" s="136"/>
      <c r="G13" s="134"/>
      <c r="H13" s="134"/>
      <c r="I13" s="137"/>
      <c r="J13" s="137"/>
      <c r="K13" s="134"/>
      <c r="L13" s="137"/>
      <c r="M13" s="134"/>
      <c r="N13" s="137"/>
    </row>
    <row r="14">
      <c r="A14" s="134"/>
      <c r="B14" s="134"/>
      <c r="C14" s="134"/>
      <c r="D14" s="135"/>
      <c r="E14" s="136"/>
      <c r="F14" s="136"/>
      <c r="G14" s="134"/>
      <c r="H14" s="134"/>
      <c r="I14" s="137"/>
      <c r="J14" s="137"/>
      <c r="K14" s="134"/>
      <c r="L14" s="137"/>
      <c r="M14" s="134"/>
      <c r="N14" s="137"/>
    </row>
    <row r="15">
      <c r="A15" s="134"/>
      <c r="B15" s="134"/>
      <c r="C15" s="134"/>
      <c r="D15" s="135"/>
      <c r="E15" s="136"/>
      <c r="F15" s="136"/>
      <c r="G15" s="134"/>
      <c r="H15" s="134"/>
      <c r="I15" s="137"/>
      <c r="J15" s="137"/>
      <c r="K15" s="134"/>
      <c r="L15" s="137"/>
      <c r="M15" s="134"/>
      <c r="N15" s="137"/>
    </row>
    <row r="16">
      <c r="A16" s="134"/>
      <c r="B16" s="134"/>
      <c r="C16" s="134"/>
      <c r="D16" s="135"/>
      <c r="E16" s="136"/>
      <c r="F16" s="136"/>
      <c r="G16" s="134"/>
      <c r="H16" s="134"/>
      <c r="I16" s="137"/>
      <c r="J16" s="137"/>
      <c r="K16" s="134"/>
      <c r="L16" s="137"/>
      <c r="M16" s="134"/>
      <c r="N16" s="137"/>
    </row>
    <row r="17">
      <c r="A17" s="134"/>
      <c r="B17" s="134"/>
      <c r="C17" s="134"/>
      <c r="D17" s="135"/>
      <c r="E17" s="136"/>
      <c r="F17" s="136"/>
      <c r="G17" s="134"/>
      <c r="H17" s="134"/>
      <c r="I17" s="137"/>
      <c r="J17" s="137"/>
      <c r="K17" s="134"/>
      <c r="L17" s="137"/>
      <c r="M17" s="134"/>
      <c r="N17" s="137"/>
    </row>
    <row r="18">
      <c r="A18" s="134"/>
      <c r="B18" s="134"/>
      <c r="C18" s="134"/>
      <c r="D18" s="135"/>
      <c r="E18" s="136"/>
      <c r="F18" s="136"/>
      <c r="G18" s="134"/>
      <c r="H18" s="134"/>
      <c r="I18" s="137"/>
      <c r="J18" s="137"/>
      <c r="K18" s="134"/>
      <c r="L18" s="137"/>
      <c r="M18" s="134"/>
      <c r="N18" s="137"/>
    </row>
    <row r="19">
      <c r="A19" s="134"/>
      <c r="B19" s="134"/>
      <c r="C19" s="134"/>
      <c r="D19" s="135"/>
      <c r="E19" s="136"/>
      <c r="F19" s="136"/>
      <c r="G19" s="134"/>
      <c r="H19" s="134"/>
      <c r="I19" s="137"/>
      <c r="J19" s="137"/>
      <c r="K19" s="134"/>
      <c r="L19" s="137"/>
      <c r="M19" s="134"/>
      <c r="N19" s="137"/>
    </row>
    <row r="20">
      <c r="A20" s="134"/>
      <c r="B20" s="134"/>
      <c r="C20" s="134"/>
      <c r="D20" s="135"/>
      <c r="E20" s="136"/>
      <c r="F20" s="136"/>
      <c r="G20" s="134"/>
      <c r="H20" s="134"/>
      <c r="I20" s="137"/>
      <c r="J20" s="137"/>
      <c r="K20" s="134"/>
      <c r="L20" s="137"/>
      <c r="M20" s="134"/>
      <c r="N20" s="137"/>
    </row>
    <row r="21">
      <c r="A21" s="134"/>
      <c r="B21" s="134"/>
      <c r="C21" s="134"/>
      <c r="D21" s="135"/>
      <c r="E21" s="136"/>
      <c r="F21" s="136"/>
      <c r="G21" s="134"/>
      <c r="H21" s="134"/>
      <c r="I21" s="137"/>
      <c r="J21" s="137"/>
      <c r="K21" s="134"/>
      <c r="L21" s="137"/>
      <c r="M21" s="134"/>
      <c r="N21" s="137"/>
    </row>
    <row r="22">
      <c r="A22" s="134"/>
      <c r="B22" s="134"/>
      <c r="C22" s="134"/>
      <c r="D22" s="135"/>
      <c r="E22" s="136"/>
      <c r="F22" s="136"/>
      <c r="G22" s="134"/>
      <c r="H22" s="134"/>
      <c r="I22" s="137"/>
      <c r="J22" s="137"/>
      <c r="K22" s="134"/>
      <c r="L22" s="137"/>
      <c r="M22" s="134"/>
      <c r="N22" s="137"/>
    </row>
    <row r="23">
      <c r="A23" s="134"/>
      <c r="B23" s="134"/>
      <c r="C23" s="134"/>
      <c r="D23" s="135"/>
      <c r="E23" s="136"/>
      <c r="F23" s="136"/>
      <c r="G23" s="134"/>
      <c r="H23" s="134"/>
      <c r="I23" s="137"/>
      <c r="J23" s="137"/>
      <c r="K23" s="134"/>
      <c r="L23" s="137"/>
      <c r="M23" s="134"/>
      <c r="N23" s="137"/>
    </row>
    <row r="24">
      <c r="A24" s="134"/>
      <c r="B24" s="134"/>
      <c r="C24" s="134"/>
      <c r="D24" s="135"/>
      <c r="E24" s="136"/>
      <c r="F24" s="136"/>
      <c r="G24" s="134"/>
      <c r="H24" s="134"/>
      <c r="I24" s="137"/>
      <c r="J24" s="137"/>
      <c r="K24" s="134"/>
      <c r="L24" s="137"/>
      <c r="M24" s="134"/>
      <c r="N24" s="137"/>
    </row>
    <row r="25">
      <c r="A25" s="134"/>
      <c r="B25" s="134"/>
      <c r="C25" s="134"/>
      <c r="D25" s="135"/>
      <c r="E25" s="136"/>
      <c r="F25" s="136"/>
      <c r="G25" s="134"/>
      <c r="H25" s="134"/>
      <c r="I25" s="137"/>
      <c r="J25" s="137"/>
      <c r="K25" s="134"/>
      <c r="L25" s="137"/>
      <c r="M25" s="134"/>
      <c r="N25" s="137"/>
    </row>
    <row r="26">
      <c r="A26" s="134"/>
      <c r="B26" s="134"/>
      <c r="C26" s="134"/>
      <c r="D26" s="135"/>
      <c r="E26" s="136"/>
      <c r="F26" s="136"/>
      <c r="G26" s="134"/>
      <c r="H26" s="134"/>
      <c r="I26" s="137"/>
      <c r="J26" s="137"/>
      <c r="K26" s="134"/>
      <c r="L26" s="137"/>
      <c r="M26" s="134"/>
      <c r="N26" s="137"/>
    </row>
    <row r="27">
      <c r="A27" s="134"/>
      <c r="B27" s="134"/>
      <c r="C27" s="134"/>
      <c r="D27" s="135"/>
      <c r="E27" s="136"/>
      <c r="F27" s="136"/>
      <c r="G27" s="134"/>
      <c r="H27" s="134"/>
      <c r="I27" s="137"/>
      <c r="J27" s="137"/>
      <c r="K27" s="134"/>
      <c r="L27" s="137"/>
      <c r="M27" s="134"/>
      <c r="N27" s="137"/>
    </row>
    <row r="28">
      <c r="A28" s="134"/>
      <c r="B28" s="134"/>
      <c r="C28" s="134"/>
      <c r="D28" s="135"/>
      <c r="E28" s="136"/>
      <c r="F28" s="136"/>
      <c r="G28" s="134"/>
      <c r="H28" s="134"/>
      <c r="I28" s="137"/>
      <c r="J28" s="137"/>
      <c r="K28" s="134"/>
      <c r="L28" s="137"/>
      <c r="M28" s="134"/>
      <c r="N28" s="137"/>
    </row>
    <row r="29">
      <c r="A29" s="134"/>
      <c r="B29" s="134"/>
      <c r="C29" s="134"/>
      <c r="D29" s="135"/>
      <c r="E29" s="136"/>
      <c r="F29" s="136"/>
      <c r="G29" s="134"/>
      <c r="H29" s="134"/>
      <c r="I29" s="137"/>
      <c r="J29" s="137"/>
      <c r="K29" s="134"/>
      <c r="L29" s="137"/>
      <c r="M29" s="134"/>
      <c r="N29" s="137"/>
    </row>
    <row r="30">
      <c r="A30" s="134"/>
      <c r="B30" s="134"/>
      <c r="C30" s="134"/>
      <c r="D30" s="135"/>
      <c r="E30" s="136"/>
      <c r="F30" s="136"/>
      <c r="G30" s="134"/>
      <c r="H30" s="134"/>
      <c r="I30" s="137"/>
      <c r="J30" s="137"/>
      <c r="K30" s="134"/>
      <c r="L30" s="137"/>
      <c r="M30" s="134"/>
      <c r="N30" s="137"/>
    </row>
    <row r="31">
      <c r="A31" s="134"/>
      <c r="B31" s="134"/>
      <c r="C31" s="134"/>
      <c r="D31" s="135"/>
      <c r="E31" s="136"/>
      <c r="F31" s="136"/>
      <c r="G31" s="134"/>
      <c r="H31" s="134"/>
      <c r="I31" s="137"/>
      <c r="J31" s="137"/>
      <c r="K31" s="134"/>
      <c r="L31" s="137"/>
      <c r="M31" s="134"/>
      <c r="N31" s="137"/>
    </row>
    <row r="32">
      <c r="A32" s="134"/>
      <c r="B32" s="134"/>
      <c r="C32" s="134"/>
      <c r="D32" s="135"/>
      <c r="E32" s="136"/>
      <c r="F32" s="136"/>
      <c r="G32" s="134"/>
      <c r="H32" s="134"/>
      <c r="I32" s="137"/>
      <c r="J32" s="137"/>
      <c r="K32" s="134"/>
      <c r="L32" s="137"/>
      <c r="M32" s="134"/>
      <c r="N32" s="137"/>
    </row>
    <row r="33">
      <c r="A33" s="134"/>
      <c r="B33" s="134"/>
      <c r="C33" s="134"/>
      <c r="D33" s="135"/>
      <c r="E33" s="136"/>
      <c r="F33" s="136"/>
      <c r="G33" s="134"/>
      <c r="H33" s="134"/>
      <c r="I33" s="137"/>
      <c r="J33" s="137"/>
      <c r="K33" s="134"/>
      <c r="L33" s="137"/>
      <c r="M33" s="134"/>
      <c r="N33" s="137"/>
    </row>
    <row r="34">
      <c r="A34" s="134"/>
      <c r="B34" s="134"/>
      <c r="C34" s="134"/>
      <c r="D34" s="135"/>
      <c r="E34" s="136"/>
      <c r="F34" s="136"/>
      <c r="G34" s="134"/>
      <c r="H34" s="134"/>
      <c r="I34" s="137"/>
      <c r="J34" s="137"/>
      <c r="K34" s="134"/>
      <c r="L34" s="137"/>
      <c r="M34" s="134"/>
      <c r="N34" s="137"/>
    </row>
    <row r="35">
      <c r="A35" s="134"/>
      <c r="B35" s="134"/>
      <c r="C35" s="134"/>
      <c r="D35" s="135"/>
      <c r="E35" s="136"/>
      <c r="F35" s="136"/>
      <c r="G35" s="134"/>
      <c r="H35" s="134"/>
      <c r="I35" s="137"/>
      <c r="J35" s="137"/>
      <c r="K35" s="134"/>
      <c r="L35" s="137"/>
      <c r="M35" s="134"/>
      <c r="N35" s="137"/>
    </row>
    <row r="36">
      <c r="A36" s="134"/>
      <c r="B36" s="134"/>
      <c r="C36" s="134"/>
      <c r="D36" s="135"/>
      <c r="E36" s="136"/>
      <c r="F36" s="136"/>
      <c r="G36" s="134"/>
      <c r="H36" s="134"/>
      <c r="I36" s="137"/>
      <c r="J36" s="137"/>
      <c r="K36" s="134"/>
      <c r="L36" s="137"/>
      <c r="M36" s="134"/>
      <c r="N36" s="137"/>
    </row>
    <row r="37">
      <c r="A37" s="134"/>
      <c r="B37" s="134"/>
      <c r="C37" s="134"/>
      <c r="D37" s="135"/>
      <c r="E37" s="136"/>
      <c r="F37" s="136"/>
      <c r="G37" s="134"/>
      <c r="H37" s="134"/>
      <c r="I37" s="137"/>
      <c r="J37" s="137"/>
      <c r="K37" s="134"/>
      <c r="L37" s="137"/>
      <c r="M37" s="134"/>
      <c r="N37" s="137"/>
    </row>
    <row r="38">
      <c r="A38" s="134"/>
      <c r="B38" s="134"/>
      <c r="C38" s="134"/>
      <c r="D38" s="135"/>
      <c r="E38" s="136"/>
      <c r="F38" s="136"/>
      <c r="G38" s="134"/>
      <c r="H38" s="134"/>
      <c r="I38" s="137"/>
      <c r="J38" s="137"/>
      <c r="K38" s="134"/>
      <c r="L38" s="137"/>
      <c r="M38" s="134"/>
      <c r="N38" s="137"/>
    </row>
    <row r="39">
      <c r="A39" s="134"/>
      <c r="B39" s="134"/>
      <c r="C39" s="134"/>
      <c r="D39" s="135"/>
      <c r="E39" s="136"/>
      <c r="F39" s="136"/>
      <c r="G39" s="134"/>
      <c r="H39" s="134"/>
      <c r="I39" s="137"/>
      <c r="J39" s="137"/>
      <c r="K39" s="134"/>
      <c r="L39" s="137"/>
      <c r="M39" s="134"/>
      <c r="N39" s="137"/>
    </row>
    <row r="40">
      <c r="A40" s="134"/>
      <c r="B40" s="134"/>
      <c r="C40" s="134"/>
      <c r="D40" s="135"/>
      <c r="E40" s="136"/>
      <c r="F40" s="136"/>
      <c r="G40" s="134"/>
      <c r="H40" s="134"/>
      <c r="I40" s="137"/>
      <c r="J40" s="137"/>
      <c r="K40" s="134"/>
      <c r="L40" s="137"/>
      <c r="M40" s="134"/>
      <c r="N40" s="137"/>
    </row>
    <row r="41">
      <c r="A41" s="134"/>
      <c r="B41" s="134"/>
      <c r="C41" s="134"/>
      <c r="D41" s="135"/>
      <c r="E41" s="136"/>
      <c r="F41" s="136"/>
      <c r="G41" s="134"/>
      <c r="H41" s="134"/>
      <c r="I41" s="137"/>
      <c r="J41" s="137"/>
      <c r="K41" s="134"/>
      <c r="L41" s="137"/>
      <c r="M41" s="134"/>
      <c r="N41" s="137"/>
    </row>
    <row r="42">
      <c r="A42" s="134"/>
      <c r="B42" s="134"/>
      <c r="C42" s="134"/>
      <c r="D42" s="135"/>
      <c r="E42" s="136"/>
      <c r="F42" s="136"/>
      <c r="G42" s="134"/>
      <c r="H42" s="134"/>
      <c r="I42" s="137"/>
      <c r="J42" s="137"/>
      <c r="K42" s="134"/>
      <c r="L42" s="137"/>
      <c r="M42" s="134"/>
      <c r="N42" s="137"/>
    </row>
    <row r="43">
      <c r="A43" s="134"/>
      <c r="B43" s="134"/>
      <c r="C43" s="134"/>
      <c r="D43" s="135"/>
      <c r="E43" s="136"/>
      <c r="F43" s="136"/>
      <c r="G43" s="134"/>
      <c r="H43" s="134"/>
      <c r="I43" s="137"/>
      <c r="J43" s="137"/>
      <c r="K43" s="134"/>
      <c r="L43" s="137"/>
      <c r="M43" s="134"/>
      <c r="N43" s="137"/>
    </row>
    <row r="44">
      <c r="A44" s="134"/>
      <c r="B44" s="134"/>
      <c r="C44" s="134"/>
      <c r="D44" s="135"/>
      <c r="E44" s="136"/>
      <c r="F44" s="136"/>
      <c r="G44" s="134"/>
      <c r="H44" s="134"/>
      <c r="I44" s="137"/>
      <c r="J44" s="137"/>
      <c r="K44" s="134"/>
      <c r="L44" s="137"/>
      <c r="M44" s="134"/>
      <c r="N44" s="137"/>
    </row>
    <row r="45">
      <c r="A45" s="134"/>
      <c r="B45" s="134"/>
      <c r="C45" s="134"/>
      <c r="D45" s="135"/>
      <c r="E45" s="136"/>
      <c r="F45" s="136"/>
      <c r="G45" s="134"/>
      <c r="H45" s="134"/>
      <c r="I45" s="137"/>
      <c r="J45" s="137"/>
      <c r="K45" s="134"/>
      <c r="L45" s="137"/>
      <c r="M45" s="134"/>
      <c r="N45" s="137"/>
    </row>
    <row r="46">
      <c r="A46" s="134"/>
      <c r="B46" s="134"/>
      <c r="C46" s="134"/>
      <c r="D46" s="135"/>
      <c r="E46" s="136"/>
      <c r="F46" s="136"/>
      <c r="G46" s="134"/>
      <c r="H46" s="134"/>
      <c r="I46" s="137"/>
      <c r="J46" s="137"/>
      <c r="K46" s="134"/>
      <c r="L46" s="137"/>
      <c r="M46" s="134"/>
      <c r="N46" s="137"/>
    </row>
    <row r="47">
      <c r="A47" s="134"/>
      <c r="B47" s="134"/>
      <c r="C47" s="134"/>
      <c r="D47" s="135"/>
      <c r="E47" s="136"/>
      <c r="F47" s="136"/>
      <c r="G47" s="134"/>
      <c r="H47" s="134"/>
      <c r="I47" s="137"/>
      <c r="J47" s="137"/>
      <c r="K47" s="134"/>
      <c r="L47" s="137"/>
      <c r="M47" s="134"/>
      <c r="N47" s="137"/>
    </row>
    <row r="48">
      <c r="A48" s="134"/>
      <c r="B48" s="134"/>
      <c r="C48" s="134"/>
      <c r="D48" s="135"/>
      <c r="E48" s="136"/>
      <c r="F48" s="136"/>
      <c r="G48" s="134"/>
      <c r="H48" s="134"/>
      <c r="I48" s="137"/>
      <c r="J48" s="137"/>
      <c r="K48" s="134"/>
      <c r="L48" s="137"/>
      <c r="M48" s="134"/>
      <c r="N48" s="137"/>
    </row>
    <row r="49">
      <c r="A49" s="134"/>
      <c r="B49" s="134"/>
      <c r="C49" s="134"/>
      <c r="D49" s="135"/>
      <c r="E49" s="136"/>
      <c r="F49" s="136"/>
      <c r="G49" s="134"/>
      <c r="H49" s="134"/>
      <c r="I49" s="137"/>
      <c r="J49" s="137"/>
      <c r="K49" s="134"/>
      <c r="L49" s="137"/>
      <c r="M49" s="134"/>
      <c r="N49" s="137"/>
    </row>
    <row r="50">
      <c r="A50" s="134"/>
      <c r="B50" s="134"/>
      <c r="C50" s="134"/>
      <c r="D50" s="135"/>
      <c r="E50" s="136"/>
      <c r="F50" s="136"/>
      <c r="G50" s="134"/>
      <c r="H50" s="134"/>
      <c r="I50" s="137"/>
      <c r="J50" s="137"/>
      <c r="K50" s="134"/>
      <c r="L50" s="137"/>
      <c r="M50" s="134"/>
      <c r="N50" s="137"/>
    </row>
    <row r="51">
      <c r="A51" s="134"/>
      <c r="B51" s="134"/>
      <c r="C51" s="134"/>
      <c r="D51" s="135"/>
      <c r="E51" s="136"/>
      <c r="F51" s="136"/>
      <c r="G51" s="134"/>
      <c r="H51" s="134"/>
      <c r="I51" s="137"/>
      <c r="J51" s="137"/>
      <c r="K51" s="134"/>
      <c r="L51" s="137"/>
      <c r="M51" s="134"/>
      <c r="N51" s="137"/>
    </row>
    <row r="52">
      <c r="A52" s="134"/>
      <c r="B52" s="134"/>
      <c r="C52" s="134"/>
      <c r="D52" s="135"/>
      <c r="E52" s="136"/>
      <c r="F52" s="136"/>
      <c r="G52" s="134"/>
      <c r="H52" s="134"/>
      <c r="I52" s="137"/>
      <c r="J52" s="137"/>
      <c r="K52" s="134"/>
      <c r="L52" s="137"/>
      <c r="M52" s="134"/>
      <c r="N52" s="137"/>
    </row>
    <row r="53">
      <c r="A53" s="134"/>
      <c r="B53" s="134"/>
      <c r="C53" s="134"/>
      <c r="D53" s="135"/>
      <c r="E53" s="136"/>
      <c r="F53" s="136"/>
      <c r="G53" s="134"/>
      <c r="H53" s="134"/>
      <c r="I53" s="137"/>
      <c r="J53" s="137"/>
      <c r="K53" s="134"/>
      <c r="L53" s="137"/>
      <c r="M53" s="134"/>
      <c r="N53" s="137"/>
    </row>
    <row r="54">
      <c r="A54" s="134"/>
      <c r="B54" s="134"/>
      <c r="C54" s="134"/>
      <c r="D54" s="135"/>
      <c r="E54" s="136"/>
      <c r="F54" s="136"/>
      <c r="G54" s="134"/>
      <c r="H54" s="134"/>
      <c r="I54" s="137"/>
      <c r="J54" s="137"/>
      <c r="K54" s="134"/>
      <c r="L54" s="137"/>
      <c r="M54" s="134"/>
      <c r="N54" s="137"/>
    </row>
    <row r="55">
      <c r="A55" s="134"/>
      <c r="B55" s="134"/>
      <c r="C55" s="134"/>
      <c r="D55" s="135"/>
      <c r="E55" s="136"/>
      <c r="F55" s="136"/>
      <c r="G55" s="134"/>
      <c r="H55" s="134"/>
      <c r="I55" s="137"/>
      <c r="J55" s="137"/>
      <c r="K55" s="134"/>
      <c r="L55" s="137"/>
      <c r="M55" s="134"/>
      <c r="N55" s="137"/>
    </row>
    <row r="56">
      <c r="A56" s="134"/>
      <c r="B56" s="134"/>
      <c r="C56" s="134"/>
      <c r="D56" s="135"/>
      <c r="E56" s="136"/>
      <c r="F56" s="136"/>
      <c r="G56" s="134"/>
      <c r="H56" s="134"/>
      <c r="I56" s="137"/>
      <c r="J56" s="137"/>
      <c r="K56" s="134"/>
      <c r="L56" s="137"/>
      <c r="M56" s="134"/>
      <c r="N56" s="137"/>
    </row>
    <row r="57">
      <c r="A57" s="134"/>
      <c r="B57" s="134"/>
      <c r="C57" s="134"/>
      <c r="D57" s="135"/>
      <c r="E57" s="136"/>
      <c r="F57" s="136"/>
      <c r="G57" s="134"/>
      <c r="H57" s="134"/>
      <c r="I57" s="137"/>
      <c r="J57" s="137"/>
      <c r="K57" s="134"/>
      <c r="L57" s="137"/>
      <c r="M57" s="134"/>
      <c r="N57" s="137"/>
    </row>
    <row r="58">
      <c r="A58" s="134"/>
      <c r="B58" s="134"/>
      <c r="C58" s="134"/>
      <c r="D58" s="135"/>
      <c r="E58" s="136"/>
      <c r="F58" s="136"/>
      <c r="G58" s="134"/>
      <c r="H58" s="134"/>
      <c r="I58" s="137"/>
      <c r="J58" s="137"/>
      <c r="K58" s="134"/>
      <c r="L58" s="137"/>
      <c r="M58" s="134"/>
      <c r="N58" s="137"/>
    </row>
    <row r="59">
      <c r="A59" s="134"/>
      <c r="B59" s="134"/>
      <c r="C59" s="134"/>
      <c r="D59" s="135"/>
      <c r="E59" s="136"/>
      <c r="F59" s="136"/>
      <c r="G59" s="134"/>
      <c r="H59" s="134"/>
      <c r="I59" s="137"/>
      <c r="J59" s="137"/>
      <c r="K59" s="134"/>
      <c r="L59" s="137"/>
      <c r="M59" s="134"/>
      <c r="N59" s="137"/>
    </row>
    <row r="60">
      <c r="A60" s="134"/>
      <c r="B60" s="134"/>
      <c r="C60" s="134"/>
      <c r="D60" s="135"/>
      <c r="E60" s="136"/>
      <c r="F60" s="136"/>
      <c r="G60" s="134"/>
      <c r="H60" s="134"/>
      <c r="I60" s="137"/>
      <c r="J60" s="137"/>
      <c r="K60" s="134"/>
      <c r="L60" s="137"/>
      <c r="M60" s="134"/>
      <c r="N60" s="137"/>
    </row>
    <row r="61">
      <c r="A61" s="134"/>
      <c r="B61" s="134"/>
      <c r="C61" s="134"/>
      <c r="D61" s="135"/>
      <c r="E61" s="136"/>
      <c r="F61" s="136"/>
      <c r="G61" s="134"/>
      <c r="H61" s="134"/>
      <c r="I61" s="137"/>
      <c r="J61" s="137"/>
      <c r="K61" s="134"/>
      <c r="L61" s="137"/>
      <c r="M61" s="134"/>
      <c r="N61" s="137"/>
    </row>
    <row r="62">
      <c r="A62" s="134"/>
      <c r="B62" s="134"/>
      <c r="C62" s="134"/>
      <c r="D62" s="135"/>
      <c r="E62" s="136"/>
      <c r="F62" s="136"/>
      <c r="G62" s="134"/>
      <c r="H62" s="134"/>
      <c r="I62" s="137"/>
      <c r="J62" s="137"/>
      <c r="K62" s="134"/>
      <c r="L62" s="137"/>
      <c r="M62" s="134"/>
      <c r="N62" s="137"/>
    </row>
    <row r="63">
      <c r="A63" s="134"/>
      <c r="B63" s="134"/>
      <c r="C63" s="134"/>
      <c r="D63" s="135"/>
      <c r="E63" s="136"/>
      <c r="F63" s="136"/>
      <c r="G63" s="134"/>
      <c r="H63" s="134"/>
      <c r="I63" s="137"/>
      <c r="J63" s="137"/>
      <c r="K63" s="134"/>
      <c r="L63" s="137"/>
      <c r="M63" s="134"/>
      <c r="N63" s="137"/>
    </row>
    <row r="64">
      <c r="A64" s="134"/>
      <c r="B64" s="134"/>
      <c r="C64" s="134"/>
      <c r="D64" s="135"/>
      <c r="E64" s="136"/>
      <c r="F64" s="136"/>
      <c r="G64" s="134"/>
      <c r="H64" s="134"/>
      <c r="I64" s="137"/>
      <c r="J64" s="137"/>
      <c r="K64" s="134"/>
      <c r="L64" s="137"/>
      <c r="M64" s="134"/>
      <c r="N64" s="137"/>
    </row>
    <row r="65">
      <c r="A65" s="134"/>
      <c r="B65" s="134"/>
      <c r="C65" s="134"/>
      <c r="D65" s="135"/>
      <c r="E65" s="136"/>
      <c r="F65" s="136"/>
      <c r="G65" s="134"/>
      <c r="H65" s="134"/>
      <c r="I65" s="137"/>
      <c r="J65" s="137"/>
      <c r="K65" s="134"/>
      <c r="L65" s="137"/>
      <c r="M65" s="134"/>
      <c r="N65" s="137"/>
    </row>
    <row r="66">
      <c r="A66" s="134"/>
      <c r="B66" s="134"/>
      <c r="C66" s="134"/>
      <c r="D66" s="135"/>
      <c r="E66" s="136"/>
      <c r="F66" s="136"/>
      <c r="G66" s="134"/>
      <c r="H66" s="134"/>
      <c r="I66" s="137"/>
      <c r="J66" s="137"/>
      <c r="K66" s="134"/>
      <c r="L66" s="137"/>
      <c r="M66" s="134"/>
      <c r="N66" s="137"/>
    </row>
    <row r="67">
      <c r="A67" s="134"/>
      <c r="B67" s="134"/>
      <c r="C67" s="134"/>
      <c r="D67" s="135"/>
      <c r="E67" s="136"/>
      <c r="F67" s="136"/>
      <c r="G67" s="134"/>
      <c r="H67" s="134"/>
      <c r="I67" s="137"/>
      <c r="J67" s="137"/>
      <c r="K67" s="134"/>
      <c r="L67" s="137"/>
      <c r="M67" s="134"/>
      <c r="N67" s="137"/>
    </row>
    <row r="68">
      <c r="A68" s="134"/>
      <c r="B68" s="134"/>
      <c r="C68" s="134"/>
      <c r="D68" s="135"/>
      <c r="E68" s="136"/>
      <c r="F68" s="136"/>
      <c r="G68" s="134"/>
      <c r="H68" s="134"/>
      <c r="I68" s="137"/>
      <c r="J68" s="137"/>
      <c r="K68" s="134"/>
      <c r="L68" s="137"/>
      <c r="M68" s="134"/>
      <c r="N68" s="137"/>
    </row>
    <row r="69">
      <c r="A69" s="134"/>
      <c r="B69" s="134"/>
      <c r="C69" s="134"/>
      <c r="D69" s="135"/>
      <c r="E69" s="136"/>
      <c r="F69" s="136"/>
      <c r="G69" s="134"/>
      <c r="H69" s="134"/>
      <c r="I69" s="137"/>
      <c r="J69" s="137"/>
      <c r="K69" s="134"/>
      <c r="L69" s="137"/>
      <c r="M69" s="134"/>
      <c r="N69" s="137"/>
    </row>
    <row r="70">
      <c r="A70" s="134"/>
      <c r="B70" s="134"/>
      <c r="C70" s="134"/>
      <c r="D70" s="135"/>
      <c r="E70" s="136"/>
      <c r="F70" s="136"/>
      <c r="G70" s="134"/>
      <c r="H70" s="134"/>
      <c r="I70" s="137"/>
      <c r="J70" s="137"/>
      <c r="K70" s="134"/>
      <c r="L70" s="137"/>
      <c r="M70" s="134"/>
      <c r="N70" s="137"/>
    </row>
    <row r="71">
      <c r="A71" s="134"/>
      <c r="B71" s="134"/>
      <c r="C71" s="134"/>
      <c r="D71" s="135"/>
      <c r="E71" s="136"/>
      <c r="F71" s="136"/>
      <c r="G71" s="134"/>
      <c r="H71" s="134"/>
      <c r="I71" s="137"/>
      <c r="J71" s="137"/>
      <c r="K71" s="134"/>
      <c r="L71" s="137"/>
      <c r="M71" s="134"/>
      <c r="N71" s="137"/>
    </row>
    <row r="72">
      <c r="A72" s="134"/>
      <c r="B72" s="134"/>
      <c r="C72" s="134"/>
      <c r="D72" s="135"/>
      <c r="E72" s="136"/>
      <c r="F72" s="136"/>
      <c r="G72" s="134"/>
      <c r="H72" s="134"/>
      <c r="I72" s="137"/>
      <c r="J72" s="137"/>
      <c r="K72" s="134"/>
      <c r="L72" s="137"/>
      <c r="M72" s="134"/>
      <c r="N72" s="137"/>
    </row>
    <row r="73">
      <c r="A73" s="134"/>
      <c r="B73" s="134"/>
      <c r="C73" s="134"/>
      <c r="D73" s="135"/>
      <c r="E73" s="136"/>
      <c r="F73" s="136"/>
      <c r="G73" s="134"/>
      <c r="H73" s="134"/>
      <c r="I73" s="137"/>
      <c r="J73" s="137"/>
      <c r="K73" s="134"/>
      <c r="L73" s="137"/>
      <c r="M73" s="134"/>
      <c r="N73" s="137"/>
    </row>
    <row r="74">
      <c r="A74" s="134"/>
      <c r="B74" s="134"/>
      <c r="C74" s="134"/>
      <c r="D74" s="135"/>
      <c r="E74" s="136"/>
      <c r="F74" s="136"/>
      <c r="G74" s="134"/>
      <c r="H74" s="134"/>
      <c r="I74" s="137"/>
      <c r="J74" s="137"/>
      <c r="K74" s="134"/>
      <c r="L74" s="137"/>
      <c r="M74" s="134"/>
      <c r="N74" s="137"/>
    </row>
    <row r="75">
      <c r="A75" s="134"/>
      <c r="B75" s="134"/>
      <c r="C75" s="134"/>
      <c r="D75" s="135"/>
      <c r="E75" s="136"/>
      <c r="F75" s="136"/>
      <c r="G75" s="134"/>
      <c r="H75" s="134"/>
      <c r="I75" s="137"/>
      <c r="J75" s="137"/>
      <c r="K75" s="134"/>
      <c r="L75" s="137"/>
      <c r="M75" s="134"/>
      <c r="N75" s="137"/>
    </row>
    <row r="76">
      <c r="A76" s="134"/>
      <c r="B76" s="134"/>
      <c r="C76" s="134"/>
      <c r="D76" s="135"/>
      <c r="E76" s="136"/>
      <c r="F76" s="136"/>
      <c r="G76" s="134"/>
      <c r="H76" s="134"/>
      <c r="I76" s="137"/>
      <c r="J76" s="137"/>
      <c r="K76" s="134"/>
      <c r="L76" s="137"/>
      <c r="M76" s="134"/>
      <c r="N76" s="137"/>
    </row>
    <row r="77">
      <c r="A77" s="134"/>
      <c r="B77" s="134"/>
      <c r="C77" s="134"/>
      <c r="D77" s="135"/>
      <c r="E77" s="136"/>
      <c r="F77" s="136"/>
      <c r="G77" s="134"/>
      <c r="H77" s="134"/>
      <c r="I77" s="137"/>
      <c r="J77" s="137"/>
      <c r="K77" s="134"/>
      <c r="L77" s="137"/>
      <c r="M77" s="134"/>
      <c r="N77" s="137"/>
    </row>
    <row r="78">
      <c r="A78" s="134"/>
      <c r="B78" s="134"/>
      <c r="C78" s="134"/>
      <c r="D78" s="135"/>
      <c r="E78" s="136"/>
      <c r="F78" s="136"/>
      <c r="G78" s="134"/>
      <c r="H78" s="134"/>
      <c r="I78" s="137"/>
      <c r="J78" s="137"/>
      <c r="K78" s="134"/>
      <c r="L78" s="137"/>
      <c r="M78" s="134"/>
      <c r="N78" s="137"/>
    </row>
    <row r="79">
      <c r="A79" s="134"/>
      <c r="B79" s="134"/>
      <c r="C79" s="134"/>
      <c r="D79" s="135"/>
      <c r="E79" s="136"/>
      <c r="F79" s="136"/>
      <c r="G79" s="134"/>
      <c r="H79" s="134"/>
      <c r="I79" s="137"/>
      <c r="J79" s="137"/>
      <c r="K79" s="134"/>
      <c r="L79" s="137"/>
      <c r="M79" s="134"/>
      <c r="N79" s="137"/>
    </row>
    <row r="80">
      <c r="A80" s="134"/>
      <c r="B80" s="134"/>
      <c r="C80" s="134"/>
      <c r="D80" s="135"/>
      <c r="E80" s="136"/>
      <c r="F80" s="136"/>
      <c r="G80" s="134"/>
      <c r="H80" s="134"/>
      <c r="I80" s="137"/>
      <c r="J80" s="137"/>
      <c r="K80" s="134"/>
      <c r="L80" s="137"/>
      <c r="M80" s="134"/>
      <c r="N80" s="137"/>
    </row>
    <row r="81">
      <c r="A81" s="134"/>
      <c r="B81" s="134"/>
      <c r="C81" s="134"/>
      <c r="D81" s="135"/>
      <c r="E81" s="136"/>
      <c r="F81" s="136"/>
      <c r="G81" s="134"/>
      <c r="H81" s="134"/>
      <c r="I81" s="137"/>
      <c r="J81" s="137"/>
      <c r="K81" s="134"/>
      <c r="L81" s="137"/>
      <c r="M81" s="134"/>
      <c r="N81" s="137"/>
    </row>
    <row r="82">
      <c r="A82" s="134"/>
      <c r="B82" s="134"/>
      <c r="C82" s="134"/>
      <c r="D82" s="135"/>
      <c r="E82" s="136"/>
      <c r="F82" s="136"/>
      <c r="G82" s="134"/>
      <c r="H82" s="134"/>
      <c r="I82" s="137"/>
      <c r="J82" s="137"/>
      <c r="K82" s="134"/>
      <c r="L82" s="137"/>
      <c r="M82" s="134"/>
      <c r="N82" s="137"/>
    </row>
    <row r="83">
      <c r="A83" s="134"/>
      <c r="B83" s="134"/>
      <c r="C83" s="134"/>
      <c r="D83" s="135"/>
      <c r="E83" s="136"/>
      <c r="F83" s="136"/>
      <c r="G83" s="134"/>
      <c r="H83" s="134"/>
      <c r="I83" s="137"/>
      <c r="J83" s="137"/>
      <c r="K83" s="134"/>
      <c r="L83" s="137"/>
      <c r="M83" s="134"/>
      <c r="N83" s="137"/>
    </row>
    <row r="84">
      <c r="A84" s="134"/>
      <c r="B84" s="134"/>
      <c r="C84" s="134"/>
      <c r="D84" s="135"/>
      <c r="E84" s="136"/>
      <c r="F84" s="136"/>
      <c r="G84" s="134"/>
      <c r="H84" s="134"/>
      <c r="I84" s="137"/>
      <c r="J84" s="137"/>
      <c r="K84" s="134"/>
      <c r="L84" s="137"/>
      <c r="M84" s="134"/>
      <c r="N84" s="137"/>
    </row>
    <row r="85">
      <c r="A85" s="134"/>
      <c r="B85" s="134"/>
      <c r="C85" s="134"/>
      <c r="D85" s="135"/>
      <c r="E85" s="136"/>
      <c r="F85" s="136"/>
      <c r="G85" s="134"/>
      <c r="H85" s="134"/>
      <c r="I85" s="137"/>
      <c r="J85" s="137"/>
      <c r="K85" s="134"/>
      <c r="L85" s="137"/>
      <c r="M85" s="134"/>
      <c r="N85" s="137"/>
    </row>
    <row r="86">
      <c r="A86" s="134"/>
      <c r="B86" s="134"/>
      <c r="C86" s="134"/>
      <c r="D86" s="135"/>
      <c r="E86" s="136"/>
      <c r="F86" s="136"/>
      <c r="G86" s="134"/>
      <c r="H86" s="134"/>
      <c r="I86" s="137"/>
      <c r="J86" s="137"/>
      <c r="K86" s="134"/>
      <c r="L86" s="137"/>
      <c r="M86" s="134"/>
      <c r="N86" s="137"/>
    </row>
    <row r="87">
      <c r="A87" s="134"/>
      <c r="B87" s="134"/>
      <c r="C87" s="134"/>
      <c r="D87" s="135"/>
      <c r="E87" s="136"/>
      <c r="F87" s="136"/>
      <c r="G87" s="134"/>
      <c r="H87" s="134"/>
      <c r="I87" s="137"/>
      <c r="J87" s="137"/>
      <c r="K87" s="134"/>
      <c r="L87" s="137"/>
      <c r="M87" s="134"/>
      <c r="N87" s="137"/>
    </row>
    <row r="88">
      <c r="A88" s="134"/>
      <c r="B88" s="134"/>
      <c r="C88" s="134"/>
      <c r="D88" s="135"/>
      <c r="E88" s="136"/>
      <c r="F88" s="136"/>
      <c r="G88" s="134"/>
      <c r="H88" s="134"/>
      <c r="I88" s="137"/>
      <c r="J88" s="137"/>
      <c r="K88" s="134"/>
      <c r="L88" s="137"/>
      <c r="M88" s="134"/>
      <c r="N88" s="137"/>
    </row>
    <row r="89">
      <c r="A89" s="134"/>
      <c r="B89" s="134"/>
      <c r="C89" s="134"/>
      <c r="D89" s="135"/>
      <c r="E89" s="136"/>
      <c r="F89" s="136"/>
      <c r="G89" s="134"/>
      <c r="H89" s="134"/>
      <c r="I89" s="137"/>
      <c r="J89" s="137"/>
      <c r="K89" s="134"/>
      <c r="L89" s="137"/>
      <c r="M89" s="134"/>
      <c r="N89" s="137"/>
    </row>
    <row r="90">
      <c r="A90" s="134"/>
      <c r="B90" s="134"/>
      <c r="C90" s="134"/>
      <c r="D90" s="135"/>
      <c r="E90" s="136"/>
      <c r="F90" s="136"/>
      <c r="G90" s="134"/>
      <c r="H90" s="134"/>
      <c r="I90" s="137"/>
      <c r="J90" s="137"/>
      <c r="K90" s="134"/>
      <c r="L90" s="137"/>
      <c r="M90" s="134"/>
      <c r="N90" s="137"/>
    </row>
    <row r="91">
      <c r="A91" s="134"/>
      <c r="B91" s="134"/>
      <c r="C91" s="134"/>
      <c r="D91" s="135"/>
      <c r="E91" s="136"/>
      <c r="F91" s="136"/>
      <c r="G91" s="134"/>
      <c r="H91" s="134"/>
      <c r="I91" s="137"/>
      <c r="J91" s="137"/>
      <c r="K91" s="134"/>
      <c r="L91" s="137"/>
      <c r="M91" s="134"/>
      <c r="N91" s="137"/>
    </row>
    <row r="92">
      <c r="A92" s="134"/>
      <c r="B92" s="134"/>
      <c r="C92" s="134"/>
      <c r="D92" s="135"/>
      <c r="E92" s="136"/>
      <c r="F92" s="136"/>
      <c r="G92" s="134"/>
      <c r="H92" s="134"/>
      <c r="I92" s="137"/>
      <c r="J92" s="137"/>
      <c r="K92" s="134"/>
      <c r="L92" s="137"/>
      <c r="M92" s="134"/>
      <c r="N92" s="137"/>
    </row>
    <row r="93">
      <c r="A93" s="134"/>
      <c r="B93" s="134"/>
      <c r="C93" s="134"/>
      <c r="D93" s="135"/>
      <c r="E93" s="136"/>
      <c r="F93" s="136"/>
      <c r="G93" s="134"/>
      <c r="H93" s="134"/>
      <c r="I93" s="137"/>
      <c r="J93" s="137"/>
      <c r="K93" s="134"/>
      <c r="L93" s="137"/>
      <c r="M93" s="134"/>
      <c r="N93" s="137"/>
    </row>
    <row r="94">
      <c r="A94" s="134"/>
      <c r="B94" s="134"/>
      <c r="C94" s="134"/>
      <c r="D94" s="135"/>
      <c r="E94" s="136"/>
      <c r="F94" s="136"/>
      <c r="G94" s="134"/>
      <c r="H94" s="134"/>
      <c r="I94" s="137"/>
      <c r="J94" s="137"/>
      <c r="K94" s="134"/>
      <c r="L94" s="137"/>
      <c r="M94" s="134"/>
      <c r="N94" s="137"/>
    </row>
    <row r="95">
      <c r="A95" s="134"/>
      <c r="B95" s="134"/>
      <c r="C95" s="134"/>
      <c r="D95" s="135"/>
      <c r="E95" s="136"/>
      <c r="F95" s="136"/>
      <c r="G95" s="134"/>
      <c r="H95" s="134"/>
      <c r="I95" s="137"/>
      <c r="J95" s="137"/>
      <c r="K95" s="134"/>
      <c r="L95" s="137"/>
      <c r="M95" s="134"/>
      <c r="N95" s="137"/>
    </row>
    <row r="96">
      <c r="A96" s="134"/>
      <c r="B96" s="134"/>
      <c r="C96" s="134"/>
      <c r="D96" s="135"/>
      <c r="E96" s="136"/>
      <c r="F96" s="136"/>
      <c r="G96" s="134"/>
      <c r="H96" s="134"/>
      <c r="I96" s="137"/>
      <c r="J96" s="137"/>
      <c r="K96" s="134"/>
      <c r="L96" s="137"/>
      <c r="M96" s="134"/>
      <c r="N96" s="137"/>
    </row>
    <row r="97">
      <c r="A97" s="134"/>
      <c r="B97" s="134"/>
      <c r="C97" s="134"/>
      <c r="D97" s="135"/>
      <c r="E97" s="136"/>
      <c r="F97" s="136"/>
      <c r="G97" s="134"/>
      <c r="H97" s="134"/>
      <c r="I97" s="137"/>
      <c r="J97" s="137"/>
      <c r="K97" s="134"/>
      <c r="L97" s="137"/>
      <c r="M97" s="134"/>
      <c r="N97" s="137"/>
    </row>
    <row r="98">
      <c r="A98" s="134"/>
      <c r="B98" s="134"/>
      <c r="C98" s="134"/>
      <c r="D98" s="135"/>
      <c r="E98" s="136"/>
      <c r="F98" s="136"/>
      <c r="G98" s="134"/>
      <c r="H98" s="134"/>
      <c r="I98" s="137"/>
      <c r="J98" s="137"/>
      <c r="K98" s="134"/>
      <c r="L98" s="137"/>
      <c r="M98" s="134"/>
      <c r="N98" s="137"/>
    </row>
    <row r="99">
      <c r="A99" s="134"/>
      <c r="B99" s="134"/>
      <c r="C99" s="134"/>
      <c r="D99" s="135"/>
      <c r="E99" s="136"/>
      <c r="F99" s="136"/>
      <c r="G99" s="134"/>
      <c r="H99" s="134"/>
      <c r="I99" s="137"/>
      <c r="J99" s="137"/>
      <c r="K99" s="134"/>
      <c r="L99" s="137"/>
      <c r="M99" s="134"/>
      <c r="N99" s="137"/>
    </row>
    <row r="100">
      <c r="A100" s="134"/>
      <c r="B100" s="134"/>
      <c r="C100" s="134"/>
      <c r="D100" s="135"/>
      <c r="E100" s="136"/>
      <c r="F100" s="136"/>
      <c r="G100" s="134"/>
      <c r="H100" s="134"/>
      <c r="I100" s="137"/>
      <c r="J100" s="137"/>
      <c r="K100" s="134"/>
      <c r="L100" s="137"/>
      <c r="M100" s="134"/>
      <c r="N100" s="137"/>
    </row>
    <row r="101">
      <c r="A101" s="134"/>
      <c r="B101" s="134"/>
      <c r="C101" s="134"/>
      <c r="D101" s="135"/>
      <c r="E101" s="136"/>
      <c r="F101" s="136"/>
      <c r="G101" s="134"/>
      <c r="H101" s="134"/>
      <c r="I101" s="137"/>
      <c r="J101" s="137"/>
      <c r="K101" s="134"/>
      <c r="L101" s="137"/>
      <c r="M101" s="134"/>
      <c r="N101" s="137"/>
    </row>
    <row r="102">
      <c r="A102" s="134"/>
      <c r="B102" s="134"/>
      <c r="C102" s="134"/>
      <c r="D102" s="135"/>
      <c r="E102" s="136"/>
      <c r="F102" s="136"/>
      <c r="G102" s="134"/>
      <c r="H102" s="134"/>
      <c r="I102" s="137"/>
      <c r="J102" s="137"/>
      <c r="K102" s="134"/>
      <c r="L102" s="137"/>
      <c r="M102" s="134"/>
      <c r="N102" s="137"/>
    </row>
    <row r="103">
      <c r="A103" s="134"/>
      <c r="B103" s="134"/>
      <c r="C103" s="134"/>
      <c r="D103" s="135"/>
      <c r="E103" s="136"/>
      <c r="F103" s="136"/>
      <c r="G103" s="134"/>
      <c r="H103" s="134"/>
      <c r="I103" s="137"/>
      <c r="J103" s="137"/>
      <c r="K103" s="134"/>
      <c r="L103" s="137"/>
      <c r="M103" s="134"/>
      <c r="N103" s="137"/>
    </row>
    <row r="104">
      <c r="A104" s="134"/>
      <c r="B104" s="134"/>
      <c r="C104" s="134"/>
      <c r="D104" s="135"/>
      <c r="E104" s="136"/>
      <c r="F104" s="136"/>
      <c r="G104" s="134"/>
      <c r="H104" s="134"/>
      <c r="I104" s="137"/>
      <c r="J104" s="137"/>
      <c r="K104" s="134"/>
      <c r="L104" s="137"/>
      <c r="M104" s="134"/>
      <c r="N104" s="137"/>
    </row>
    <row r="105">
      <c r="A105" s="134"/>
      <c r="B105" s="134"/>
      <c r="C105" s="134"/>
      <c r="D105" s="135"/>
      <c r="E105" s="136"/>
      <c r="F105" s="136"/>
      <c r="G105" s="134"/>
      <c r="H105" s="134"/>
      <c r="I105" s="137"/>
      <c r="J105" s="137"/>
      <c r="K105" s="134"/>
      <c r="L105" s="137"/>
      <c r="M105" s="134"/>
      <c r="N105" s="137"/>
    </row>
    <row r="106">
      <c r="A106" s="134"/>
      <c r="B106" s="134"/>
      <c r="C106" s="134"/>
      <c r="D106" s="135"/>
      <c r="E106" s="136"/>
      <c r="F106" s="136"/>
      <c r="G106" s="134"/>
      <c r="H106" s="134"/>
      <c r="I106" s="137"/>
      <c r="J106" s="137"/>
      <c r="K106" s="134"/>
      <c r="L106" s="137"/>
      <c r="M106" s="134"/>
      <c r="N106" s="137"/>
    </row>
    <row r="107">
      <c r="A107" s="134"/>
      <c r="B107" s="134"/>
      <c r="C107" s="134"/>
      <c r="D107" s="135"/>
      <c r="E107" s="136"/>
      <c r="F107" s="136"/>
      <c r="G107" s="134"/>
      <c r="H107" s="134"/>
      <c r="I107" s="137"/>
      <c r="J107" s="137"/>
      <c r="K107" s="134"/>
      <c r="L107" s="137"/>
      <c r="M107" s="134"/>
      <c r="N107" s="137"/>
    </row>
    <row r="108">
      <c r="A108" s="134"/>
      <c r="B108" s="134"/>
      <c r="C108" s="134"/>
      <c r="D108" s="135"/>
      <c r="E108" s="136"/>
      <c r="F108" s="136"/>
      <c r="G108" s="134"/>
      <c r="H108" s="134"/>
      <c r="I108" s="137"/>
      <c r="J108" s="137"/>
      <c r="K108" s="134"/>
      <c r="L108" s="137"/>
      <c r="M108" s="134"/>
      <c r="N108" s="137"/>
    </row>
    <row r="109">
      <c r="A109" s="134"/>
      <c r="B109" s="134"/>
      <c r="C109" s="134"/>
      <c r="D109" s="135"/>
      <c r="E109" s="136"/>
      <c r="F109" s="136"/>
      <c r="G109" s="134"/>
      <c r="H109" s="134"/>
      <c r="I109" s="137"/>
      <c r="J109" s="137"/>
      <c r="K109" s="134"/>
      <c r="L109" s="137"/>
      <c r="M109" s="134"/>
      <c r="N109" s="137"/>
    </row>
    <row r="110">
      <c r="A110" s="134"/>
      <c r="B110" s="134"/>
      <c r="C110" s="134"/>
      <c r="D110" s="135"/>
      <c r="E110" s="136"/>
      <c r="F110" s="136"/>
      <c r="G110" s="134"/>
      <c r="H110" s="134"/>
      <c r="I110" s="137"/>
      <c r="J110" s="137"/>
      <c r="K110" s="134"/>
      <c r="L110" s="137"/>
      <c r="M110" s="134"/>
      <c r="N110" s="137"/>
    </row>
    <row r="111">
      <c r="A111" s="134"/>
      <c r="B111" s="134"/>
      <c r="C111" s="134"/>
      <c r="D111" s="135"/>
      <c r="E111" s="136"/>
      <c r="F111" s="136"/>
      <c r="G111" s="134"/>
      <c r="H111" s="134"/>
      <c r="I111" s="137"/>
      <c r="J111" s="137"/>
      <c r="K111" s="134"/>
      <c r="L111" s="137"/>
      <c r="M111" s="134"/>
      <c r="N111" s="137"/>
    </row>
    <row r="112">
      <c r="A112" s="134"/>
      <c r="B112" s="134"/>
      <c r="C112" s="134"/>
      <c r="D112" s="135"/>
      <c r="E112" s="136"/>
      <c r="F112" s="136"/>
      <c r="G112" s="134"/>
      <c r="H112" s="134"/>
      <c r="I112" s="137"/>
      <c r="J112" s="137"/>
      <c r="K112" s="134"/>
      <c r="L112" s="137"/>
      <c r="M112" s="134"/>
      <c r="N112" s="137"/>
    </row>
    <row r="113">
      <c r="A113" s="134"/>
      <c r="B113" s="134"/>
      <c r="C113" s="134"/>
      <c r="D113" s="135"/>
      <c r="E113" s="136"/>
      <c r="F113" s="136"/>
      <c r="G113" s="134"/>
      <c r="H113" s="134"/>
      <c r="I113" s="137"/>
      <c r="J113" s="137"/>
      <c r="K113" s="134"/>
      <c r="L113" s="137"/>
      <c r="M113" s="134"/>
      <c r="N113" s="137"/>
    </row>
    <row r="114">
      <c r="A114" s="134"/>
      <c r="B114" s="134"/>
      <c r="C114" s="134"/>
      <c r="D114" s="135"/>
      <c r="E114" s="136"/>
      <c r="F114" s="136"/>
      <c r="G114" s="134"/>
      <c r="H114" s="134"/>
      <c r="I114" s="137"/>
      <c r="J114" s="137"/>
      <c r="K114" s="134"/>
      <c r="L114" s="137"/>
      <c r="M114" s="134"/>
      <c r="N114" s="137"/>
    </row>
    <row r="115">
      <c r="A115" s="134"/>
      <c r="B115" s="134"/>
      <c r="C115" s="134"/>
      <c r="D115" s="135"/>
      <c r="E115" s="136"/>
      <c r="F115" s="136"/>
      <c r="G115" s="134"/>
      <c r="H115" s="134"/>
      <c r="I115" s="137"/>
      <c r="J115" s="137"/>
      <c r="K115" s="134"/>
      <c r="L115" s="137"/>
      <c r="M115" s="134"/>
      <c r="N115" s="137"/>
    </row>
    <row r="116">
      <c r="A116" s="134"/>
      <c r="B116" s="134"/>
      <c r="C116" s="134"/>
      <c r="D116" s="135"/>
      <c r="E116" s="136"/>
      <c r="F116" s="136"/>
      <c r="G116" s="134"/>
      <c r="H116" s="134"/>
      <c r="I116" s="137"/>
      <c r="J116" s="137"/>
      <c r="K116" s="134"/>
      <c r="L116" s="137"/>
      <c r="M116" s="134"/>
      <c r="N116" s="137"/>
    </row>
    <row r="117">
      <c r="A117" s="134"/>
      <c r="B117" s="134"/>
      <c r="C117" s="134"/>
      <c r="D117" s="135"/>
      <c r="E117" s="136"/>
      <c r="F117" s="136"/>
      <c r="G117" s="134"/>
      <c r="H117" s="134"/>
      <c r="I117" s="137"/>
      <c r="J117" s="137"/>
      <c r="K117" s="134"/>
      <c r="L117" s="137"/>
      <c r="M117" s="134"/>
      <c r="N117" s="137"/>
    </row>
    <row r="118">
      <c r="A118" s="134"/>
      <c r="B118" s="134"/>
      <c r="C118" s="134"/>
      <c r="D118" s="135"/>
      <c r="E118" s="136"/>
      <c r="F118" s="136"/>
      <c r="G118" s="134"/>
      <c r="H118" s="134"/>
      <c r="I118" s="137"/>
      <c r="J118" s="137"/>
      <c r="K118" s="134"/>
      <c r="L118" s="137"/>
      <c r="M118" s="134"/>
      <c r="N118" s="137"/>
    </row>
    <row r="119">
      <c r="A119" s="134"/>
      <c r="B119" s="134"/>
      <c r="C119" s="134"/>
      <c r="D119" s="135"/>
      <c r="E119" s="136"/>
      <c r="F119" s="136"/>
      <c r="G119" s="134"/>
      <c r="H119" s="134"/>
      <c r="I119" s="137"/>
      <c r="J119" s="137"/>
      <c r="K119" s="134"/>
      <c r="L119" s="137"/>
      <c r="M119" s="134"/>
      <c r="N119" s="137"/>
    </row>
    <row r="120">
      <c r="A120" s="134"/>
      <c r="B120" s="134"/>
      <c r="C120" s="134"/>
      <c r="D120" s="135"/>
      <c r="E120" s="136"/>
      <c r="F120" s="136"/>
      <c r="G120" s="134"/>
      <c r="H120" s="134"/>
      <c r="I120" s="137"/>
      <c r="J120" s="137"/>
      <c r="K120" s="134"/>
      <c r="L120" s="137"/>
      <c r="M120" s="134"/>
      <c r="N120" s="137"/>
    </row>
    <row r="121">
      <c r="A121" s="134"/>
      <c r="B121" s="134"/>
      <c r="C121" s="134"/>
      <c r="D121" s="135"/>
      <c r="E121" s="136"/>
      <c r="F121" s="136"/>
      <c r="G121" s="134"/>
      <c r="H121" s="134"/>
      <c r="I121" s="137"/>
      <c r="J121" s="137"/>
      <c r="K121" s="134"/>
      <c r="L121" s="137"/>
      <c r="M121" s="134"/>
      <c r="N121" s="137"/>
    </row>
    <row r="122">
      <c r="A122" s="134"/>
      <c r="B122" s="134"/>
      <c r="C122" s="134"/>
      <c r="D122" s="135"/>
      <c r="E122" s="136"/>
      <c r="F122" s="136"/>
      <c r="G122" s="134"/>
      <c r="H122" s="134"/>
      <c r="I122" s="137"/>
      <c r="J122" s="137"/>
      <c r="K122" s="134"/>
      <c r="L122" s="137"/>
      <c r="M122" s="134"/>
      <c r="N122" s="137"/>
    </row>
    <row r="123">
      <c r="A123" s="134"/>
      <c r="B123" s="134"/>
      <c r="C123" s="134"/>
      <c r="D123" s="135"/>
      <c r="E123" s="136"/>
      <c r="F123" s="136"/>
      <c r="G123" s="134"/>
      <c r="H123" s="134"/>
      <c r="I123" s="137"/>
      <c r="J123" s="137"/>
      <c r="K123" s="134"/>
      <c r="L123" s="137"/>
      <c r="M123" s="134"/>
      <c r="N123" s="137"/>
    </row>
    <row r="124">
      <c r="A124" s="134"/>
      <c r="B124" s="134"/>
      <c r="C124" s="134"/>
      <c r="D124" s="135"/>
      <c r="E124" s="136"/>
      <c r="F124" s="136"/>
      <c r="G124" s="134"/>
      <c r="H124" s="134"/>
      <c r="I124" s="137"/>
      <c r="J124" s="137"/>
      <c r="K124" s="134"/>
      <c r="L124" s="137"/>
      <c r="M124" s="134"/>
      <c r="N124" s="137"/>
    </row>
    <row r="125">
      <c r="A125" s="134"/>
      <c r="B125" s="134"/>
      <c r="C125" s="134"/>
      <c r="D125" s="135"/>
      <c r="E125" s="136"/>
      <c r="F125" s="136"/>
      <c r="G125" s="134"/>
      <c r="H125" s="134"/>
      <c r="I125" s="137"/>
      <c r="J125" s="137"/>
      <c r="K125" s="134"/>
      <c r="L125" s="137"/>
      <c r="M125" s="134"/>
      <c r="N125" s="137"/>
    </row>
    <row r="126">
      <c r="A126" s="134"/>
      <c r="B126" s="134"/>
      <c r="C126" s="134"/>
      <c r="D126" s="135"/>
      <c r="E126" s="136"/>
      <c r="F126" s="136"/>
      <c r="G126" s="134"/>
      <c r="H126" s="134"/>
      <c r="I126" s="137"/>
      <c r="J126" s="137"/>
      <c r="K126" s="134"/>
      <c r="L126" s="137"/>
      <c r="M126" s="134"/>
      <c r="N126" s="137"/>
    </row>
    <row r="127">
      <c r="A127" s="134"/>
      <c r="B127" s="134"/>
      <c r="C127" s="134"/>
      <c r="D127" s="135"/>
      <c r="E127" s="136"/>
      <c r="F127" s="136"/>
      <c r="G127" s="134"/>
      <c r="H127" s="134"/>
      <c r="I127" s="137"/>
      <c r="J127" s="137"/>
      <c r="K127" s="134"/>
      <c r="L127" s="137"/>
      <c r="M127" s="134"/>
      <c r="N127" s="137"/>
    </row>
    <row r="128">
      <c r="A128" s="134"/>
      <c r="B128" s="134"/>
      <c r="C128" s="134"/>
      <c r="D128" s="135"/>
      <c r="E128" s="136"/>
      <c r="F128" s="136"/>
      <c r="G128" s="134"/>
      <c r="H128" s="134"/>
      <c r="I128" s="137"/>
      <c r="J128" s="137"/>
      <c r="K128" s="134"/>
      <c r="L128" s="137"/>
      <c r="M128" s="134"/>
      <c r="N128" s="137"/>
    </row>
    <row r="129">
      <c r="A129" s="134"/>
      <c r="B129" s="134"/>
      <c r="C129" s="134"/>
      <c r="D129" s="135"/>
      <c r="E129" s="136"/>
      <c r="F129" s="136"/>
      <c r="G129" s="134"/>
      <c r="H129" s="134"/>
      <c r="I129" s="137"/>
      <c r="J129" s="137"/>
      <c r="K129" s="134"/>
      <c r="L129" s="137"/>
      <c r="M129" s="134"/>
      <c r="N129" s="137"/>
    </row>
    <row r="130">
      <c r="A130" s="134"/>
      <c r="B130" s="134"/>
      <c r="C130" s="134"/>
      <c r="D130" s="135"/>
      <c r="E130" s="136"/>
      <c r="F130" s="136"/>
      <c r="G130" s="134"/>
      <c r="H130" s="134"/>
      <c r="I130" s="137"/>
      <c r="J130" s="137"/>
      <c r="K130" s="134"/>
      <c r="L130" s="137"/>
      <c r="M130" s="134"/>
      <c r="N130" s="137"/>
    </row>
    <row r="131">
      <c r="A131" s="134"/>
      <c r="B131" s="134"/>
      <c r="C131" s="134"/>
      <c r="D131" s="135"/>
      <c r="E131" s="136"/>
      <c r="F131" s="136"/>
      <c r="G131" s="134"/>
      <c r="H131" s="134"/>
      <c r="I131" s="137"/>
      <c r="J131" s="137"/>
      <c r="K131" s="134"/>
      <c r="L131" s="137"/>
      <c r="M131" s="134"/>
      <c r="N131" s="137"/>
    </row>
    <row r="132">
      <c r="A132" s="134"/>
      <c r="B132" s="134"/>
      <c r="C132" s="134"/>
      <c r="D132" s="135"/>
      <c r="E132" s="136"/>
      <c r="F132" s="136"/>
      <c r="G132" s="134"/>
      <c r="H132" s="134"/>
      <c r="I132" s="137"/>
      <c r="J132" s="137"/>
      <c r="K132" s="134"/>
      <c r="L132" s="137"/>
      <c r="M132" s="134"/>
      <c r="N132" s="137"/>
    </row>
    <row r="133">
      <c r="A133" s="134"/>
      <c r="B133" s="134"/>
      <c r="C133" s="134"/>
      <c r="D133" s="135"/>
      <c r="E133" s="136"/>
      <c r="F133" s="136"/>
      <c r="G133" s="134"/>
      <c r="H133" s="134"/>
      <c r="I133" s="137"/>
      <c r="J133" s="137"/>
      <c r="K133" s="134"/>
      <c r="L133" s="137"/>
      <c r="M133" s="134"/>
      <c r="N133" s="137"/>
    </row>
    <row r="134">
      <c r="A134" s="134"/>
      <c r="B134" s="134"/>
      <c r="C134" s="134"/>
      <c r="D134" s="135"/>
      <c r="E134" s="136"/>
      <c r="F134" s="136"/>
      <c r="G134" s="134"/>
      <c r="H134" s="134"/>
      <c r="I134" s="137"/>
      <c r="J134" s="137"/>
      <c r="K134" s="134"/>
      <c r="L134" s="137"/>
      <c r="M134" s="134"/>
      <c r="N134" s="137"/>
    </row>
    <row r="135">
      <c r="A135" s="134"/>
      <c r="B135" s="134"/>
      <c r="C135" s="134"/>
      <c r="D135" s="135"/>
      <c r="E135" s="136"/>
      <c r="F135" s="136"/>
      <c r="G135" s="134"/>
      <c r="H135" s="134"/>
      <c r="I135" s="137"/>
      <c r="J135" s="137"/>
      <c r="K135" s="134"/>
      <c r="L135" s="137"/>
      <c r="M135" s="134"/>
      <c r="N135" s="137"/>
    </row>
    <row r="136">
      <c r="A136" s="134"/>
      <c r="B136" s="134"/>
      <c r="C136" s="134"/>
      <c r="D136" s="135"/>
      <c r="E136" s="136"/>
      <c r="F136" s="136"/>
      <c r="G136" s="134"/>
      <c r="H136" s="134"/>
      <c r="I136" s="137"/>
      <c r="J136" s="137"/>
      <c r="K136" s="134"/>
      <c r="L136" s="137"/>
      <c r="M136" s="134"/>
      <c r="N136" s="137"/>
    </row>
    <row r="137">
      <c r="A137" s="134"/>
      <c r="B137" s="134"/>
      <c r="C137" s="134"/>
      <c r="D137" s="135"/>
      <c r="E137" s="136"/>
      <c r="F137" s="136"/>
      <c r="G137" s="134"/>
      <c r="H137" s="134"/>
      <c r="I137" s="137"/>
      <c r="J137" s="137"/>
      <c r="K137" s="134"/>
      <c r="L137" s="137"/>
      <c r="M137" s="134"/>
      <c r="N137" s="137"/>
    </row>
    <row r="138">
      <c r="A138" s="134"/>
      <c r="B138" s="134"/>
      <c r="C138" s="134"/>
      <c r="D138" s="135"/>
      <c r="E138" s="136"/>
      <c r="F138" s="136"/>
      <c r="G138" s="134"/>
      <c r="H138" s="134"/>
      <c r="I138" s="137"/>
      <c r="J138" s="137"/>
      <c r="K138" s="134"/>
      <c r="L138" s="137"/>
      <c r="M138" s="134"/>
      <c r="N138" s="137"/>
    </row>
    <row r="139">
      <c r="A139" s="134"/>
      <c r="B139" s="134"/>
      <c r="C139" s="134"/>
      <c r="D139" s="135"/>
      <c r="E139" s="136"/>
      <c r="F139" s="136"/>
      <c r="G139" s="134"/>
      <c r="H139" s="134"/>
      <c r="I139" s="137"/>
      <c r="J139" s="137"/>
      <c r="K139" s="134"/>
      <c r="L139" s="137"/>
      <c r="M139" s="134"/>
      <c r="N139" s="137"/>
    </row>
    <row r="140">
      <c r="A140" s="134"/>
      <c r="B140" s="134"/>
      <c r="C140" s="134"/>
      <c r="D140" s="135"/>
      <c r="E140" s="136"/>
      <c r="F140" s="136"/>
      <c r="G140" s="134"/>
      <c r="H140" s="134"/>
      <c r="I140" s="137"/>
      <c r="J140" s="137"/>
      <c r="K140" s="134"/>
      <c r="L140" s="137"/>
      <c r="M140" s="134"/>
      <c r="N140" s="137"/>
    </row>
    <row r="141">
      <c r="A141" s="134"/>
      <c r="B141" s="134"/>
      <c r="C141" s="134"/>
      <c r="D141" s="135"/>
      <c r="E141" s="136"/>
      <c r="F141" s="136"/>
      <c r="G141" s="134"/>
      <c r="H141" s="134"/>
      <c r="I141" s="137"/>
      <c r="J141" s="137"/>
      <c r="K141" s="134"/>
      <c r="L141" s="137"/>
      <c r="M141" s="134"/>
      <c r="N141" s="137"/>
    </row>
    <row r="142">
      <c r="A142" s="134"/>
      <c r="B142" s="134"/>
      <c r="C142" s="134"/>
      <c r="D142" s="135"/>
      <c r="E142" s="136"/>
      <c r="F142" s="136"/>
      <c r="G142" s="134"/>
      <c r="H142" s="134"/>
      <c r="I142" s="137"/>
      <c r="J142" s="137"/>
      <c r="K142" s="134"/>
      <c r="L142" s="137"/>
      <c r="M142" s="134"/>
      <c r="N142" s="137"/>
    </row>
    <row r="143">
      <c r="A143" s="134"/>
      <c r="B143" s="134"/>
      <c r="C143" s="134"/>
      <c r="D143" s="135"/>
      <c r="E143" s="136"/>
      <c r="F143" s="136"/>
      <c r="G143" s="134"/>
      <c r="H143" s="134"/>
      <c r="I143" s="137"/>
      <c r="J143" s="137"/>
      <c r="K143" s="134"/>
      <c r="L143" s="137"/>
      <c r="M143" s="134"/>
      <c r="N143" s="137"/>
    </row>
    <row r="144">
      <c r="A144" s="134"/>
      <c r="B144" s="134"/>
      <c r="C144" s="134"/>
      <c r="D144" s="135"/>
      <c r="E144" s="136"/>
      <c r="F144" s="136"/>
      <c r="G144" s="134"/>
      <c r="H144" s="134"/>
      <c r="I144" s="137"/>
      <c r="J144" s="137"/>
      <c r="K144" s="134"/>
      <c r="L144" s="137"/>
      <c r="M144" s="134"/>
      <c r="N144" s="137"/>
    </row>
    <row r="145">
      <c r="A145" s="134"/>
      <c r="B145" s="134"/>
      <c r="C145" s="134"/>
      <c r="D145" s="135"/>
      <c r="E145" s="136"/>
      <c r="F145" s="136"/>
      <c r="G145" s="134"/>
      <c r="H145" s="134"/>
      <c r="I145" s="137"/>
      <c r="J145" s="137"/>
      <c r="K145" s="134"/>
      <c r="L145" s="137"/>
      <c r="M145" s="134"/>
      <c r="N145" s="137"/>
    </row>
    <row r="146">
      <c r="A146" s="134"/>
      <c r="B146" s="134"/>
      <c r="C146" s="134"/>
      <c r="D146" s="135"/>
      <c r="E146" s="136"/>
      <c r="F146" s="136"/>
      <c r="G146" s="134"/>
      <c r="H146" s="134"/>
      <c r="I146" s="137"/>
      <c r="J146" s="137"/>
      <c r="K146" s="134"/>
      <c r="L146" s="137"/>
      <c r="M146" s="134"/>
      <c r="N146" s="137"/>
    </row>
    <row r="147">
      <c r="A147" s="134"/>
      <c r="B147" s="134"/>
      <c r="C147" s="134"/>
      <c r="D147" s="135"/>
      <c r="E147" s="136"/>
      <c r="F147" s="136"/>
      <c r="G147" s="134"/>
      <c r="H147" s="134"/>
      <c r="I147" s="137"/>
      <c r="J147" s="137"/>
      <c r="K147" s="134"/>
      <c r="L147" s="137"/>
      <c r="M147" s="134"/>
      <c r="N147" s="137"/>
    </row>
    <row r="148">
      <c r="A148" s="134"/>
      <c r="B148" s="134"/>
      <c r="C148" s="134"/>
      <c r="D148" s="135"/>
      <c r="E148" s="136"/>
      <c r="F148" s="136"/>
      <c r="G148" s="134"/>
      <c r="H148" s="134"/>
      <c r="I148" s="137"/>
      <c r="J148" s="137"/>
      <c r="K148" s="134"/>
      <c r="L148" s="137"/>
      <c r="M148" s="134"/>
      <c r="N148" s="137"/>
    </row>
    <row r="149">
      <c r="A149" s="134"/>
      <c r="B149" s="134"/>
      <c r="C149" s="134"/>
      <c r="D149" s="135"/>
      <c r="E149" s="136"/>
      <c r="F149" s="136"/>
      <c r="G149" s="134"/>
      <c r="H149" s="134"/>
      <c r="I149" s="137"/>
      <c r="J149" s="137"/>
      <c r="K149" s="134"/>
      <c r="L149" s="137"/>
      <c r="M149" s="134"/>
      <c r="N149" s="137"/>
    </row>
    <row r="150">
      <c r="A150" s="134"/>
      <c r="B150" s="134"/>
      <c r="C150" s="134"/>
      <c r="D150" s="135"/>
      <c r="E150" s="136"/>
      <c r="F150" s="136"/>
      <c r="G150" s="134"/>
      <c r="H150" s="134"/>
      <c r="I150" s="137"/>
      <c r="J150" s="137"/>
      <c r="K150" s="134"/>
      <c r="L150" s="137"/>
      <c r="M150" s="134"/>
      <c r="N150" s="137"/>
    </row>
    <row r="151">
      <c r="A151" s="134"/>
      <c r="B151" s="134"/>
      <c r="C151" s="134"/>
      <c r="D151" s="135"/>
      <c r="E151" s="136"/>
      <c r="F151" s="136"/>
      <c r="G151" s="134"/>
      <c r="H151" s="134"/>
      <c r="I151" s="137"/>
      <c r="J151" s="137"/>
      <c r="K151" s="134"/>
      <c r="L151" s="137"/>
      <c r="M151" s="134"/>
      <c r="N151" s="137"/>
    </row>
    <row r="152">
      <c r="A152" s="134"/>
      <c r="B152" s="134"/>
      <c r="C152" s="134"/>
      <c r="D152" s="135"/>
      <c r="E152" s="136"/>
      <c r="F152" s="136"/>
      <c r="G152" s="134"/>
      <c r="H152" s="134"/>
      <c r="I152" s="137"/>
      <c r="J152" s="137"/>
      <c r="K152" s="134"/>
      <c r="L152" s="137"/>
      <c r="M152" s="134"/>
      <c r="N152" s="137"/>
    </row>
    <row r="153">
      <c r="A153" s="134"/>
      <c r="B153" s="134"/>
      <c r="C153" s="134"/>
      <c r="D153" s="135"/>
      <c r="E153" s="136"/>
      <c r="F153" s="136"/>
      <c r="G153" s="134"/>
      <c r="H153" s="134"/>
      <c r="I153" s="137"/>
      <c r="J153" s="137"/>
      <c r="K153" s="134"/>
      <c r="L153" s="137"/>
      <c r="M153" s="134"/>
      <c r="N153" s="137"/>
    </row>
    <row r="154">
      <c r="A154" s="134"/>
      <c r="B154" s="134"/>
      <c r="C154" s="134"/>
      <c r="D154" s="135"/>
      <c r="E154" s="136"/>
      <c r="F154" s="136"/>
      <c r="G154" s="134"/>
      <c r="H154" s="134"/>
      <c r="I154" s="137"/>
      <c r="J154" s="137"/>
      <c r="K154" s="134"/>
      <c r="L154" s="137"/>
      <c r="M154" s="134"/>
      <c r="N154" s="137"/>
    </row>
    <row r="155">
      <c r="A155" s="134"/>
      <c r="B155" s="134"/>
      <c r="C155" s="134"/>
      <c r="D155" s="135"/>
      <c r="E155" s="136"/>
      <c r="F155" s="136"/>
      <c r="G155" s="134"/>
      <c r="H155" s="134"/>
      <c r="I155" s="137"/>
      <c r="J155" s="137"/>
      <c r="K155" s="134"/>
      <c r="L155" s="137"/>
      <c r="M155" s="134"/>
      <c r="N155" s="137"/>
    </row>
    <row r="156">
      <c r="A156" s="134"/>
      <c r="B156" s="134"/>
      <c r="C156" s="134"/>
      <c r="D156" s="135"/>
      <c r="E156" s="136"/>
      <c r="F156" s="136"/>
      <c r="G156" s="134"/>
      <c r="H156" s="134"/>
      <c r="I156" s="137"/>
      <c r="J156" s="137"/>
      <c r="K156" s="134"/>
      <c r="L156" s="137"/>
      <c r="M156" s="134"/>
      <c r="N156" s="137"/>
    </row>
    <row r="157">
      <c r="A157" s="134"/>
      <c r="B157" s="134"/>
      <c r="C157" s="134"/>
      <c r="D157" s="135"/>
      <c r="E157" s="136"/>
      <c r="F157" s="136"/>
      <c r="G157" s="134"/>
      <c r="H157" s="134"/>
      <c r="I157" s="137"/>
      <c r="J157" s="137"/>
      <c r="K157" s="134"/>
      <c r="L157" s="137"/>
      <c r="M157" s="134"/>
      <c r="N157" s="137"/>
    </row>
    <row r="158">
      <c r="A158" s="134"/>
      <c r="B158" s="134"/>
      <c r="C158" s="134"/>
      <c r="D158" s="135"/>
      <c r="E158" s="136"/>
      <c r="F158" s="136"/>
      <c r="G158" s="134"/>
      <c r="H158" s="134"/>
      <c r="I158" s="137"/>
      <c r="J158" s="137"/>
      <c r="K158" s="134"/>
      <c r="L158" s="137"/>
      <c r="M158" s="134"/>
      <c r="N158" s="137"/>
    </row>
    <row r="159">
      <c r="A159" s="134"/>
      <c r="B159" s="134"/>
      <c r="C159" s="134"/>
      <c r="D159" s="135"/>
      <c r="E159" s="136"/>
      <c r="F159" s="136"/>
      <c r="G159" s="134"/>
      <c r="H159" s="134"/>
      <c r="I159" s="137"/>
      <c r="J159" s="137"/>
      <c r="K159" s="134"/>
      <c r="L159" s="137"/>
      <c r="M159" s="134"/>
      <c r="N159" s="137"/>
    </row>
    <row r="160">
      <c r="A160" s="134"/>
      <c r="B160" s="134"/>
      <c r="C160" s="134"/>
      <c r="D160" s="135"/>
      <c r="E160" s="136"/>
      <c r="F160" s="136"/>
      <c r="G160" s="134"/>
      <c r="H160" s="134"/>
      <c r="I160" s="137"/>
      <c r="J160" s="137"/>
      <c r="K160" s="134"/>
      <c r="L160" s="137"/>
      <c r="M160" s="134"/>
      <c r="N160" s="137"/>
    </row>
    <row r="161">
      <c r="A161" s="134"/>
      <c r="B161" s="134"/>
      <c r="C161" s="134"/>
      <c r="D161" s="135"/>
      <c r="E161" s="136"/>
      <c r="F161" s="136"/>
      <c r="G161" s="134"/>
      <c r="H161" s="134"/>
      <c r="I161" s="137"/>
      <c r="J161" s="137"/>
      <c r="K161" s="134"/>
      <c r="L161" s="137"/>
      <c r="M161" s="134"/>
      <c r="N161" s="137"/>
    </row>
    <row r="162">
      <c r="A162" s="134"/>
      <c r="B162" s="134"/>
      <c r="C162" s="134"/>
      <c r="D162" s="135"/>
      <c r="E162" s="136"/>
      <c r="F162" s="136"/>
      <c r="G162" s="134"/>
      <c r="H162" s="134"/>
      <c r="I162" s="137"/>
      <c r="J162" s="137"/>
      <c r="K162" s="134"/>
      <c r="L162" s="137"/>
      <c r="M162" s="134"/>
      <c r="N162" s="137"/>
    </row>
    <row r="163">
      <c r="A163" s="134"/>
      <c r="B163" s="134"/>
      <c r="C163" s="134"/>
      <c r="D163" s="135"/>
      <c r="E163" s="136"/>
      <c r="F163" s="136"/>
      <c r="G163" s="134"/>
      <c r="H163" s="134"/>
      <c r="I163" s="137"/>
      <c r="J163" s="137"/>
      <c r="K163" s="134"/>
      <c r="L163" s="137"/>
      <c r="M163" s="134"/>
      <c r="N163" s="137"/>
    </row>
    <row r="164">
      <c r="A164" s="134"/>
      <c r="B164" s="134"/>
      <c r="C164" s="134"/>
      <c r="D164" s="135"/>
      <c r="E164" s="136"/>
      <c r="F164" s="136"/>
      <c r="G164" s="134"/>
      <c r="H164" s="134"/>
      <c r="I164" s="137"/>
      <c r="J164" s="137"/>
      <c r="K164" s="134"/>
      <c r="L164" s="137"/>
      <c r="M164" s="134"/>
      <c r="N164" s="137"/>
    </row>
    <row r="165">
      <c r="A165" s="134"/>
      <c r="B165" s="134"/>
      <c r="C165" s="134"/>
      <c r="D165" s="135"/>
      <c r="E165" s="136"/>
      <c r="F165" s="136"/>
      <c r="G165" s="134"/>
      <c r="H165" s="134"/>
      <c r="I165" s="137"/>
      <c r="J165" s="137"/>
      <c r="K165" s="134"/>
      <c r="L165" s="137"/>
      <c r="M165" s="134"/>
      <c r="N165" s="137"/>
    </row>
    <row r="166">
      <c r="A166" s="134"/>
      <c r="B166" s="134"/>
      <c r="C166" s="134"/>
      <c r="D166" s="135"/>
      <c r="E166" s="136"/>
      <c r="F166" s="136"/>
      <c r="G166" s="134"/>
      <c r="H166" s="134"/>
      <c r="I166" s="137"/>
      <c r="J166" s="137"/>
      <c r="K166" s="134"/>
      <c r="L166" s="137"/>
      <c r="M166" s="134"/>
      <c r="N166" s="137"/>
    </row>
    <row r="167">
      <c r="A167" s="134"/>
      <c r="B167" s="134"/>
      <c r="C167" s="134"/>
      <c r="D167" s="135"/>
      <c r="E167" s="136"/>
      <c r="F167" s="136"/>
      <c r="G167" s="134"/>
      <c r="H167" s="134"/>
      <c r="I167" s="137"/>
      <c r="J167" s="137"/>
      <c r="K167" s="134"/>
      <c r="L167" s="137"/>
      <c r="M167" s="134"/>
      <c r="N167" s="137"/>
    </row>
    <row r="168">
      <c r="A168" s="134"/>
      <c r="B168" s="134"/>
      <c r="C168" s="134"/>
      <c r="D168" s="135"/>
      <c r="E168" s="136"/>
      <c r="F168" s="136"/>
      <c r="G168" s="134"/>
      <c r="H168" s="134"/>
      <c r="I168" s="137"/>
      <c r="J168" s="137"/>
      <c r="K168" s="134"/>
      <c r="L168" s="137"/>
      <c r="M168" s="134"/>
      <c r="N168" s="137"/>
    </row>
    <row r="169">
      <c r="A169" s="134"/>
      <c r="B169" s="134"/>
      <c r="C169" s="134"/>
      <c r="D169" s="135"/>
      <c r="E169" s="136"/>
      <c r="F169" s="136"/>
      <c r="G169" s="134"/>
      <c r="H169" s="134"/>
      <c r="I169" s="137"/>
      <c r="J169" s="137"/>
      <c r="K169" s="134"/>
      <c r="L169" s="137"/>
      <c r="M169" s="134"/>
      <c r="N169" s="137"/>
    </row>
    <row r="170">
      <c r="A170" s="134"/>
      <c r="B170" s="134"/>
      <c r="C170" s="134"/>
      <c r="D170" s="135"/>
      <c r="E170" s="136"/>
      <c r="F170" s="136"/>
      <c r="G170" s="134"/>
      <c r="H170" s="134"/>
      <c r="I170" s="137"/>
      <c r="J170" s="137"/>
      <c r="K170" s="134"/>
      <c r="L170" s="137"/>
      <c r="M170" s="134"/>
      <c r="N170" s="137"/>
    </row>
    <row r="171">
      <c r="A171" s="134"/>
      <c r="B171" s="134"/>
      <c r="C171" s="134"/>
      <c r="D171" s="135"/>
      <c r="E171" s="136"/>
      <c r="F171" s="136"/>
      <c r="G171" s="134"/>
      <c r="H171" s="134"/>
      <c r="I171" s="137"/>
      <c r="J171" s="137"/>
      <c r="K171" s="134"/>
      <c r="L171" s="137"/>
      <c r="M171" s="134"/>
      <c r="N171" s="137"/>
    </row>
    <row r="172">
      <c r="A172" s="134"/>
      <c r="B172" s="134"/>
      <c r="C172" s="134"/>
      <c r="D172" s="135"/>
      <c r="E172" s="136"/>
      <c r="F172" s="136"/>
      <c r="G172" s="134"/>
      <c r="H172" s="134"/>
      <c r="I172" s="137"/>
      <c r="J172" s="137"/>
      <c r="K172" s="134"/>
      <c r="L172" s="137"/>
      <c r="M172" s="134"/>
      <c r="N172" s="137"/>
    </row>
    <row r="173">
      <c r="A173" s="134"/>
      <c r="B173" s="134"/>
      <c r="C173" s="134"/>
      <c r="D173" s="135"/>
      <c r="E173" s="136"/>
      <c r="F173" s="136"/>
      <c r="G173" s="134"/>
      <c r="H173" s="134"/>
      <c r="I173" s="137"/>
      <c r="J173" s="137"/>
      <c r="K173" s="134"/>
      <c r="L173" s="137"/>
      <c r="M173" s="134"/>
      <c r="N173" s="137"/>
    </row>
    <row r="174">
      <c r="A174" s="134"/>
      <c r="B174" s="134"/>
      <c r="C174" s="134"/>
      <c r="D174" s="135"/>
      <c r="E174" s="136"/>
      <c r="F174" s="136"/>
      <c r="G174" s="134"/>
      <c r="H174" s="134"/>
      <c r="I174" s="137"/>
      <c r="J174" s="137"/>
      <c r="K174" s="134"/>
      <c r="L174" s="137"/>
      <c r="M174" s="134"/>
      <c r="N174" s="137"/>
    </row>
    <row r="175">
      <c r="A175" s="134"/>
      <c r="B175" s="134"/>
      <c r="C175" s="134"/>
      <c r="D175" s="135"/>
      <c r="E175" s="136"/>
      <c r="F175" s="136"/>
      <c r="G175" s="134"/>
      <c r="H175" s="134"/>
      <c r="I175" s="137"/>
      <c r="J175" s="137"/>
      <c r="K175" s="134"/>
      <c r="L175" s="137"/>
      <c r="M175" s="134"/>
      <c r="N175" s="137"/>
    </row>
    <row r="176">
      <c r="A176" s="134"/>
      <c r="B176" s="134"/>
      <c r="C176" s="134"/>
      <c r="D176" s="135"/>
      <c r="E176" s="136"/>
      <c r="F176" s="136"/>
      <c r="G176" s="134"/>
      <c r="H176" s="134"/>
      <c r="I176" s="137"/>
      <c r="J176" s="137"/>
      <c r="K176" s="134"/>
      <c r="L176" s="137"/>
      <c r="M176" s="134"/>
      <c r="N176" s="137"/>
    </row>
    <row r="177">
      <c r="A177" s="134"/>
      <c r="B177" s="134"/>
      <c r="C177" s="134"/>
      <c r="D177" s="135"/>
      <c r="E177" s="136"/>
      <c r="F177" s="136"/>
      <c r="G177" s="134"/>
      <c r="H177" s="134"/>
      <c r="I177" s="137"/>
      <c r="J177" s="137"/>
      <c r="K177" s="134"/>
      <c r="L177" s="137"/>
      <c r="M177" s="134"/>
      <c r="N177" s="137"/>
    </row>
    <row r="178">
      <c r="A178" s="134"/>
      <c r="B178" s="134"/>
      <c r="C178" s="134"/>
      <c r="D178" s="135"/>
      <c r="E178" s="136"/>
      <c r="F178" s="136"/>
      <c r="G178" s="134"/>
      <c r="H178" s="134"/>
      <c r="I178" s="137"/>
      <c r="J178" s="137"/>
      <c r="K178" s="134"/>
      <c r="L178" s="137"/>
      <c r="M178" s="134"/>
      <c r="N178" s="137"/>
    </row>
    <row r="179">
      <c r="A179" s="134"/>
      <c r="B179" s="134"/>
      <c r="C179" s="134"/>
      <c r="D179" s="135"/>
      <c r="E179" s="136"/>
      <c r="F179" s="136"/>
      <c r="G179" s="134"/>
      <c r="H179" s="134"/>
      <c r="I179" s="137"/>
      <c r="J179" s="137"/>
      <c r="K179" s="134"/>
      <c r="L179" s="137"/>
      <c r="M179" s="134"/>
      <c r="N179" s="137"/>
    </row>
    <row r="180">
      <c r="A180" s="134"/>
      <c r="B180" s="134"/>
      <c r="C180" s="134"/>
      <c r="D180" s="135"/>
      <c r="E180" s="136"/>
      <c r="F180" s="136"/>
      <c r="G180" s="134"/>
      <c r="H180" s="134"/>
      <c r="I180" s="137"/>
      <c r="J180" s="137"/>
      <c r="K180" s="134"/>
      <c r="L180" s="137"/>
      <c r="M180" s="134"/>
      <c r="N180" s="137"/>
    </row>
    <row r="181">
      <c r="A181" s="134"/>
      <c r="B181" s="134"/>
      <c r="C181" s="134"/>
      <c r="D181" s="135"/>
      <c r="E181" s="136"/>
      <c r="F181" s="136"/>
      <c r="G181" s="134"/>
      <c r="H181" s="134"/>
      <c r="I181" s="137"/>
      <c r="J181" s="137"/>
      <c r="K181" s="134"/>
      <c r="L181" s="137"/>
      <c r="M181" s="134"/>
      <c r="N181" s="137"/>
    </row>
    <row r="182">
      <c r="A182" s="134"/>
      <c r="B182" s="134"/>
      <c r="C182" s="134"/>
      <c r="D182" s="135"/>
      <c r="E182" s="136"/>
      <c r="F182" s="136"/>
      <c r="G182" s="134"/>
      <c r="H182" s="134"/>
      <c r="I182" s="137"/>
      <c r="J182" s="137"/>
      <c r="K182" s="134"/>
      <c r="L182" s="137"/>
      <c r="M182" s="134"/>
      <c r="N182" s="137"/>
    </row>
    <row r="183">
      <c r="A183" s="134"/>
      <c r="B183" s="134"/>
      <c r="C183" s="134"/>
      <c r="D183" s="135"/>
      <c r="E183" s="136"/>
      <c r="F183" s="136"/>
      <c r="G183" s="134"/>
      <c r="H183" s="134"/>
      <c r="I183" s="137"/>
      <c r="J183" s="137"/>
      <c r="K183" s="134"/>
      <c r="L183" s="137"/>
      <c r="M183" s="134"/>
      <c r="N183" s="137"/>
    </row>
    <row r="184">
      <c r="A184" s="134"/>
      <c r="B184" s="134"/>
      <c r="C184" s="134"/>
      <c r="D184" s="135"/>
      <c r="E184" s="136"/>
      <c r="F184" s="136"/>
      <c r="G184" s="134"/>
      <c r="H184" s="134"/>
      <c r="I184" s="137"/>
      <c r="J184" s="137"/>
      <c r="K184" s="134"/>
      <c r="L184" s="137"/>
      <c r="M184" s="134"/>
      <c r="N184" s="137"/>
    </row>
    <row r="185">
      <c r="A185" s="134"/>
      <c r="B185" s="134"/>
      <c r="C185" s="134"/>
      <c r="D185" s="135"/>
      <c r="E185" s="136"/>
      <c r="F185" s="136"/>
      <c r="G185" s="134"/>
      <c r="H185" s="134"/>
      <c r="I185" s="137"/>
      <c r="J185" s="137"/>
      <c r="K185" s="134"/>
      <c r="L185" s="137"/>
      <c r="M185" s="134"/>
      <c r="N185" s="137"/>
    </row>
    <row r="186">
      <c r="A186" s="134"/>
      <c r="B186" s="134"/>
      <c r="C186" s="134"/>
      <c r="D186" s="135"/>
      <c r="E186" s="136"/>
      <c r="F186" s="136"/>
      <c r="G186" s="134"/>
      <c r="H186" s="134"/>
      <c r="I186" s="137"/>
      <c r="J186" s="137"/>
      <c r="K186" s="134"/>
      <c r="L186" s="137"/>
      <c r="M186" s="134"/>
      <c r="N186" s="137"/>
    </row>
    <row r="187">
      <c r="A187" s="134"/>
      <c r="B187" s="134"/>
      <c r="C187" s="134"/>
      <c r="D187" s="135"/>
      <c r="E187" s="136"/>
      <c r="F187" s="136"/>
      <c r="G187" s="134"/>
      <c r="H187" s="134"/>
      <c r="I187" s="137"/>
      <c r="J187" s="137"/>
      <c r="K187" s="134"/>
      <c r="L187" s="137"/>
      <c r="M187" s="134"/>
      <c r="N187" s="137"/>
    </row>
    <row r="188">
      <c r="A188" s="134"/>
      <c r="B188" s="134"/>
      <c r="C188" s="134"/>
      <c r="D188" s="135"/>
      <c r="E188" s="136"/>
      <c r="F188" s="136"/>
      <c r="G188" s="134"/>
      <c r="H188" s="134"/>
      <c r="I188" s="137"/>
      <c r="J188" s="137"/>
      <c r="K188" s="134"/>
      <c r="L188" s="137"/>
      <c r="M188" s="134"/>
      <c r="N188" s="137"/>
    </row>
    <row r="189">
      <c r="A189" s="134"/>
      <c r="B189" s="134"/>
      <c r="C189" s="134"/>
      <c r="D189" s="135"/>
      <c r="E189" s="136"/>
      <c r="F189" s="136"/>
      <c r="G189" s="134"/>
      <c r="H189" s="134"/>
      <c r="I189" s="137"/>
      <c r="J189" s="137"/>
      <c r="K189" s="134"/>
      <c r="L189" s="137"/>
      <c r="M189" s="134"/>
      <c r="N189" s="137"/>
    </row>
    <row r="190">
      <c r="A190" s="134"/>
      <c r="B190" s="134"/>
      <c r="C190" s="134"/>
      <c r="D190" s="135"/>
      <c r="E190" s="136"/>
      <c r="F190" s="136"/>
      <c r="G190" s="134"/>
      <c r="H190" s="134"/>
      <c r="I190" s="137"/>
      <c r="J190" s="137"/>
      <c r="K190" s="134"/>
      <c r="L190" s="137"/>
      <c r="M190" s="134"/>
      <c r="N190" s="137"/>
    </row>
    <row r="191">
      <c r="A191" s="134"/>
      <c r="B191" s="134"/>
      <c r="C191" s="134"/>
      <c r="D191" s="135"/>
      <c r="E191" s="136"/>
      <c r="F191" s="136"/>
      <c r="G191" s="134"/>
      <c r="H191" s="134"/>
      <c r="I191" s="137"/>
      <c r="J191" s="137"/>
      <c r="K191" s="134"/>
      <c r="L191" s="137"/>
      <c r="M191" s="134"/>
      <c r="N191" s="137"/>
    </row>
    <row r="192">
      <c r="A192" s="134"/>
      <c r="B192" s="134"/>
      <c r="C192" s="134"/>
      <c r="D192" s="135"/>
      <c r="E192" s="136"/>
      <c r="F192" s="136"/>
      <c r="G192" s="134"/>
      <c r="H192" s="134"/>
      <c r="I192" s="137"/>
      <c r="J192" s="137"/>
      <c r="K192" s="134"/>
      <c r="L192" s="137"/>
      <c r="M192" s="134"/>
      <c r="N192" s="137"/>
    </row>
    <row r="193">
      <c r="A193" s="134"/>
      <c r="B193" s="134"/>
      <c r="C193" s="134"/>
      <c r="D193" s="135"/>
      <c r="E193" s="136"/>
      <c r="F193" s="136"/>
      <c r="G193" s="134"/>
      <c r="H193" s="134"/>
      <c r="I193" s="137"/>
      <c r="J193" s="137"/>
      <c r="K193" s="134"/>
      <c r="L193" s="137"/>
      <c r="M193" s="134"/>
      <c r="N193" s="137"/>
    </row>
    <row r="194">
      <c r="A194" s="134"/>
      <c r="B194" s="134"/>
      <c r="C194" s="134"/>
      <c r="D194" s="135"/>
      <c r="E194" s="136"/>
      <c r="F194" s="136"/>
      <c r="G194" s="134"/>
      <c r="H194" s="134"/>
      <c r="I194" s="137"/>
      <c r="J194" s="137"/>
      <c r="K194" s="134"/>
      <c r="L194" s="137"/>
      <c r="M194" s="134"/>
      <c r="N194" s="137"/>
    </row>
    <row r="195">
      <c r="A195" s="134"/>
      <c r="B195" s="134"/>
      <c r="C195" s="134"/>
      <c r="D195" s="135"/>
      <c r="E195" s="136"/>
      <c r="F195" s="136"/>
      <c r="G195" s="134"/>
      <c r="H195" s="134"/>
      <c r="I195" s="137"/>
      <c r="J195" s="137"/>
      <c r="K195" s="134"/>
      <c r="L195" s="137"/>
      <c r="M195" s="134"/>
      <c r="N195" s="137"/>
    </row>
    <row r="196">
      <c r="A196" s="134"/>
      <c r="B196" s="134"/>
      <c r="C196" s="134"/>
      <c r="D196" s="135"/>
      <c r="E196" s="136"/>
      <c r="F196" s="136"/>
      <c r="G196" s="134"/>
      <c r="H196" s="134"/>
      <c r="I196" s="137"/>
      <c r="J196" s="137"/>
      <c r="K196" s="134"/>
      <c r="L196" s="137"/>
      <c r="M196" s="134"/>
      <c r="N196" s="137"/>
    </row>
    <row r="197">
      <c r="A197" s="134"/>
      <c r="B197" s="134"/>
      <c r="C197" s="134"/>
      <c r="D197" s="135"/>
      <c r="E197" s="136"/>
      <c r="F197" s="136"/>
      <c r="G197" s="134"/>
      <c r="H197" s="134"/>
      <c r="I197" s="137"/>
      <c r="J197" s="137"/>
      <c r="K197" s="134"/>
      <c r="L197" s="137"/>
      <c r="M197" s="134"/>
      <c r="N197" s="137"/>
    </row>
    <row r="198">
      <c r="A198" s="134"/>
      <c r="B198" s="134"/>
      <c r="C198" s="134"/>
      <c r="D198" s="135"/>
      <c r="E198" s="136"/>
      <c r="F198" s="136"/>
      <c r="G198" s="134"/>
      <c r="H198" s="134"/>
      <c r="I198" s="137"/>
      <c r="J198" s="137"/>
      <c r="K198" s="134"/>
      <c r="L198" s="137"/>
      <c r="M198" s="134"/>
      <c r="N198" s="137"/>
    </row>
    <row r="199">
      <c r="A199" s="134"/>
      <c r="B199" s="134"/>
      <c r="C199" s="134"/>
      <c r="D199" s="135"/>
      <c r="E199" s="136"/>
      <c r="F199" s="136"/>
      <c r="G199" s="134"/>
      <c r="H199" s="134"/>
      <c r="I199" s="137"/>
      <c r="J199" s="137"/>
      <c r="K199" s="134"/>
      <c r="L199" s="137"/>
      <c r="M199" s="134"/>
      <c r="N199" s="137"/>
    </row>
    <row r="200">
      <c r="A200" s="134"/>
      <c r="B200" s="134"/>
      <c r="C200" s="134"/>
      <c r="D200" s="135"/>
      <c r="E200" s="136"/>
      <c r="F200" s="136"/>
      <c r="G200" s="134"/>
      <c r="H200" s="134"/>
      <c r="I200" s="137"/>
      <c r="J200" s="137"/>
      <c r="K200" s="134"/>
      <c r="L200" s="137"/>
      <c r="M200" s="134"/>
      <c r="N200" s="137"/>
    </row>
    <row r="201">
      <c r="A201" s="134"/>
      <c r="B201" s="134"/>
      <c r="C201" s="134"/>
      <c r="D201" s="135"/>
      <c r="E201" s="136"/>
      <c r="F201" s="136"/>
      <c r="G201" s="134"/>
      <c r="H201" s="134"/>
      <c r="I201" s="137"/>
      <c r="J201" s="137"/>
      <c r="K201" s="134"/>
      <c r="L201" s="137"/>
      <c r="M201" s="134"/>
      <c r="N201" s="137"/>
    </row>
    <row r="202">
      <c r="A202" s="134"/>
      <c r="B202" s="134"/>
      <c r="C202" s="134"/>
      <c r="D202" s="135"/>
      <c r="E202" s="136"/>
      <c r="F202" s="136"/>
      <c r="G202" s="134"/>
      <c r="H202" s="134"/>
      <c r="I202" s="137"/>
      <c r="J202" s="137"/>
      <c r="K202" s="134"/>
      <c r="L202" s="137"/>
      <c r="M202" s="134"/>
      <c r="N202" s="137"/>
    </row>
    <row r="203">
      <c r="A203" s="134"/>
      <c r="B203" s="134"/>
      <c r="C203" s="134"/>
      <c r="D203" s="135"/>
      <c r="E203" s="136"/>
      <c r="F203" s="136"/>
      <c r="G203" s="134"/>
      <c r="H203" s="134"/>
      <c r="I203" s="137"/>
      <c r="J203" s="137"/>
      <c r="K203" s="134"/>
      <c r="L203" s="137"/>
      <c r="M203" s="134"/>
      <c r="N203" s="137"/>
    </row>
    <row r="204">
      <c r="A204" s="134"/>
      <c r="B204" s="134"/>
      <c r="C204" s="134"/>
      <c r="D204" s="135"/>
      <c r="E204" s="136"/>
      <c r="F204" s="136"/>
      <c r="G204" s="134"/>
      <c r="H204" s="134"/>
      <c r="I204" s="137"/>
      <c r="J204" s="137"/>
      <c r="K204" s="134"/>
      <c r="L204" s="137"/>
      <c r="M204" s="134"/>
      <c r="N204" s="137"/>
    </row>
    <row r="205">
      <c r="A205" s="134"/>
      <c r="B205" s="134"/>
      <c r="C205" s="134"/>
      <c r="D205" s="135"/>
      <c r="E205" s="136"/>
      <c r="F205" s="136"/>
      <c r="G205" s="134"/>
      <c r="H205" s="134"/>
      <c r="I205" s="137"/>
      <c r="J205" s="137"/>
      <c r="K205" s="134"/>
      <c r="L205" s="137"/>
      <c r="M205" s="134"/>
      <c r="N205" s="137"/>
    </row>
    <row r="206">
      <c r="A206" s="134"/>
      <c r="B206" s="134"/>
      <c r="C206" s="134"/>
      <c r="D206" s="135"/>
      <c r="E206" s="136"/>
      <c r="F206" s="136"/>
      <c r="G206" s="134"/>
      <c r="H206" s="134"/>
      <c r="I206" s="137"/>
      <c r="J206" s="137"/>
      <c r="K206" s="134"/>
      <c r="L206" s="137"/>
      <c r="M206" s="134"/>
      <c r="N206" s="137"/>
    </row>
    <row r="207">
      <c r="A207" s="134"/>
      <c r="B207" s="134"/>
      <c r="C207" s="134"/>
      <c r="D207" s="135"/>
      <c r="E207" s="136"/>
      <c r="F207" s="136"/>
      <c r="G207" s="134"/>
      <c r="H207" s="134"/>
      <c r="I207" s="137"/>
      <c r="J207" s="137"/>
      <c r="K207" s="134"/>
      <c r="L207" s="137"/>
      <c r="M207" s="134"/>
      <c r="N207" s="137"/>
    </row>
    <row r="208">
      <c r="A208" s="134"/>
      <c r="B208" s="134"/>
      <c r="C208" s="134"/>
      <c r="D208" s="135"/>
      <c r="E208" s="136"/>
      <c r="F208" s="136"/>
      <c r="G208" s="134"/>
      <c r="H208" s="134"/>
      <c r="I208" s="137"/>
      <c r="J208" s="137"/>
      <c r="K208" s="134"/>
      <c r="L208" s="137"/>
      <c r="M208" s="134"/>
      <c r="N208" s="137"/>
    </row>
    <row r="209">
      <c r="A209" s="134"/>
      <c r="B209" s="134"/>
      <c r="C209" s="134"/>
      <c r="D209" s="135"/>
      <c r="E209" s="136"/>
      <c r="F209" s="136"/>
      <c r="G209" s="134"/>
      <c r="H209" s="134"/>
      <c r="I209" s="137"/>
      <c r="J209" s="137"/>
      <c r="K209" s="134"/>
      <c r="L209" s="137"/>
      <c r="M209" s="134"/>
      <c r="N209" s="137"/>
    </row>
    <row r="210">
      <c r="A210" s="134"/>
      <c r="B210" s="134"/>
      <c r="C210" s="134"/>
      <c r="D210" s="135"/>
      <c r="E210" s="136"/>
      <c r="F210" s="136"/>
      <c r="G210" s="134"/>
      <c r="H210" s="134"/>
      <c r="I210" s="137"/>
      <c r="J210" s="137"/>
      <c r="K210" s="134"/>
      <c r="L210" s="137"/>
      <c r="M210" s="134"/>
      <c r="N210" s="137"/>
    </row>
    <row r="211">
      <c r="A211" s="134"/>
      <c r="B211" s="134"/>
      <c r="C211" s="134"/>
      <c r="D211" s="135"/>
      <c r="E211" s="136"/>
      <c r="F211" s="136"/>
      <c r="G211" s="134"/>
      <c r="H211" s="134"/>
      <c r="I211" s="137"/>
      <c r="J211" s="137"/>
      <c r="K211" s="134"/>
      <c r="L211" s="137"/>
      <c r="M211" s="134"/>
      <c r="N211" s="137"/>
    </row>
    <row r="212">
      <c r="A212" s="134"/>
      <c r="B212" s="134"/>
      <c r="C212" s="134"/>
      <c r="D212" s="135"/>
      <c r="E212" s="136"/>
      <c r="F212" s="136"/>
      <c r="G212" s="134"/>
      <c r="H212" s="134"/>
      <c r="I212" s="137"/>
      <c r="J212" s="137"/>
      <c r="K212" s="134"/>
      <c r="L212" s="137"/>
      <c r="M212" s="134"/>
      <c r="N212" s="137"/>
    </row>
    <row r="213">
      <c r="A213" s="134"/>
      <c r="B213" s="134"/>
      <c r="C213" s="134"/>
      <c r="D213" s="135"/>
      <c r="E213" s="136"/>
      <c r="F213" s="136"/>
      <c r="G213" s="134"/>
      <c r="H213" s="134"/>
      <c r="I213" s="137"/>
      <c r="J213" s="137"/>
      <c r="K213" s="134"/>
      <c r="L213" s="137"/>
      <c r="M213" s="134"/>
      <c r="N213" s="137"/>
    </row>
    <row r="214">
      <c r="A214" s="134"/>
      <c r="B214" s="134"/>
      <c r="C214" s="134"/>
      <c r="D214" s="135"/>
      <c r="E214" s="136"/>
      <c r="F214" s="136"/>
      <c r="G214" s="134"/>
      <c r="H214" s="134"/>
      <c r="I214" s="137"/>
      <c r="J214" s="137"/>
      <c r="K214" s="134"/>
      <c r="L214" s="137"/>
      <c r="M214" s="134"/>
      <c r="N214" s="137"/>
    </row>
    <row r="215">
      <c r="A215" s="134"/>
      <c r="B215" s="134"/>
      <c r="C215" s="134"/>
      <c r="D215" s="135"/>
      <c r="E215" s="136"/>
      <c r="F215" s="136"/>
      <c r="G215" s="134"/>
      <c r="H215" s="134"/>
      <c r="I215" s="137"/>
      <c r="J215" s="137"/>
      <c r="K215" s="134"/>
      <c r="L215" s="137"/>
      <c r="M215" s="134"/>
      <c r="N215" s="137"/>
    </row>
    <row r="216">
      <c r="A216" s="134"/>
      <c r="B216" s="134"/>
      <c r="C216" s="134"/>
      <c r="D216" s="135"/>
      <c r="E216" s="136"/>
      <c r="F216" s="136"/>
      <c r="G216" s="134"/>
      <c r="H216" s="134"/>
      <c r="I216" s="137"/>
      <c r="J216" s="137"/>
      <c r="K216" s="134"/>
      <c r="L216" s="137"/>
      <c r="M216" s="134"/>
      <c r="N216" s="137"/>
    </row>
    <row r="217">
      <c r="A217" s="134"/>
      <c r="B217" s="134"/>
      <c r="C217" s="134"/>
      <c r="D217" s="135"/>
      <c r="E217" s="136"/>
      <c r="F217" s="136"/>
      <c r="G217" s="134"/>
      <c r="H217" s="134"/>
      <c r="I217" s="137"/>
      <c r="J217" s="137"/>
      <c r="K217" s="134"/>
      <c r="L217" s="137"/>
      <c r="M217" s="134"/>
      <c r="N217" s="137"/>
    </row>
    <row r="218">
      <c r="A218" s="134"/>
      <c r="B218" s="134"/>
      <c r="C218" s="134"/>
      <c r="D218" s="135"/>
      <c r="E218" s="136"/>
      <c r="F218" s="136"/>
      <c r="G218" s="134"/>
      <c r="H218" s="134"/>
      <c r="I218" s="137"/>
      <c r="J218" s="137"/>
      <c r="K218" s="134"/>
      <c r="L218" s="137"/>
      <c r="M218" s="134"/>
      <c r="N218" s="137"/>
    </row>
    <row r="219">
      <c r="A219" s="134"/>
      <c r="B219" s="134"/>
      <c r="C219" s="134"/>
      <c r="D219" s="135"/>
      <c r="E219" s="136"/>
      <c r="F219" s="136"/>
      <c r="G219" s="134"/>
      <c r="H219" s="134"/>
      <c r="I219" s="137"/>
      <c r="J219" s="137"/>
      <c r="K219" s="134"/>
      <c r="L219" s="137"/>
      <c r="M219" s="134"/>
      <c r="N219" s="137"/>
    </row>
    <row r="220">
      <c r="A220" s="134"/>
      <c r="B220" s="134"/>
      <c r="C220" s="134"/>
      <c r="D220" s="135"/>
      <c r="E220" s="136"/>
      <c r="F220" s="136"/>
      <c r="G220" s="134"/>
      <c r="H220" s="134"/>
      <c r="I220" s="137"/>
      <c r="J220" s="137"/>
      <c r="K220" s="134"/>
      <c r="L220" s="137"/>
      <c r="M220" s="134"/>
      <c r="N220" s="137"/>
    </row>
    <row r="221">
      <c r="A221" s="134"/>
      <c r="B221" s="134"/>
      <c r="C221" s="134"/>
      <c r="D221" s="135"/>
      <c r="E221" s="136"/>
      <c r="F221" s="136"/>
      <c r="G221" s="134"/>
      <c r="H221" s="134"/>
      <c r="I221" s="137"/>
      <c r="J221" s="137"/>
      <c r="K221" s="134"/>
      <c r="L221" s="137"/>
      <c r="M221" s="134"/>
      <c r="N221" s="137"/>
    </row>
    <row r="222">
      <c r="A222" s="134"/>
      <c r="B222" s="134"/>
      <c r="C222" s="134"/>
      <c r="D222" s="135"/>
      <c r="E222" s="136"/>
      <c r="F222" s="136"/>
      <c r="G222" s="134"/>
      <c r="H222" s="134"/>
      <c r="I222" s="137"/>
      <c r="J222" s="137"/>
      <c r="K222" s="134"/>
      <c r="L222" s="137"/>
      <c r="M222" s="134"/>
      <c r="N222" s="137"/>
    </row>
    <row r="223">
      <c r="A223" s="134"/>
      <c r="B223" s="134"/>
      <c r="C223" s="134"/>
      <c r="D223" s="135"/>
      <c r="E223" s="136"/>
      <c r="F223" s="136"/>
      <c r="G223" s="134"/>
      <c r="H223" s="134"/>
      <c r="I223" s="137"/>
      <c r="J223" s="137"/>
      <c r="K223" s="134"/>
      <c r="L223" s="137"/>
      <c r="M223" s="134"/>
      <c r="N223" s="137"/>
    </row>
    <row r="224">
      <c r="A224" s="134"/>
      <c r="B224" s="134"/>
      <c r="C224" s="134"/>
      <c r="D224" s="135"/>
      <c r="E224" s="136"/>
      <c r="F224" s="136"/>
      <c r="G224" s="134"/>
      <c r="H224" s="134"/>
      <c r="I224" s="137"/>
      <c r="J224" s="137"/>
      <c r="K224" s="134"/>
      <c r="L224" s="137"/>
      <c r="M224" s="134"/>
      <c r="N224" s="137"/>
    </row>
    <row r="225">
      <c r="A225" s="134"/>
      <c r="B225" s="134"/>
      <c r="C225" s="134"/>
      <c r="D225" s="135"/>
      <c r="E225" s="136"/>
      <c r="F225" s="136"/>
      <c r="G225" s="134"/>
      <c r="H225" s="134"/>
      <c r="I225" s="137"/>
      <c r="J225" s="137"/>
      <c r="K225" s="134"/>
      <c r="L225" s="137"/>
      <c r="M225" s="134"/>
      <c r="N225" s="137"/>
    </row>
    <row r="226">
      <c r="A226" s="134"/>
      <c r="B226" s="134"/>
      <c r="C226" s="134"/>
      <c r="D226" s="135"/>
      <c r="E226" s="136"/>
      <c r="F226" s="136"/>
      <c r="G226" s="134"/>
      <c r="H226" s="134"/>
      <c r="I226" s="137"/>
      <c r="J226" s="137"/>
      <c r="K226" s="134"/>
      <c r="L226" s="137"/>
      <c r="M226" s="134"/>
      <c r="N226" s="137"/>
    </row>
    <row r="227">
      <c r="A227" s="134"/>
      <c r="B227" s="134"/>
      <c r="C227" s="134"/>
      <c r="D227" s="135"/>
      <c r="E227" s="136"/>
      <c r="F227" s="136"/>
      <c r="G227" s="134"/>
      <c r="H227" s="134"/>
      <c r="I227" s="137"/>
      <c r="J227" s="137"/>
      <c r="K227" s="134"/>
      <c r="L227" s="137"/>
      <c r="M227" s="134"/>
      <c r="N227" s="137"/>
    </row>
    <row r="228">
      <c r="A228" s="134"/>
      <c r="B228" s="134"/>
      <c r="C228" s="134"/>
      <c r="D228" s="135"/>
      <c r="E228" s="136"/>
      <c r="F228" s="136"/>
      <c r="G228" s="134"/>
      <c r="H228" s="134"/>
      <c r="I228" s="137"/>
      <c r="J228" s="137"/>
      <c r="K228" s="134"/>
      <c r="L228" s="137"/>
      <c r="M228" s="134"/>
      <c r="N228" s="137"/>
    </row>
    <row r="229">
      <c r="A229" s="134"/>
      <c r="B229" s="134"/>
      <c r="C229" s="134"/>
      <c r="D229" s="135"/>
      <c r="E229" s="136"/>
      <c r="F229" s="136"/>
      <c r="G229" s="134"/>
      <c r="H229" s="134"/>
      <c r="I229" s="137"/>
      <c r="J229" s="137"/>
      <c r="K229" s="134"/>
      <c r="L229" s="137"/>
      <c r="M229" s="134"/>
      <c r="N229" s="137"/>
    </row>
    <row r="230">
      <c r="A230" s="134"/>
      <c r="B230" s="134"/>
      <c r="C230" s="134"/>
      <c r="D230" s="135"/>
      <c r="E230" s="136"/>
      <c r="F230" s="136"/>
      <c r="G230" s="134"/>
      <c r="H230" s="134"/>
      <c r="I230" s="137"/>
      <c r="J230" s="137"/>
      <c r="K230" s="134"/>
      <c r="L230" s="137"/>
      <c r="M230" s="134"/>
      <c r="N230" s="137"/>
    </row>
    <row r="231">
      <c r="A231" s="134"/>
      <c r="B231" s="134"/>
      <c r="C231" s="134"/>
      <c r="D231" s="135"/>
      <c r="E231" s="136"/>
      <c r="F231" s="136"/>
      <c r="G231" s="134"/>
      <c r="H231" s="134"/>
      <c r="I231" s="137"/>
      <c r="J231" s="137"/>
      <c r="K231" s="134"/>
      <c r="L231" s="137"/>
      <c r="M231" s="134"/>
      <c r="N231" s="137"/>
    </row>
    <row r="232">
      <c r="A232" s="134"/>
      <c r="B232" s="134"/>
      <c r="C232" s="134"/>
      <c r="D232" s="135"/>
      <c r="E232" s="136"/>
      <c r="F232" s="136"/>
      <c r="G232" s="134"/>
      <c r="H232" s="134"/>
      <c r="I232" s="137"/>
      <c r="J232" s="137"/>
      <c r="K232" s="134"/>
      <c r="L232" s="137"/>
      <c r="M232" s="134"/>
      <c r="N232" s="137"/>
    </row>
    <row r="233">
      <c r="A233" s="134"/>
      <c r="B233" s="134"/>
      <c r="C233" s="134"/>
      <c r="D233" s="135"/>
      <c r="E233" s="136"/>
      <c r="F233" s="136"/>
      <c r="G233" s="134"/>
      <c r="H233" s="134"/>
      <c r="I233" s="137"/>
      <c r="J233" s="137"/>
      <c r="K233" s="134"/>
      <c r="L233" s="137"/>
      <c r="M233" s="134"/>
      <c r="N233" s="137"/>
    </row>
    <row r="234">
      <c r="A234" s="134"/>
      <c r="B234" s="134"/>
      <c r="C234" s="134"/>
      <c r="D234" s="135"/>
      <c r="E234" s="136"/>
      <c r="F234" s="136"/>
      <c r="G234" s="134"/>
      <c r="H234" s="134"/>
      <c r="I234" s="137"/>
      <c r="J234" s="137"/>
      <c r="K234" s="134"/>
      <c r="L234" s="137"/>
      <c r="M234" s="134"/>
      <c r="N234" s="137"/>
    </row>
    <row r="235">
      <c r="A235" s="134"/>
      <c r="B235" s="134"/>
      <c r="C235" s="134"/>
      <c r="D235" s="135"/>
      <c r="E235" s="136"/>
      <c r="F235" s="136"/>
      <c r="G235" s="134"/>
      <c r="H235" s="134"/>
      <c r="I235" s="137"/>
      <c r="J235" s="137"/>
      <c r="K235" s="134"/>
      <c r="L235" s="137"/>
      <c r="M235" s="134"/>
      <c r="N235" s="137"/>
    </row>
    <row r="236">
      <c r="A236" s="134"/>
      <c r="B236" s="134"/>
      <c r="C236" s="134"/>
      <c r="D236" s="135"/>
      <c r="E236" s="136"/>
      <c r="F236" s="136"/>
      <c r="G236" s="134"/>
      <c r="H236" s="134"/>
      <c r="I236" s="137"/>
      <c r="J236" s="137"/>
      <c r="K236" s="134"/>
      <c r="L236" s="137"/>
      <c r="M236" s="134"/>
      <c r="N236" s="137"/>
    </row>
    <row r="237">
      <c r="A237" s="134"/>
      <c r="B237" s="134"/>
      <c r="C237" s="134"/>
      <c r="D237" s="135"/>
      <c r="E237" s="136"/>
      <c r="F237" s="136"/>
      <c r="G237" s="134"/>
      <c r="H237" s="134"/>
      <c r="I237" s="137"/>
      <c r="J237" s="137"/>
      <c r="K237" s="134"/>
      <c r="L237" s="137"/>
      <c r="M237" s="134"/>
      <c r="N237" s="137"/>
    </row>
    <row r="238">
      <c r="A238" s="134"/>
      <c r="B238" s="134"/>
      <c r="C238" s="134"/>
      <c r="D238" s="135"/>
      <c r="E238" s="136"/>
      <c r="F238" s="136"/>
      <c r="G238" s="134"/>
      <c r="H238" s="134"/>
      <c r="I238" s="137"/>
      <c r="J238" s="137"/>
      <c r="K238" s="134"/>
      <c r="L238" s="137"/>
      <c r="M238" s="134"/>
      <c r="N238" s="137"/>
    </row>
    <row r="239">
      <c r="A239" s="134"/>
      <c r="B239" s="134"/>
      <c r="C239" s="134"/>
      <c r="D239" s="135"/>
      <c r="E239" s="136"/>
      <c r="F239" s="136"/>
      <c r="G239" s="134"/>
      <c r="H239" s="134"/>
      <c r="I239" s="137"/>
      <c r="J239" s="137"/>
      <c r="K239" s="134"/>
      <c r="L239" s="137"/>
      <c r="M239" s="134"/>
      <c r="N239" s="137"/>
    </row>
    <row r="240">
      <c r="A240" s="134"/>
      <c r="B240" s="134"/>
      <c r="C240" s="134"/>
      <c r="D240" s="135"/>
      <c r="E240" s="136"/>
      <c r="F240" s="136"/>
      <c r="G240" s="134"/>
      <c r="H240" s="134"/>
      <c r="I240" s="137"/>
      <c r="J240" s="137"/>
      <c r="K240" s="134"/>
      <c r="L240" s="137"/>
      <c r="M240" s="134"/>
      <c r="N240" s="137"/>
    </row>
    <row r="241">
      <c r="A241" s="134"/>
      <c r="B241" s="134"/>
      <c r="C241" s="134"/>
      <c r="D241" s="135"/>
      <c r="E241" s="136"/>
      <c r="F241" s="136"/>
      <c r="G241" s="134"/>
      <c r="H241" s="134"/>
      <c r="I241" s="137"/>
      <c r="J241" s="137"/>
      <c r="K241" s="134"/>
      <c r="L241" s="137"/>
      <c r="M241" s="134"/>
      <c r="N241" s="137"/>
    </row>
    <row r="242">
      <c r="A242" s="134"/>
      <c r="B242" s="134"/>
      <c r="C242" s="134"/>
      <c r="D242" s="135"/>
      <c r="E242" s="136"/>
      <c r="F242" s="136"/>
      <c r="G242" s="134"/>
      <c r="H242" s="134"/>
      <c r="I242" s="137"/>
      <c r="J242" s="137"/>
      <c r="K242" s="134"/>
      <c r="L242" s="137"/>
      <c r="M242" s="134"/>
      <c r="N242" s="137"/>
    </row>
    <row r="243">
      <c r="A243" s="134"/>
      <c r="B243" s="134"/>
      <c r="C243" s="134"/>
      <c r="D243" s="135"/>
      <c r="E243" s="136"/>
      <c r="F243" s="136"/>
      <c r="G243" s="134"/>
      <c r="H243" s="134"/>
      <c r="I243" s="137"/>
      <c r="J243" s="137"/>
      <c r="K243" s="134"/>
      <c r="L243" s="137"/>
      <c r="M243" s="134"/>
      <c r="N243" s="137"/>
    </row>
    <row r="244">
      <c r="A244" s="134"/>
      <c r="B244" s="134"/>
      <c r="C244" s="134"/>
      <c r="D244" s="135"/>
      <c r="E244" s="136"/>
      <c r="F244" s="136"/>
      <c r="G244" s="134"/>
      <c r="H244" s="134"/>
      <c r="I244" s="137"/>
      <c r="J244" s="137"/>
      <c r="K244" s="134"/>
      <c r="L244" s="137"/>
      <c r="M244" s="134"/>
      <c r="N244" s="137"/>
    </row>
    <row r="245">
      <c r="A245" s="134"/>
      <c r="B245" s="134"/>
      <c r="C245" s="134"/>
      <c r="D245" s="135"/>
      <c r="E245" s="136"/>
      <c r="F245" s="136"/>
      <c r="G245" s="134"/>
      <c r="H245" s="134"/>
      <c r="I245" s="137"/>
      <c r="J245" s="137"/>
      <c r="K245" s="134"/>
      <c r="L245" s="137"/>
      <c r="M245" s="134"/>
      <c r="N245" s="137"/>
    </row>
    <row r="246">
      <c r="A246" s="134"/>
      <c r="B246" s="134"/>
      <c r="C246" s="134"/>
      <c r="D246" s="135"/>
      <c r="E246" s="136"/>
      <c r="F246" s="136"/>
      <c r="G246" s="134"/>
      <c r="H246" s="134"/>
      <c r="I246" s="137"/>
      <c r="J246" s="137"/>
      <c r="K246" s="134"/>
      <c r="L246" s="137"/>
      <c r="M246" s="134"/>
      <c r="N246" s="137"/>
    </row>
    <row r="247">
      <c r="A247" s="134"/>
      <c r="B247" s="134"/>
      <c r="C247" s="134"/>
      <c r="D247" s="135"/>
      <c r="E247" s="136"/>
      <c r="F247" s="136"/>
      <c r="G247" s="134"/>
      <c r="H247" s="134"/>
      <c r="I247" s="137"/>
      <c r="J247" s="137"/>
      <c r="K247" s="134"/>
      <c r="L247" s="137"/>
      <c r="M247" s="134"/>
      <c r="N247" s="137"/>
    </row>
    <row r="248">
      <c r="A248" s="134"/>
      <c r="B248" s="134"/>
      <c r="C248" s="134"/>
      <c r="D248" s="135"/>
      <c r="E248" s="136"/>
      <c r="F248" s="136"/>
      <c r="G248" s="134"/>
      <c r="H248" s="134"/>
      <c r="I248" s="137"/>
      <c r="J248" s="137"/>
      <c r="K248" s="134"/>
      <c r="L248" s="137"/>
      <c r="M248" s="134"/>
      <c r="N248" s="137"/>
    </row>
    <row r="249">
      <c r="A249" s="134"/>
      <c r="B249" s="134"/>
      <c r="C249" s="134"/>
      <c r="D249" s="135"/>
      <c r="E249" s="136"/>
      <c r="F249" s="136"/>
      <c r="G249" s="134"/>
      <c r="H249" s="134"/>
      <c r="I249" s="137"/>
      <c r="J249" s="137"/>
      <c r="K249" s="134"/>
      <c r="L249" s="137"/>
      <c r="M249" s="134"/>
      <c r="N249" s="137"/>
    </row>
    <row r="250">
      <c r="A250" s="134"/>
      <c r="B250" s="134"/>
      <c r="C250" s="134"/>
      <c r="D250" s="135"/>
      <c r="E250" s="136"/>
      <c r="F250" s="136"/>
      <c r="G250" s="134"/>
      <c r="H250" s="134"/>
      <c r="I250" s="137"/>
      <c r="J250" s="137"/>
      <c r="K250" s="134"/>
      <c r="L250" s="137"/>
      <c r="M250" s="134"/>
      <c r="N250" s="137"/>
    </row>
    <row r="251">
      <c r="A251" s="134"/>
      <c r="B251" s="134"/>
      <c r="C251" s="134"/>
      <c r="D251" s="135"/>
      <c r="E251" s="136"/>
      <c r="F251" s="136"/>
      <c r="G251" s="134"/>
      <c r="H251" s="134"/>
      <c r="I251" s="137"/>
      <c r="J251" s="137"/>
      <c r="K251" s="134"/>
      <c r="L251" s="137"/>
      <c r="M251" s="134"/>
      <c r="N251" s="137"/>
    </row>
    <row r="252">
      <c r="A252" s="134"/>
      <c r="B252" s="134"/>
      <c r="C252" s="134"/>
      <c r="D252" s="135"/>
      <c r="E252" s="136"/>
      <c r="F252" s="136"/>
      <c r="G252" s="134"/>
      <c r="H252" s="134"/>
      <c r="I252" s="137"/>
      <c r="J252" s="137"/>
      <c r="K252" s="134"/>
      <c r="L252" s="137"/>
      <c r="M252" s="134"/>
      <c r="N252" s="137"/>
    </row>
    <row r="253">
      <c r="A253" s="134"/>
      <c r="B253" s="134"/>
      <c r="C253" s="134"/>
      <c r="D253" s="135"/>
      <c r="E253" s="136"/>
      <c r="F253" s="136"/>
      <c r="G253" s="134"/>
      <c r="H253" s="134"/>
      <c r="I253" s="137"/>
      <c r="J253" s="137"/>
      <c r="K253" s="134"/>
      <c r="L253" s="137"/>
      <c r="M253" s="134"/>
      <c r="N253" s="137"/>
    </row>
    <row r="254">
      <c r="A254" s="134"/>
      <c r="B254" s="134"/>
      <c r="C254" s="134"/>
      <c r="D254" s="135"/>
      <c r="E254" s="136"/>
      <c r="F254" s="136"/>
      <c r="G254" s="134"/>
      <c r="H254" s="134"/>
      <c r="I254" s="137"/>
      <c r="J254" s="137"/>
      <c r="K254" s="134"/>
      <c r="L254" s="137"/>
      <c r="M254" s="134"/>
      <c r="N254" s="137"/>
    </row>
    <row r="255">
      <c r="A255" s="134"/>
      <c r="B255" s="134"/>
      <c r="C255" s="134"/>
      <c r="D255" s="135"/>
      <c r="E255" s="136"/>
      <c r="F255" s="136"/>
      <c r="G255" s="134"/>
      <c r="H255" s="134"/>
      <c r="I255" s="137"/>
      <c r="J255" s="137"/>
      <c r="K255" s="134"/>
      <c r="L255" s="137"/>
      <c r="M255" s="134"/>
      <c r="N255" s="137"/>
    </row>
    <row r="256">
      <c r="A256" s="134"/>
      <c r="B256" s="134"/>
      <c r="C256" s="134"/>
      <c r="D256" s="135"/>
      <c r="E256" s="136"/>
      <c r="F256" s="136"/>
      <c r="G256" s="134"/>
      <c r="H256" s="134"/>
      <c r="I256" s="137"/>
      <c r="J256" s="137"/>
      <c r="K256" s="134"/>
      <c r="L256" s="137"/>
      <c r="M256" s="134"/>
      <c r="N256" s="137"/>
    </row>
    <row r="257">
      <c r="A257" s="134"/>
      <c r="B257" s="134"/>
      <c r="C257" s="134"/>
      <c r="D257" s="135"/>
      <c r="E257" s="136"/>
      <c r="F257" s="136"/>
      <c r="G257" s="134"/>
      <c r="H257" s="134"/>
      <c r="I257" s="137"/>
      <c r="J257" s="137"/>
      <c r="K257" s="134"/>
      <c r="L257" s="137"/>
      <c r="M257" s="134"/>
      <c r="N257" s="137"/>
    </row>
    <row r="258">
      <c r="A258" s="134"/>
      <c r="B258" s="134"/>
      <c r="C258" s="134"/>
      <c r="D258" s="135"/>
      <c r="E258" s="136"/>
      <c r="F258" s="136"/>
      <c r="G258" s="134"/>
      <c r="H258" s="134"/>
      <c r="I258" s="137"/>
      <c r="J258" s="137"/>
      <c r="K258" s="134"/>
      <c r="L258" s="137"/>
      <c r="M258" s="134"/>
      <c r="N258" s="137"/>
    </row>
    <row r="259">
      <c r="A259" s="134"/>
      <c r="B259" s="134"/>
      <c r="C259" s="134"/>
      <c r="D259" s="135"/>
      <c r="E259" s="136"/>
      <c r="F259" s="136"/>
      <c r="G259" s="134"/>
      <c r="H259" s="134"/>
      <c r="I259" s="137"/>
      <c r="J259" s="137"/>
      <c r="K259" s="134"/>
      <c r="L259" s="137"/>
      <c r="M259" s="134"/>
      <c r="N259" s="137"/>
    </row>
    <row r="260">
      <c r="A260" s="134"/>
      <c r="B260" s="134"/>
      <c r="C260" s="134"/>
      <c r="D260" s="135"/>
      <c r="E260" s="136"/>
      <c r="F260" s="136"/>
      <c r="G260" s="134"/>
      <c r="H260" s="134"/>
      <c r="I260" s="137"/>
      <c r="J260" s="137"/>
      <c r="K260" s="134"/>
      <c r="L260" s="137"/>
      <c r="M260" s="134"/>
      <c r="N260" s="137"/>
    </row>
    <row r="261">
      <c r="A261" s="134"/>
      <c r="B261" s="134"/>
      <c r="C261" s="134"/>
      <c r="D261" s="135"/>
      <c r="E261" s="136"/>
      <c r="F261" s="136"/>
      <c r="G261" s="134"/>
      <c r="H261" s="134"/>
      <c r="I261" s="137"/>
      <c r="J261" s="137"/>
      <c r="K261" s="134"/>
      <c r="L261" s="137"/>
      <c r="M261" s="134"/>
      <c r="N261" s="137"/>
    </row>
    <row r="262">
      <c r="A262" s="134"/>
      <c r="B262" s="134"/>
      <c r="C262" s="134"/>
      <c r="D262" s="135"/>
      <c r="E262" s="136"/>
      <c r="F262" s="136"/>
      <c r="G262" s="134"/>
      <c r="H262" s="134"/>
      <c r="I262" s="137"/>
      <c r="J262" s="137"/>
      <c r="K262" s="134"/>
      <c r="L262" s="137"/>
      <c r="M262" s="134"/>
      <c r="N262" s="137"/>
    </row>
    <row r="263">
      <c r="A263" s="134"/>
      <c r="B263" s="134"/>
      <c r="C263" s="134"/>
      <c r="D263" s="135"/>
      <c r="E263" s="136"/>
      <c r="F263" s="136"/>
      <c r="G263" s="134"/>
      <c r="H263" s="134"/>
      <c r="I263" s="137"/>
      <c r="J263" s="137"/>
      <c r="K263" s="134"/>
      <c r="L263" s="137"/>
      <c r="M263" s="134"/>
      <c r="N263" s="137"/>
    </row>
    <row r="264">
      <c r="A264" s="134"/>
      <c r="B264" s="134"/>
      <c r="C264" s="134"/>
      <c r="D264" s="135"/>
      <c r="E264" s="136"/>
      <c r="F264" s="136"/>
      <c r="G264" s="134"/>
      <c r="H264" s="134"/>
      <c r="I264" s="137"/>
      <c r="J264" s="137"/>
      <c r="K264" s="134"/>
      <c r="L264" s="137"/>
      <c r="M264" s="134"/>
      <c r="N264" s="137"/>
    </row>
    <row r="265">
      <c r="A265" s="134"/>
      <c r="B265" s="134"/>
      <c r="C265" s="134"/>
      <c r="D265" s="135"/>
      <c r="E265" s="136"/>
      <c r="F265" s="136"/>
      <c r="G265" s="134"/>
      <c r="H265" s="134"/>
      <c r="I265" s="137"/>
      <c r="J265" s="137"/>
      <c r="K265" s="134"/>
      <c r="L265" s="137"/>
      <c r="M265" s="134"/>
      <c r="N265" s="137"/>
    </row>
    <row r="266">
      <c r="A266" s="134"/>
      <c r="B266" s="134"/>
      <c r="C266" s="134"/>
      <c r="D266" s="135"/>
      <c r="E266" s="136"/>
      <c r="F266" s="136"/>
      <c r="G266" s="134"/>
      <c r="H266" s="134"/>
      <c r="I266" s="137"/>
      <c r="J266" s="137"/>
      <c r="K266" s="134"/>
      <c r="L266" s="137"/>
      <c r="M266" s="134"/>
      <c r="N266" s="137"/>
    </row>
    <row r="267">
      <c r="A267" s="134"/>
      <c r="B267" s="134"/>
      <c r="C267" s="134"/>
      <c r="D267" s="135"/>
      <c r="E267" s="136"/>
      <c r="F267" s="136"/>
      <c r="G267" s="134"/>
      <c r="H267" s="134"/>
      <c r="I267" s="137"/>
      <c r="J267" s="137"/>
      <c r="K267" s="134"/>
      <c r="L267" s="137"/>
      <c r="M267" s="134"/>
      <c r="N267" s="137"/>
    </row>
    <row r="268">
      <c r="A268" s="134"/>
      <c r="B268" s="134"/>
      <c r="C268" s="134"/>
      <c r="D268" s="135"/>
      <c r="E268" s="136"/>
      <c r="F268" s="136"/>
      <c r="G268" s="134"/>
      <c r="H268" s="134"/>
      <c r="I268" s="137"/>
      <c r="J268" s="137"/>
      <c r="K268" s="134"/>
      <c r="L268" s="137"/>
      <c r="M268" s="134"/>
      <c r="N268" s="137"/>
    </row>
    <row r="269">
      <c r="A269" s="134"/>
      <c r="B269" s="134"/>
      <c r="C269" s="134"/>
      <c r="D269" s="135"/>
      <c r="E269" s="136"/>
      <c r="F269" s="136"/>
      <c r="G269" s="134"/>
      <c r="H269" s="134"/>
      <c r="I269" s="137"/>
      <c r="J269" s="137"/>
      <c r="K269" s="134"/>
      <c r="L269" s="137"/>
      <c r="M269" s="134"/>
      <c r="N269" s="137"/>
    </row>
    <row r="270">
      <c r="A270" s="134"/>
      <c r="B270" s="134"/>
      <c r="C270" s="134"/>
      <c r="D270" s="135"/>
      <c r="E270" s="136"/>
      <c r="F270" s="136"/>
      <c r="G270" s="134"/>
      <c r="H270" s="134"/>
      <c r="I270" s="137"/>
      <c r="J270" s="137"/>
      <c r="K270" s="134"/>
      <c r="L270" s="137"/>
      <c r="M270" s="134"/>
      <c r="N270" s="137"/>
    </row>
    <row r="271">
      <c r="A271" s="134"/>
      <c r="B271" s="134"/>
      <c r="C271" s="134"/>
      <c r="D271" s="135"/>
      <c r="E271" s="136"/>
      <c r="F271" s="136"/>
      <c r="G271" s="134"/>
      <c r="H271" s="134"/>
      <c r="I271" s="137"/>
      <c r="J271" s="137"/>
      <c r="K271" s="134"/>
      <c r="L271" s="137"/>
      <c r="M271" s="134"/>
      <c r="N271" s="137"/>
    </row>
    <row r="272">
      <c r="A272" s="134"/>
      <c r="B272" s="134"/>
      <c r="C272" s="134"/>
      <c r="D272" s="135"/>
      <c r="E272" s="136"/>
      <c r="F272" s="136"/>
      <c r="G272" s="134"/>
      <c r="H272" s="134"/>
      <c r="I272" s="137"/>
      <c r="J272" s="137"/>
      <c r="K272" s="134"/>
      <c r="L272" s="137"/>
      <c r="M272" s="134"/>
      <c r="N272" s="137"/>
    </row>
    <row r="273">
      <c r="A273" s="134"/>
      <c r="B273" s="134"/>
      <c r="C273" s="134"/>
      <c r="D273" s="135"/>
      <c r="E273" s="136"/>
      <c r="F273" s="136"/>
      <c r="G273" s="134"/>
      <c r="H273" s="134"/>
      <c r="I273" s="137"/>
      <c r="J273" s="137"/>
      <c r="K273" s="134"/>
      <c r="L273" s="137"/>
      <c r="M273" s="134"/>
      <c r="N273" s="137"/>
    </row>
    <row r="274">
      <c r="A274" s="134"/>
      <c r="B274" s="134"/>
      <c r="C274" s="134"/>
      <c r="D274" s="135"/>
      <c r="E274" s="136"/>
      <c r="F274" s="136"/>
      <c r="G274" s="134"/>
      <c r="H274" s="134"/>
      <c r="I274" s="137"/>
      <c r="J274" s="137"/>
      <c r="K274" s="134"/>
      <c r="L274" s="137"/>
      <c r="M274" s="134"/>
      <c r="N274" s="137"/>
    </row>
    <row r="275">
      <c r="A275" s="134"/>
      <c r="B275" s="134"/>
      <c r="C275" s="134"/>
      <c r="D275" s="135"/>
      <c r="E275" s="136"/>
      <c r="F275" s="136"/>
      <c r="G275" s="134"/>
      <c r="H275" s="134"/>
      <c r="I275" s="137"/>
      <c r="J275" s="137"/>
      <c r="K275" s="134"/>
      <c r="L275" s="137"/>
      <c r="M275" s="134"/>
      <c r="N275" s="137"/>
    </row>
    <row r="276">
      <c r="A276" s="134"/>
      <c r="B276" s="134"/>
      <c r="C276" s="134"/>
      <c r="D276" s="135"/>
      <c r="E276" s="136"/>
      <c r="F276" s="136"/>
      <c r="G276" s="134"/>
      <c r="H276" s="134"/>
      <c r="I276" s="137"/>
      <c r="J276" s="137"/>
      <c r="K276" s="134"/>
      <c r="L276" s="137"/>
      <c r="M276" s="134"/>
      <c r="N276" s="137"/>
    </row>
    <row r="277">
      <c r="A277" s="134"/>
      <c r="B277" s="134"/>
      <c r="C277" s="134"/>
      <c r="D277" s="135"/>
      <c r="E277" s="136"/>
      <c r="F277" s="136"/>
      <c r="G277" s="134"/>
      <c r="H277" s="134"/>
      <c r="I277" s="137"/>
      <c r="J277" s="137"/>
      <c r="K277" s="134"/>
      <c r="L277" s="137"/>
      <c r="M277" s="134"/>
      <c r="N277" s="137"/>
    </row>
    <row r="278">
      <c r="A278" s="134"/>
      <c r="B278" s="134"/>
      <c r="C278" s="134"/>
      <c r="D278" s="135"/>
      <c r="E278" s="136"/>
      <c r="F278" s="136"/>
      <c r="G278" s="134"/>
      <c r="H278" s="134"/>
      <c r="I278" s="137"/>
      <c r="J278" s="137"/>
      <c r="K278" s="134"/>
      <c r="L278" s="137"/>
      <c r="M278" s="134"/>
      <c r="N278" s="137"/>
    </row>
    <row r="279">
      <c r="A279" s="134"/>
      <c r="B279" s="134"/>
      <c r="C279" s="134"/>
      <c r="D279" s="135"/>
      <c r="E279" s="136"/>
      <c r="F279" s="136"/>
      <c r="G279" s="134"/>
      <c r="H279" s="134"/>
      <c r="I279" s="137"/>
      <c r="J279" s="137"/>
      <c r="K279" s="134"/>
      <c r="L279" s="137"/>
      <c r="M279" s="134"/>
      <c r="N279" s="137"/>
    </row>
    <row r="280">
      <c r="A280" s="134"/>
      <c r="B280" s="134"/>
      <c r="C280" s="134"/>
      <c r="D280" s="135"/>
      <c r="E280" s="136"/>
      <c r="F280" s="136"/>
      <c r="G280" s="134"/>
      <c r="H280" s="134"/>
      <c r="I280" s="137"/>
      <c r="J280" s="137"/>
      <c r="K280" s="134"/>
      <c r="L280" s="137"/>
      <c r="M280" s="134"/>
      <c r="N280" s="137"/>
    </row>
    <row r="281">
      <c r="A281" s="134"/>
      <c r="B281" s="134"/>
      <c r="C281" s="134"/>
      <c r="D281" s="135"/>
      <c r="E281" s="136"/>
      <c r="F281" s="136"/>
      <c r="G281" s="134"/>
      <c r="H281" s="134"/>
      <c r="I281" s="137"/>
      <c r="J281" s="137"/>
      <c r="K281" s="134"/>
      <c r="L281" s="137"/>
      <c r="M281" s="134"/>
      <c r="N281" s="137"/>
    </row>
    <row r="282">
      <c r="A282" s="134"/>
      <c r="B282" s="134"/>
      <c r="C282" s="134"/>
      <c r="D282" s="135"/>
      <c r="E282" s="136"/>
      <c r="F282" s="136"/>
      <c r="G282" s="134"/>
      <c r="H282" s="134"/>
      <c r="I282" s="137"/>
      <c r="J282" s="137"/>
      <c r="K282" s="134"/>
      <c r="L282" s="137"/>
      <c r="M282" s="134"/>
      <c r="N282" s="137"/>
    </row>
    <row r="283">
      <c r="A283" s="134"/>
      <c r="B283" s="134"/>
      <c r="C283" s="134"/>
      <c r="D283" s="135"/>
      <c r="E283" s="136"/>
      <c r="F283" s="136"/>
      <c r="G283" s="134"/>
      <c r="H283" s="134"/>
      <c r="I283" s="137"/>
      <c r="J283" s="137"/>
      <c r="K283" s="134"/>
      <c r="L283" s="137"/>
      <c r="M283" s="134"/>
      <c r="N283" s="137"/>
    </row>
    <row r="284">
      <c r="A284" s="134"/>
      <c r="B284" s="134"/>
      <c r="C284" s="134"/>
      <c r="D284" s="135"/>
      <c r="E284" s="136"/>
      <c r="F284" s="136"/>
      <c r="G284" s="134"/>
      <c r="H284" s="134"/>
      <c r="I284" s="137"/>
      <c r="J284" s="137"/>
      <c r="K284" s="134"/>
      <c r="L284" s="137"/>
      <c r="M284" s="134"/>
      <c r="N284" s="137"/>
    </row>
    <row r="285">
      <c r="A285" s="134"/>
      <c r="B285" s="134"/>
      <c r="C285" s="134"/>
      <c r="D285" s="135"/>
      <c r="E285" s="136"/>
      <c r="F285" s="136"/>
      <c r="G285" s="134"/>
      <c r="H285" s="134"/>
      <c r="I285" s="137"/>
      <c r="J285" s="137"/>
      <c r="K285" s="134"/>
      <c r="L285" s="137"/>
      <c r="M285" s="134"/>
      <c r="N285" s="137"/>
    </row>
    <row r="286">
      <c r="A286" s="134"/>
      <c r="B286" s="134"/>
      <c r="C286" s="134"/>
      <c r="D286" s="135"/>
      <c r="E286" s="136"/>
      <c r="F286" s="136"/>
      <c r="G286" s="134"/>
      <c r="H286" s="134"/>
      <c r="I286" s="137"/>
      <c r="J286" s="137"/>
      <c r="K286" s="134"/>
      <c r="L286" s="137"/>
      <c r="M286" s="134"/>
      <c r="N286" s="137"/>
    </row>
    <row r="287">
      <c r="A287" s="134"/>
      <c r="B287" s="134"/>
      <c r="C287" s="134"/>
      <c r="D287" s="135"/>
      <c r="E287" s="136"/>
      <c r="F287" s="136"/>
      <c r="G287" s="134"/>
      <c r="H287" s="134"/>
      <c r="I287" s="137"/>
      <c r="J287" s="137"/>
      <c r="K287" s="134"/>
      <c r="L287" s="137"/>
      <c r="M287" s="134"/>
      <c r="N287" s="137"/>
    </row>
    <row r="288">
      <c r="A288" s="134"/>
      <c r="B288" s="134"/>
      <c r="C288" s="134"/>
      <c r="D288" s="135"/>
      <c r="E288" s="136"/>
      <c r="F288" s="136"/>
      <c r="G288" s="134"/>
      <c r="H288" s="134"/>
      <c r="I288" s="137"/>
      <c r="J288" s="137"/>
      <c r="K288" s="134"/>
      <c r="L288" s="137"/>
      <c r="M288" s="134"/>
      <c r="N288" s="137"/>
    </row>
    <row r="289">
      <c r="A289" s="134"/>
      <c r="B289" s="134"/>
      <c r="C289" s="134"/>
      <c r="D289" s="135"/>
      <c r="E289" s="136"/>
      <c r="F289" s="136"/>
      <c r="G289" s="134"/>
      <c r="H289" s="134"/>
      <c r="I289" s="137"/>
      <c r="J289" s="137"/>
      <c r="K289" s="134"/>
      <c r="L289" s="137"/>
      <c r="M289" s="134"/>
      <c r="N289" s="137"/>
    </row>
    <row r="290">
      <c r="A290" s="134"/>
      <c r="B290" s="134"/>
      <c r="C290" s="134"/>
      <c r="D290" s="135"/>
      <c r="E290" s="136"/>
      <c r="F290" s="136"/>
      <c r="G290" s="134"/>
      <c r="H290" s="134"/>
      <c r="I290" s="137"/>
      <c r="J290" s="137"/>
      <c r="K290" s="134"/>
      <c r="L290" s="137"/>
      <c r="M290" s="134"/>
      <c r="N290" s="137"/>
    </row>
    <row r="291">
      <c r="A291" s="134"/>
      <c r="B291" s="134"/>
      <c r="C291" s="134"/>
      <c r="D291" s="135"/>
      <c r="E291" s="136"/>
      <c r="F291" s="136"/>
      <c r="G291" s="134"/>
      <c r="H291" s="134"/>
      <c r="I291" s="137"/>
      <c r="J291" s="137"/>
      <c r="K291" s="134"/>
      <c r="L291" s="137"/>
      <c r="M291" s="134"/>
      <c r="N291" s="137"/>
    </row>
    <row r="292">
      <c r="A292" s="134"/>
      <c r="B292" s="134"/>
      <c r="C292" s="134"/>
      <c r="D292" s="135"/>
      <c r="E292" s="136"/>
      <c r="F292" s="136"/>
      <c r="G292" s="134"/>
      <c r="H292" s="134"/>
      <c r="I292" s="137"/>
      <c r="J292" s="137"/>
      <c r="K292" s="134"/>
      <c r="L292" s="137"/>
      <c r="M292" s="134"/>
      <c r="N292" s="137"/>
    </row>
    <row r="293">
      <c r="A293" s="134"/>
      <c r="B293" s="134"/>
      <c r="C293" s="134"/>
      <c r="D293" s="135"/>
      <c r="E293" s="136"/>
      <c r="F293" s="136"/>
      <c r="G293" s="134"/>
      <c r="H293" s="134"/>
      <c r="I293" s="137"/>
      <c r="J293" s="137"/>
      <c r="K293" s="134"/>
      <c r="L293" s="137"/>
      <c r="M293" s="134"/>
      <c r="N293" s="137"/>
    </row>
    <row r="294">
      <c r="A294" s="134"/>
      <c r="B294" s="134"/>
      <c r="C294" s="134"/>
      <c r="D294" s="135"/>
      <c r="E294" s="136"/>
      <c r="F294" s="136"/>
      <c r="G294" s="134"/>
      <c r="H294" s="134"/>
      <c r="I294" s="137"/>
      <c r="J294" s="137"/>
      <c r="K294" s="134"/>
      <c r="L294" s="137"/>
      <c r="M294" s="134"/>
      <c r="N294" s="137"/>
    </row>
    <row r="295">
      <c r="A295" s="134"/>
      <c r="B295" s="134"/>
      <c r="C295" s="134"/>
      <c r="D295" s="135"/>
      <c r="E295" s="136"/>
      <c r="F295" s="136"/>
      <c r="G295" s="134"/>
      <c r="H295" s="134"/>
      <c r="I295" s="137"/>
      <c r="J295" s="137"/>
      <c r="K295" s="134"/>
      <c r="L295" s="137"/>
      <c r="M295" s="134"/>
      <c r="N295" s="137"/>
    </row>
    <row r="296">
      <c r="A296" s="134"/>
      <c r="B296" s="134"/>
      <c r="C296" s="134"/>
      <c r="D296" s="135"/>
      <c r="E296" s="136"/>
      <c r="F296" s="136"/>
      <c r="G296" s="134"/>
      <c r="H296" s="134"/>
      <c r="I296" s="137"/>
      <c r="J296" s="137"/>
      <c r="K296" s="134"/>
      <c r="L296" s="137"/>
      <c r="M296" s="134"/>
      <c r="N296" s="137"/>
    </row>
    <row r="297">
      <c r="A297" s="134"/>
      <c r="B297" s="134"/>
      <c r="C297" s="134"/>
      <c r="D297" s="135"/>
      <c r="E297" s="136"/>
      <c r="F297" s="136"/>
      <c r="G297" s="134"/>
      <c r="H297" s="134"/>
      <c r="I297" s="137"/>
      <c r="J297" s="137"/>
      <c r="K297" s="134"/>
      <c r="L297" s="137"/>
      <c r="M297" s="134"/>
      <c r="N297" s="137"/>
    </row>
    <row r="298">
      <c r="A298" s="134"/>
      <c r="B298" s="134"/>
      <c r="C298" s="134"/>
      <c r="D298" s="135"/>
      <c r="E298" s="136"/>
      <c r="F298" s="136"/>
      <c r="G298" s="134"/>
      <c r="H298" s="134"/>
      <c r="I298" s="137"/>
      <c r="J298" s="137"/>
      <c r="K298" s="134"/>
      <c r="L298" s="137"/>
      <c r="M298" s="134"/>
      <c r="N298" s="137"/>
    </row>
    <row r="299">
      <c r="A299" s="134"/>
      <c r="B299" s="134"/>
      <c r="C299" s="134"/>
      <c r="D299" s="135"/>
      <c r="E299" s="136"/>
      <c r="F299" s="136"/>
      <c r="G299" s="134"/>
      <c r="H299" s="134"/>
      <c r="I299" s="137"/>
      <c r="J299" s="137"/>
      <c r="K299" s="134"/>
      <c r="L299" s="137"/>
      <c r="M299" s="134"/>
      <c r="N299" s="137"/>
    </row>
    <row r="300">
      <c r="A300" s="134"/>
      <c r="B300" s="134"/>
      <c r="C300" s="134"/>
      <c r="D300" s="135"/>
      <c r="E300" s="136"/>
      <c r="F300" s="136"/>
      <c r="G300" s="134"/>
      <c r="H300" s="134"/>
      <c r="I300" s="137"/>
      <c r="J300" s="137"/>
      <c r="K300" s="134"/>
      <c r="L300" s="137"/>
      <c r="M300" s="134"/>
      <c r="N300" s="137"/>
    </row>
    <row r="301">
      <c r="A301" s="134"/>
      <c r="B301" s="134"/>
      <c r="C301" s="134"/>
      <c r="D301" s="135"/>
      <c r="E301" s="136"/>
      <c r="F301" s="136"/>
      <c r="G301" s="134"/>
      <c r="H301" s="134"/>
      <c r="I301" s="137"/>
      <c r="J301" s="137"/>
      <c r="K301" s="134"/>
      <c r="L301" s="137"/>
      <c r="M301" s="134"/>
      <c r="N301" s="137"/>
    </row>
    <row r="302">
      <c r="A302" s="134"/>
      <c r="B302" s="134"/>
      <c r="C302" s="134"/>
      <c r="D302" s="135"/>
      <c r="E302" s="136"/>
      <c r="F302" s="136"/>
      <c r="G302" s="134"/>
      <c r="H302" s="134"/>
      <c r="I302" s="137"/>
      <c r="J302" s="137"/>
      <c r="K302" s="134"/>
      <c r="L302" s="137"/>
      <c r="M302" s="134"/>
      <c r="N302" s="137"/>
    </row>
    <row r="303">
      <c r="A303" s="134"/>
      <c r="B303" s="134"/>
      <c r="C303" s="134"/>
      <c r="D303" s="135"/>
      <c r="E303" s="136"/>
      <c r="F303" s="136"/>
      <c r="G303" s="134"/>
      <c r="H303" s="134"/>
      <c r="I303" s="137"/>
      <c r="J303" s="137"/>
      <c r="K303" s="134"/>
      <c r="L303" s="137"/>
      <c r="M303" s="134"/>
      <c r="N303" s="137"/>
    </row>
    <row r="304">
      <c r="A304" s="134"/>
      <c r="B304" s="134"/>
      <c r="C304" s="134"/>
      <c r="D304" s="135"/>
      <c r="E304" s="136"/>
      <c r="F304" s="136"/>
      <c r="G304" s="134"/>
      <c r="H304" s="134"/>
      <c r="I304" s="137"/>
      <c r="J304" s="137"/>
      <c r="K304" s="134"/>
      <c r="L304" s="137"/>
      <c r="M304" s="134"/>
      <c r="N304" s="137"/>
    </row>
    <row r="305">
      <c r="A305" s="134"/>
      <c r="B305" s="134"/>
      <c r="C305" s="134"/>
      <c r="D305" s="135"/>
      <c r="E305" s="136"/>
      <c r="F305" s="136"/>
      <c r="G305" s="134"/>
      <c r="H305" s="134"/>
      <c r="I305" s="137"/>
      <c r="J305" s="137"/>
      <c r="K305" s="134"/>
      <c r="L305" s="137"/>
      <c r="M305" s="134"/>
      <c r="N305" s="137"/>
    </row>
    <row r="306">
      <c r="A306" s="134"/>
      <c r="B306" s="134"/>
      <c r="C306" s="134"/>
      <c r="D306" s="135"/>
      <c r="E306" s="136"/>
      <c r="F306" s="136"/>
      <c r="G306" s="134"/>
      <c r="H306" s="134"/>
      <c r="I306" s="137"/>
      <c r="J306" s="137"/>
      <c r="K306" s="134"/>
      <c r="L306" s="137"/>
      <c r="M306" s="134"/>
      <c r="N306" s="137"/>
    </row>
    <row r="307">
      <c r="A307" s="134"/>
      <c r="B307" s="134"/>
      <c r="C307" s="134"/>
      <c r="D307" s="135"/>
      <c r="E307" s="136"/>
      <c r="F307" s="136"/>
      <c r="G307" s="134"/>
      <c r="H307" s="134"/>
      <c r="I307" s="137"/>
      <c r="J307" s="137"/>
      <c r="K307" s="134"/>
      <c r="L307" s="137"/>
      <c r="M307" s="134"/>
      <c r="N307" s="137"/>
    </row>
    <row r="308">
      <c r="A308" s="134"/>
      <c r="B308" s="134"/>
      <c r="C308" s="134"/>
      <c r="D308" s="135"/>
      <c r="E308" s="136"/>
      <c r="F308" s="136"/>
      <c r="G308" s="134"/>
      <c r="H308" s="134"/>
      <c r="I308" s="137"/>
      <c r="J308" s="137"/>
      <c r="K308" s="134"/>
      <c r="L308" s="137"/>
      <c r="M308" s="134"/>
      <c r="N308" s="137"/>
    </row>
    <row r="309">
      <c r="A309" s="134"/>
      <c r="B309" s="134"/>
      <c r="C309" s="134"/>
      <c r="D309" s="135"/>
      <c r="E309" s="136"/>
      <c r="F309" s="136"/>
      <c r="G309" s="134"/>
      <c r="H309" s="134"/>
      <c r="I309" s="137"/>
      <c r="J309" s="137"/>
      <c r="K309" s="134"/>
      <c r="L309" s="137"/>
      <c r="M309" s="134"/>
      <c r="N309" s="137"/>
    </row>
    <row r="310">
      <c r="A310" s="134"/>
      <c r="B310" s="134"/>
      <c r="C310" s="134"/>
      <c r="D310" s="135"/>
      <c r="E310" s="136"/>
      <c r="F310" s="136"/>
      <c r="G310" s="134"/>
      <c r="H310" s="134"/>
      <c r="I310" s="137"/>
      <c r="J310" s="137"/>
      <c r="K310" s="134"/>
      <c r="L310" s="137"/>
      <c r="M310" s="134"/>
      <c r="N310" s="137"/>
    </row>
    <row r="311">
      <c r="A311" s="134"/>
      <c r="B311" s="134"/>
      <c r="C311" s="134"/>
      <c r="D311" s="135"/>
      <c r="E311" s="136"/>
      <c r="F311" s="136"/>
      <c r="G311" s="134"/>
      <c r="H311" s="134"/>
      <c r="I311" s="137"/>
      <c r="J311" s="137"/>
      <c r="K311" s="134"/>
      <c r="L311" s="137"/>
      <c r="M311" s="134"/>
      <c r="N311" s="137"/>
    </row>
    <row r="312">
      <c r="A312" s="134"/>
      <c r="B312" s="134"/>
      <c r="C312" s="134"/>
      <c r="D312" s="135"/>
      <c r="E312" s="136"/>
      <c r="F312" s="136"/>
      <c r="G312" s="134"/>
      <c r="H312" s="134"/>
      <c r="I312" s="137"/>
      <c r="J312" s="137"/>
      <c r="K312" s="134"/>
      <c r="L312" s="137"/>
      <c r="M312" s="134"/>
      <c r="N312" s="137"/>
    </row>
    <row r="313">
      <c r="A313" s="134"/>
      <c r="B313" s="134"/>
      <c r="C313" s="134"/>
      <c r="D313" s="135"/>
      <c r="E313" s="136"/>
      <c r="F313" s="136"/>
      <c r="G313" s="134"/>
      <c r="H313" s="134"/>
      <c r="I313" s="137"/>
      <c r="J313" s="137"/>
      <c r="K313" s="134"/>
      <c r="L313" s="137"/>
      <c r="M313" s="134"/>
      <c r="N313" s="137"/>
    </row>
    <row r="314">
      <c r="A314" s="134"/>
      <c r="B314" s="134"/>
      <c r="C314" s="134"/>
      <c r="D314" s="135"/>
      <c r="E314" s="136"/>
      <c r="F314" s="136"/>
      <c r="G314" s="134"/>
      <c r="H314" s="134"/>
      <c r="I314" s="137"/>
      <c r="J314" s="137"/>
      <c r="K314" s="134"/>
      <c r="L314" s="137"/>
      <c r="M314" s="134"/>
      <c r="N314" s="137"/>
    </row>
    <row r="315">
      <c r="A315" s="134"/>
      <c r="B315" s="134"/>
      <c r="C315" s="134"/>
      <c r="D315" s="135"/>
      <c r="E315" s="136"/>
      <c r="F315" s="136"/>
      <c r="G315" s="134"/>
      <c r="H315" s="134"/>
      <c r="I315" s="137"/>
      <c r="J315" s="137"/>
      <c r="K315" s="134"/>
      <c r="L315" s="137"/>
      <c r="M315" s="134"/>
      <c r="N315" s="137"/>
    </row>
    <row r="316">
      <c r="A316" s="134"/>
      <c r="B316" s="134"/>
      <c r="C316" s="134"/>
      <c r="D316" s="135"/>
      <c r="E316" s="136"/>
      <c r="F316" s="136"/>
      <c r="G316" s="134"/>
      <c r="H316" s="134"/>
      <c r="I316" s="137"/>
      <c r="J316" s="137"/>
      <c r="K316" s="134"/>
      <c r="L316" s="137"/>
      <c r="M316" s="134"/>
      <c r="N316" s="137"/>
    </row>
    <row r="317">
      <c r="A317" s="134"/>
      <c r="B317" s="134"/>
      <c r="C317" s="134"/>
      <c r="D317" s="135"/>
      <c r="E317" s="136"/>
      <c r="F317" s="136"/>
      <c r="G317" s="134"/>
      <c r="H317" s="134"/>
      <c r="I317" s="137"/>
      <c r="J317" s="137"/>
      <c r="K317" s="134"/>
      <c r="L317" s="137"/>
      <c r="M317" s="134"/>
      <c r="N317" s="137"/>
    </row>
    <row r="318">
      <c r="A318" s="134"/>
      <c r="B318" s="134"/>
      <c r="C318" s="134"/>
      <c r="D318" s="135"/>
      <c r="E318" s="136"/>
      <c r="F318" s="136"/>
      <c r="G318" s="134"/>
      <c r="H318" s="134"/>
      <c r="I318" s="137"/>
      <c r="J318" s="137"/>
      <c r="K318" s="134"/>
      <c r="L318" s="137"/>
      <c r="M318" s="134"/>
      <c r="N318" s="137"/>
    </row>
    <row r="319">
      <c r="A319" s="134"/>
      <c r="B319" s="134"/>
      <c r="C319" s="134"/>
      <c r="D319" s="135"/>
      <c r="E319" s="136"/>
      <c r="F319" s="136"/>
      <c r="G319" s="134"/>
      <c r="H319" s="134"/>
      <c r="I319" s="137"/>
      <c r="J319" s="137"/>
      <c r="K319" s="134"/>
      <c r="L319" s="137"/>
      <c r="M319" s="134"/>
      <c r="N319" s="137"/>
    </row>
    <row r="320">
      <c r="A320" s="134"/>
      <c r="B320" s="134"/>
      <c r="C320" s="134"/>
      <c r="D320" s="135"/>
      <c r="E320" s="136"/>
      <c r="F320" s="136"/>
      <c r="G320" s="134"/>
      <c r="H320" s="134"/>
      <c r="I320" s="137"/>
      <c r="J320" s="137"/>
      <c r="K320" s="134"/>
      <c r="L320" s="137"/>
      <c r="M320" s="134"/>
      <c r="N320" s="137"/>
    </row>
    <row r="321">
      <c r="A321" s="134"/>
      <c r="B321" s="134"/>
      <c r="C321" s="134"/>
      <c r="D321" s="135"/>
      <c r="E321" s="136"/>
      <c r="F321" s="136"/>
      <c r="G321" s="134"/>
      <c r="H321" s="134"/>
      <c r="I321" s="137"/>
      <c r="J321" s="137"/>
      <c r="K321" s="134"/>
      <c r="L321" s="137"/>
      <c r="M321" s="134"/>
      <c r="N321" s="137"/>
    </row>
    <row r="322">
      <c r="A322" s="134"/>
      <c r="B322" s="134"/>
      <c r="C322" s="134"/>
      <c r="D322" s="135"/>
      <c r="E322" s="136"/>
      <c r="F322" s="136"/>
      <c r="G322" s="134"/>
      <c r="H322" s="134"/>
      <c r="I322" s="137"/>
      <c r="J322" s="137"/>
      <c r="K322" s="134"/>
      <c r="L322" s="137"/>
      <c r="M322" s="134"/>
      <c r="N322" s="137"/>
    </row>
    <row r="323">
      <c r="A323" s="134"/>
      <c r="B323" s="134"/>
      <c r="C323" s="134"/>
      <c r="D323" s="135"/>
      <c r="E323" s="136"/>
      <c r="F323" s="136"/>
      <c r="G323" s="134"/>
      <c r="H323" s="134"/>
      <c r="I323" s="137"/>
      <c r="J323" s="137"/>
      <c r="K323" s="134"/>
      <c r="L323" s="137"/>
      <c r="M323" s="134"/>
      <c r="N323" s="137"/>
    </row>
    <row r="324">
      <c r="A324" s="134"/>
      <c r="B324" s="134"/>
      <c r="C324" s="134"/>
      <c r="D324" s="135"/>
      <c r="E324" s="136"/>
      <c r="F324" s="136"/>
      <c r="G324" s="134"/>
      <c r="H324" s="134"/>
      <c r="I324" s="137"/>
      <c r="J324" s="137"/>
      <c r="K324" s="134"/>
      <c r="L324" s="137"/>
      <c r="M324" s="134"/>
      <c r="N324" s="137"/>
    </row>
    <row r="325">
      <c r="A325" s="134"/>
      <c r="B325" s="134"/>
      <c r="C325" s="134"/>
      <c r="D325" s="135"/>
      <c r="E325" s="136"/>
      <c r="F325" s="136"/>
      <c r="G325" s="134"/>
      <c r="H325" s="134"/>
      <c r="I325" s="137"/>
      <c r="J325" s="137"/>
      <c r="K325" s="134"/>
      <c r="L325" s="137"/>
      <c r="M325" s="134"/>
      <c r="N325" s="137"/>
    </row>
    <row r="326">
      <c r="A326" s="134"/>
      <c r="B326" s="134"/>
      <c r="C326" s="134"/>
      <c r="D326" s="135"/>
      <c r="E326" s="136"/>
      <c r="F326" s="136"/>
      <c r="G326" s="134"/>
      <c r="H326" s="134"/>
      <c r="I326" s="137"/>
      <c r="J326" s="137"/>
      <c r="K326" s="134"/>
      <c r="L326" s="137"/>
      <c r="M326" s="134"/>
      <c r="N326" s="137"/>
    </row>
    <row r="327">
      <c r="A327" s="134"/>
      <c r="B327" s="134"/>
      <c r="C327" s="134"/>
      <c r="D327" s="135"/>
      <c r="E327" s="136"/>
      <c r="F327" s="136"/>
      <c r="G327" s="134"/>
      <c r="H327" s="134"/>
      <c r="I327" s="137"/>
      <c r="J327" s="137"/>
      <c r="K327" s="134"/>
      <c r="L327" s="137"/>
      <c r="M327" s="134"/>
      <c r="N327" s="137"/>
    </row>
    <row r="328">
      <c r="A328" s="134"/>
      <c r="B328" s="134"/>
      <c r="C328" s="134"/>
      <c r="D328" s="135"/>
      <c r="E328" s="136"/>
      <c r="F328" s="136"/>
      <c r="G328" s="134"/>
      <c r="H328" s="134"/>
      <c r="I328" s="137"/>
      <c r="J328" s="137"/>
      <c r="K328" s="134"/>
      <c r="L328" s="137"/>
      <c r="M328" s="134"/>
      <c r="N328" s="137"/>
    </row>
    <row r="329">
      <c r="A329" s="134"/>
      <c r="B329" s="134"/>
      <c r="C329" s="134"/>
      <c r="D329" s="135"/>
      <c r="E329" s="136"/>
      <c r="F329" s="136"/>
      <c r="G329" s="134"/>
      <c r="H329" s="134"/>
      <c r="I329" s="137"/>
      <c r="J329" s="137"/>
      <c r="K329" s="134"/>
      <c r="L329" s="137"/>
      <c r="M329" s="134"/>
      <c r="N329" s="137"/>
    </row>
    <row r="330">
      <c r="A330" s="134"/>
      <c r="B330" s="134"/>
      <c r="C330" s="134"/>
      <c r="D330" s="135"/>
      <c r="E330" s="136"/>
      <c r="F330" s="136"/>
      <c r="G330" s="134"/>
      <c r="H330" s="134"/>
      <c r="I330" s="137"/>
      <c r="J330" s="137"/>
      <c r="K330" s="134"/>
      <c r="L330" s="137"/>
      <c r="M330" s="134"/>
      <c r="N330" s="137"/>
    </row>
    <row r="331">
      <c r="A331" s="134"/>
      <c r="B331" s="134"/>
      <c r="C331" s="134"/>
      <c r="D331" s="135"/>
      <c r="E331" s="136"/>
      <c r="F331" s="136"/>
      <c r="G331" s="134"/>
      <c r="H331" s="134"/>
      <c r="I331" s="137"/>
      <c r="J331" s="137"/>
      <c r="K331" s="134"/>
      <c r="L331" s="137"/>
      <c r="M331" s="134"/>
      <c r="N331" s="137"/>
    </row>
    <row r="332">
      <c r="A332" s="134"/>
      <c r="B332" s="134"/>
      <c r="C332" s="134"/>
      <c r="D332" s="135"/>
      <c r="E332" s="136"/>
      <c r="F332" s="136"/>
      <c r="G332" s="134"/>
      <c r="H332" s="134"/>
      <c r="I332" s="137"/>
      <c r="J332" s="137"/>
      <c r="K332" s="134"/>
      <c r="L332" s="137"/>
      <c r="M332" s="134"/>
      <c r="N332" s="137"/>
    </row>
    <row r="333">
      <c r="A333" s="134"/>
      <c r="B333" s="134"/>
      <c r="C333" s="134"/>
      <c r="D333" s="135"/>
      <c r="E333" s="136"/>
      <c r="F333" s="136"/>
      <c r="G333" s="134"/>
      <c r="H333" s="134"/>
      <c r="I333" s="137"/>
      <c r="J333" s="137"/>
      <c r="K333" s="134"/>
      <c r="L333" s="137"/>
      <c r="M333" s="134"/>
      <c r="N333" s="137"/>
    </row>
    <row r="334">
      <c r="A334" s="134"/>
      <c r="B334" s="134"/>
      <c r="C334" s="134"/>
      <c r="D334" s="135"/>
      <c r="E334" s="136"/>
      <c r="F334" s="136"/>
      <c r="G334" s="134"/>
      <c r="H334" s="134"/>
      <c r="I334" s="137"/>
      <c r="J334" s="137"/>
      <c r="K334" s="134"/>
      <c r="L334" s="137"/>
      <c r="M334" s="134"/>
      <c r="N334" s="137"/>
    </row>
    <row r="335">
      <c r="A335" s="134"/>
      <c r="B335" s="134"/>
      <c r="C335" s="134"/>
      <c r="D335" s="135"/>
      <c r="E335" s="136"/>
      <c r="F335" s="136"/>
      <c r="G335" s="134"/>
      <c r="H335" s="134"/>
      <c r="I335" s="137"/>
      <c r="J335" s="137"/>
      <c r="K335" s="134"/>
      <c r="L335" s="137"/>
      <c r="M335" s="134"/>
      <c r="N335" s="137"/>
    </row>
    <row r="336">
      <c r="A336" s="134"/>
      <c r="B336" s="134"/>
      <c r="C336" s="134"/>
      <c r="D336" s="135"/>
      <c r="E336" s="136"/>
      <c r="F336" s="136"/>
      <c r="G336" s="134"/>
      <c r="H336" s="134"/>
      <c r="I336" s="137"/>
      <c r="J336" s="137"/>
      <c r="K336" s="134"/>
      <c r="L336" s="137"/>
      <c r="M336" s="134"/>
      <c r="N336" s="137"/>
    </row>
    <row r="337">
      <c r="A337" s="134"/>
      <c r="B337" s="134"/>
      <c r="C337" s="134"/>
      <c r="D337" s="135"/>
      <c r="E337" s="136"/>
      <c r="F337" s="136"/>
      <c r="G337" s="134"/>
      <c r="H337" s="134"/>
      <c r="I337" s="137"/>
      <c r="J337" s="137"/>
      <c r="K337" s="134"/>
      <c r="L337" s="137"/>
      <c r="M337" s="134"/>
      <c r="N337" s="137"/>
    </row>
    <row r="338">
      <c r="A338" s="134"/>
      <c r="B338" s="134"/>
      <c r="C338" s="134"/>
      <c r="D338" s="135"/>
      <c r="E338" s="136"/>
      <c r="F338" s="136"/>
      <c r="G338" s="134"/>
      <c r="H338" s="134"/>
      <c r="I338" s="137"/>
      <c r="J338" s="137"/>
      <c r="K338" s="134"/>
      <c r="L338" s="137"/>
      <c r="M338" s="134"/>
      <c r="N338" s="137"/>
    </row>
    <row r="339">
      <c r="A339" s="134"/>
      <c r="B339" s="134"/>
      <c r="C339" s="134"/>
      <c r="D339" s="135"/>
      <c r="E339" s="136"/>
      <c r="F339" s="136"/>
      <c r="G339" s="134"/>
      <c r="H339" s="134"/>
      <c r="I339" s="137"/>
      <c r="J339" s="137"/>
      <c r="K339" s="134"/>
      <c r="L339" s="137"/>
      <c r="M339" s="134"/>
      <c r="N339" s="137"/>
    </row>
    <row r="340">
      <c r="A340" s="134"/>
      <c r="B340" s="134"/>
      <c r="C340" s="134"/>
      <c r="D340" s="135"/>
      <c r="E340" s="136"/>
      <c r="F340" s="136"/>
      <c r="G340" s="134"/>
      <c r="H340" s="134"/>
      <c r="I340" s="137"/>
      <c r="J340" s="137"/>
      <c r="K340" s="134"/>
      <c r="L340" s="137"/>
      <c r="M340" s="134"/>
      <c r="N340" s="137"/>
    </row>
    <row r="341">
      <c r="A341" s="134"/>
      <c r="B341" s="134"/>
      <c r="C341" s="134"/>
      <c r="D341" s="135"/>
      <c r="E341" s="136"/>
      <c r="F341" s="136"/>
      <c r="G341" s="134"/>
      <c r="H341" s="134"/>
      <c r="I341" s="137"/>
      <c r="J341" s="137"/>
      <c r="K341" s="134"/>
      <c r="L341" s="137"/>
      <c r="M341" s="134"/>
      <c r="N341" s="137"/>
    </row>
    <row r="342">
      <c r="A342" s="134"/>
      <c r="B342" s="134"/>
      <c r="C342" s="134"/>
      <c r="D342" s="135"/>
      <c r="E342" s="136"/>
      <c r="F342" s="136"/>
      <c r="G342" s="134"/>
      <c r="H342" s="134"/>
      <c r="I342" s="137"/>
      <c r="J342" s="137"/>
      <c r="K342" s="134"/>
      <c r="L342" s="137"/>
      <c r="M342" s="134"/>
      <c r="N342" s="137"/>
    </row>
    <row r="343">
      <c r="A343" s="134"/>
      <c r="B343" s="134"/>
      <c r="C343" s="134"/>
      <c r="D343" s="135"/>
      <c r="E343" s="136"/>
      <c r="F343" s="136"/>
      <c r="G343" s="134"/>
      <c r="H343" s="134"/>
      <c r="I343" s="137"/>
      <c r="J343" s="137"/>
      <c r="K343" s="134"/>
      <c r="L343" s="137"/>
      <c r="M343" s="134"/>
      <c r="N343" s="137"/>
    </row>
    <row r="344">
      <c r="A344" s="134"/>
      <c r="B344" s="134"/>
      <c r="C344" s="134"/>
      <c r="D344" s="135"/>
      <c r="E344" s="136"/>
      <c r="F344" s="136"/>
      <c r="G344" s="134"/>
      <c r="H344" s="134"/>
      <c r="I344" s="137"/>
      <c r="J344" s="137"/>
      <c r="K344" s="134"/>
      <c r="L344" s="137"/>
      <c r="M344" s="134"/>
      <c r="N344" s="137"/>
    </row>
    <row r="345">
      <c r="A345" s="134"/>
      <c r="B345" s="134"/>
      <c r="C345" s="134"/>
      <c r="D345" s="135"/>
      <c r="E345" s="136"/>
      <c r="F345" s="136"/>
      <c r="G345" s="134"/>
      <c r="H345" s="134"/>
      <c r="I345" s="137"/>
      <c r="J345" s="137"/>
      <c r="K345" s="134"/>
      <c r="L345" s="137"/>
      <c r="M345" s="134"/>
      <c r="N345" s="137"/>
    </row>
    <row r="346">
      <c r="A346" s="134"/>
      <c r="B346" s="134"/>
      <c r="C346" s="134"/>
      <c r="D346" s="135"/>
      <c r="E346" s="136"/>
      <c r="F346" s="136"/>
      <c r="G346" s="134"/>
      <c r="H346" s="134"/>
      <c r="I346" s="137"/>
      <c r="J346" s="137"/>
      <c r="K346" s="134"/>
      <c r="L346" s="137"/>
      <c r="M346" s="134"/>
      <c r="N346" s="137"/>
    </row>
    <row r="347">
      <c r="A347" s="134"/>
      <c r="B347" s="134"/>
      <c r="C347" s="134"/>
      <c r="D347" s="135"/>
      <c r="E347" s="136"/>
      <c r="F347" s="136"/>
      <c r="G347" s="134"/>
      <c r="H347" s="134"/>
      <c r="I347" s="137"/>
      <c r="J347" s="137"/>
      <c r="K347" s="134"/>
      <c r="L347" s="137"/>
      <c r="M347" s="134"/>
      <c r="N347" s="137"/>
    </row>
    <row r="348">
      <c r="A348" s="134"/>
      <c r="B348" s="134"/>
      <c r="C348" s="134"/>
      <c r="D348" s="135"/>
      <c r="E348" s="136"/>
      <c r="F348" s="136"/>
      <c r="G348" s="134"/>
      <c r="H348" s="134"/>
      <c r="I348" s="137"/>
      <c r="J348" s="137"/>
      <c r="K348" s="134"/>
      <c r="L348" s="137"/>
      <c r="M348" s="134"/>
      <c r="N348" s="137"/>
    </row>
    <row r="349">
      <c r="A349" s="134"/>
      <c r="B349" s="134"/>
      <c r="C349" s="134"/>
      <c r="D349" s="135"/>
      <c r="E349" s="136"/>
      <c r="F349" s="136"/>
      <c r="G349" s="134"/>
      <c r="H349" s="134"/>
      <c r="I349" s="137"/>
      <c r="J349" s="137"/>
      <c r="K349" s="134"/>
      <c r="L349" s="137"/>
      <c r="M349" s="134"/>
      <c r="N349" s="137"/>
    </row>
    <row r="350">
      <c r="A350" s="134"/>
      <c r="B350" s="134"/>
      <c r="C350" s="134"/>
      <c r="D350" s="135"/>
      <c r="E350" s="136"/>
      <c r="F350" s="136"/>
      <c r="G350" s="134"/>
      <c r="H350" s="134"/>
      <c r="I350" s="137"/>
      <c r="J350" s="137"/>
      <c r="K350" s="134"/>
      <c r="L350" s="137"/>
      <c r="M350" s="134"/>
      <c r="N350" s="137"/>
    </row>
    <row r="351">
      <c r="A351" s="134"/>
      <c r="B351" s="134"/>
      <c r="C351" s="134"/>
      <c r="D351" s="135"/>
      <c r="E351" s="136"/>
      <c r="F351" s="136"/>
      <c r="G351" s="134"/>
      <c r="H351" s="134"/>
      <c r="I351" s="137"/>
      <c r="J351" s="137"/>
      <c r="K351" s="134"/>
      <c r="L351" s="137"/>
      <c r="M351" s="134"/>
      <c r="N351" s="137"/>
    </row>
    <row r="352">
      <c r="A352" s="134"/>
      <c r="B352" s="134"/>
      <c r="C352" s="134"/>
      <c r="D352" s="135"/>
      <c r="E352" s="136"/>
      <c r="F352" s="136"/>
      <c r="G352" s="134"/>
      <c r="H352" s="134"/>
      <c r="I352" s="137"/>
      <c r="J352" s="137"/>
      <c r="K352" s="134"/>
      <c r="L352" s="137"/>
      <c r="M352" s="134"/>
      <c r="N352" s="137"/>
    </row>
    <row r="353">
      <c r="A353" s="134"/>
      <c r="B353" s="134"/>
      <c r="C353" s="134"/>
      <c r="D353" s="135"/>
      <c r="E353" s="136"/>
      <c r="F353" s="136"/>
      <c r="G353" s="134"/>
      <c r="H353" s="134"/>
      <c r="I353" s="137"/>
      <c r="J353" s="137"/>
      <c r="K353" s="134"/>
      <c r="L353" s="137"/>
      <c r="M353" s="134"/>
      <c r="N353" s="137"/>
    </row>
    <row r="354">
      <c r="A354" s="134"/>
      <c r="B354" s="134"/>
      <c r="C354" s="134"/>
      <c r="D354" s="135"/>
      <c r="E354" s="136"/>
      <c r="F354" s="136"/>
      <c r="G354" s="134"/>
      <c r="H354" s="134"/>
      <c r="I354" s="137"/>
      <c r="J354" s="137"/>
      <c r="K354" s="134"/>
      <c r="L354" s="137"/>
      <c r="M354" s="134"/>
      <c r="N354" s="137"/>
    </row>
    <row r="355">
      <c r="A355" s="134"/>
      <c r="B355" s="134"/>
      <c r="C355" s="134"/>
      <c r="D355" s="135"/>
      <c r="E355" s="136"/>
      <c r="F355" s="136"/>
      <c r="G355" s="134"/>
      <c r="H355" s="134"/>
      <c r="I355" s="137"/>
      <c r="J355" s="137"/>
      <c r="K355" s="134"/>
      <c r="L355" s="137"/>
      <c r="M355" s="134"/>
      <c r="N355" s="137"/>
    </row>
    <row r="356">
      <c r="A356" s="134"/>
      <c r="B356" s="134"/>
      <c r="C356" s="134"/>
      <c r="D356" s="135"/>
      <c r="E356" s="136"/>
      <c r="F356" s="136"/>
      <c r="G356" s="134"/>
      <c r="H356" s="134"/>
      <c r="I356" s="137"/>
      <c r="J356" s="137"/>
      <c r="K356" s="134"/>
      <c r="L356" s="137"/>
      <c r="M356" s="134"/>
      <c r="N356" s="137"/>
    </row>
    <row r="357">
      <c r="A357" s="134"/>
      <c r="B357" s="134"/>
      <c r="C357" s="134"/>
      <c r="D357" s="135"/>
      <c r="E357" s="136"/>
      <c r="F357" s="136"/>
      <c r="G357" s="134"/>
      <c r="H357" s="134"/>
      <c r="I357" s="137"/>
      <c r="J357" s="137"/>
      <c r="K357" s="134"/>
      <c r="L357" s="137"/>
      <c r="M357" s="134"/>
      <c r="N357" s="137"/>
    </row>
    <row r="358">
      <c r="A358" s="134"/>
      <c r="B358" s="134"/>
      <c r="C358" s="134"/>
      <c r="D358" s="135"/>
      <c r="E358" s="136"/>
      <c r="F358" s="136"/>
      <c r="G358" s="134"/>
      <c r="H358" s="134"/>
      <c r="I358" s="137"/>
      <c r="J358" s="137"/>
      <c r="K358" s="134"/>
      <c r="L358" s="137"/>
      <c r="M358" s="134"/>
      <c r="N358" s="137"/>
    </row>
    <row r="359">
      <c r="A359" s="134"/>
      <c r="B359" s="134"/>
      <c r="C359" s="134"/>
      <c r="D359" s="135"/>
      <c r="E359" s="136"/>
      <c r="F359" s="136"/>
      <c r="G359" s="134"/>
      <c r="H359" s="134"/>
      <c r="I359" s="137"/>
      <c r="J359" s="137"/>
      <c r="K359" s="134"/>
      <c r="L359" s="137"/>
      <c r="M359" s="134"/>
      <c r="N359" s="137"/>
    </row>
    <row r="360">
      <c r="A360" s="134"/>
      <c r="B360" s="134"/>
      <c r="C360" s="134"/>
      <c r="D360" s="135"/>
      <c r="E360" s="136"/>
      <c r="F360" s="136"/>
      <c r="G360" s="134"/>
      <c r="H360" s="134"/>
      <c r="I360" s="137"/>
      <c r="J360" s="137"/>
      <c r="K360" s="134"/>
      <c r="L360" s="137"/>
      <c r="M360" s="134"/>
      <c r="N360" s="137"/>
    </row>
    <row r="361">
      <c r="A361" s="134"/>
      <c r="B361" s="134"/>
      <c r="C361" s="134"/>
      <c r="D361" s="135"/>
      <c r="E361" s="136"/>
      <c r="F361" s="136"/>
      <c r="G361" s="134"/>
      <c r="H361" s="134"/>
      <c r="I361" s="137"/>
      <c r="J361" s="137"/>
      <c r="K361" s="134"/>
      <c r="L361" s="137"/>
      <c r="M361" s="134"/>
      <c r="N361" s="137"/>
    </row>
    <row r="362">
      <c r="A362" s="134"/>
      <c r="B362" s="134"/>
      <c r="C362" s="134"/>
      <c r="D362" s="135"/>
      <c r="E362" s="136"/>
      <c r="F362" s="136"/>
      <c r="G362" s="134"/>
      <c r="H362" s="134"/>
      <c r="I362" s="137"/>
      <c r="J362" s="137"/>
      <c r="K362" s="134"/>
      <c r="L362" s="137"/>
      <c r="M362" s="134"/>
      <c r="N362" s="137"/>
    </row>
    <row r="363">
      <c r="A363" s="134"/>
      <c r="B363" s="134"/>
      <c r="C363" s="134"/>
      <c r="D363" s="135"/>
      <c r="E363" s="136"/>
      <c r="F363" s="136"/>
      <c r="G363" s="134"/>
      <c r="H363" s="134"/>
      <c r="I363" s="137"/>
      <c r="J363" s="137"/>
      <c r="K363" s="134"/>
      <c r="L363" s="137"/>
      <c r="M363" s="134"/>
      <c r="N363" s="137"/>
    </row>
    <row r="364">
      <c r="A364" s="134"/>
      <c r="B364" s="134"/>
      <c r="C364" s="134"/>
      <c r="D364" s="135"/>
      <c r="E364" s="136"/>
      <c r="F364" s="136"/>
      <c r="G364" s="134"/>
      <c r="H364" s="134"/>
      <c r="I364" s="137"/>
      <c r="J364" s="137"/>
      <c r="K364" s="134"/>
      <c r="L364" s="137"/>
      <c r="M364" s="134"/>
      <c r="N364" s="137"/>
    </row>
    <row r="365">
      <c r="A365" s="134"/>
      <c r="B365" s="134"/>
      <c r="C365" s="134"/>
      <c r="D365" s="135"/>
      <c r="E365" s="136"/>
      <c r="F365" s="136"/>
      <c r="G365" s="134"/>
      <c r="H365" s="134"/>
      <c r="I365" s="137"/>
      <c r="J365" s="137"/>
      <c r="K365" s="134"/>
      <c r="L365" s="137"/>
      <c r="M365" s="134"/>
      <c r="N365" s="137"/>
    </row>
    <row r="366">
      <c r="A366" s="134"/>
      <c r="B366" s="134"/>
      <c r="C366" s="134"/>
      <c r="D366" s="135"/>
      <c r="E366" s="136"/>
      <c r="F366" s="136"/>
      <c r="G366" s="134"/>
      <c r="H366" s="134"/>
      <c r="I366" s="137"/>
      <c r="J366" s="137"/>
      <c r="K366" s="134"/>
      <c r="L366" s="137"/>
      <c r="M366" s="134"/>
      <c r="N366" s="137"/>
    </row>
    <row r="367">
      <c r="A367" s="134"/>
      <c r="B367" s="134"/>
      <c r="C367" s="134"/>
      <c r="D367" s="135"/>
      <c r="E367" s="136"/>
      <c r="F367" s="136"/>
      <c r="G367" s="134"/>
      <c r="H367" s="134"/>
      <c r="I367" s="137"/>
      <c r="J367" s="137"/>
      <c r="K367" s="134"/>
      <c r="L367" s="137"/>
      <c r="M367" s="134"/>
      <c r="N367" s="137"/>
    </row>
    <row r="368">
      <c r="A368" s="134"/>
      <c r="B368" s="134"/>
      <c r="C368" s="134"/>
      <c r="D368" s="135"/>
      <c r="E368" s="136"/>
      <c r="F368" s="136"/>
      <c r="G368" s="134"/>
      <c r="H368" s="134"/>
      <c r="I368" s="137"/>
      <c r="J368" s="137"/>
      <c r="K368" s="134"/>
      <c r="L368" s="137"/>
      <c r="M368" s="134"/>
      <c r="N368" s="137"/>
    </row>
    <row r="369">
      <c r="A369" s="134"/>
      <c r="B369" s="134"/>
      <c r="C369" s="134"/>
      <c r="D369" s="135"/>
      <c r="E369" s="136"/>
      <c r="F369" s="136"/>
      <c r="G369" s="134"/>
      <c r="H369" s="134"/>
      <c r="I369" s="137"/>
      <c r="J369" s="137"/>
      <c r="K369" s="134"/>
      <c r="L369" s="137"/>
      <c r="M369" s="134"/>
      <c r="N369" s="137"/>
    </row>
    <row r="370">
      <c r="A370" s="134"/>
      <c r="B370" s="134"/>
      <c r="C370" s="134"/>
      <c r="D370" s="135"/>
      <c r="E370" s="136"/>
      <c r="F370" s="136"/>
      <c r="G370" s="134"/>
      <c r="H370" s="134"/>
      <c r="I370" s="137"/>
      <c r="J370" s="137"/>
      <c r="K370" s="134"/>
      <c r="L370" s="137"/>
      <c r="M370" s="134"/>
      <c r="N370" s="137"/>
    </row>
    <row r="371">
      <c r="A371" s="134"/>
      <c r="B371" s="134"/>
      <c r="C371" s="134"/>
      <c r="D371" s="135"/>
      <c r="E371" s="136"/>
      <c r="F371" s="136"/>
      <c r="G371" s="134"/>
      <c r="H371" s="134"/>
      <c r="I371" s="137"/>
      <c r="J371" s="137"/>
      <c r="K371" s="134"/>
      <c r="L371" s="137"/>
      <c r="M371" s="134"/>
      <c r="N371" s="137"/>
    </row>
    <row r="372">
      <c r="A372" s="134"/>
      <c r="B372" s="134"/>
      <c r="C372" s="134"/>
      <c r="D372" s="135"/>
      <c r="E372" s="136"/>
      <c r="F372" s="136"/>
      <c r="G372" s="134"/>
      <c r="H372" s="134"/>
      <c r="I372" s="137"/>
      <c r="J372" s="137"/>
      <c r="K372" s="134"/>
      <c r="L372" s="137"/>
      <c r="M372" s="134"/>
      <c r="N372" s="137"/>
    </row>
    <row r="373">
      <c r="A373" s="134"/>
      <c r="B373" s="134"/>
      <c r="C373" s="134"/>
      <c r="D373" s="135"/>
      <c r="E373" s="136"/>
      <c r="F373" s="136"/>
      <c r="G373" s="134"/>
      <c r="H373" s="134"/>
      <c r="I373" s="137"/>
      <c r="J373" s="137"/>
      <c r="K373" s="134"/>
      <c r="L373" s="137"/>
      <c r="M373" s="134"/>
      <c r="N373" s="137"/>
    </row>
    <row r="374">
      <c r="A374" s="134"/>
      <c r="B374" s="134"/>
      <c r="C374" s="134"/>
      <c r="D374" s="135"/>
      <c r="E374" s="136"/>
      <c r="F374" s="136"/>
      <c r="G374" s="134"/>
      <c r="H374" s="134"/>
      <c r="I374" s="137"/>
      <c r="J374" s="137"/>
      <c r="K374" s="134"/>
      <c r="L374" s="137"/>
      <c r="M374" s="134"/>
      <c r="N374" s="137"/>
    </row>
    <row r="375">
      <c r="A375" s="134"/>
      <c r="B375" s="134"/>
      <c r="C375" s="134"/>
      <c r="D375" s="135"/>
      <c r="E375" s="136"/>
      <c r="F375" s="136"/>
      <c r="G375" s="134"/>
      <c r="H375" s="134"/>
      <c r="I375" s="137"/>
      <c r="J375" s="137"/>
      <c r="K375" s="134"/>
      <c r="L375" s="137"/>
      <c r="M375" s="134"/>
      <c r="N375" s="137"/>
    </row>
    <row r="376">
      <c r="A376" s="134"/>
      <c r="B376" s="134"/>
      <c r="C376" s="134"/>
      <c r="D376" s="135"/>
      <c r="E376" s="136"/>
      <c r="F376" s="136"/>
      <c r="G376" s="134"/>
      <c r="H376" s="134"/>
      <c r="I376" s="137"/>
      <c r="J376" s="137"/>
      <c r="K376" s="134"/>
      <c r="L376" s="137"/>
      <c r="M376" s="134"/>
      <c r="N376" s="137"/>
    </row>
    <row r="377">
      <c r="A377" s="134"/>
      <c r="B377" s="134"/>
      <c r="C377" s="134"/>
      <c r="D377" s="135"/>
      <c r="E377" s="136"/>
      <c r="F377" s="136"/>
      <c r="G377" s="134"/>
      <c r="H377" s="134"/>
      <c r="I377" s="137"/>
      <c r="J377" s="137"/>
      <c r="K377" s="134"/>
      <c r="L377" s="137"/>
      <c r="M377" s="134"/>
      <c r="N377" s="137"/>
    </row>
    <row r="378">
      <c r="A378" s="134"/>
      <c r="B378" s="134"/>
      <c r="C378" s="134"/>
      <c r="D378" s="135"/>
      <c r="E378" s="136"/>
      <c r="F378" s="136"/>
      <c r="G378" s="134"/>
      <c r="H378" s="134"/>
      <c r="I378" s="137"/>
      <c r="J378" s="137"/>
      <c r="K378" s="134"/>
      <c r="L378" s="137"/>
      <c r="M378" s="134"/>
      <c r="N378" s="137"/>
    </row>
    <row r="379">
      <c r="A379" s="134"/>
      <c r="B379" s="134"/>
      <c r="C379" s="134"/>
      <c r="D379" s="135"/>
      <c r="E379" s="136"/>
      <c r="F379" s="136"/>
      <c r="G379" s="134"/>
      <c r="H379" s="134"/>
      <c r="I379" s="137"/>
      <c r="J379" s="137"/>
      <c r="K379" s="134"/>
      <c r="L379" s="137"/>
      <c r="M379" s="134"/>
      <c r="N379" s="137"/>
    </row>
    <row r="380">
      <c r="A380" s="134"/>
      <c r="B380" s="134"/>
      <c r="C380" s="134"/>
      <c r="D380" s="135"/>
      <c r="E380" s="136"/>
      <c r="F380" s="136"/>
      <c r="G380" s="134"/>
      <c r="H380" s="134"/>
      <c r="I380" s="137"/>
      <c r="J380" s="137"/>
      <c r="K380" s="134"/>
      <c r="L380" s="137"/>
      <c r="M380" s="134"/>
      <c r="N380" s="137"/>
    </row>
    <row r="381">
      <c r="A381" s="134"/>
      <c r="B381" s="134"/>
      <c r="C381" s="134"/>
      <c r="D381" s="135"/>
      <c r="E381" s="136"/>
      <c r="F381" s="136"/>
      <c r="G381" s="134"/>
      <c r="H381" s="134"/>
      <c r="I381" s="137"/>
      <c r="J381" s="137"/>
      <c r="K381" s="134"/>
      <c r="L381" s="137"/>
      <c r="M381" s="134"/>
      <c r="N381" s="137"/>
    </row>
    <row r="382">
      <c r="A382" s="134"/>
      <c r="B382" s="134"/>
      <c r="C382" s="134"/>
      <c r="D382" s="135"/>
      <c r="E382" s="136"/>
      <c r="F382" s="136"/>
      <c r="G382" s="134"/>
      <c r="H382" s="134"/>
      <c r="I382" s="137"/>
      <c r="J382" s="137"/>
      <c r="K382" s="134"/>
      <c r="L382" s="137"/>
      <c r="M382" s="134"/>
      <c r="N382" s="137"/>
    </row>
    <row r="383">
      <c r="A383" s="134"/>
      <c r="B383" s="134"/>
      <c r="C383" s="134"/>
      <c r="D383" s="135"/>
      <c r="E383" s="136"/>
      <c r="F383" s="136"/>
      <c r="G383" s="134"/>
      <c r="H383" s="134"/>
      <c r="I383" s="137"/>
      <c r="J383" s="137"/>
      <c r="K383" s="134"/>
      <c r="L383" s="137"/>
      <c r="M383" s="134"/>
      <c r="N383" s="137"/>
    </row>
    <row r="384">
      <c r="A384" s="134"/>
      <c r="B384" s="134"/>
      <c r="C384" s="134"/>
      <c r="D384" s="135"/>
      <c r="E384" s="136"/>
      <c r="F384" s="136"/>
      <c r="G384" s="134"/>
      <c r="H384" s="134"/>
      <c r="I384" s="137"/>
      <c r="J384" s="137"/>
      <c r="K384" s="134"/>
      <c r="L384" s="137"/>
      <c r="M384" s="134"/>
      <c r="N384" s="137"/>
    </row>
    <row r="385">
      <c r="A385" s="134"/>
      <c r="B385" s="134"/>
      <c r="C385" s="134"/>
      <c r="D385" s="135"/>
      <c r="E385" s="136"/>
      <c r="F385" s="136"/>
      <c r="G385" s="134"/>
      <c r="H385" s="134"/>
      <c r="I385" s="137"/>
      <c r="J385" s="137"/>
      <c r="K385" s="134"/>
      <c r="L385" s="137"/>
      <c r="M385" s="134"/>
      <c r="N385" s="137"/>
    </row>
    <row r="386">
      <c r="A386" s="134"/>
      <c r="B386" s="134"/>
      <c r="C386" s="134"/>
      <c r="D386" s="135"/>
      <c r="E386" s="136"/>
      <c r="F386" s="136"/>
      <c r="G386" s="134"/>
      <c r="H386" s="134"/>
      <c r="I386" s="137"/>
      <c r="J386" s="137"/>
      <c r="K386" s="134"/>
      <c r="L386" s="137"/>
      <c r="M386" s="134"/>
      <c r="N386" s="137"/>
    </row>
    <row r="387">
      <c r="A387" s="134"/>
      <c r="B387" s="134"/>
      <c r="C387" s="134"/>
      <c r="D387" s="135"/>
      <c r="E387" s="136"/>
      <c r="F387" s="136"/>
      <c r="G387" s="134"/>
      <c r="H387" s="134"/>
      <c r="I387" s="137"/>
      <c r="J387" s="137"/>
      <c r="K387" s="134"/>
      <c r="L387" s="137"/>
      <c r="M387" s="134"/>
      <c r="N387" s="137"/>
    </row>
    <row r="388">
      <c r="A388" s="134"/>
      <c r="B388" s="134"/>
      <c r="C388" s="134"/>
      <c r="D388" s="135"/>
      <c r="E388" s="136"/>
      <c r="F388" s="136"/>
      <c r="G388" s="134"/>
      <c r="H388" s="134"/>
      <c r="I388" s="137"/>
      <c r="J388" s="137"/>
      <c r="K388" s="134"/>
      <c r="L388" s="137"/>
      <c r="M388" s="134"/>
      <c r="N388" s="137"/>
    </row>
    <row r="389">
      <c r="A389" s="134"/>
      <c r="B389" s="134"/>
      <c r="C389" s="134"/>
      <c r="D389" s="135"/>
      <c r="E389" s="136"/>
      <c r="F389" s="136"/>
      <c r="G389" s="134"/>
      <c r="H389" s="134"/>
      <c r="I389" s="137"/>
      <c r="J389" s="137"/>
      <c r="K389" s="134"/>
      <c r="L389" s="137"/>
      <c r="M389" s="134"/>
      <c r="N389" s="137"/>
    </row>
    <row r="390">
      <c r="A390" s="134"/>
      <c r="B390" s="134"/>
      <c r="C390" s="134"/>
      <c r="D390" s="135"/>
      <c r="E390" s="136"/>
      <c r="F390" s="136"/>
      <c r="G390" s="134"/>
      <c r="H390" s="134"/>
      <c r="I390" s="137"/>
      <c r="J390" s="137"/>
      <c r="K390" s="134"/>
      <c r="L390" s="137"/>
      <c r="M390" s="134"/>
      <c r="N390" s="137"/>
    </row>
    <row r="391">
      <c r="A391" s="134"/>
      <c r="B391" s="134"/>
      <c r="C391" s="134"/>
      <c r="D391" s="135"/>
      <c r="E391" s="136"/>
      <c r="F391" s="136"/>
      <c r="G391" s="134"/>
      <c r="H391" s="134"/>
      <c r="I391" s="137"/>
      <c r="J391" s="137"/>
      <c r="K391" s="134"/>
      <c r="L391" s="137"/>
      <c r="M391" s="134"/>
      <c r="N391" s="137"/>
    </row>
    <row r="392">
      <c r="A392" s="134"/>
      <c r="B392" s="134"/>
      <c r="C392" s="134"/>
      <c r="D392" s="135"/>
      <c r="E392" s="136"/>
      <c r="F392" s="136"/>
      <c r="G392" s="134"/>
      <c r="H392" s="134"/>
      <c r="I392" s="137"/>
      <c r="J392" s="137"/>
      <c r="K392" s="134"/>
      <c r="L392" s="137"/>
      <c r="M392" s="134"/>
      <c r="N392" s="137"/>
    </row>
    <row r="393">
      <c r="A393" s="134"/>
      <c r="B393" s="134"/>
      <c r="C393" s="134"/>
      <c r="D393" s="135"/>
      <c r="E393" s="136"/>
      <c r="F393" s="136"/>
      <c r="G393" s="134"/>
      <c r="H393" s="134"/>
      <c r="I393" s="137"/>
      <c r="J393" s="137"/>
      <c r="K393" s="134"/>
      <c r="L393" s="137"/>
      <c r="M393" s="134"/>
      <c r="N393" s="137"/>
    </row>
    <row r="394">
      <c r="A394" s="134"/>
      <c r="B394" s="134"/>
      <c r="C394" s="134"/>
      <c r="D394" s="135"/>
      <c r="E394" s="136"/>
      <c r="F394" s="136"/>
      <c r="G394" s="134"/>
      <c r="H394" s="134"/>
      <c r="I394" s="137"/>
      <c r="J394" s="137"/>
      <c r="K394" s="134"/>
      <c r="L394" s="137"/>
      <c r="M394" s="134"/>
      <c r="N394" s="137"/>
    </row>
    <row r="395">
      <c r="A395" s="134"/>
      <c r="B395" s="134"/>
      <c r="C395" s="134"/>
      <c r="D395" s="135"/>
      <c r="E395" s="136"/>
      <c r="F395" s="136"/>
      <c r="G395" s="134"/>
      <c r="H395" s="134"/>
      <c r="I395" s="137"/>
      <c r="J395" s="137"/>
      <c r="K395" s="134"/>
      <c r="L395" s="137"/>
      <c r="M395" s="134"/>
      <c r="N395" s="137"/>
    </row>
    <row r="396">
      <c r="A396" s="134"/>
      <c r="B396" s="134"/>
      <c r="C396" s="134"/>
      <c r="D396" s="135"/>
      <c r="E396" s="136"/>
      <c r="F396" s="136"/>
      <c r="G396" s="134"/>
      <c r="H396" s="134"/>
      <c r="I396" s="137"/>
      <c r="J396" s="137"/>
      <c r="K396" s="134"/>
      <c r="L396" s="137"/>
      <c r="M396" s="134"/>
      <c r="N396" s="137"/>
    </row>
    <row r="397">
      <c r="A397" s="134"/>
      <c r="B397" s="134"/>
      <c r="C397" s="134"/>
      <c r="D397" s="135"/>
      <c r="E397" s="136"/>
      <c r="F397" s="136"/>
      <c r="G397" s="134"/>
      <c r="H397" s="134"/>
      <c r="I397" s="137"/>
      <c r="J397" s="137"/>
      <c r="K397" s="134"/>
      <c r="L397" s="137"/>
      <c r="M397" s="134"/>
      <c r="N397" s="137"/>
    </row>
    <row r="398">
      <c r="A398" s="134"/>
      <c r="B398" s="134"/>
      <c r="C398" s="134"/>
      <c r="D398" s="135"/>
      <c r="E398" s="136"/>
      <c r="F398" s="136"/>
      <c r="G398" s="134"/>
      <c r="H398" s="134"/>
      <c r="I398" s="137"/>
      <c r="J398" s="137"/>
      <c r="K398" s="134"/>
      <c r="L398" s="137"/>
      <c r="M398" s="134"/>
      <c r="N398" s="137"/>
    </row>
    <row r="399">
      <c r="A399" s="134"/>
      <c r="B399" s="134"/>
      <c r="C399" s="134"/>
      <c r="D399" s="135"/>
      <c r="E399" s="136"/>
      <c r="F399" s="136"/>
      <c r="G399" s="134"/>
      <c r="H399" s="134"/>
      <c r="I399" s="137"/>
      <c r="J399" s="137"/>
      <c r="K399" s="134"/>
      <c r="L399" s="137"/>
      <c r="M399" s="134"/>
      <c r="N399" s="137"/>
    </row>
    <row r="400">
      <c r="A400" s="134"/>
      <c r="B400" s="134"/>
      <c r="C400" s="134"/>
      <c r="D400" s="135"/>
      <c r="E400" s="136"/>
      <c r="F400" s="136"/>
      <c r="G400" s="134"/>
      <c r="H400" s="134"/>
      <c r="I400" s="137"/>
      <c r="J400" s="137"/>
      <c r="K400" s="134"/>
      <c r="L400" s="137"/>
      <c r="M400" s="134"/>
      <c r="N400" s="137"/>
    </row>
    <row r="401">
      <c r="A401" s="134"/>
      <c r="B401" s="134"/>
      <c r="C401" s="134"/>
      <c r="D401" s="135"/>
      <c r="E401" s="136"/>
      <c r="F401" s="136"/>
      <c r="G401" s="134"/>
      <c r="H401" s="134"/>
      <c r="I401" s="137"/>
      <c r="J401" s="137"/>
      <c r="K401" s="134"/>
      <c r="L401" s="137"/>
      <c r="M401" s="134"/>
      <c r="N401" s="137"/>
    </row>
    <row r="402">
      <c r="A402" s="134"/>
      <c r="B402" s="134"/>
      <c r="C402" s="134"/>
      <c r="D402" s="135"/>
      <c r="E402" s="136"/>
      <c r="F402" s="136"/>
      <c r="G402" s="134"/>
      <c r="H402" s="134"/>
      <c r="I402" s="137"/>
      <c r="J402" s="137"/>
      <c r="K402" s="134"/>
      <c r="L402" s="137"/>
      <c r="M402" s="134"/>
      <c r="N402" s="137"/>
    </row>
    <row r="403">
      <c r="A403" s="134"/>
      <c r="B403" s="134"/>
      <c r="C403" s="134"/>
      <c r="D403" s="135"/>
      <c r="E403" s="136"/>
      <c r="F403" s="136"/>
      <c r="G403" s="134"/>
      <c r="H403" s="134"/>
      <c r="I403" s="137"/>
      <c r="J403" s="137"/>
      <c r="K403" s="134"/>
      <c r="L403" s="137"/>
      <c r="M403" s="134"/>
      <c r="N403" s="137"/>
    </row>
    <row r="404">
      <c r="A404" s="134"/>
      <c r="B404" s="134"/>
      <c r="C404" s="134"/>
      <c r="D404" s="135"/>
      <c r="E404" s="136"/>
      <c r="F404" s="136"/>
      <c r="G404" s="134"/>
      <c r="H404" s="134"/>
      <c r="I404" s="137"/>
      <c r="J404" s="137"/>
      <c r="K404" s="134"/>
      <c r="L404" s="137"/>
      <c r="M404" s="134"/>
      <c r="N404" s="137"/>
    </row>
    <row r="405">
      <c r="A405" s="134"/>
      <c r="B405" s="134"/>
      <c r="C405" s="134"/>
      <c r="D405" s="135"/>
      <c r="E405" s="136"/>
      <c r="F405" s="136"/>
      <c r="G405" s="134"/>
      <c r="H405" s="134"/>
      <c r="I405" s="137"/>
      <c r="J405" s="137"/>
      <c r="K405" s="134"/>
      <c r="L405" s="137"/>
      <c r="M405" s="134"/>
      <c r="N405" s="137"/>
    </row>
    <row r="406">
      <c r="A406" s="134"/>
      <c r="B406" s="134"/>
      <c r="C406" s="134"/>
      <c r="D406" s="135"/>
      <c r="E406" s="136"/>
      <c r="F406" s="136"/>
      <c r="G406" s="134"/>
      <c r="H406" s="134"/>
      <c r="I406" s="137"/>
      <c r="J406" s="137"/>
      <c r="K406" s="134"/>
      <c r="L406" s="137"/>
      <c r="M406" s="134"/>
      <c r="N406" s="137"/>
    </row>
    <row r="407">
      <c r="A407" s="134"/>
      <c r="B407" s="134"/>
      <c r="C407" s="134"/>
      <c r="D407" s="135"/>
      <c r="E407" s="136"/>
      <c r="F407" s="136"/>
      <c r="G407" s="134"/>
      <c r="H407" s="134"/>
      <c r="I407" s="137"/>
      <c r="J407" s="137"/>
      <c r="K407" s="134"/>
      <c r="L407" s="137"/>
      <c r="M407" s="134"/>
      <c r="N407" s="137"/>
    </row>
    <row r="408">
      <c r="A408" s="134"/>
      <c r="B408" s="134"/>
      <c r="C408" s="134"/>
      <c r="D408" s="135"/>
      <c r="E408" s="136"/>
      <c r="F408" s="136"/>
      <c r="G408" s="134"/>
      <c r="H408" s="134"/>
      <c r="I408" s="137"/>
      <c r="J408" s="137"/>
      <c r="K408" s="134"/>
      <c r="L408" s="137"/>
      <c r="M408" s="134"/>
      <c r="N408" s="137"/>
    </row>
    <row r="409">
      <c r="A409" s="134"/>
      <c r="B409" s="134"/>
      <c r="C409" s="134"/>
      <c r="D409" s="135"/>
      <c r="E409" s="136"/>
      <c r="F409" s="136"/>
      <c r="G409" s="134"/>
      <c r="H409" s="134"/>
      <c r="I409" s="137"/>
      <c r="J409" s="137"/>
      <c r="K409" s="134"/>
      <c r="L409" s="137"/>
      <c r="M409" s="134"/>
      <c r="N409" s="137"/>
    </row>
    <row r="410">
      <c r="A410" s="134"/>
      <c r="B410" s="134"/>
      <c r="C410" s="134"/>
      <c r="D410" s="135"/>
      <c r="E410" s="136"/>
      <c r="F410" s="136"/>
      <c r="G410" s="134"/>
      <c r="H410" s="134"/>
      <c r="I410" s="137"/>
      <c r="J410" s="137"/>
      <c r="K410" s="134"/>
      <c r="L410" s="137"/>
      <c r="M410" s="134"/>
      <c r="N410" s="137"/>
    </row>
    <row r="411">
      <c r="A411" s="134"/>
      <c r="B411" s="134"/>
      <c r="C411" s="134"/>
      <c r="D411" s="135"/>
      <c r="E411" s="136"/>
      <c r="F411" s="136"/>
      <c r="G411" s="134"/>
      <c r="H411" s="134"/>
      <c r="I411" s="137"/>
      <c r="J411" s="137"/>
      <c r="K411" s="134"/>
      <c r="L411" s="137"/>
      <c r="M411" s="134"/>
      <c r="N411" s="137"/>
    </row>
    <row r="412">
      <c r="A412" s="134"/>
      <c r="B412" s="134"/>
      <c r="C412" s="134"/>
      <c r="D412" s="135"/>
      <c r="E412" s="136"/>
      <c r="F412" s="136"/>
      <c r="G412" s="134"/>
      <c r="H412" s="134"/>
      <c r="I412" s="137"/>
      <c r="J412" s="137"/>
      <c r="K412" s="134"/>
      <c r="L412" s="137"/>
      <c r="M412" s="134"/>
      <c r="N412" s="137"/>
    </row>
    <row r="413">
      <c r="A413" s="134"/>
      <c r="B413" s="134"/>
      <c r="C413" s="134"/>
      <c r="D413" s="135"/>
      <c r="E413" s="136"/>
      <c r="F413" s="136"/>
      <c r="G413" s="134"/>
      <c r="H413" s="134"/>
      <c r="I413" s="137"/>
      <c r="J413" s="137"/>
      <c r="K413" s="134"/>
      <c r="L413" s="137"/>
      <c r="M413" s="134"/>
      <c r="N413" s="137"/>
    </row>
    <row r="414">
      <c r="A414" s="134"/>
      <c r="B414" s="134"/>
      <c r="C414" s="134"/>
      <c r="D414" s="135"/>
      <c r="E414" s="136"/>
      <c r="F414" s="136"/>
      <c r="G414" s="134"/>
      <c r="H414" s="134"/>
      <c r="I414" s="137"/>
      <c r="J414" s="137"/>
      <c r="K414" s="134"/>
      <c r="L414" s="137"/>
      <c r="M414" s="134"/>
      <c r="N414" s="137"/>
    </row>
    <row r="415">
      <c r="A415" s="134"/>
      <c r="B415" s="134"/>
      <c r="C415" s="134"/>
      <c r="D415" s="135"/>
      <c r="E415" s="136"/>
      <c r="F415" s="136"/>
      <c r="G415" s="134"/>
      <c r="H415" s="134"/>
      <c r="I415" s="137"/>
      <c r="J415" s="137"/>
      <c r="K415" s="134"/>
      <c r="L415" s="137"/>
      <c r="M415" s="134"/>
      <c r="N415" s="137"/>
    </row>
    <row r="416">
      <c r="A416" s="134"/>
      <c r="B416" s="134"/>
      <c r="C416" s="134"/>
      <c r="D416" s="135"/>
      <c r="E416" s="136"/>
      <c r="F416" s="136"/>
      <c r="G416" s="134"/>
      <c r="H416" s="134"/>
      <c r="I416" s="137"/>
      <c r="J416" s="137"/>
      <c r="K416" s="134"/>
      <c r="L416" s="137"/>
      <c r="M416" s="134"/>
      <c r="N416" s="137"/>
    </row>
    <row r="417">
      <c r="A417" s="134"/>
      <c r="B417" s="134"/>
      <c r="C417" s="134"/>
      <c r="D417" s="135"/>
      <c r="E417" s="136"/>
      <c r="F417" s="136"/>
      <c r="G417" s="134"/>
      <c r="H417" s="134"/>
      <c r="I417" s="137"/>
      <c r="J417" s="137"/>
      <c r="K417" s="134"/>
      <c r="L417" s="137"/>
      <c r="M417" s="134"/>
      <c r="N417" s="137"/>
    </row>
    <row r="418">
      <c r="A418" s="134"/>
      <c r="B418" s="134"/>
      <c r="C418" s="134"/>
      <c r="D418" s="135"/>
      <c r="E418" s="136"/>
      <c r="F418" s="136"/>
      <c r="G418" s="134"/>
      <c r="H418" s="134"/>
      <c r="I418" s="137"/>
      <c r="J418" s="137"/>
      <c r="K418" s="134"/>
      <c r="L418" s="137"/>
      <c r="M418" s="134"/>
      <c r="N418" s="137"/>
    </row>
    <row r="419">
      <c r="A419" s="134"/>
      <c r="B419" s="134"/>
      <c r="C419" s="134"/>
      <c r="D419" s="135"/>
      <c r="E419" s="136"/>
      <c r="F419" s="136"/>
      <c r="G419" s="134"/>
      <c r="H419" s="134"/>
      <c r="I419" s="137"/>
      <c r="J419" s="137"/>
      <c r="K419" s="134"/>
      <c r="L419" s="137"/>
      <c r="M419" s="134"/>
      <c r="N419" s="137"/>
    </row>
    <row r="420">
      <c r="A420" s="134"/>
      <c r="B420" s="134"/>
      <c r="C420" s="134"/>
      <c r="D420" s="135"/>
      <c r="E420" s="136"/>
      <c r="F420" s="136"/>
      <c r="G420" s="134"/>
      <c r="H420" s="134"/>
      <c r="I420" s="137"/>
      <c r="J420" s="137"/>
      <c r="K420" s="134"/>
      <c r="L420" s="137"/>
      <c r="M420" s="134"/>
      <c r="N420" s="137"/>
    </row>
    <row r="421">
      <c r="A421" s="134"/>
      <c r="B421" s="134"/>
      <c r="C421" s="134"/>
      <c r="D421" s="135"/>
      <c r="E421" s="136"/>
      <c r="F421" s="136"/>
      <c r="G421" s="134"/>
      <c r="H421" s="134"/>
      <c r="I421" s="137"/>
      <c r="J421" s="137"/>
      <c r="K421" s="134"/>
      <c r="L421" s="137"/>
      <c r="M421" s="134"/>
      <c r="N421" s="137"/>
    </row>
    <row r="422">
      <c r="A422" s="134"/>
      <c r="B422" s="134"/>
      <c r="C422" s="134"/>
      <c r="D422" s="135"/>
      <c r="E422" s="136"/>
      <c r="F422" s="136"/>
      <c r="G422" s="134"/>
      <c r="H422" s="134"/>
      <c r="I422" s="137"/>
      <c r="J422" s="137"/>
      <c r="K422" s="134"/>
      <c r="L422" s="137"/>
      <c r="M422" s="134"/>
      <c r="N422" s="137"/>
    </row>
    <row r="423">
      <c r="A423" s="134"/>
      <c r="B423" s="134"/>
      <c r="C423" s="134"/>
      <c r="D423" s="135"/>
      <c r="E423" s="136"/>
      <c r="F423" s="136"/>
      <c r="G423" s="134"/>
      <c r="H423" s="134"/>
      <c r="I423" s="137"/>
      <c r="J423" s="137"/>
      <c r="K423" s="134"/>
      <c r="L423" s="137"/>
      <c r="M423" s="134"/>
      <c r="N423" s="137"/>
    </row>
    <row r="424">
      <c r="A424" s="134"/>
      <c r="B424" s="134"/>
      <c r="C424" s="134"/>
      <c r="D424" s="135"/>
      <c r="E424" s="136"/>
      <c r="F424" s="136"/>
      <c r="G424" s="134"/>
      <c r="H424" s="134"/>
      <c r="I424" s="137"/>
      <c r="J424" s="137"/>
      <c r="K424" s="134"/>
      <c r="L424" s="137"/>
      <c r="M424" s="134"/>
      <c r="N424" s="137"/>
    </row>
    <row r="425">
      <c r="A425" s="134"/>
      <c r="B425" s="134"/>
      <c r="C425" s="134"/>
      <c r="D425" s="135"/>
      <c r="E425" s="136"/>
      <c r="F425" s="136"/>
      <c r="G425" s="134"/>
      <c r="H425" s="134"/>
      <c r="I425" s="137"/>
      <c r="J425" s="137"/>
      <c r="K425" s="134"/>
      <c r="L425" s="137"/>
      <c r="M425" s="134"/>
      <c r="N425" s="137"/>
    </row>
    <row r="426">
      <c r="A426" s="134"/>
      <c r="B426" s="134"/>
      <c r="C426" s="134"/>
      <c r="D426" s="135"/>
      <c r="E426" s="136"/>
      <c r="F426" s="136"/>
      <c r="G426" s="134"/>
      <c r="H426" s="134"/>
      <c r="I426" s="137"/>
      <c r="J426" s="137"/>
      <c r="K426" s="134"/>
      <c r="L426" s="137"/>
      <c r="M426" s="134"/>
      <c r="N426" s="137"/>
    </row>
    <row r="427">
      <c r="A427" s="134"/>
      <c r="B427" s="134"/>
      <c r="C427" s="134"/>
      <c r="D427" s="135"/>
      <c r="E427" s="136"/>
      <c r="F427" s="136"/>
      <c r="G427" s="134"/>
      <c r="H427" s="134"/>
      <c r="I427" s="137"/>
      <c r="J427" s="137"/>
      <c r="K427" s="134"/>
      <c r="L427" s="137"/>
      <c r="M427" s="134"/>
      <c r="N427" s="137"/>
    </row>
    <row r="428">
      <c r="A428" s="134"/>
      <c r="B428" s="134"/>
      <c r="C428" s="134"/>
      <c r="D428" s="135"/>
      <c r="E428" s="136"/>
      <c r="F428" s="136"/>
      <c r="G428" s="134"/>
      <c r="H428" s="134"/>
      <c r="I428" s="137"/>
      <c r="J428" s="137"/>
      <c r="K428" s="134"/>
      <c r="L428" s="137"/>
      <c r="M428" s="134"/>
      <c r="N428" s="137"/>
    </row>
    <row r="429">
      <c r="A429" s="134"/>
      <c r="B429" s="134"/>
      <c r="C429" s="134"/>
      <c r="D429" s="135"/>
      <c r="E429" s="136"/>
      <c r="F429" s="136"/>
      <c r="G429" s="134"/>
      <c r="H429" s="134"/>
      <c r="I429" s="137"/>
      <c r="J429" s="137"/>
      <c r="K429" s="134"/>
      <c r="L429" s="137"/>
      <c r="M429" s="134"/>
      <c r="N429" s="137"/>
    </row>
    <row r="430">
      <c r="A430" s="134"/>
      <c r="B430" s="134"/>
      <c r="C430" s="134"/>
      <c r="D430" s="135"/>
      <c r="E430" s="136"/>
      <c r="F430" s="136"/>
      <c r="G430" s="134"/>
      <c r="H430" s="134"/>
      <c r="I430" s="137"/>
      <c r="J430" s="137"/>
      <c r="K430" s="134"/>
      <c r="L430" s="137"/>
      <c r="M430" s="134"/>
      <c r="N430" s="137"/>
    </row>
    <row r="431">
      <c r="A431" s="134"/>
      <c r="B431" s="134"/>
      <c r="C431" s="134"/>
      <c r="D431" s="135"/>
      <c r="E431" s="136"/>
      <c r="F431" s="136"/>
      <c r="G431" s="134"/>
      <c r="H431" s="134"/>
      <c r="I431" s="137"/>
      <c r="J431" s="137"/>
      <c r="K431" s="134"/>
      <c r="L431" s="137"/>
      <c r="M431" s="134"/>
      <c r="N431" s="137"/>
    </row>
    <row r="432">
      <c r="A432" s="134"/>
      <c r="B432" s="134"/>
      <c r="C432" s="134"/>
      <c r="D432" s="135"/>
      <c r="E432" s="136"/>
      <c r="F432" s="136"/>
      <c r="G432" s="134"/>
      <c r="H432" s="134"/>
      <c r="I432" s="137"/>
      <c r="J432" s="137"/>
      <c r="K432" s="134"/>
      <c r="L432" s="137"/>
      <c r="M432" s="134"/>
      <c r="N432" s="137"/>
    </row>
    <row r="433">
      <c r="A433" s="134"/>
      <c r="B433" s="134"/>
      <c r="C433" s="134"/>
      <c r="D433" s="135"/>
      <c r="E433" s="136"/>
      <c r="F433" s="136"/>
      <c r="G433" s="134"/>
      <c r="H433" s="134"/>
      <c r="I433" s="137"/>
      <c r="J433" s="137"/>
      <c r="K433" s="134"/>
      <c r="L433" s="137"/>
      <c r="M433" s="134"/>
      <c r="N433" s="137"/>
    </row>
    <row r="434">
      <c r="A434" s="134"/>
      <c r="B434" s="134"/>
      <c r="C434" s="134"/>
      <c r="D434" s="135"/>
      <c r="E434" s="136"/>
      <c r="F434" s="136"/>
      <c r="G434" s="134"/>
      <c r="H434" s="134"/>
      <c r="I434" s="137"/>
      <c r="J434" s="137"/>
      <c r="K434" s="134"/>
      <c r="L434" s="137"/>
      <c r="M434" s="134"/>
      <c r="N434" s="137"/>
    </row>
    <row r="435">
      <c r="A435" s="134"/>
      <c r="B435" s="134"/>
      <c r="C435" s="134"/>
      <c r="D435" s="135"/>
      <c r="E435" s="136"/>
      <c r="F435" s="136"/>
      <c r="G435" s="134"/>
      <c r="H435" s="134"/>
      <c r="I435" s="137"/>
      <c r="J435" s="137"/>
      <c r="K435" s="134"/>
      <c r="L435" s="137"/>
      <c r="M435" s="134"/>
      <c r="N435" s="137"/>
    </row>
    <row r="436">
      <c r="A436" s="134"/>
      <c r="B436" s="134"/>
      <c r="C436" s="134"/>
      <c r="D436" s="135"/>
      <c r="E436" s="136"/>
      <c r="F436" s="136"/>
      <c r="G436" s="134"/>
      <c r="H436" s="134"/>
      <c r="I436" s="137"/>
      <c r="J436" s="137"/>
      <c r="K436" s="134"/>
      <c r="L436" s="137"/>
      <c r="M436" s="134"/>
      <c r="N436" s="137"/>
    </row>
    <row r="437">
      <c r="A437" s="134"/>
      <c r="B437" s="134"/>
      <c r="C437" s="134"/>
      <c r="D437" s="135"/>
      <c r="E437" s="136"/>
      <c r="F437" s="136"/>
      <c r="G437" s="134"/>
      <c r="H437" s="134"/>
      <c r="I437" s="137"/>
      <c r="J437" s="137"/>
      <c r="K437" s="134"/>
      <c r="L437" s="137"/>
      <c r="M437" s="134"/>
      <c r="N437" s="137"/>
    </row>
    <row r="438">
      <c r="A438" s="134"/>
      <c r="B438" s="134"/>
      <c r="C438" s="134"/>
      <c r="D438" s="135"/>
      <c r="E438" s="136"/>
      <c r="F438" s="136"/>
      <c r="G438" s="134"/>
      <c r="H438" s="134"/>
      <c r="I438" s="137"/>
      <c r="J438" s="137"/>
      <c r="K438" s="134"/>
      <c r="L438" s="137"/>
      <c r="M438" s="134"/>
      <c r="N438" s="137"/>
    </row>
    <row r="439">
      <c r="A439" s="134"/>
      <c r="B439" s="134"/>
      <c r="C439" s="134"/>
      <c r="D439" s="135"/>
      <c r="E439" s="136"/>
      <c r="F439" s="136"/>
      <c r="G439" s="134"/>
      <c r="H439" s="134"/>
      <c r="I439" s="137"/>
      <c r="J439" s="137"/>
      <c r="K439" s="134"/>
      <c r="L439" s="137"/>
      <c r="M439" s="134"/>
      <c r="N439" s="137"/>
    </row>
    <row r="440">
      <c r="A440" s="134"/>
      <c r="B440" s="134"/>
      <c r="C440" s="134"/>
      <c r="D440" s="135"/>
      <c r="E440" s="136"/>
      <c r="F440" s="136"/>
      <c r="G440" s="134"/>
      <c r="H440" s="134"/>
      <c r="I440" s="137"/>
      <c r="J440" s="137"/>
      <c r="K440" s="134"/>
      <c r="L440" s="137"/>
      <c r="M440" s="134"/>
      <c r="N440" s="137"/>
    </row>
    <row r="441">
      <c r="A441" s="134"/>
      <c r="B441" s="134"/>
      <c r="C441" s="134"/>
      <c r="D441" s="135"/>
      <c r="E441" s="136"/>
      <c r="F441" s="136"/>
      <c r="G441" s="134"/>
      <c r="H441" s="134"/>
      <c r="I441" s="137"/>
      <c r="J441" s="137"/>
      <c r="K441" s="134"/>
      <c r="L441" s="137"/>
      <c r="M441" s="134"/>
      <c r="N441" s="137"/>
    </row>
    <row r="442">
      <c r="A442" s="134"/>
      <c r="B442" s="134"/>
      <c r="C442" s="134"/>
      <c r="D442" s="135"/>
      <c r="E442" s="136"/>
      <c r="F442" s="136"/>
      <c r="G442" s="134"/>
      <c r="H442" s="134"/>
      <c r="I442" s="137"/>
      <c r="J442" s="137"/>
      <c r="K442" s="134"/>
      <c r="L442" s="137"/>
      <c r="M442" s="134"/>
      <c r="N442" s="137"/>
    </row>
    <row r="443">
      <c r="A443" s="134"/>
      <c r="B443" s="134"/>
      <c r="C443" s="134"/>
      <c r="D443" s="135"/>
      <c r="E443" s="136"/>
      <c r="F443" s="136"/>
      <c r="G443" s="134"/>
      <c r="H443" s="134"/>
      <c r="I443" s="137"/>
      <c r="J443" s="137"/>
      <c r="K443" s="134"/>
      <c r="L443" s="137"/>
      <c r="M443" s="134"/>
      <c r="N443" s="137"/>
    </row>
    <row r="444">
      <c r="A444" s="134"/>
      <c r="B444" s="134"/>
      <c r="C444" s="134"/>
      <c r="D444" s="135"/>
      <c r="E444" s="136"/>
      <c r="F444" s="136"/>
      <c r="G444" s="134"/>
      <c r="H444" s="134"/>
      <c r="I444" s="137"/>
      <c r="J444" s="137"/>
      <c r="K444" s="134"/>
      <c r="L444" s="137"/>
      <c r="M444" s="134"/>
      <c r="N444" s="137"/>
    </row>
    <row r="445">
      <c r="A445" s="134"/>
      <c r="B445" s="134"/>
      <c r="C445" s="134"/>
      <c r="D445" s="135"/>
      <c r="E445" s="136"/>
      <c r="F445" s="136"/>
      <c r="G445" s="134"/>
      <c r="H445" s="134"/>
      <c r="I445" s="137"/>
      <c r="J445" s="137"/>
      <c r="K445" s="134"/>
      <c r="L445" s="137"/>
      <c r="M445" s="134"/>
      <c r="N445" s="137"/>
    </row>
    <row r="446">
      <c r="A446" s="134"/>
      <c r="B446" s="134"/>
      <c r="C446" s="134"/>
      <c r="D446" s="135"/>
      <c r="E446" s="136"/>
      <c r="F446" s="136"/>
      <c r="G446" s="134"/>
      <c r="H446" s="134"/>
      <c r="I446" s="137"/>
      <c r="J446" s="137"/>
      <c r="K446" s="134"/>
      <c r="L446" s="137"/>
      <c r="M446" s="134"/>
      <c r="N446" s="137"/>
    </row>
    <row r="447">
      <c r="A447" s="134"/>
      <c r="B447" s="134"/>
      <c r="C447" s="134"/>
      <c r="D447" s="135"/>
      <c r="E447" s="136"/>
      <c r="F447" s="136"/>
      <c r="G447" s="134"/>
      <c r="H447" s="134"/>
      <c r="I447" s="137"/>
      <c r="J447" s="137"/>
      <c r="K447" s="134"/>
      <c r="L447" s="137"/>
      <c r="M447" s="134"/>
      <c r="N447" s="137"/>
    </row>
    <row r="448">
      <c r="A448" s="134"/>
      <c r="B448" s="134"/>
      <c r="C448" s="134"/>
      <c r="D448" s="135"/>
      <c r="E448" s="136"/>
      <c r="F448" s="136"/>
      <c r="G448" s="134"/>
      <c r="H448" s="134"/>
      <c r="I448" s="137"/>
      <c r="J448" s="137"/>
      <c r="K448" s="134"/>
      <c r="L448" s="137"/>
      <c r="M448" s="134"/>
      <c r="N448" s="137"/>
    </row>
    <row r="449">
      <c r="A449" s="134"/>
      <c r="B449" s="134"/>
      <c r="C449" s="134"/>
      <c r="D449" s="135"/>
      <c r="E449" s="136"/>
      <c r="F449" s="136"/>
      <c r="G449" s="134"/>
      <c r="H449" s="134"/>
      <c r="I449" s="137"/>
      <c r="J449" s="137"/>
      <c r="K449" s="134"/>
      <c r="L449" s="137"/>
      <c r="M449" s="134"/>
      <c r="N449" s="137"/>
    </row>
    <row r="450">
      <c r="A450" s="134"/>
      <c r="B450" s="134"/>
      <c r="C450" s="134"/>
      <c r="D450" s="135"/>
      <c r="E450" s="136"/>
      <c r="F450" s="136"/>
      <c r="G450" s="134"/>
      <c r="H450" s="134"/>
      <c r="I450" s="137"/>
      <c r="J450" s="137"/>
      <c r="K450" s="134"/>
      <c r="L450" s="137"/>
      <c r="M450" s="134"/>
      <c r="N450" s="137"/>
    </row>
    <row r="451">
      <c r="A451" s="134"/>
      <c r="B451" s="134"/>
      <c r="C451" s="134"/>
      <c r="D451" s="135"/>
      <c r="E451" s="136"/>
      <c r="F451" s="136"/>
      <c r="G451" s="134"/>
      <c r="H451" s="134"/>
      <c r="I451" s="137"/>
      <c r="J451" s="137"/>
      <c r="K451" s="134"/>
      <c r="L451" s="137"/>
      <c r="M451" s="134"/>
      <c r="N451" s="137"/>
    </row>
    <row r="452">
      <c r="A452" s="134"/>
      <c r="B452" s="134"/>
      <c r="C452" s="134"/>
      <c r="D452" s="135"/>
      <c r="E452" s="136"/>
      <c r="F452" s="136"/>
      <c r="G452" s="134"/>
      <c r="H452" s="134"/>
      <c r="I452" s="137"/>
      <c r="J452" s="137"/>
      <c r="K452" s="134"/>
      <c r="L452" s="137"/>
      <c r="M452" s="134"/>
      <c r="N452" s="137"/>
    </row>
    <row r="453">
      <c r="A453" s="134"/>
      <c r="B453" s="134"/>
      <c r="C453" s="134"/>
      <c r="D453" s="135"/>
      <c r="E453" s="136"/>
      <c r="F453" s="136"/>
      <c r="G453" s="134"/>
      <c r="H453" s="134"/>
      <c r="I453" s="137"/>
      <c r="J453" s="137"/>
      <c r="K453" s="134"/>
      <c r="L453" s="137"/>
      <c r="M453" s="134"/>
      <c r="N453" s="137"/>
    </row>
    <row r="454">
      <c r="A454" s="134"/>
      <c r="B454" s="134"/>
      <c r="C454" s="134"/>
      <c r="D454" s="135"/>
      <c r="E454" s="136"/>
      <c r="F454" s="136"/>
      <c r="G454" s="134"/>
      <c r="H454" s="134"/>
      <c r="I454" s="137"/>
      <c r="J454" s="137"/>
      <c r="K454" s="134"/>
      <c r="L454" s="137"/>
      <c r="M454" s="134"/>
      <c r="N454" s="137"/>
    </row>
    <row r="455">
      <c r="A455" s="134"/>
      <c r="B455" s="134"/>
      <c r="C455" s="134"/>
      <c r="D455" s="135"/>
      <c r="E455" s="136"/>
      <c r="F455" s="136"/>
      <c r="G455" s="134"/>
      <c r="H455" s="134"/>
      <c r="I455" s="137"/>
      <c r="J455" s="137"/>
      <c r="K455" s="134"/>
      <c r="L455" s="137"/>
      <c r="M455" s="134"/>
      <c r="N455" s="137"/>
    </row>
    <row r="456">
      <c r="A456" s="134"/>
      <c r="B456" s="134"/>
      <c r="C456" s="134"/>
      <c r="D456" s="135"/>
      <c r="E456" s="136"/>
      <c r="F456" s="136"/>
      <c r="G456" s="134"/>
      <c r="H456" s="134"/>
      <c r="I456" s="137"/>
      <c r="J456" s="137"/>
      <c r="K456" s="134"/>
      <c r="L456" s="137"/>
      <c r="M456" s="134"/>
      <c r="N456" s="137"/>
    </row>
    <row r="457">
      <c r="A457" s="134"/>
      <c r="B457" s="134"/>
      <c r="C457" s="134"/>
      <c r="D457" s="135"/>
      <c r="E457" s="136"/>
      <c r="F457" s="136"/>
      <c r="G457" s="134"/>
      <c r="H457" s="134"/>
      <c r="I457" s="137"/>
      <c r="J457" s="137"/>
      <c r="K457" s="134"/>
      <c r="L457" s="137"/>
      <c r="M457" s="134"/>
      <c r="N457" s="137"/>
    </row>
    <row r="458">
      <c r="A458" s="134"/>
      <c r="B458" s="134"/>
      <c r="C458" s="134"/>
      <c r="D458" s="135"/>
      <c r="E458" s="136"/>
      <c r="F458" s="136"/>
      <c r="G458" s="134"/>
      <c r="H458" s="134"/>
      <c r="I458" s="137"/>
      <c r="J458" s="137"/>
      <c r="K458" s="134"/>
      <c r="L458" s="137"/>
      <c r="M458" s="134"/>
      <c r="N458" s="137"/>
    </row>
    <row r="459">
      <c r="A459" s="134"/>
      <c r="B459" s="134"/>
      <c r="C459" s="134"/>
      <c r="D459" s="135"/>
      <c r="E459" s="136"/>
      <c r="F459" s="136"/>
      <c r="G459" s="134"/>
      <c r="H459" s="134"/>
      <c r="I459" s="137"/>
      <c r="J459" s="137"/>
      <c r="K459" s="134"/>
      <c r="L459" s="137"/>
      <c r="M459" s="134"/>
      <c r="N459" s="137"/>
    </row>
    <row r="460">
      <c r="A460" s="134"/>
      <c r="B460" s="134"/>
      <c r="C460" s="134"/>
      <c r="D460" s="135"/>
      <c r="E460" s="136"/>
      <c r="F460" s="136"/>
      <c r="G460" s="134"/>
      <c r="H460" s="134"/>
      <c r="I460" s="137"/>
      <c r="J460" s="137"/>
      <c r="K460" s="134"/>
      <c r="L460" s="137"/>
      <c r="M460" s="134"/>
      <c r="N460" s="137"/>
    </row>
    <row r="461">
      <c r="A461" s="134"/>
      <c r="B461" s="134"/>
      <c r="C461" s="134"/>
      <c r="D461" s="135"/>
      <c r="E461" s="136"/>
      <c r="F461" s="136"/>
      <c r="G461" s="134"/>
      <c r="H461" s="134"/>
      <c r="I461" s="137"/>
      <c r="J461" s="137"/>
      <c r="K461" s="134"/>
      <c r="L461" s="137"/>
      <c r="M461" s="134"/>
      <c r="N461" s="137"/>
    </row>
    <row r="462">
      <c r="A462" s="134"/>
      <c r="B462" s="134"/>
      <c r="C462" s="134"/>
      <c r="D462" s="135"/>
      <c r="E462" s="136"/>
      <c r="F462" s="136"/>
      <c r="G462" s="134"/>
      <c r="H462" s="134"/>
      <c r="I462" s="137"/>
      <c r="J462" s="137"/>
      <c r="K462" s="134"/>
      <c r="L462" s="137"/>
      <c r="M462" s="134"/>
      <c r="N462" s="137"/>
    </row>
    <row r="463">
      <c r="A463" s="134"/>
      <c r="B463" s="134"/>
      <c r="C463" s="134"/>
      <c r="D463" s="135"/>
      <c r="E463" s="136"/>
      <c r="F463" s="136"/>
      <c r="G463" s="134"/>
      <c r="H463" s="134"/>
      <c r="I463" s="137"/>
      <c r="J463" s="137"/>
      <c r="K463" s="134"/>
      <c r="L463" s="137"/>
      <c r="M463" s="134"/>
      <c r="N463" s="137"/>
    </row>
    <row r="464">
      <c r="A464" s="134"/>
      <c r="B464" s="134"/>
      <c r="C464" s="134"/>
      <c r="D464" s="135"/>
      <c r="E464" s="136"/>
      <c r="F464" s="136"/>
      <c r="G464" s="134"/>
      <c r="H464" s="134"/>
      <c r="I464" s="137"/>
      <c r="J464" s="137"/>
      <c r="K464" s="134"/>
      <c r="L464" s="137"/>
      <c r="M464" s="134"/>
      <c r="N464" s="137"/>
    </row>
    <row r="465">
      <c r="A465" s="134"/>
      <c r="B465" s="134"/>
      <c r="C465" s="134"/>
      <c r="D465" s="135"/>
      <c r="E465" s="136"/>
      <c r="F465" s="136"/>
      <c r="G465" s="134"/>
      <c r="H465" s="134"/>
      <c r="I465" s="137"/>
      <c r="J465" s="137"/>
      <c r="K465" s="134"/>
      <c r="L465" s="137"/>
      <c r="M465" s="134"/>
      <c r="N465" s="137"/>
    </row>
    <row r="466">
      <c r="A466" s="134"/>
      <c r="B466" s="134"/>
      <c r="C466" s="134"/>
      <c r="D466" s="135"/>
      <c r="E466" s="136"/>
      <c r="F466" s="136"/>
      <c r="G466" s="134"/>
      <c r="H466" s="134"/>
      <c r="I466" s="137"/>
      <c r="J466" s="137"/>
      <c r="K466" s="134"/>
      <c r="L466" s="137"/>
      <c r="M466" s="134"/>
      <c r="N466" s="137"/>
    </row>
    <row r="467">
      <c r="A467" s="134"/>
      <c r="B467" s="134"/>
      <c r="C467" s="134"/>
      <c r="D467" s="135"/>
      <c r="E467" s="136"/>
      <c r="F467" s="136"/>
      <c r="G467" s="134"/>
      <c r="H467" s="134"/>
      <c r="I467" s="137"/>
      <c r="J467" s="137"/>
      <c r="K467" s="134"/>
      <c r="L467" s="137"/>
      <c r="M467" s="134"/>
      <c r="N467" s="137"/>
    </row>
    <row r="468">
      <c r="A468" s="134"/>
      <c r="B468" s="134"/>
      <c r="C468" s="134"/>
      <c r="D468" s="135"/>
      <c r="E468" s="136"/>
      <c r="F468" s="136"/>
      <c r="G468" s="134"/>
      <c r="H468" s="134"/>
      <c r="I468" s="137"/>
      <c r="J468" s="137"/>
      <c r="K468" s="134"/>
      <c r="L468" s="137"/>
      <c r="M468" s="134"/>
      <c r="N468" s="137"/>
    </row>
    <row r="469">
      <c r="A469" s="134"/>
      <c r="B469" s="134"/>
      <c r="C469" s="134"/>
      <c r="D469" s="135"/>
      <c r="E469" s="136"/>
      <c r="F469" s="136"/>
      <c r="G469" s="134"/>
      <c r="H469" s="134"/>
      <c r="I469" s="137"/>
      <c r="J469" s="137"/>
      <c r="K469" s="134"/>
      <c r="L469" s="137"/>
      <c r="M469" s="134"/>
      <c r="N469" s="137"/>
    </row>
    <row r="470">
      <c r="A470" s="134"/>
      <c r="B470" s="134"/>
      <c r="C470" s="134"/>
      <c r="D470" s="135"/>
      <c r="E470" s="136"/>
      <c r="F470" s="136"/>
      <c r="G470" s="134"/>
      <c r="H470" s="134"/>
      <c r="I470" s="137"/>
      <c r="J470" s="137"/>
      <c r="K470" s="134"/>
      <c r="L470" s="137"/>
      <c r="M470" s="134"/>
      <c r="N470" s="137"/>
    </row>
    <row r="471">
      <c r="A471" s="134"/>
      <c r="B471" s="134"/>
      <c r="C471" s="134"/>
      <c r="D471" s="135"/>
      <c r="E471" s="136"/>
      <c r="F471" s="136"/>
      <c r="G471" s="134"/>
      <c r="H471" s="134"/>
      <c r="I471" s="137"/>
      <c r="J471" s="137"/>
      <c r="K471" s="134"/>
      <c r="L471" s="137"/>
      <c r="M471" s="134"/>
      <c r="N471" s="137"/>
    </row>
    <row r="472">
      <c r="A472" s="134"/>
      <c r="B472" s="134"/>
      <c r="C472" s="134"/>
      <c r="D472" s="135"/>
      <c r="E472" s="136"/>
      <c r="F472" s="136"/>
      <c r="G472" s="134"/>
      <c r="H472" s="134"/>
      <c r="I472" s="137"/>
      <c r="J472" s="137"/>
      <c r="K472" s="134"/>
      <c r="L472" s="137"/>
      <c r="M472" s="134"/>
      <c r="N472" s="137"/>
    </row>
    <row r="473">
      <c r="A473" s="134"/>
      <c r="B473" s="134"/>
      <c r="C473" s="134"/>
      <c r="D473" s="135"/>
      <c r="E473" s="136"/>
      <c r="F473" s="136"/>
      <c r="G473" s="134"/>
      <c r="H473" s="134"/>
      <c r="I473" s="137"/>
      <c r="J473" s="137"/>
      <c r="K473" s="134"/>
      <c r="L473" s="137"/>
      <c r="M473" s="134"/>
      <c r="N473" s="137"/>
    </row>
    <row r="474">
      <c r="A474" s="134"/>
      <c r="B474" s="134"/>
      <c r="C474" s="134"/>
      <c r="D474" s="135"/>
      <c r="E474" s="136"/>
      <c r="F474" s="136"/>
      <c r="G474" s="134"/>
      <c r="H474" s="134"/>
      <c r="I474" s="137"/>
      <c r="J474" s="137"/>
      <c r="K474" s="134"/>
      <c r="L474" s="137"/>
      <c r="M474" s="134"/>
      <c r="N474" s="137"/>
    </row>
    <row r="475">
      <c r="A475" s="134"/>
      <c r="B475" s="134"/>
      <c r="C475" s="134"/>
      <c r="D475" s="135"/>
      <c r="E475" s="136"/>
      <c r="F475" s="136"/>
      <c r="G475" s="134"/>
      <c r="H475" s="134"/>
      <c r="I475" s="137"/>
      <c r="J475" s="137"/>
      <c r="K475" s="134"/>
      <c r="L475" s="137"/>
      <c r="M475" s="134"/>
      <c r="N475" s="137"/>
    </row>
    <row r="476">
      <c r="A476" s="134"/>
      <c r="B476" s="134"/>
      <c r="C476" s="134"/>
      <c r="D476" s="135"/>
      <c r="E476" s="136"/>
      <c r="F476" s="136"/>
      <c r="G476" s="134"/>
      <c r="H476" s="134"/>
      <c r="I476" s="137"/>
      <c r="J476" s="137"/>
      <c r="K476" s="134"/>
      <c r="L476" s="137"/>
      <c r="M476" s="134"/>
      <c r="N476" s="137"/>
    </row>
    <row r="477">
      <c r="A477" s="134"/>
      <c r="B477" s="134"/>
      <c r="C477" s="134"/>
      <c r="D477" s="135"/>
      <c r="E477" s="136"/>
      <c r="F477" s="136"/>
      <c r="G477" s="134"/>
      <c r="H477" s="134"/>
      <c r="I477" s="137"/>
      <c r="J477" s="137"/>
      <c r="K477" s="134"/>
      <c r="L477" s="137"/>
      <c r="M477" s="134"/>
      <c r="N477" s="137"/>
    </row>
    <row r="478">
      <c r="A478" s="134"/>
      <c r="B478" s="134"/>
      <c r="C478" s="134"/>
      <c r="D478" s="135"/>
      <c r="E478" s="136"/>
      <c r="F478" s="136"/>
      <c r="G478" s="134"/>
      <c r="H478" s="134"/>
      <c r="I478" s="137"/>
      <c r="J478" s="137"/>
      <c r="K478" s="134"/>
      <c r="L478" s="137"/>
      <c r="M478" s="134"/>
      <c r="N478" s="137"/>
    </row>
    <row r="479">
      <c r="A479" s="134"/>
      <c r="B479" s="134"/>
      <c r="C479" s="134"/>
      <c r="D479" s="135"/>
      <c r="E479" s="136"/>
      <c r="F479" s="136"/>
      <c r="G479" s="134"/>
      <c r="H479" s="134"/>
      <c r="I479" s="137"/>
      <c r="J479" s="137"/>
      <c r="K479" s="134"/>
      <c r="L479" s="137"/>
      <c r="M479" s="134"/>
      <c r="N479" s="137"/>
    </row>
    <row r="480">
      <c r="A480" s="134"/>
      <c r="B480" s="134"/>
      <c r="C480" s="134"/>
      <c r="D480" s="135"/>
      <c r="E480" s="136"/>
      <c r="F480" s="136"/>
      <c r="G480" s="134"/>
      <c r="H480" s="134"/>
      <c r="I480" s="137"/>
      <c r="J480" s="137"/>
      <c r="K480" s="134"/>
      <c r="L480" s="137"/>
      <c r="M480" s="134"/>
      <c r="N480" s="137"/>
    </row>
    <row r="481">
      <c r="A481" s="134"/>
      <c r="B481" s="134"/>
      <c r="C481" s="134"/>
      <c r="D481" s="135"/>
      <c r="E481" s="136"/>
      <c r="F481" s="136"/>
      <c r="G481" s="134"/>
      <c r="H481" s="134"/>
      <c r="I481" s="137"/>
      <c r="J481" s="137"/>
      <c r="K481" s="134"/>
      <c r="L481" s="137"/>
      <c r="M481" s="134"/>
      <c r="N481" s="137"/>
    </row>
    <row r="482">
      <c r="A482" s="134"/>
      <c r="B482" s="134"/>
      <c r="C482" s="134"/>
      <c r="D482" s="135"/>
      <c r="E482" s="136"/>
      <c r="F482" s="136"/>
      <c r="G482" s="134"/>
      <c r="H482" s="134"/>
      <c r="I482" s="137"/>
      <c r="J482" s="137"/>
      <c r="K482" s="134"/>
      <c r="L482" s="137"/>
      <c r="M482" s="134"/>
      <c r="N482" s="137"/>
    </row>
    <row r="483">
      <c r="A483" s="134"/>
      <c r="B483" s="134"/>
      <c r="C483" s="134"/>
      <c r="D483" s="135"/>
      <c r="E483" s="136"/>
      <c r="F483" s="136"/>
      <c r="G483" s="134"/>
      <c r="H483" s="134"/>
      <c r="I483" s="137"/>
      <c r="J483" s="137"/>
      <c r="K483" s="134"/>
      <c r="L483" s="137"/>
      <c r="M483" s="134"/>
      <c r="N483" s="137"/>
    </row>
    <row r="484">
      <c r="A484" s="134"/>
      <c r="B484" s="134"/>
      <c r="C484" s="134"/>
      <c r="D484" s="135"/>
      <c r="E484" s="136"/>
      <c r="F484" s="136"/>
      <c r="G484" s="134"/>
      <c r="H484" s="134"/>
      <c r="I484" s="137"/>
      <c r="J484" s="137"/>
      <c r="K484" s="134"/>
      <c r="L484" s="137"/>
      <c r="M484" s="134"/>
      <c r="N484" s="137"/>
    </row>
    <row r="485">
      <c r="A485" s="134"/>
      <c r="B485" s="134"/>
      <c r="C485" s="134"/>
      <c r="D485" s="135"/>
      <c r="E485" s="136"/>
      <c r="F485" s="136"/>
      <c r="G485" s="134"/>
      <c r="H485" s="134"/>
      <c r="I485" s="137"/>
      <c r="J485" s="137"/>
      <c r="K485" s="134"/>
      <c r="L485" s="137"/>
      <c r="M485" s="134"/>
      <c r="N485" s="137"/>
    </row>
    <row r="486">
      <c r="A486" s="134"/>
      <c r="B486" s="134"/>
      <c r="C486" s="134"/>
      <c r="D486" s="135"/>
      <c r="E486" s="136"/>
      <c r="F486" s="136"/>
      <c r="G486" s="134"/>
      <c r="H486" s="134"/>
      <c r="I486" s="137"/>
      <c r="J486" s="137"/>
      <c r="K486" s="134"/>
      <c r="L486" s="137"/>
      <c r="M486" s="134"/>
      <c r="N486" s="137"/>
    </row>
    <row r="487">
      <c r="A487" s="134"/>
      <c r="B487" s="134"/>
      <c r="C487" s="134"/>
      <c r="D487" s="135"/>
      <c r="E487" s="136"/>
      <c r="F487" s="136"/>
      <c r="G487" s="134"/>
      <c r="H487" s="134"/>
      <c r="I487" s="137"/>
      <c r="J487" s="137"/>
      <c r="K487" s="134"/>
      <c r="L487" s="137"/>
      <c r="M487" s="134"/>
      <c r="N487" s="137"/>
    </row>
    <row r="488">
      <c r="A488" s="134"/>
      <c r="B488" s="134"/>
      <c r="C488" s="134"/>
      <c r="D488" s="135"/>
      <c r="E488" s="136"/>
      <c r="F488" s="136"/>
      <c r="G488" s="134"/>
      <c r="H488" s="134"/>
      <c r="I488" s="137"/>
      <c r="J488" s="137"/>
      <c r="K488" s="134"/>
      <c r="L488" s="137"/>
      <c r="M488" s="134"/>
      <c r="N488" s="137"/>
    </row>
    <row r="489">
      <c r="A489" s="134"/>
      <c r="B489" s="134"/>
      <c r="C489" s="134"/>
      <c r="D489" s="135"/>
      <c r="E489" s="136"/>
      <c r="F489" s="136"/>
      <c r="G489" s="134"/>
      <c r="H489" s="134"/>
      <c r="I489" s="137"/>
      <c r="J489" s="137"/>
      <c r="K489" s="134"/>
      <c r="L489" s="137"/>
      <c r="M489" s="134"/>
      <c r="N489" s="137"/>
    </row>
    <row r="490">
      <c r="A490" s="134"/>
      <c r="B490" s="134"/>
      <c r="C490" s="134"/>
      <c r="D490" s="135"/>
      <c r="E490" s="136"/>
      <c r="F490" s="136"/>
      <c r="G490" s="134"/>
      <c r="H490" s="134"/>
      <c r="I490" s="137"/>
      <c r="J490" s="137"/>
      <c r="K490" s="134"/>
      <c r="L490" s="137"/>
      <c r="M490" s="134"/>
      <c r="N490" s="137"/>
    </row>
    <row r="491">
      <c r="A491" s="134"/>
      <c r="B491" s="134"/>
      <c r="C491" s="134"/>
      <c r="D491" s="135"/>
      <c r="E491" s="136"/>
      <c r="F491" s="136"/>
      <c r="G491" s="134"/>
      <c r="H491" s="134"/>
      <c r="I491" s="137"/>
      <c r="J491" s="137"/>
      <c r="K491" s="134"/>
      <c r="L491" s="137"/>
      <c r="M491" s="134"/>
      <c r="N491" s="137"/>
    </row>
    <row r="492">
      <c r="A492" s="134"/>
      <c r="B492" s="134"/>
      <c r="C492" s="134"/>
      <c r="D492" s="135"/>
      <c r="E492" s="136"/>
      <c r="F492" s="136"/>
      <c r="G492" s="134"/>
      <c r="H492" s="134"/>
      <c r="I492" s="137"/>
      <c r="J492" s="137"/>
      <c r="K492" s="134"/>
      <c r="L492" s="137"/>
      <c r="M492" s="134"/>
      <c r="N492" s="137"/>
    </row>
    <row r="493">
      <c r="A493" s="134"/>
      <c r="B493" s="134"/>
      <c r="C493" s="134"/>
      <c r="D493" s="135"/>
      <c r="E493" s="136"/>
      <c r="F493" s="136"/>
      <c r="G493" s="134"/>
      <c r="H493" s="134"/>
      <c r="I493" s="137"/>
      <c r="J493" s="137"/>
      <c r="K493" s="134"/>
      <c r="L493" s="137"/>
      <c r="M493" s="134"/>
      <c r="N493" s="137"/>
    </row>
    <row r="494">
      <c r="A494" s="134"/>
      <c r="B494" s="134"/>
      <c r="C494" s="134"/>
      <c r="D494" s="135"/>
      <c r="E494" s="136"/>
      <c r="F494" s="136"/>
      <c r="G494" s="134"/>
      <c r="H494" s="134"/>
      <c r="I494" s="137"/>
      <c r="J494" s="137"/>
      <c r="K494" s="134"/>
      <c r="L494" s="137"/>
      <c r="M494" s="134"/>
      <c r="N494" s="137"/>
    </row>
    <row r="495">
      <c r="A495" s="134"/>
      <c r="B495" s="134"/>
      <c r="C495" s="134"/>
      <c r="D495" s="135"/>
      <c r="E495" s="136"/>
      <c r="F495" s="136"/>
      <c r="G495" s="134"/>
      <c r="H495" s="134"/>
      <c r="I495" s="137"/>
      <c r="J495" s="137"/>
      <c r="K495" s="134"/>
      <c r="L495" s="137"/>
      <c r="M495" s="134"/>
      <c r="N495" s="137"/>
    </row>
    <row r="496">
      <c r="A496" s="134"/>
      <c r="B496" s="134"/>
      <c r="C496" s="134"/>
      <c r="D496" s="135"/>
      <c r="E496" s="136"/>
      <c r="F496" s="136"/>
      <c r="G496" s="134"/>
      <c r="H496" s="134"/>
      <c r="I496" s="137"/>
      <c r="J496" s="137"/>
      <c r="K496" s="134"/>
      <c r="L496" s="137"/>
      <c r="M496" s="134"/>
      <c r="N496" s="137"/>
    </row>
    <row r="497">
      <c r="A497" s="134"/>
      <c r="B497" s="134"/>
      <c r="C497" s="134"/>
      <c r="D497" s="135"/>
      <c r="E497" s="136"/>
      <c r="F497" s="136"/>
      <c r="G497" s="134"/>
      <c r="H497" s="134"/>
      <c r="I497" s="137"/>
      <c r="J497" s="137"/>
      <c r="K497" s="134"/>
      <c r="L497" s="137"/>
      <c r="M497" s="134"/>
      <c r="N497" s="137"/>
    </row>
    <row r="498">
      <c r="A498" s="134"/>
      <c r="B498" s="134"/>
      <c r="C498" s="134"/>
      <c r="D498" s="135"/>
      <c r="E498" s="136"/>
      <c r="F498" s="136"/>
      <c r="G498" s="134"/>
      <c r="H498" s="134"/>
      <c r="I498" s="137"/>
      <c r="J498" s="137"/>
      <c r="K498" s="134"/>
      <c r="L498" s="137"/>
      <c r="M498" s="134"/>
      <c r="N498" s="137"/>
    </row>
    <row r="499">
      <c r="A499" s="134"/>
      <c r="B499" s="134"/>
      <c r="C499" s="134"/>
      <c r="D499" s="135"/>
      <c r="E499" s="136"/>
      <c r="F499" s="136"/>
      <c r="G499" s="134"/>
      <c r="H499" s="134"/>
      <c r="I499" s="137"/>
      <c r="J499" s="137"/>
      <c r="K499" s="134"/>
      <c r="L499" s="137"/>
      <c r="M499" s="134"/>
      <c r="N499" s="137"/>
    </row>
    <row r="500">
      <c r="A500" s="134"/>
      <c r="B500" s="134"/>
      <c r="C500" s="134"/>
      <c r="D500" s="135"/>
      <c r="E500" s="136"/>
      <c r="F500" s="136"/>
      <c r="G500" s="134"/>
      <c r="H500" s="134"/>
      <c r="I500" s="137"/>
      <c r="J500" s="137"/>
      <c r="K500" s="134"/>
      <c r="L500" s="137"/>
      <c r="M500" s="134"/>
      <c r="N500" s="137"/>
    </row>
    <row r="501">
      <c r="A501" s="134"/>
      <c r="B501" s="134"/>
      <c r="C501" s="134"/>
      <c r="D501" s="135"/>
      <c r="E501" s="136"/>
      <c r="F501" s="136"/>
      <c r="G501" s="134"/>
      <c r="H501" s="134"/>
      <c r="I501" s="137"/>
      <c r="J501" s="137"/>
      <c r="K501" s="134"/>
      <c r="L501" s="137"/>
      <c r="M501" s="134"/>
      <c r="N501" s="137"/>
    </row>
    <row r="502">
      <c r="A502" s="134"/>
      <c r="B502" s="134"/>
      <c r="C502" s="134"/>
      <c r="D502" s="135"/>
      <c r="E502" s="136"/>
      <c r="F502" s="136"/>
      <c r="G502" s="134"/>
      <c r="H502" s="134"/>
      <c r="I502" s="137"/>
      <c r="J502" s="137"/>
      <c r="K502" s="134"/>
      <c r="L502" s="137"/>
      <c r="M502" s="134"/>
      <c r="N502" s="137"/>
    </row>
    <row r="503">
      <c r="A503" s="134"/>
      <c r="B503" s="134"/>
      <c r="C503" s="134"/>
      <c r="D503" s="135"/>
      <c r="E503" s="136"/>
      <c r="F503" s="136"/>
      <c r="G503" s="134"/>
      <c r="H503" s="134"/>
      <c r="I503" s="137"/>
      <c r="J503" s="137"/>
      <c r="K503" s="134"/>
      <c r="L503" s="137"/>
      <c r="M503" s="134"/>
      <c r="N503" s="137"/>
    </row>
    <row r="504">
      <c r="A504" s="134"/>
      <c r="B504" s="134"/>
      <c r="C504" s="134"/>
      <c r="D504" s="135"/>
      <c r="E504" s="136"/>
      <c r="F504" s="136"/>
      <c r="G504" s="134"/>
      <c r="H504" s="134"/>
      <c r="I504" s="137"/>
      <c r="J504" s="137"/>
      <c r="K504" s="134"/>
      <c r="L504" s="137"/>
      <c r="M504" s="134"/>
      <c r="N504" s="137"/>
    </row>
    <row r="505">
      <c r="A505" s="134"/>
      <c r="B505" s="134"/>
      <c r="C505" s="134"/>
      <c r="D505" s="135"/>
      <c r="E505" s="136"/>
      <c r="F505" s="136"/>
      <c r="G505" s="134"/>
      <c r="H505" s="134"/>
      <c r="I505" s="137"/>
      <c r="J505" s="137"/>
      <c r="K505" s="134"/>
      <c r="L505" s="137"/>
      <c r="M505" s="134"/>
      <c r="N505" s="137"/>
    </row>
    <row r="506">
      <c r="A506" s="134"/>
      <c r="B506" s="134"/>
      <c r="C506" s="134"/>
      <c r="D506" s="135"/>
      <c r="E506" s="136"/>
      <c r="F506" s="136"/>
      <c r="G506" s="134"/>
      <c r="H506" s="134"/>
      <c r="I506" s="137"/>
      <c r="J506" s="137"/>
      <c r="K506" s="134"/>
      <c r="L506" s="137"/>
      <c r="M506" s="134"/>
      <c r="N506" s="137"/>
    </row>
    <row r="507">
      <c r="A507" s="134"/>
      <c r="B507" s="134"/>
      <c r="C507" s="134"/>
      <c r="D507" s="135"/>
      <c r="E507" s="136"/>
      <c r="F507" s="136"/>
      <c r="G507" s="134"/>
      <c r="H507" s="134"/>
      <c r="I507" s="137"/>
      <c r="J507" s="137"/>
      <c r="K507" s="134"/>
      <c r="L507" s="137"/>
      <c r="M507" s="134"/>
      <c r="N507" s="137"/>
    </row>
    <row r="508">
      <c r="A508" s="134"/>
      <c r="B508" s="134"/>
      <c r="C508" s="134"/>
      <c r="D508" s="135"/>
      <c r="E508" s="136"/>
      <c r="F508" s="136"/>
      <c r="G508" s="134"/>
      <c r="H508" s="134"/>
      <c r="I508" s="137"/>
      <c r="J508" s="137"/>
      <c r="K508" s="134"/>
      <c r="L508" s="137"/>
      <c r="M508" s="134"/>
      <c r="N508" s="137"/>
    </row>
    <row r="509">
      <c r="A509" s="134"/>
      <c r="B509" s="134"/>
      <c r="C509" s="134"/>
      <c r="D509" s="135"/>
      <c r="E509" s="136"/>
      <c r="F509" s="136"/>
      <c r="G509" s="134"/>
      <c r="H509" s="134"/>
      <c r="I509" s="137"/>
      <c r="J509" s="137"/>
      <c r="K509" s="134"/>
      <c r="L509" s="137"/>
      <c r="M509" s="134"/>
      <c r="N509" s="137"/>
    </row>
    <row r="510">
      <c r="A510" s="134"/>
      <c r="B510" s="134"/>
      <c r="C510" s="134"/>
      <c r="D510" s="135"/>
      <c r="E510" s="136"/>
      <c r="F510" s="136"/>
      <c r="G510" s="134"/>
      <c r="H510" s="134"/>
      <c r="I510" s="137"/>
      <c r="J510" s="137"/>
      <c r="K510" s="134"/>
      <c r="L510" s="137"/>
      <c r="M510" s="134"/>
      <c r="N510" s="137"/>
    </row>
    <row r="511">
      <c r="A511" s="134"/>
      <c r="B511" s="134"/>
      <c r="C511" s="134"/>
      <c r="D511" s="135"/>
      <c r="E511" s="136"/>
      <c r="F511" s="136"/>
      <c r="G511" s="134"/>
      <c r="H511" s="134"/>
      <c r="I511" s="137"/>
      <c r="J511" s="137"/>
      <c r="K511" s="134"/>
      <c r="L511" s="137"/>
      <c r="M511" s="134"/>
      <c r="N511" s="137"/>
    </row>
    <row r="512">
      <c r="A512" s="134"/>
      <c r="B512" s="134"/>
      <c r="C512" s="134"/>
      <c r="D512" s="135"/>
      <c r="E512" s="136"/>
      <c r="F512" s="136"/>
      <c r="G512" s="134"/>
      <c r="H512" s="134"/>
      <c r="I512" s="137"/>
      <c r="J512" s="137"/>
      <c r="K512" s="134"/>
      <c r="L512" s="137"/>
      <c r="M512" s="134"/>
      <c r="N512" s="137"/>
    </row>
    <row r="513">
      <c r="A513" s="134"/>
      <c r="B513" s="134"/>
      <c r="C513" s="134"/>
      <c r="D513" s="135"/>
      <c r="E513" s="136"/>
      <c r="F513" s="136"/>
      <c r="G513" s="134"/>
      <c r="H513" s="134"/>
      <c r="I513" s="137"/>
      <c r="J513" s="137"/>
      <c r="K513" s="134"/>
      <c r="L513" s="137"/>
      <c r="M513" s="134"/>
      <c r="N513" s="137"/>
    </row>
    <row r="514">
      <c r="A514" s="134"/>
      <c r="B514" s="134"/>
      <c r="C514" s="134"/>
      <c r="D514" s="135"/>
      <c r="E514" s="136"/>
      <c r="F514" s="136"/>
      <c r="G514" s="134"/>
      <c r="H514" s="134"/>
      <c r="I514" s="137"/>
      <c r="J514" s="137"/>
      <c r="K514" s="134"/>
      <c r="L514" s="137"/>
      <c r="M514" s="134"/>
      <c r="N514" s="137"/>
    </row>
    <row r="515">
      <c r="A515" s="134"/>
      <c r="B515" s="134"/>
      <c r="C515" s="134"/>
      <c r="D515" s="135"/>
      <c r="E515" s="136"/>
      <c r="F515" s="136"/>
      <c r="G515" s="134"/>
      <c r="H515" s="134"/>
      <c r="I515" s="137"/>
      <c r="J515" s="137"/>
      <c r="K515" s="134"/>
      <c r="L515" s="137"/>
      <c r="M515" s="134"/>
      <c r="N515" s="137"/>
    </row>
    <row r="516">
      <c r="A516" s="134"/>
      <c r="B516" s="134"/>
      <c r="C516" s="134"/>
      <c r="D516" s="135"/>
      <c r="E516" s="136"/>
      <c r="F516" s="136"/>
      <c r="G516" s="134"/>
      <c r="H516" s="134"/>
      <c r="I516" s="137"/>
      <c r="J516" s="137"/>
      <c r="K516" s="134"/>
      <c r="L516" s="137"/>
      <c r="M516" s="134"/>
      <c r="N516" s="137"/>
    </row>
    <row r="517">
      <c r="A517" s="134"/>
      <c r="B517" s="134"/>
      <c r="C517" s="134"/>
      <c r="D517" s="135"/>
      <c r="E517" s="136"/>
      <c r="F517" s="136"/>
      <c r="G517" s="134"/>
      <c r="H517" s="134"/>
      <c r="I517" s="137"/>
      <c r="J517" s="137"/>
      <c r="K517" s="134"/>
      <c r="L517" s="137"/>
      <c r="M517" s="134"/>
      <c r="N517" s="137"/>
    </row>
    <row r="518">
      <c r="A518" s="134"/>
      <c r="B518" s="134"/>
      <c r="C518" s="134"/>
      <c r="D518" s="135"/>
      <c r="E518" s="136"/>
      <c r="F518" s="136"/>
      <c r="G518" s="134"/>
      <c r="H518" s="134"/>
      <c r="I518" s="137"/>
      <c r="J518" s="137"/>
      <c r="K518" s="134"/>
      <c r="L518" s="137"/>
      <c r="M518" s="134"/>
      <c r="N518" s="137"/>
    </row>
    <row r="519">
      <c r="A519" s="134"/>
      <c r="B519" s="134"/>
      <c r="C519" s="134"/>
      <c r="D519" s="135"/>
      <c r="E519" s="136"/>
      <c r="F519" s="136"/>
      <c r="G519" s="134"/>
      <c r="H519" s="134"/>
      <c r="I519" s="137"/>
      <c r="J519" s="137"/>
      <c r="K519" s="134"/>
      <c r="L519" s="137"/>
      <c r="M519" s="134"/>
      <c r="N519" s="137"/>
    </row>
    <row r="520">
      <c r="A520" s="134"/>
      <c r="B520" s="134"/>
      <c r="C520" s="134"/>
      <c r="D520" s="135"/>
      <c r="E520" s="136"/>
      <c r="F520" s="136"/>
      <c r="G520" s="134"/>
      <c r="H520" s="134"/>
      <c r="I520" s="137"/>
      <c r="J520" s="137"/>
      <c r="K520" s="134"/>
      <c r="L520" s="137"/>
      <c r="M520" s="134"/>
      <c r="N520" s="137"/>
    </row>
    <row r="521">
      <c r="A521" s="134"/>
      <c r="B521" s="134"/>
      <c r="C521" s="134"/>
      <c r="D521" s="135"/>
      <c r="E521" s="136"/>
      <c r="F521" s="136"/>
      <c r="G521" s="134"/>
      <c r="H521" s="134"/>
      <c r="I521" s="137"/>
      <c r="J521" s="137"/>
      <c r="K521" s="134"/>
      <c r="L521" s="137"/>
      <c r="M521" s="134"/>
      <c r="N521" s="137"/>
    </row>
    <row r="522">
      <c r="A522" s="134"/>
      <c r="B522" s="134"/>
      <c r="C522" s="134"/>
      <c r="D522" s="135"/>
      <c r="E522" s="136"/>
      <c r="F522" s="136"/>
      <c r="G522" s="134"/>
      <c r="H522" s="134"/>
      <c r="I522" s="137"/>
      <c r="J522" s="137"/>
      <c r="K522" s="134"/>
      <c r="L522" s="137"/>
      <c r="M522" s="134"/>
      <c r="N522" s="137"/>
    </row>
    <row r="523">
      <c r="A523" s="134"/>
      <c r="B523" s="134"/>
      <c r="C523" s="134"/>
      <c r="D523" s="135"/>
      <c r="E523" s="136"/>
      <c r="F523" s="136"/>
      <c r="G523" s="134"/>
      <c r="H523" s="134"/>
      <c r="I523" s="137"/>
      <c r="J523" s="137"/>
      <c r="K523" s="134"/>
      <c r="L523" s="137"/>
      <c r="M523" s="134"/>
      <c r="N523" s="137"/>
    </row>
    <row r="524">
      <c r="A524" s="134"/>
      <c r="B524" s="134"/>
      <c r="C524" s="134"/>
      <c r="D524" s="135"/>
      <c r="E524" s="136"/>
      <c r="F524" s="136"/>
      <c r="G524" s="134"/>
      <c r="H524" s="134"/>
      <c r="I524" s="137"/>
      <c r="J524" s="137"/>
      <c r="K524" s="134"/>
      <c r="L524" s="137"/>
      <c r="M524" s="134"/>
      <c r="N524" s="137"/>
    </row>
    <row r="525">
      <c r="A525" s="134"/>
      <c r="B525" s="134"/>
      <c r="C525" s="134"/>
      <c r="D525" s="135"/>
      <c r="E525" s="136"/>
      <c r="F525" s="136"/>
      <c r="G525" s="134"/>
      <c r="H525" s="134"/>
      <c r="I525" s="137"/>
      <c r="J525" s="137"/>
      <c r="K525" s="134"/>
      <c r="L525" s="137"/>
      <c r="M525" s="134"/>
      <c r="N525" s="137"/>
    </row>
    <row r="526">
      <c r="A526" s="134"/>
      <c r="B526" s="134"/>
      <c r="C526" s="134"/>
      <c r="D526" s="135"/>
      <c r="E526" s="136"/>
      <c r="F526" s="136"/>
      <c r="G526" s="134"/>
      <c r="H526" s="134"/>
      <c r="I526" s="137"/>
      <c r="J526" s="137"/>
      <c r="K526" s="134"/>
      <c r="L526" s="137"/>
      <c r="M526" s="134"/>
      <c r="N526" s="137"/>
    </row>
    <row r="527">
      <c r="A527" s="134"/>
      <c r="B527" s="134"/>
      <c r="C527" s="134"/>
      <c r="D527" s="135"/>
      <c r="E527" s="136"/>
      <c r="F527" s="136"/>
      <c r="G527" s="134"/>
      <c r="H527" s="134"/>
      <c r="I527" s="137"/>
      <c r="J527" s="137"/>
      <c r="K527" s="134"/>
      <c r="L527" s="137"/>
      <c r="M527" s="134"/>
      <c r="N527" s="137"/>
    </row>
    <row r="528">
      <c r="A528" s="134"/>
      <c r="B528" s="134"/>
      <c r="C528" s="134"/>
      <c r="D528" s="135"/>
      <c r="E528" s="136"/>
      <c r="F528" s="136"/>
      <c r="G528" s="134"/>
      <c r="H528" s="134"/>
      <c r="I528" s="137"/>
      <c r="J528" s="137"/>
      <c r="K528" s="134"/>
      <c r="L528" s="137"/>
      <c r="M528" s="134"/>
      <c r="N528" s="137"/>
    </row>
    <row r="529">
      <c r="A529" s="134"/>
      <c r="B529" s="134"/>
      <c r="C529" s="134"/>
      <c r="D529" s="135"/>
      <c r="E529" s="136"/>
      <c r="F529" s="136"/>
      <c r="G529" s="134"/>
      <c r="H529" s="134"/>
      <c r="I529" s="137"/>
      <c r="J529" s="137"/>
      <c r="K529" s="134"/>
      <c r="L529" s="137"/>
      <c r="M529" s="134"/>
      <c r="N529" s="137"/>
    </row>
    <row r="530">
      <c r="A530" s="134"/>
      <c r="B530" s="134"/>
      <c r="C530" s="134"/>
      <c r="D530" s="135"/>
      <c r="E530" s="136"/>
      <c r="F530" s="136"/>
      <c r="G530" s="134"/>
      <c r="H530" s="134"/>
      <c r="I530" s="137"/>
      <c r="J530" s="137"/>
      <c r="K530" s="134"/>
      <c r="L530" s="137"/>
      <c r="M530" s="134"/>
      <c r="N530" s="137"/>
    </row>
    <row r="531">
      <c r="A531" s="134"/>
      <c r="B531" s="134"/>
      <c r="C531" s="134"/>
      <c r="D531" s="135"/>
      <c r="E531" s="136"/>
      <c r="F531" s="136"/>
      <c r="G531" s="134"/>
      <c r="H531" s="134"/>
      <c r="I531" s="137"/>
      <c r="J531" s="137"/>
      <c r="K531" s="134"/>
      <c r="L531" s="137"/>
      <c r="M531" s="134"/>
      <c r="N531" s="137"/>
    </row>
    <row r="532">
      <c r="A532" s="134"/>
      <c r="B532" s="134"/>
      <c r="C532" s="134"/>
      <c r="D532" s="135"/>
      <c r="E532" s="136"/>
      <c r="F532" s="136"/>
      <c r="G532" s="134"/>
      <c r="H532" s="134"/>
      <c r="I532" s="137"/>
      <c r="J532" s="137"/>
      <c r="K532" s="134"/>
      <c r="L532" s="137"/>
      <c r="M532" s="134"/>
      <c r="N532" s="137"/>
    </row>
    <row r="533">
      <c r="A533" s="134"/>
      <c r="B533" s="134"/>
      <c r="C533" s="134"/>
      <c r="D533" s="135"/>
      <c r="E533" s="136"/>
      <c r="F533" s="136"/>
      <c r="G533" s="134"/>
      <c r="H533" s="134"/>
      <c r="I533" s="137"/>
      <c r="J533" s="137"/>
      <c r="K533" s="134"/>
      <c r="L533" s="137"/>
      <c r="M533" s="134"/>
      <c r="N533" s="137"/>
    </row>
    <row r="534">
      <c r="A534" s="134"/>
      <c r="B534" s="134"/>
      <c r="C534" s="134"/>
      <c r="D534" s="135"/>
      <c r="E534" s="136"/>
      <c r="F534" s="136"/>
      <c r="G534" s="134"/>
      <c r="H534" s="134"/>
      <c r="I534" s="137"/>
      <c r="J534" s="137"/>
      <c r="K534" s="134"/>
      <c r="L534" s="137"/>
      <c r="M534" s="134"/>
      <c r="N534" s="137"/>
    </row>
    <row r="535">
      <c r="A535" s="134"/>
      <c r="B535" s="134"/>
      <c r="C535" s="134"/>
      <c r="D535" s="135"/>
      <c r="E535" s="136"/>
      <c r="F535" s="136"/>
      <c r="G535" s="134"/>
      <c r="H535" s="134"/>
      <c r="I535" s="137"/>
      <c r="J535" s="137"/>
      <c r="K535" s="134"/>
      <c r="L535" s="137"/>
      <c r="M535" s="134"/>
      <c r="N535" s="137"/>
    </row>
    <row r="536">
      <c r="A536" s="134"/>
      <c r="B536" s="134"/>
      <c r="C536" s="134"/>
      <c r="D536" s="135"/>
      <c r="E536" s="136"/>
      <c r="F536" s="136"/>
      <c r="G536" s="134"/>
      <c r="H536" s="134"/>
      <c r="I536" s="137"/>
      <c r="J536" s="137"/>
      <c r="K536" s="134"/>
      <c r="L536" s="137"/>
      <c r="M536" s="134"/>
      <c r="N536" s="137"/>
    </row>
    <row r="537">
      <c r="A537" s="134"/>
      <c r="B537" s="134"/>
      <c r="C537" s="134"/>
      <c r="D537" s="135"/>
      <c r="E537" s="136"/>
      <c r="F537" s="136"/>
      <c r="G537" s="134"/>
      <c r="H537" s="134"/>
      <c r="I537" s="137"/>
      <c r="J537" s="137"/>
      <c r="K537" s="134"/>
      <c r="L537" s="137"/>
      <c r="M537" s="134"/>
      <c r="N537" s="137"/>
    </row>
    <row r="538">
      <c r="A538" s="134"/>
      <c r="B538" s="134"/>
      <c r="C538" s="134"/>
      <c r="D538" s="135"/>
      <c r="E538" s="136"/>
      <c r="F538" s="136"/>
      <c r="G538" s="134"/>
      <c r="H538" s="134"/>
      <c r="I538" s="137"/>
      <c r="J538" s="137"/>
      <c r="K538" s="134"/>
      <c r="L538" s="137"/>
      <c r="M538" s="134"/>
      <c r="N538" s="137"/>
    </row>
    <row r="539">
      <c r="A539" s="134"/>
      <c r="B539" s="134"/>
      <c r="C539" s="134"/>
      <c r="D539" s="135"/>
      <c r="E539" s="136"/>
      <c r="F539" s="136"/>
      <c r="G539" s="134"/>
      <c r="H539" s="134"/>
      <c r="I539" s="137"/>
      <c r="J539" s="137"/>
      <c r="K539" s="134"/>
      <c r="L539" s="137"/>
      <c r="M539" s="134"/>
      <c r="N539" s="137"/>
    </row>
    <row r="540">
      <c r="A540" s="134"/>
      <c r="B540" s="134"/>
      <c r="C540" s="134"/>
      <c r="D540" s="135"/>
      <c r="E540" s="136"/>
      <c r="F540" s="136"/>
      <c r="G540" s="134"/>
      <c r="H540" s="134"/>
      <c r="I540" s="137"/>
      <c r="J540" s="137"/>
      <c r="K540" s="134"/>
      <c r="L540" s="137"/>
      <c r="M540" s="134"/>
      <c r="N540" s="137"/>
    </row>
    <row r="541">
      <c r="A541" s="134"/>
      <c r="B541" s="134"/>
      <c r="C541" s="134"/>
      <c r="D541" s="135"/>
      <c r="E541" s="136"/>
      <c r="F541" s="136"/>
      <c r="G541" s="134"/>
      <c r="H541" s="134"/>
      <c r="I541" s="137"/>
      <c r="J541" s="137"/>
      <c r="K541" s="134"/>
      <c r="L541" s="137"/>
      <c r="M541" s="134"/>
      <c r="N541" s="137"/>
    </row>
    <row r="542">
      <c r="A542" s="134"/>
      <c r="B542" s="134"/>
      <c r="C542" s="134"/>
      <c r="D542" s="135"/>
      <c r="E542" s="136"/>
      <c r="F542" s="136"/>
      <c r="G542" s="134"/>
      <c r="H542" s="134"/>
      <c r="I542" s="137"/>
      <c r="J542" s="137"/>
      <c r="K542" s="134"/>
      <c r="L542" s="137"/>
      <c r="M542" s="134"/>
      <c r="N542" s="137"/>
    </row>
    <row r="543">
      <c r="A543" s="134"/>
      <c r="B543" s="134"/>
      <c r="C543" s="134"/>
      <c r="D543" s="135"/>
      <c r="E543" s="136"/>
      <c r="F543" s="136"/>
      <c r="G543" s="134"/>
      <c r="H543" s="134"/>
      <c r="I543" s="137"/>
      <c r="J543" s="137"/>
      <c r="K543" s="134"/>
      <c r="L543" s="137"/>
      <c r="M543" s="134"/>
      <c r="N543" s="137"/>
    </row>
    <row r="544">
      <c r="A544" s="134"/>
      <c r="B544" s="134"/>
      <c r="C544" s="134"/>
      <c r="D544" s="135"/>
      <c r="E544" s="136"/>
      <c r="F544" s="136"/>
      <c r="G544" s="134"/>
      <c r="H544" s="134"/>
      <c r="I544" s="137"/>
      <c r="J544" s="137"/>
      <c r="K544" s="134"/>
      <c r="L544" s="137"/>
      <c r="M544" s="134"/>
      <c r="N544" s="137"/>
    </row>
    <row r="545">
      <c r="A545" s="134"/>
      <c r="B545" s="134"/>
      <c r="C545" s="134"/>
      <c r="D545" s="135"/>
      <c r="E545" s="136"/>
      <c r="F545" s="136"/>
      <c r="G545" s="134"/>
      <c r="H545" s="134"/>
      <c r="I545" s="137"/>
      <c r="J545" s="137"/>
      <c r="K545" s="134"/>
      <c r="L545" s="137"/>
      <c r="M545" s="134"/>
      <c r="N545" s="137"/>
    </row>
    <row r="546">
      <c r="A546" s="134"/>
      <c r="B546" s="134"/>
      <c r="C546" s="134"/>
      <c r="D546" s="135"/>
      <c r="E546" s="136"/>
      <c r="F546" s="136"/>
      <c r="G546" s="134"/>
      <c r="H546" s="134"/>
      <c r="I546" s="137"/>
      <c r="J546" s="137"/>
      <c r="K546" s="134"/>
      <c r="L546" s="137"/>
      <c r="M546" s="134"/>
      <c r="N546" s="137"/>
    </row>
    <row r="547">
      <c r="A547" s="134"/>
      <c r="B547" s="134"/>
      <c r="C547" s="134"/>
      <c r="D547" s="135"/>
      <c r="E547" s="136"/>
      <c r="F547" s="136"/>
      <c r="G547" s="134"/>
      <c r="H547" s="134"/>
      <c r="I547" s="137"/>
      <c r="J547" s="137"/>
      <c r="K547" s="134"/>
      <c r="L547" s="137"/>
      <c r="M547" s="134"/>
      <c r="N547" s="137"/>
    </row>
    <row r="548">
      <c r="A548" s="134"/>
      <c r="B548" s="134"/>
      <c r="C548" s="134"/>
      <c r="D548" s="135"/>
      <c r="E548" s="136"/>
      <c r="F548" s="136"/>
      <c r="G548" s="134"/>
      <c r="H548" s="134"/>
      <c r="I548" s="137"/>
      <c r="J548" s="137"/>
      <c r="K548" s="134"/>
      <c r="L548" s="137"/>
      <c r="M548" s="134"/>
      <c r="N548" s="137"/>
    </row>
    <row r="549">
      <c r="A549" s="134"/>
      <c r="B549" s="134"/>
      <c r="C549" s="134"/>
      <c r="D549" s="135"/>
      <c r="E549" s="136"/>
      <c r="F549" s="136"/>
      <c r="G549" s="134"/>
      <c r="H549" s="134"/>
      <c r="I549" s="137"/>
      <c r="J549" s="137"/>
      <c r="K549" s="134"/>
      <c r="L549" s="137"/>
      <c r="M549" s="134"/>
      <c r="N549" s="137"/>
    </row>
    <row r="550">
      <c r="A550" s="134"/>
      <c r="B550" s="134"/>
      <c r="C550" s="134"/>
      <c r="D550" s="135"/>
      <c r="E550" s="136"/>
      <c r="F550" s="136"/>
      <c r="G550" s="134"/>
      <c r="H550" s="134"/>
      <c r="I550" s="137"/>
      <c r="J550" s="137"/>
      <c r="K550" s="134"/>
      <c r="L550" s="137"/>
      <c r="M550" s="134"/>
      <c r="N550" s="137"/>
    </row>
    <row r="551">
      <c r="A551" s="134"/>
      <c r="B551" s="134"/>
      <c r="C551" s="134"/>
      <c r="D551" s="135"/>
      <c r="E551" s="136"/>
      <c r="F551" s="136"/>
      <c r="G551" s="134"/>
      <c r="H551" s="134"/>
      <c r="I551" s="137"/>
      <c r="J551" s="137"/>
      <c r="K551" s="134"/>
      <c r="L551" s="137"/>
      <c r="M551" s="134"/>
      <c r="N551" s="137"/>
    </row>
    <row r="552">
      <c r="A552" s="134"/>
      <c r="B552" s="134"/>
      <c r="C552" s="134"/>
      <c r="D552" s="135"/>
      <c r="E552" s="136"/>
      <c r="F552" s="136"/>
      <c r="G552" s="134"/>
      <c r="H552" s="134"/>
      <c r="I552" s="137"/>
      <c r="J552" s="137"/>
      <c r="K552" s="134"/>
      <c r="L552" s="137"/>
      <c r="M552" s="134"/>
      <c r="N552" s="137"/>
    </row>
    <row r="553">
      <c r="A553" s="134"/>
      <c r="B553" s="134"/>
      <c r="C553" s="134"/>
      <c r="D553" s="135"/>
      <c r="E553" s="136"/>
      <c r="F553" s="136"/>
      <c r="G553" s="134"/>
      <c r="H553" s="134"/>
      <c r="I553" s="137"/>
      <c r="J553" s="137"/>
      <c r="K553" s="134"/>
      <c r="L553" s="137"/>
      <c r="M553" s="134"/>
      <c r="N553" s="137"/>
    </row>
    <row r="554">
      <c r="A554" s="134"/>
      <c r="B554" s="134"/>
      <c r="C554" s="134"/>
      <c r="D554" s="135"/>
      <c r="E554" s="136"/>
      <c r="F554" s="136"/>
      <c r="G554" s="134"/>
      <c r="H554" s="134"/>
      <c r="I554" s="137"/>
      <c r="J554" s="137"/>
      <c r="K554" s="134"/>
      <c r="L554" s="137"/>
      <c r="M554" s="134"/>
      <c r="N554" s="137"/>
    </row>
    <row r="555">
      <c r="A555" s="134"/>
      <c r="B555" s="134"/>
      <c r="C555" s="134"/>
      <c r="D555" s="135"/>
      <c r="E555" s="136"/>
      <c r="F555" s="136"/>
      <c r="G555" s="134"/>
      <c r="H555" s="134"/>
      <c r="I555" s="137"/>
      <c r="J555" s="137"/>
      <c r="K555" s="134"/>
      <c r="L555" s="137"/>
      <c r="M555" s="134"/>
      <c r="N555" s="137"/>
    </row>
    <row r="556">
      <c r="A556" s="134"/>
      <c r="B556" s="134"/>
      <c r="C556" s="134"/>
      <c r="D556" s="135"/>
      <c r="E556" s="136"/>
      <c r="F556" s="136"/>
      <c r="G556" s="134"/>
      <c r="H556" s="134"/>
      <c r="I556" s="137"/>
      <c r="J556" s="137"/>
      <c r="K556" s="134"/>
      <c r="L556" s="137"/>
      <c r="M556" s="134"/>
      <c r="N556" s="137"/>
    </row>
    <row r="557">
      <c r="A557" s="134"/>
      <c r="B557" s="134"/>
      <c r="C557" s="134"/>
      <c r="D557" s="135"/>
      <c r="E557" s="136"/>
      <c r="F557" s="136"/>
      <c r="G557" s="134"/>
      <c r="H557" s="134"/>
      <c r="I557" s="137"/>
      <c r="J557" s="137"/>
      <c r="K557" s="134"/>
      <c r="L557" s="137"/>
      <c r="M557" s="134"/>
      <c r="N557" s="137"/>
    </row>
    <row r="558">
      <c r="A558" s="134"/>
      <c r="B558" s="134"/>
      <c r="C558" s="134"/>
      <c r="D558" s="135"/>
      <c r="E558" s="136"/>
      <c r="F558" s="136"/>
      <c r="G558" s="134"/>
      <c r="H558" s="134"/>
      <c r="I558" s="137"/>
      <c r="J558" s="137"/>
      <c r="K558" s="134"/>
      <c r="L558" s="137"/>
      <c r="M558" s="134"/>
      <c r="N558" s="137"/>
    </row>
    <row r="559">
      <c r="A559" s="134"/>
      <c r="B559" s="134"/>
      <c r="C559" s="134"/>
      <c r="D559" s="135"/>
      <c r="E559" s="136"/>
      <c r="F559" s="136"/>
      <c r="G559" s="134"/>
      <c r="H559" s="134"/>
      <c r="I559" s="137"/>
      <c r="J559" s="137"/>
      <c r="K559" s="134"/>
      <c r="L559" s="137"/>
      <c r="M559" s="134"/>
      <c r="N559" s="137"/>
    </row>
    <row r="560">
      <c r="A560" s="134"/>
      <c r="B560" s="134"/>
      <c r="C560" s="134"/>
      <c r="D560" s="135"/>
      <c r="E560" s="136"/>
      <c r="F560" s="136"/>
      <c r="G560" s="134"/>
      <c r="H560" s="134"/>
      <c r="I560" s="137"/>
      <c r="J560" s="137"/>
      <c r="K560" s="134"/>
      <c r="L560" s="137"/>
      <c r="M560" s="134"/>
      <c r="N560" s="137"/>
    </row>
    <row r="561">
      <c r="A561" s="134"/>
      <c r="B561" s="134"/>
      <c r="C561" s="134"/>
      <c r="D561" s="135"/>
      <c r="E561" s="136"/>
      <c r="F561" s="136"/>
      <c r="G561" s="134"/>
      <c r="H561" s="134"/>
      <c r="I561" s="137"/>
      <c r="J561" s="137"/>
      <c r="K561" s="134"/>
      <c r="L561" s="137"/>
      <c r="M561" s="134"/>
      <c r="N561" s="137"/>
    </row>
    <row r="562">
      <c r="A562" s="134"/>
      <c r="B562" s="134"/>
      <c r="C562" s="134"/>
      <c r="D562" s="135"/>
      <c r="E562" s="136"/>
      <c r="F562" s="136"/>
      <c r="G562" s="134"/>
      <c r="H562" s="134"/>
      <c r="I562" s="137"/>
      <c r="J562" s="137"/>
      <c r="K562" s="134"/>
      <c r="L562" s="137"/>
      <c r="M562" s="134"/>
      <c r="N562" s="137"/>
    </row>
    <row r="563">
      <c r="A563" s="134"/>
      <c r="B563" s="134"/>
      <c r="C563" s="134"/>
      <c r="D563" s="135"/>
      <c r="E563" s="136"/>
      <c r="F563" s="136"/>
      <c r="G563" s="134"/>
      <c r="H563" s="134"/>
      <c r="I563" s="137"/>
      <c r="J563" s="137"/>
      <c r="K563" s="134"/>
      <c r="L563" s="137"/>
      <c r="M563" s="134"/>
      <c r="N563" s="137"/>
    </row>
    <row r="564">
      <c r="A564" s="134"/>
      <c r="B564" s="134"/>
      <c r="C564" s="134"/>
      <c r="D564" s="135"/>
      <c r="E564" s="136"/>
      <c r="F564" s="136"/>
      <c r="G564" s="134"/>
      <c r="H564" s="134"/>
      <c r="I564" s="137"/>
      <c r="J564" s="137"/>
      <c r="K564" s="134"/>
      <c r="L564" s="137"/>
      <c r="M564" s="134"/>
      <c r="N564" s="137"/>
    </row>
    <row r="565">
      <c r="A565" s="134"/>
      <c r="B565" s="134"/>
      <c r="C565" s="134"/>
      <c r="D565" s="135"/>
      <c r="E565" s="136"/>
      <c r="F565" s="136"/>
      <c r="G565" s="134"/>
      <c r="H565" s="134"/>
      <c r="I565" s="137"/>
      <c r="J565" s="137"/>
      <c r="K565" s="134"/>
      <c r="L565" s="137"/>
      <c r="M565" s="134"/>
      <c r="N565" s="137"/>
    </row>
    <row r="566">
      <c r="A566" s="134"/>
      <c r="B566" s="134"/>
      <c r="C566" s="134"/>
      <c r="D566" s="135"/>
      <c r="E566" s="136"/>
      <c r="F566" s="136"/>
      <c r="G566" s="134"/>
      <c r="H566" s="134"/>
      <c r="I566" s="137"/>
      <c r="J566" s="137"/>
      <c r="K566" s="134"/>
      <c r="L566" s="137"/>
      <c r="M566" s="134"/>
      <c r="N566" s="137"/>
    </row>
    <row r="567">
      <c r="A567" s="134"/>
      <c r="B567" s="134"/>
      <c r="C567" s="134"/>
      <c r="D567" s="135"/>
      <c r="E567" s="136"/>
      <c r="F567" s="136"/>
      <c r="G567" s="134"/>
      <c r="H567" s="134"/>
      <c r="I567" s="137"/>
      <c r="J567" s="137"/>
      <c r="K567" s="134"/>
      <c r="L567" s="137"/>
      <c r="M567" s="134"/>
      <c r="N567" s="137"/>
    </row>
    <row r="568">
      <c r="A568" s="134"/>
      <c r="B568" s="134"/>
      <c r="C568" s="134"/>
      <c r="D568" s="135"/>
      <c r="E568" s="136"/>
      <c r="F568" s="136"/>
      <c r="G568" s="134"/>
      <c r="H568" s="134"/>
      <c r="I568" s="137"/>
      <c r="J568" s="137"/>
      <c r="K568" s="134"/>
      <c r="L568" s="137"/>
      <c r="M568" s="134"/>
      <c r="N568" s="137"/>
    </row>
    <row r="569">
      <c r="A569" s="134"/>
      <c r="B569" s="134"/>
      <c r="C569" s="134"/>
      <c r="D569" s="135"/>
      <c r="E569" s="136"/>
      <c r="F569" s="136"/>
      <c r="G569" s="134"/>
      <c r="H569" s="134"/>
      <c r="I569" s="137"/>
      <c r="J569" s="137"/>
      <c r="K569" s="134"/>
      <c r="L569" s="137"/>
      <c r="M569" s="134"/>
      <c r="N569" s="137"/>
    </row>
    <row r="570">
      <c r="A570" s="134"/>
      <c r="B570" s="134"/>
      <c r="C570" s="134"/>
      <c r="D570" s="135"/>
      <c r="E570" s="136"/>
      <c r="F570" s="136"/>
      <c r="G570" s="134"/>
      <c r="H570" s="134"/>
      <c r="I570" s="137"/>
      <c r="J570" s="137"/>
      <c r="K570" s="134"/>
      <c r="L570" s="137"/>
      <c r="M570" s="134"/>
      <c r="N570" s="137"/>
    </row>
    <row r="571">
      <c r="A571" s="134"/>
      <c r="B571" s="134"/>
      <c r="C571" s="134"/>
      <c r="D571" s="135"/>
      <c r="E571" s="136"/>
      <c r="F571" s="136"/>
      <c r="G571" s="134"/>
      <c r="H571" s="134"/>
      <c r="I571" s="137"/>
      <c r="J571" s="137"/>
      <c r="K571" s="134"/>
      <c r="L571" s="137"/>
      <c r="M571" s="134"/>
      <c r="N571" s="137"/>
    </row>
    <row r="572">
      <c r="A572" s="134"/>
      <c r="B572" s="134"/>
      <c r="C572" s="134"/>
      <c r="D572" s="135"/>
      <c r="E572" s="136"/>
      <c r="F572" s="136"/>
      <c r="G572" s="134"/>
      <c r="H572" s="134"/>
      <c r="I572" s="137"/>
      <c r="J572" s="137"/>
      <c r="K572" s="134"/>
      <c r="L572" s="137"/>
      <c r="M572" s="134"/>
      <c r="N572" s="137"/>
    </row>
    <row r="573">
      <c r="A573" s="134"/>
      <c r="B573" s="134"/>
      <c r="C573" s="134"/>
      <c r="D573" s="135"/>
      <c r="E573" s="136"/>
      <c r="F573" s="136"/>
      <c r="G573" s="134"/>
      <c r="H573" s="134"/>
      <c r="I573" s="137"/>
      <c r="J573" s="137"/>
      <c r="K573" s="134"/>
      <c r="L573" s="137"/>
      <c r="M573" s="134"/>
      <c r="N573" s="137"/>
    </row>
    <row r="574">
      <c r="A574" s="134"/>
      <c r="B574" s="134"/>
      <c r="C574" s="134"/>
      <c r="D574" s="135"/>
      <c r="E574" s="136"/>
      <c r="F574" s="136"/>
      <c r="G574" s="134"/>
      <c r="H574" s="134"/>
      <c r="I574" s="137"/>
      <c r="J574" s="137"/>
      <c r="K574" s="134"/>
      <c r="L574" s="137"/>
      <c r="M574" s="134"/>
      <c r="N574" s="137"/>
    </row>
    <row r="575">
      <c r="A575" s="134"/>
      <c r="B575" s="134"/>
      <c r="C575" s="134"/>
      <c r="D575" s="135"/>
      <c r="E575" s="136"/>
      <c r="F575" s="136"/>
      <c r="G575" s="134"/>
      <c r="H575" s="134"/>
      <c r="I575" s="137"/>
      <c r="J575" s="137"/>
      <c r="K575" s="134"/>
      <c r="L575" s="137"/>
      <c r="M575" s="134"/>
      <c r="N575" s="137"/>
    </row>
    <row r="576">
      <c r="A576" s="134"/>
      <c r="B576" s="134"/>
      <c r="C576" s="134"/>
      <c r="D576" s="135"/>
      <c r="E576" s="136"/>
      <c r="F576" s="136"/>
      <c r="G576" s="134"/>
      <c r="H576" s="134"/>
      <c r="I576" s="137"/>
      <c r="J576" s="137"/>
      <c r="K576" s="134"/>
      <c r="L576" s="137"/>
      <c r="M576" s="134"/>
      <c r="N576" s="137"/>
    </row>
    <row r="577">
      <c r="A577" s="134"/>
      <c r="B577" s="134"/>
      <c r="C577" s="134"/>
      <c r="D577" s="135"/>
      <c r="E577" s="136"/>
      <c r="F577" s="136"/>
      <c r="G577" s="134"/>
      <c r="H577" s="134"/>
      <c r="I577" s="137"/>
      <c r="J577" s="137"/>
      <c r="K577" s="134"/>
      <c r="L577" s="137"/>
      <c r="M577" s="134"/>
      <c r="N577" s="137"/>
    </row>
    <row r="578">
      <c r="A578" s="134"/>
      <c r="B578" s="134"/>
      <c r="C578" s="134"/>
      <c r="D578" s="135"/>
      <c r="E578" s="136"/>
      <c r="F578" s="136"/>
      <c r="G578" s="134"/>
      <c r="H578" s="134"/>
      <c r="I578" s="137"/>
      <c r="J578" s="137"/>
      <c r="K578" s="134"/>
      <c r="L578" s="137"/>
      <c r="M578" s="134"/>
      <c r="N578" s="137"/>
    </row>
    <row r="579">
      <c r="A579" s="134"/>
      <c r="B579" s="134"/>
      <c r="C579" s="134"/>
      <c r="D579" s="135"/>
      <c r="E579" s="136"/>
      <c r="F579" s="136"/>
      <c r="G579" s="134"/>
      <c r="H579" s="134"/>
      <c r="I579" s="137"/>
      <c r="J579" s="137"/>
      <c r="K579" s="134"/>
      <c r="L579" s="137"/>
      <c r="M579" s="134"/>
      <c r="N579" s="137"/>
    </row>
    <row r="580">
      <c r="A580" s="134"/>
      <c r="B580" s="134"/>
      <c r="C580" s="134"/>
      <c r="D580" s="135"/>
      <c r="E580" s="136"/>
      <c r="F580" s="136"/>
      <c r="G580" s="134"/>
      <c r="H580" s="134"/>
      <c r="I580" s="137"/>
      <c r="J580" s="137"/>
      <c r="K580" s="134"/>
      <c r="L580" s="137"/>
      <c r="M580" s="134"/>
      <c r="N580" s="137"/>
    </row>
    <row r="581">
      <c r="A581" s="134"/>
      <c r="B581" s="134"/>
      <c r="C581" s="134"/>
      <c r="D581" s="135"/>
      <c r="E581" s="136"/>
      <c r="F581" s="136"/>
      <c r="G581" s="134"/>
      <c r="H581" s="134"/>
      <c r="I581" s="137"/>
      <c r="J581" s="137"/>
      <c r="K581" s="134"/>
      <c r="L581" s="137"/>
      <c r="M581" s="134"/>
      <c r="N581" s="137"/>
    </row>
    <row r="582">
      <c r="A582" s="134"/>
      <c r="B582" s="134"/>
      <c r="C582" s="134"/>
      <c r="D582" s="135"/>
      <c r="E582" s="136"/>
      <c r="F582" s="136"/>
      <c r="G582" s="134"/>
      <c r="H582" s="134"/>
      <c r="I582" s="137"/>
      <c r="J582" s="137"/>
      <c r="K582" s="134"/>
      <c r="L582" s="137"/>
      <c r="M582" s="134"/>
      <c r="N582" s="137"/>
    </row>
    <row r="583">
      <c r="A583" s="134"/>
      <c r="B583" s="134"/>
      <c r="C583" s="134"/>
      <c r="D583" s="135"/>
      <c r="E583" s="136"/>
      <c r="F583" s="136"/>
      <c r="G583" s="134"/>
      <c r="H583" s="134"/>
      <c r="I583" s="137"/>
      <c r="J583" s="137"/>
      <c r="K583" s="134"/>
      <c r="L583" s="137"/>
      <c r="M583" s="134"/>
      <c r="N583" s="137"/>
    </row>
    <row r="584">
      <c r="A584" s="134"/>
      <c r="B584" s="134"/>
      <c r="C584" s="134"/>
      <c r="D584" s="135"/>
      <c r="E584" s="136"/>
      <c r="F584" s="136"/>
      <c r="G584" s="134"/>
      <c r="H584" s="134"/>
      <c r="I584" s="137"/>
      <c r="J584" s="137"/>
      <c r="K584" s="134"/>
      <c r="L584" s="137"/>
      <c r="M584" s="134"/>
      <c r="N584" s="137"/>
    </row>
    <row r="585">
      <c r="A585" s="134"/>
      <c r="B585" s="134"/>
      <c r="C585" s="134"/>
      <c r="D585" s="135"/>
      <c r="E585" s="136"/>
      <c r="F585" s="136"/>
      <c r="G585" s="134"/>
      <c r="H585" s="134"/>
      <c r="I585" s="137"/>
      <c r="J585" s="137"/>
      <c r="K585" s="134"/>
      <c r="L585" s="137"/>
      <c r="M585" s="134"/>
      <c r="N585" s="137"/>
    </row>
    <row r="586">
      <c r="A586" s="134"/>
      <c r="B586" s="134"/>
      <c r="C586" s="134"/>
      <c r="D586" s="135"/>
      <c r="E586" s="136"/>
      <c r="F586" s="136"/>
      <c r="G586" s="134"/>
      <c r="H586" s="134"/>
      <c r="I586" s="137"/>
      <c r="J586" s="137"/>
      <c r="K586" s="134"/>
      <c r="L586" s="137"/>
      <c r="M586" s="134"/>
      <c r="N586" s="137"/>
    </row>
    <row r="587">
      <c r="A587" s="134"/>
      <c r="B587" s="134"/>
      <c r="C587" s="134"/>
      <c r="D587" s="135"/>
      <c r="E587" s="136"/>
      <c r="F587" s="136"/>
      <c r="G587" s="134"/>
      <c r="H587" s="134"/>
      <c r="I587" s="137"/>
      <c r="J587" s="137"/>
      <c r="K587" s="134"/>
      <c r="L587" s="137"/>
      <c r="M587" s="134"/>
      <c r="N587" s="137"/>
    </row>
    <row r="588">
      <c r="A588" s="134"/>
      <c r="B588" s="134"/>
      <c r="C588" s="134"/>
      <c r="D588" s="135"/>
      <c r="E588" s="136"/>
      <c r="F588" s="136"/>
      <c r="G588" s="134"/>
      <c r="H588" s="134"/>
      <c r="I588" s="137"/>
      <c r="J588" s="137"/>
      <c r="K588" s="134"/>
      <c r="L588" s="137"/>
      <c r="M588" s="134"/>
      <c r="N588" s="137"/>
    </row>
    <row r="589">
      <c r="A589" s="134"/>
      <c r="B589" s="134"/>
      <c r="C589" s="134"/>
      <c r="D589" s="135"/>
      <c r="E589" s="136"/>
      <c r="F589" s="136"/>
      <c r="G589" s="134"/>
      <c r="H589" s="134"/>
      <c r="I589" s="137"/>
      <c r="J589" s="137"/>
      <c r="K589" s="134"/>
      <c r="L589" s="137"/>
      <c r="M589" s="134"/>
      <c r="N589" s="137"/>
    </row>
    <row r="590">
      <c r="A590" s="134"/>
      <c r="B590" s="134"/>
      <c r="C590" s="134"/>
      <c r="D590" s="135"/>
      <c r="E590" s="136"/>
      <c r="F590" s="136"/>
      <c r="G590" s="134"/>
      <c r="H590" s="134"/>
      <c r="I590" s="137"/>
      <c r="J590" s="137"/>
      <c r="K590" s="134"/>
      <c r="L590" s="137"/>
      <c r="M590" s="134"/>
      <c r="N590" s="137"/>
    </row>
    <row r="591">
      <c r="A591" s="134"/>
      <c r="B591" s="134"/>
      <c r="C591" s="134"/>
      <c r="D591" s="135"/>
      <c r="E591" s="136"/>
      <c r="F591" s="136"/>
      <c r="G591" s="134"/>
      <c r="H591" s="134"/>
      <c r="I591" s="137"/>
      <c r="J591" s="137"/>
      <c r="K591" s="134"/>
      <c r="L591" s="137"/>
      <c r="M591" s="134"/>
      <c r="N591" s="137"/>
    </row>
    <row r="592">
      <c r="A592" s="134"/>
      <c r="B592" s="134"/>
      <c r="C592" s="134"/>
      <c r="D592" s="135"/>
      <c r="E592" s="136"/>
      <c r="F592" s="136"/>
      <c r="G592" s="134"/>
      <c r="H592" s="134"/>
      <c r="I592" s="137"/>
      <c r="J592" s="137"/>
      <c r="K592" s="134"/>
      <c r="L592" s="137"/>
      <c r="M592" s="134"/>
      <c r="N592" s="137"/>
    </row>
    <row r="593">
      <c r="A593" s="134"/>
      <c r="B593" s="134"/>
      <c r="C593" s="134"/>
      <c r="D593" s="135"/>
      <c r="E593" s="136"/>
      <c r="F593" s="136"/>
      <c r="G593" s="134"/>
      <c r="H593" s="134"/>
      <c r="I593" s="137"/>
      <c r="J593" s="137"/>
      <c r="K593" s="134"/>
      <c r="L593" s="137"/>
      <c r="M593" s="134"/>
      <c r="N593" s="137"/>
    </row>
    <row r="594">
      <c r="A594" s="134"/>
      <c r="B594" s="134"/>
      <c r="C594" s="134"/>
      <c r="D594" s="135"/>
      <c r="E594" s="136"/>
      <c r="F594" s="136"/>
      <c r="G594" s="134"/>
      <c r="H594" s="134"/>
      <c r="I594" s="137"/>
      <c r="J594" s="137"/>
      <c r="K594" s="134"/>
      <c r="L594" s="137"/>
      <c r="M594" s="134"/>
      <c r="N594" s="137"/>
    </row>
    <row r="595">
      <c r="A595" s="134"/>
      <c r="B595" s="134"/>
      <c r="C595" s="134"/>
      <c r="D595" s="135"/>
      <c r="E595" s="136"/>
      <c r="F595" s="136"/>
      <c r="G595" s="134"/>
      <c r="H595" s="134"/>
      <c r="I595" s="137"/>
      <c r="J595" s="137"/>
      <c r="K595" s="134"/>
      <c r="L595" s="137"/>
      <c r="M595" s="134"/>
      <c r="N595" s="137"/>
    </row>
    <row r="596">
      <c r="A596" s="134"/>
      <c r="B596" s="134"/>
      <c r="C596" s="134"/>
      <c r="D596" s="135"/>
      <c r="E596" s="136"/>
      <c r="F596" s="136"/>
      <c r="G596" s="134"/>
      <c r="H596" s="134"/>
      <c r="I596" s="137"/>
      <c r="J596" s="137"/>
      <c r="K596" s="134"/>
      <c r="L596" s="137"/>
      <c r="M596" s="134"/>
      <c r="N596" s="137"/>
    </row>
    <row r="597">
      <c r="A597" s="134"/>
      <c r="B597" s="134"/>
      <c r="C597" s="134"/>
      <c r="D597" s="135"/>
      <c r="E597" s="136"/>
      <c r="F597" s="136"/>
      <c r="G597" s="134"/>
      <c r="H597" s="134"/>
      <c r="I597" s="137"/>
      <c r="J597" s="137"/>
      <c r="K597" s="134"/>
      <c r="L597" s="137"/>
      <c r="M597" s="134"/>
      <c r="N597" s="137"/>
    </row>
    <row r="598">
      <c r="A598" s="134"/>
      <c r="B598" s="134"/>
      <c r="C598" s="134"/>
      <c r="D598" s="135"/>
      <c r="E598" s="136"/>
      <c r="F598" s="136"/>
      <c r="G598" s="134"/>
      <c r="H598" s="134"/>
      <c r="I598" s="137"/>
      <c r="J598" s="137"/>
      <c r="K598" s="134"/>
      <c r="L598" s="137"/>
      <c r="M598" s="134"/>
      <c r="N598" s="137"/>
    </row>
    <row r="599">
      <c r="A599" s="134"/>
      <c r="B599" s="134"/>
      <c r="C599" s="134"/>
      <c r="D599" s="135"/>
      <c r="E599" s="136"/>
      <c r="F599" s="136"/>
      <c r="G599" s="134"/>
      <c r="H599" s="134"/>
      <c r="I599" s="137"/>
      <c r="J599" s="137"/>
      <c r="K599" s="134"/>
      <c r="L599" s="137"/>
      <c r="M599" s="134"/>
      <c r="N599" s="137"/>
    </row>
    <row r="600">
      <c r="A600" s="134"/>
      <c r="B600" s="134"/>
      <c r="C600" s="134"/>
      <c r="D600" s="135"/>
      <c r="E600" s="136"/>
      <c r="F600" s="136"/>
      <c r="G600" s="134"/>
      <c r="H600" s="134"/>
      <c r="I600" s="137"/>
      <c r="J600" s="137"/>
      <c r="K600" s="134"/>
      <c r="L600" s="137"/>
      <c r="M600" s="134"/>
      <c r="N600" s="137"/>
    </row>
    <row r="601">
      <c r="A601" s="134"/>
      <c r="B601" s="134"/>
      <c r="C601" s="134"/>
      <c r="D601" s="135"/>
      <c r="E601" s="136"/>
      <c r="F601" s="136"/>
      <c r="G601" s="134"/>
      <c r="H601" s="134"/>
      <c r="I601" s="137"/>
      <c r="J601" s="137"/>
      <c r="K601" s="134"/>
      <c r="L601" s="137"/>
      <c r="M601" s="134"/>
      <c r="N601" s="137"/>
    </row>
    <row r="602">
      <c r="A602" s="134"/>
      <c r="B602" s="134"/>
      <c r="C602" s="134"/>
      <c r="D602" s="135"/>
      <c r="E602" s="136"/>
      <c r="F602" s="136"/>
      <c r="G602" s="134"/>
      <c r="H602" s="134"/>
      <c r="I602" s="137"/>
      <c r="J602" s="137"/>
      <c r="K602" s="134"/>
      <c r="L602" s="137"/>
      <c r="M602" s="134"/>
      <c r="N602" s="137"/>
    </row>
    <row r="603">
      <c r="A603" s="134"/>
      <c r="B603" s="134"/>
      <c r="C603" s="134"/>
      <c r="D603" s="135"/>
      <c r="E603" s="136"/>
      <c r="F603" s="136"/>
      <c r="G603" s="134"/>
      <c r="H603" s="134"/>
      <c r="I603" s="137"/>
      <c r="J603" s="137"/>
      <c r="K603" s="134"/>
      <c r="L603" s="137"/>
      <c r="M603" s="134"/>
      <c r="N603" s="137"/>
    </row>
    <row r="604">
      <c r="A604" s="134"/>
      <c r="B604" s="134"/>
      <c r="C604" s="134"/>
      <c r="D604" s="135"/>
      <c r="E604" s="136"/>
      <c r="F604" s="136"/>
      <c r="G604" s="134"/>
      <c r="H604" s="134"/>
      <c r="I604" s="137"/>
      <c r="J604" s="137"/>
      <c r="K604" s="134"/>
      <c r="L604" s="137"/>
      <c r="M604" s="134"/>
      <c r="N604" s="137"/>
    </row>
    <row r="605">
      <c r="A605" s="134"/>
      <c r="B605" s="134"/>
      <c r="C605" s="134"/>
      <c r="D605" s="135"/>
      <c r="E605" s="136"/>
      <c r="F605" s="136"/>
      <c r="G605" s="134"/>
      <c r="H605" s="134"/>
      <c r="I605" s="137"/>
      <c r="J605" s="137"/>
      <c r="K605" s="134"/>
      <c r="L605" s="137"/>
      <c r="M605" s="134"/>
      <c r="N605" s="137"/>
    </row>
    <row r="606">
      <c r="A606" s="134"/>
      <c r="B606" s="134"/>
      <c r="C606" s="134"/>
      <c r="D606" s="135"/>
      <c r="E606" s="136"/>
      <c r="F606" s="136"/>
      <c r="G606" s="134"/>
      <c r="H606" s="134"/>
      <c r="I606" s="137"/>
      <c r="J606" s="137"/>
      <c r="K606" s="134"/>
      <c r="L606" s="137"/>
      <c r="M606" s="134"/>
      <c r="N606" s="137"/>
    </row>
    <row r="607">
      <c r="A607" s="134"/>
      <c r="B607" s="134"/>
      <c r="C607" s="134"/>
      <c r="D607" s="135"/>
      <c r="E607" s="136"/>
      <c r="F607" s="136"/>
      <c r="G607" s="134"/>
      <c r="H607" s="134"/>
      <c r="I607" s="137"/>
      <c r="J607" s="137"/>
      <c r="K607" s="134"/>
      <c r="L607" s="137"/>
      <c r="M607" s="134"/>
      <c r="N607" s="137"/>
    </row>
    <row r="608">
      <c r="A608" s="134"/>
      <c r="B608" s="134"/>
      <c r="C608" s="134"/>
      <c r="D608" s="135"/>
      <c r="E608" s="136"/>
      <c r="F608" s="136"/>
      <c r="G608" s="134"/>
      <c r="H608" s="134"/>
      <c r="I608" s="137"/>
      <c r="J608" s="137"/>
      <c r="K608" s="134"/>
      <c r="L608" s="137"/>
      <c r="M608" s="134"/>
      <c r="N608" s="137"/>
    </row>
    <row r="609">
      <c r="A609" s="134"/>
      <c r="B609" s="134"/>
      <c r="C609" s="134"/>
      <c r="D609" s="135"/>
      <c r="E609" s="136"/>
      <c r="F609" s="136"/>
      <c r="G609" s="134"/>
      <c r="H609" s="134"/>
      <c r="I609" s="137"/>
      <c r="J609" s="137"/>
      <c r="K609" s="134"/>
      <c r="L609" s="137"/>
      <c r="M609" s="134"/>
      <c r="N609" s="137"/>
    </row>
    <row r="610">
      <c r="A610" s="134"/>
      <c r="B610" s="134"/>
      <c r="C610" s="134"/>
      <c r="D610" s="135"/>
      <c r="E610" s="136"/>
      <c r="F610" s="136"/>
      <c r="G610" s="134"/>
      <c r="H610" s="134"/>
      <c r="I610" s="137"/>
      <c r="J610" s="137"/>
      <c r="K610" s="134"/>
      <c r="L610" s="137"/>
      <c r="M610" s="134"/>
      <c r="N610" s="137"/>
    </row>
    <row r="611">
      <c r="A611" s="134"/>
      <c r="B611" s="134"/>
      <c r="C611" s="134"/>
      <c r="D611" s="135"/>
      <c r="E611" s="136"/>
      <c r="F611" s="136"/>
      <c r="G611" s="134"/>
      <c r="H611" s="134"/>
      <c r="I611" s="137"/>
      <c r="J611" s="137"/>
      <c r="K611" s="134"/>
      <c r="L611" s="137"/>
      <c r="M611" s="134"/>
      <c r="N611" s="137"/>
    </row>
    <row r="612">
      <c r="A612" s="134"/>
      <c r="B612" s="134"/>
      <c r="C612" s="134"/>
      <c r="D612" s="135"/>
      <c r="E612" s="136"/>
      <c r="F612" s="136"/>
      <c r="G612" s="134"/>
      <c r="H612" s="134"/>
      <c r="I612" s="137"/>
      <c r="J612" s="137"/>
      <c r="K612" s="134"/>
      <c r="L612" s="137"/>
      <c r="M612" s="134"/>
      <c r="N612" s="137"/>
    </row>
    <row r="613">
      <c r="A613" s="134"/>
      <c r="B613" s="134"/>
      <c r="C613" s="134"/>
      <c r="D613" s="135"/>
      <c r="E613" s="136"/>
      <c r="F613" s="136"/>
      <c r="G613" s="134"/>
      <c r="H613" s="134"/>
      <c r="I613" s="137"/>
      <c r="J613" s="137"/>
      <c r="K613" s="134"/>
      <c r="L613" s="137"/>
      <c r="M613" s="134"/>
      <c r="N613" s="137"/>
    </row>
    <row r="614">
      <c r="A614" s="134"/>
      <c r="B614" s="134"/>
      <c r="C614" s="134"/>
      <c r="D614" s="135"/>
      <c r="E614" s="136"/>
      <c r="F614" s="136"/>
      <c r="G614" s="134"/>
      <c r="H614" s="134"/>
      <c r="I614" s="137"/>
      <c r="J614" s="137"/>
      <c r="K614" s="134"/>
      <c r="L614" s="137"/>
      <c r="M614" s="134"/>
      <c r="N614" s="137"/>
    </row>
    <row r="615">
      <c r="A615" s="134"/>
      <c r="B615" s="134"/>
      <c r="C615" s="134"/>
      <c r="D615" s="135"/>
      <c r="E615" s="136"/>
      <c r="F615" s="136"/>
      <c r="G615" s="134"/>
      <c r="H615" s="134"/>
      <c r="I615" s="137"/>
      <c r="J615" s="137"/>
      <c r="K615" s="134"/>
      <c r="L615" s="137"/>
      <c r="M615" s="134"/>
      <c r="N615" s="137"/>
    </row>
    <row r="616">
      <c r="A616" s="134"/>
      <c r="B616" s="134"/>
      <c r="C616" s="134"/>
      <c r="D616" s="135"/>
      <c r="E616" s="136"/>
      <c r="F616" s="136"/>
      <c r="G616" s="134"/>
      <c r="H616" s="134"/>
      <c r="I616" s="137"/>
      <c r="J616" s="137"/>
      <c r="K616" s="134"/>
      <c r="L616" s="137"/>
      <c r="M616" s="134"/>
      <c r="N616" s="137"/>
    </row>
    <row r="617">
      <c r="A617" s="134"/>
      <c r="B617" s="134"/>
      <c r="C617" s="134"/>
      <c r="D617" s="135"/>
      <c r="E617" s="136"/>
      <c r="F617" s="136"/>
      <c r="G617" s="134"/>
      <c r="H617" s="134"/>
      <c r="I617" s="137"/>
      <c r="J617" s="137"/>
      <c r="K617" s="134"/>
      <c r="L617" s="137"/>
      <c r="M617" s="134"/>
      <c r="N617" s="137"/>
    </row>
    <row r="618">
      <c r="A618" s="134"/>
      <c r="B618" s="134"/>
      <c r="C618" s="134"/>
      <c r="D618" s="135"/>
      <c r="E618" s="136"/>
      <c r="F618" s="136"/>
      <c r="G618" s="134"/>
      <c r="H618" s="134"/>
      <c r="I618" s="137"/>
      <c r="J618" s="137"/>
      <c r="K618" s="134"/>
      <c r="L618" s="137"/>
      <c r="M618" s="134"/>
      <c r="N618" s="137"/>
    </row>
    <row r="619">
      <c r="A619" s="134"/>
      <c r="B619" s="134"/>
      <c r="C619" s="134"/>
      <c r="D619" s="135"/>
      <c r="E619" s="136"/>
      <c r="F619" s="136"/>
      <c r="G619" s="134"/>
      <c r="H619" s="134"/>
      <c r="I619" s="137"/>
      <c r="J619" s="137"/>
      <c r="K619" s="134"/>
      <c r="L619" s="137"/>
      <c r="M619" s="134"/>
      <c r="N619" s="137"/>
    </row>
    <row r="620">
      <c r="A620" s="134"/>
      <c r="B620" s="134"/>
      <c r="C620" s="134"/>
      <c r="D620" s="135"/>
      <c r="E620" s="136"/>
      <c r="F620" s="136"/>
      <c r="G620" s="134"/>
      <c r="H620" s="134"/>
      <c r="I620" s="137"/>
      <c r="J620" s="137"/>
      <c r="K620" s="134"/>
      <c r="L620" s="137"/>
      <c r="M620" s="134"/>
      <c r="N620" s="137"/>
    </row>
    <row r="621">
      <c r="A621" s="134"/>
      <c r="B621" s="134"/>
      <c r="C621" s="134"/>
      <c r="D621" s="135"/>
      <c r="E621" s="136"/>
      <c r="F621" s="136"/>
      <c r="G621" s="134"/>
      <c r="H621" s="134"/>
      <c r="I621" s="137"/>
      <c r="J621" s="137"/>
      <c r="K621" s="134"/>
      <c r="L621" s="137"/>
      <c r="M621" s="134"/>
      <c r="N621" s="137"/>
    </row>
    <row r="622">
      <c r="A622" s="134"/>
      <c r="B622" s="134"/>
      <c r="C622" s="134"/>
      <c r="D622" s="135"/>
      <c r="E622" s="136"/>
      <c r="F622" s="136"/>
      <c r="G622" s="134"/>
      <c r="H622" s="134"/>
      <c r="I622" s="137"/>
      <c r="J622" s="137"/>
      <c r="K622" s="134"/>
      <c r="L622" s="137"/>
      <c r="M622" s="134"/>
      <c r="N622" s="137"/>
    </row>
    <row r="623">
      <c r="A623" s="134"/>
      <c r="B623" s="134"/>
      <c r="C623" s="134"/>
      <c r="D623" s="135"/>
      <c r="E623" s="136"/>
      <c r="F623" s="136"/>
      <c r="G623" s="134"/>
      <c r="H623" s="134"/>
      <c r="I623" s="137"/>
      <c r="J623" s="137"/>
      <c r="K623" s="134"/>
      <c r="L623" s="137"/>
      <c r="M623" s="134"/>
      <c r="N623" s="137"/>
    </row>
    <row r="624">
      <c r="A624" s="134"/>
      <c r="B624" s="134"/>
      <c r="C624" s="134"/>
      <c r="D624" s="135"/>
      <c r="E624" s="136"/>
      <c r="F624" s="136"/>
      <c r="G624" s="134"/>
      <c r="H624" s="134"/>
      <c r="I624" s="137"/>
      <c r="J624" s="137"/>
      <c r="K624" s="134"/>
      <c r="L624" s="137"/>
      <c r="M624" s="134"/>
      <c r="N624" s="137"/>
    </row>
    <row r="625">
      <c r="A625" s="134"/>
      <c r="B625" s="134"/>
      <c r="C625" s="134"/>
      <c r="D625" s="135"/>
      <c r="E625" s="136"/>
      <c r="F625" s="136"/>
      <c r="G625" s="134"/>
      <c r="H625" s="134"/>
      <c r="I625" s="137"/>
      <c r="J625" s="137"/>
      <c r="K625" s="134"/>
      <c r="L625" s="137"/>
      <c r="M625" s="134"/>
      <c r="N625" s="137"/>
    </row>
    <row r="626">
      <c r="A626" s="134"/>
      <c r="B626" s="134"/>
      <c r="C626" s="134"/>
      <c r="D626" s="135"/>
      <c r="E626" s="136"/>
      <c r="F626" s="136"/>
      <c r="G626" s="134"/>
      <c r="H626" s="134"/>
      <c r="I626" s="137"/>
      <c r="J626" s="137"/>
      <c r="K626" s="134"/>
      <c r="L626" s="137"/>
      <c r="M626" s="134"/>
      <c r="N626" s="137"/>
    </row>
    <row r="627">
      <c r="A627" s="134"/>
      <c r="B627" s="134"/>
      <c r="C627" s="134"/>
      <c r="D627" s="135"/>
      <c r="E627" s="136"/>
      <c r="F627" s="136"/>
      <c r="G627" s="134"/>
      <c r="H627" s="134"/>
      <c r="I627" s="137"/>
      <c r="J627" s="137"/>
      <c r="K627" s="134"/>
      <c r="L627" s="137"/>
      <c r="M627" s="134"/>
      <c r="N627" s="137"/>
    </row>
    <row r="628">
      <c r="A628" s="134"/>
      <c r="B628" s="134"/>
      <c r="C628" s="134"/>
      <c r="D628" s="135"/>
      <c r="E628" s="136"/>
      <c r="F628" s="136"/>
      <c r="G628" s="134"/>
      <c r="H628" s="134"/>
      <c r="I628" s="137"/>
      <c r="J628" s="137"/>
      <c r="K628" s="134"/>
      <c r="L628" s="137"/>
      <c r="M628" s="134"/>
      <c r="N628" s="137"/>
    </row>
    <row r="629">
      <c r="A629" s="134"/>
      <c r="B629" s="134"/>
      <c r="C629" s="134"/>
      <c r="D629" s="135"/>
      <c r="E629" s="136"/>
      <c r="F629" s="136"/>
      <c r="G629" s="134"/>
      <c r="H629" s="134"/>
      <c r="I629" s="137"/>
      <c r="J629" s="137"/>
      <c r="K629" s="134"/>
      <c r="L629" s="137"/>
      <c r="M629" s="134"/>
      <c r="N629" s="137"/>
    </row>
    <row r="630">
      <c r="A630" s="134"/>
      <c r="B630" s="134"/>
      <c r="C630" s="134"/>
      <c r="D630" s="135"/>
      <c r="E630" s="136"/>
      <c r="F630" s="136"/>
      <c r="G630" s="134"/>
      <c r="H630" s="134"/>
      <c r="I630" s="137"/>
      <c r="J630" s="137"/>
      <c r="K630" s="134"/>
      <c r="L630" s="137"/>
      <c r="M630" s="134"/>
      <c r="N630" s="137"/>
    </row>
    <row r="631">
      <c r="A631" s="134"/>
      <c r="B631" s="134"/>
      <c r="C631" s="134"/>
      <c r="D631" s="135"/>
      <c r="E631" s="136"/>
      <c r="F631" s="136"/>
      <c r="G631" s="134"/>
      <c r="H631" s="134"/>
      <c r="I631" s="137"/>
      <c r="J631" s="137"/>
      <c r="K631" s="134"/>
      <c r="L631" s="137"/>
      <c r="M631" s="134"/>
      <c r="N631" s="137"/>
    </row>
    <row r="632">
      <c r="A632" s="134"/>
      <c r="B632" s="134"/>
      <c r="C632" s="134"/>
      <c r="D632" s="135"/>
      <c r="E632" s="136"/>
      <c r="F632" s="136"/>
      <c r="G632" s="134"/>
      <c r="H632" s="134"/>
      <c r="I632" s="137"/>
      <c r="J632" s="137"/>
      <c r="K632" s="134"/>
      <c r="L632" s="137"/>
      <c r="M632" s="134"/>
      <c r="N632" s="137"/>
    </row>
    <row r="633">
      <c r="A633" s="134"/>
      <c r="B633" s="134"/>
      <c r="C633" s="134"/>
      <c r="D633" s="135"/>
      <c r="E633" s="136"/>
      <c r="F633" s="136"/>
      <c r="G633" s="134"/>
      <c r="H633" s="134"/>
      <c r="I633" s="137"/>
      <c r="J633" s="137"/>
      <c r="K633" s="134"/>
      <c r="L633" s="137"/>
      <c r="M633" s="134"/>
      <c r="N633" s="137"/>
    </row>
    <row r="634">
      <c r="A634" s="134"/>
      <c r="B634" s="134"/>
      <c r="C634" s="134"/>
      <c r="D634" s="135"/>
      <c r="E634" s="136"/>
      <c r="F634" s="136"/>
      <c r="G634" s="134"/>
      <c r="H634" s="134"/>
      <c r="I634" s="137"/>
      <c r="J634" s="137"/>
      <c r="K634" s="134"/>
      <c r="L634" s="137"/>
      <c r="M634" s="134"/>
      <c r="N634" s="137"/>
    </row>
    <row r="635">
      <c r="A635" s="134"/>
      <c r="B635" s="134"/>
      <c r="C635" s="134"/>
      <c r="D635" s="135"/>
      <c r="E635" s="136"/>
      <c r="F635" s="136"/>
      <c r="G635" s="134"/>
      <c r="H635" s="134"/>
      <c r="I635" s="137"/>
      <c r="J635" s="137"/>
      <c r="K635" s="134"/>
      <c r="L635" s="137"/>
      <c r="M635" s="134"/>
      <c r="N635" s="137"/>
    </row>
    <row r="636">
      <c r="A636" s="134"/>
      <c r="B636" s="134"/>
      <c r="C636" s="134"/>
      <c r="D636" s="135"/>
      <c r="E636" s="136"/>
      <c r="F636" s="136"/>
      <c r="G636" s="134"/>
      <c r="H636" s="134"/>
      <c r="I636" s="137"/>
      <c r="J636" s="137"/>
      <c r="K636" s="134"/>
      <c r="L636" s="137"/>
      <c r="M636" s="134"/>
      <c r="N636" s="137"/>
    </row>
    <row r="637">
      <c r="A637" s="134"/>
      <c r="B637" s="134"/>
      <c r="C637" s="134"/>
      <c r="D637" s="135"/>
      <c r="E637" s="136"/>
      <c r="F637" s="136"/>
      <c r="G637" s="134"/>
      <c r="H637" s="134"/>
      <c r="I637" s="137"/>
      <c r="J637" s="137"/>
      <c r="K637" s="134"/>
      <c r="L637" s="137"/>
      <c r="M637" s="134"/>
      <c r="N637" s="137"/>
    </row>
    <row r="638">
      <c r="A638" s="134"/>
      <c r="B638" s="134"/>
      <c r="C638" s="134"/>
      <c r="D638" s="135"/>
      <c r="E638" s="136"/>
      <c r="F638" s="136"/>
      <c r="G638" s="134"/>
      <c r="H638" s="134"/>
      <c r="I638" s="137"/>
      <c r="J638" s="137"/>
      <c r="K638" s="134"/>
      <c r="L638" s="137"/>
      <c r="M638" s="134"/>
      <c r="N638" s="137"/>
    </row>
    <row r="639">
      <c r="A639" s="134"/>
      <c r="B639" s="134"/>
      <c r="C639" s="134"/>
      <c r="D639" s="135"/>
      <c r="E639" s="136"/>
      <c r="F639" s="136"/>
      <c r="G639" s="134"/>
      <c r="H639" s="134"/>
      <c r="I639" s="137"/>
      <c r="J639" s="137"/>
      <c r="K639" s="134"/>
      <c r="L639" s="137"/>
      <c r="M639" s="134"/>
      <c r="N639" s="137"/>
    </row>
    <row r="640">
      <c r="A640" s="134"/>
      <c r="B640" s="134"/>
      <c r="C640" s="134"/>
      <c r="D640" s="135"/>
      <c r="E640" s="136"/>
      <c r="F640" s="136"/>
      <c r="G640" s="134"/>
      <c r="H640" s="134"/>
      <c r="I640" s="137"/>
      <c r="J640" s="137"/>
      <c r="K640" s="134"/>
      <c r="L640" s="137"/>
      <c r="M640" s="134"/>
      <c r="N640" s="137"/>
    </row>
    <row r="641">
      <c r="A641" s="134"/>
      <c r="B641" s="134"/>
      <c r="C641" s="134"/>
      <c r="D641" s="135"/>
      <c r="E641" s="136"/>
      <c r="F641" s="136"/>
      <c r="G641" s="134"/>
      <c r="H641" s="134"/>
      <c r="I641" s="137"/>
      <c r="J641" s="137"/>
      <c r="K641" s="134"/>
      <c r="L641" s="137"/>
      <c r="M641" s="134"/>
      <c r="N641" s="137"/>
    </row>
    <row r="642">
      <c r="A642" s="134"/>
      <c r="B642" s="134"/>
      <c r="C642" s="134"/>
      <c r="D642" s="135"/>
      <c r="E642" s="136"/>
      <c r="F642" s="136"/>
      <c r="G642" s="134"/>
      <c r="H642" s="134"/>
      <c r="I642" s="137"/>
      <c r="J642" s="137"/>
      <c r="K642" s="134"/>
      <c r="L642" s="137"/>
      <c r="M642" s="134"/>
      <c r="N642" s="137"/>
    </row>
    <row r="643">
      <c r="A643" s="134"/>
      <c r="B643" s="134"/>
      <c r="C643" s="134"/>
      <c r="D643" s="135"/>
      <c r="E643" s="136"/>
      <c r="F643" s="136"/>
      <c r="G643" s="134"/>
      <c r="H643" s="134"/>
      <c r="I643" s="137"/>
      <c r="J643" s="137"/>
      <c r="K643" s="134"/>
      <c r="L643" s="137"/>
      <c r="M643" s="134"/>
      <c r="N643" s="137"/>
    </row>
    <row r="644">
      <c r="A644" s="134"/>
      <c r="B644" s="134"/>
      <c r="C644" s="134"/>
      <c r="D644" s="135"/>
      <c r="E644" s="136"/>
      <c r="F644" s="136"/>
      <c r="G644" s="134"/>
      <c r="H644" s="134"/>
      <c r="I644" s="137"/>
      <c r="J644" s="137"/>
      <c r="K644" s="134"/>
      <c r="L644" s="137"/>
      <c r="M644" s="134"/>
      <c r="N644" s="137"/>
    </row>
    <row r="645">
      <c r="A645" s="134"/>
      <c r="B645" s="134"/>
      <c r="C645" s="134"/>
      <c r="D645" s="135"/>
      <c r="E645" s="136"/>
      <c r="F645" s="136"/>
      <c r="G645" s="134"/>
      <c r="H645" s="134"/>
      <c r="I645" s="137"/>
      <c r="J645" s="137"/>
      <c r="K645" s="134"/>
      <c r="L645" s="137"/>
      <c r="M645" s="134"/>
      <c r="N645" s="137"/>
    </row>
    <row r="646">
      <c r="A646" s="134"/>
      <c r="B646" s="134"/>
      <c r="C646" s="134"/>
      <c r="D646" s="135"/>
      <c r="E646" s="136"/>
      <c r="F646" s="136"/>
      <c r="G646" s="134"/>
      <c r="H646" s="134"/>
      <c r="I646" s="137"/>
      <c r="J646" s="137"/>
      <c r="K646" s="134"/>
      <c r="L646" s="137"/>
      <c r="M646" s="134"/>
      <c r="N646" s="137"/>
    </row>
    <row r="647">
      <c r="A647" s="134"/>
      <c r="B647" s="134"/>
      <c r="C647" s="134"/>
      <c r="D647" s="135"/>
      <c r="E647" s="136"/>
      <c r="F647" s="136"/>
      <c r="G647" s="134"/>
      <c r="H647" s="134"/>
      <c r="I647" s="137"/>
      <c r="J647" s="137"/>
      <c r="K647" s="134"/>
      <c r="L647" s="137"/>
      <c r="M647" s="134"/>
      <c r="N647" s="137"/>
    </row>
    <row r="648">
      <c r="A648" s="134"/>
      <c r="B648" s="134"/>
      <c r="C648" s="134"/>
      <c r="D648" s="135"/>
      <c r="E648" s="136"/>
      <c r="F648" s="136"/>
      <c r="G648" s="134"/>
      <c r="H648" s="134"/>
      <c r="I648" s="137"/>
      <c r="J648" s="137"/>
      <c r="K648" s="134"/>
      <c r="L648" s="137"/>
      <c r="M648" s="134"/>
      <c r="N648" s="137"/>
    </row>
    <row r="649">
      <c r="A649" s="134"/>
      <c r="B649" s="134"/>
      <c r="C649" s="134"/>
      <c r="D649" s="135"/>
      <c r="E649" s="136"/>
      <c r="F649" s="136"/>
      <c r="G649" s="134"/>
      <c r="H649" s="134"/>
      <c r="I649" s="137"/>
      <c r="J649" s="137"/>
      <c r="K649" s="134"/>
      <c r="L649" s="137"/>
      <c r="M649" s="134"/>
      <c r="N649" s="137"/>
    </row>
    <row r="650">
      <c r="A650" s="134"/>
      <c r="B650" s="134"/>
      <c r="C650" s="134"/>
      <c r="D650" s="135"/>
      <c r="E650" s="136"/>
      <c r="F650" s="136"/>
      <c r="G650" s="134"/>
      <c r="H650" s="134"/>
      <c r="I650" s="137"/>
      <c r="J650" s="137"/>
      <c r="K650" s="134"/>
      <c r="L650" s="137"/>
      <c r="M650" s="134"/>
      <c r="N650" s="137"/>
    </row>
    <row r="651">
      <c r="A651" s="134"/>
      <c r="B651" s="134"/>
      <c r="C651" s="134"/>
      <c r="D651" s="135"/>
      <c r="E651" s="136"/>
      <c r="F651" s="136"/>
      <c r="G651" s="134"/>
      <c r="H651" s="134"/>
      <c r="I651" s="137"/>
      <c r="J651" s="137"/>
      <c r="K651" s="134"/>
      <c r="L651" s="137"/>
      <c r="M651" s="134"/>
      <c r="N651" s="137"/>
    </row>
    <row r="652">
      <c r="A652" s="134"/>
      <c r="B652" s="134"/>
      <c r="C652" s="134"/>
      <c r="D652" s="135"/>
      <c r="E652" s="136"/>
      <c r="F652" s="136"/>
      <c r="G652" s="134"/>
      <c r="H652" s="134"/>
      <c r="I652" s="137"/>
      <c r="J652" s="137"/>
      <c r="K652" s="134"/>
      <c r="L652" s="137"/>
      <c r="M652" s="134"/>
      <c r="N652" s="137"/>
    </row>
    <row r="653">
      <c r="A653" s="134"/>
      <c r="B653" s="134"/>
      <c r="C653" s="134"/>
      <c r="D653" s="135"/>
      <c r="E653" s="136"/>
      <c r="F653" s="136"/>
      <c r="G653" s="134"/>
      <c r="H653" s="134"/>
      <c r="I653" s="137"/>
      <c r="J653" s="137"/>
      <c r="K653" s="134"/>
      <c r="L653" s="137"/>
      <c r="M653" s="134"/>
      <c r="N653" s="137"/>
    </row>
    <row r="654">
      <c r="A654" s="134"/>
      <c r="B654" s="134"/>
      <c r="C654" s="134"/>
      <c r="D654" s="135"/>
      <c r="E654" s="136"/>
      <c r="F654" s="136"/>
      <c r="G654" s="134"/>
      <c r="H654" s="134"/>
      <c r="I654" s="137"/>
      <c r="J654" s="137"/>
      <c r="K654" s="134"/>
      <c r="L654" s="137"/>
      <c r="M654" s="134"/>
      <c r="N654" s="137"/>
    </row>
    <row r="655">
      <c r="A655" s="134"/>
      <c r="B655" s="134"/>
      <c r="C655" s="134"/>
      <c r="D655" s="135"/>
      <c r="E655" s="136"/>
      <c r="F655" s="136"/>
      <c r="G655" s="134"/>
      <c r="H655" s="134"/>
      <c r="I655" s="137"/>
      <c r="J655" s="137"/>
      <c r="K655" s="134"/>
      <c r="L655" s="137"/>
      <c r="M655" s="134"/>
      <c r="N655" s="137"/>
    </row>
    <row r="656">
      <c r="A656" s="134"/>
      <c r="B656" s="134"/>
      <c r="C656" s="134"/>
      <c r="D656" s="135"/>
      <c r="E656" s="136"/>
      <c r="F656" s="136"/>
      <c r="G656" s="134"/>
      <c r="H656" s="134"/>
      <c r="I656" s="137"/>
      <c r="J656" s="137"/>
      <c r="K656" s="134"/>
      <c r="L656" s="137"/>
      <c r="M656" s="134"/>
      <c r="N656" s="137"/>
    </row>
    <row r="657">
      <c r="A657" s="134"/>
      <c r="B657" s="134"/>
      <c r="C657" s="134"/>
      <c r="D657" s="135"/>
      <c r="E657" s="136"/>
      <c r="F657" s="136"/>
      <c r="G657" s="134"/>
      <c r="H657" s="134"/>
      <c r="I657" s="137"/>
      <c r="J657" s="137"/>
      <c r="K657" s="134"/>
      <c r="L657" s="137"/>
      <c r="M657" s="134"/>
      <c r="N657" s="137"/>
    </row>
    <row r="658">
      <c r="A658" s="134"/>
      <c r="B658" s="134"/>
      <c r="C658" s="134"/>
      <c r="D658" s="135"/>
      <c r="E658" s="136"/>
      <c r="F658" s="136"/>
      <c r="G658" s="134"/>
      <c r="H658" s="134"/>
      <c r="I658" s="137"/>
      <c r="J658" s="137"/>
      <c r="K658" s="134"/>
      <c r="L658" s="137"/>
      <c r="M658" s="134"/>
      <c r="N658" s="137"/>
    </row>
    <row r="659">
      <c r="A659" s="134"/>
      <c r="B659" s="134"/>
      <c r="C659" s="134"/>
      <c r="D659" s="135"/>
      <c r="E659" s="136"/>
      <c r="F659" s="136"/>
      <c r="G659" s="134"/>
      <c r="H659" s="134"/>
      <c r="I659" s="137"/>
      <c r="J659" s="137"/>
      <c r="K659" s="134"/>
      <c r="L659" s="137"/>
      <c r="M659" s="134"/>
      <c r="N659" s="137"/>
    </row>
    <row r="660">
      <c r="A660" s="134"/>
      <c r="B660" s="134"/>
      <c r="C660" s="134"/>
      <c r="D660" s="135"/>
      <c r="E660" s="136"/>
      <c r="F660" s="136"/>
      <c r="G660" s="134"/>
      <c r="H660" s="134"/>
      <c r="I660" s="137"/>
      <c r="J660" s="137"/>
      <c r="K660" s="134"/>
      <c r="L660" s="137"/>
      <c r="M660" s="134"/>
      <c r="N660" s="137"/>
    </row>
    <row r="661">
      <c r="A661" s="134"/>
      <c r="B661" s="134"/>
      <c r="C661" s="134"/>
      <c r="D661" s="135"/>
      <c r="E661" s="136"/>
      <c r="F661" s="136"/>
      <c r="G661" s="134"/>
      <c r="H661" s="134"/>
      <c r="I661" s="137"/>
      <c r="J661" s="137"/>
      <c r="K661" s="134"/>
      <c r="L661" s="137"/>
      <c r="M661" s="134"/>
      <c r="N661" s="137"/>
    </row>
    <row r="662">
      <c r="A662" s="134"/>
      <c r="B662" s="134"/>
      <c r="C662" s="134"/>
      <c r="D662" s="135"/>
      <c r="E662" s="136"/>
      <c r="F662" s="136"/>
      <c r="G662" s="134"/>
      <c r="H662" s="134"/>
      <c r="I662" s="137"/>
      <c r="J662" s="137"/>
      <c r="K662" s="134"/>
      <c r="L662" s="137"/>
      <c r="M662" s="134"/>
      <c r="N662" s="137"/>
    </row>
    <row r="663">
      <c r="A663" s="134"/>
      <c r="B663" s="134"/>
      <c r="C663" s="134"/>
      <c r="D663" s="135"/>
      <c r="E663" s="136"/>
      <c r="F663" s="136"/>
      <c r="G663" s="134"/>
      <c r="H663" s="134"/>
      <c r="I663" s="137"/>
      <c r="J663" s="137"/>
      <c r="K663" s="134"/>
      <c r="L663" s="137"/>
      <c r="M663" s="134"/>
      <c r="N663" s="137"/>
    </row>
    <row r="664">
      <c r="A664" s="134"/>
      <c r="B664" s="134"/>
      <c r="C664" s="134"/>
      <c r="D664" s="135"/>
      <c r="E664" s="136"/>
      <c r="F664" s="136"/>
      <c r="G664" s="134"/>
      <c r="H664" s="134"/>
      <c r="I664" s="137"/>
      <c r="J664" s="137"/>
      <c r="K664" s="134"/>
      <c r="L664" s="137"/>
      <c r="M664" s="134"/>
      <c r="N664" s="137"/>
    </row>
    <row r="665">
      <c r="A665" s="134"/>
      <c r="B665" s="134"/>
      <c r="C665" s="134"/>
      <c r="D665" s="135"/>
      <c r="E665" s="136"/>
      <c r="F665" s="136"/>
      <c r="G665" s="134"/>
      <c r="H665" s="134"/>
      <c r="I665" s="137"/>
      <c r="J665" s="137"/>
      <c r="K665" s="134"/>
      <c r="L665" s="137"/>
      <c r="M665" s="134"/>
      <c r="N665" s="137"/>
    </row>
    <row r="666">
      <c r="A666" s="134"/>
      <c r="B666" s="134"/>
      <c r="C666" s="134"/>
      <c r="D666" s="135"/>
      <c r="E666" s="136"/>
      <c r="F666" s="136"/>
      <c r="G666" s="134"/>
      <c r="H666" s="134"/>
      <c r="I666" s="137"/>
      <c r="J666" s="137"/>
      <c r="K666" s="134"/>
      <c r="L666" s="137"/>
      <c r="M666" s="134"/>
      <c r="N666" s="137"/>
    </row>
    <row r="667">
      <c r="A667" s="134"/>
      <c r="B667" s="134"/>
      <c r="C667" s="134"/>
      <c r="D667" s="135"/>
      <c r="E667" s="136"/>
      <c r="F667" s="136"/>
      <c r="G667" s="134"/>
      <c r="H667" s="134"/>
      <c r="I667" s="137"/>
      <c r="J667" s="137"/>
      <c r="K667" s="134"/>
      <c r="L667" s="137"/>
      <c r="M667" s="134"/>
      <c r="N667" s="137"/>
    </row>
    <row r="668">
      <c r="A668" s="134"/>
      <c r="B668" s="134"/>
      <c r="C668" s="134"/>
      <c r="D668" s="135"/>
      <c r="E668" s="136"/>
      <c r="F668" s="136"/>
      <c r="G668" s="134"/>
      <c r="H668" s="134"/>
      <c r="I668" s="137"/>
      <c r="J668" s="137"/>
      <c r="K668" s="134"/>
      <c r="L668" s="137"/>
      <c r="M668" s="134"/>
      <c r="N668" s="137"/>
    </row>
    <row r="669">
      <c r="A669" s="134"/>
      <c r="B669" s="134"/>
      <c r="C669" s="134"/>
      <c r="D669" s="135"/>
      <c r="E669" s="136"/>
      <c r="F669" s="136"/>
      <c r="G669" s="134"/>
      <c r="H669" s="134"/>
      <c r="I669" s="137"/>
      <c r="J669" s="137"/>
      <c r="K669" s="134"/>
      <c r="L669" s="137"/>
      <c r="M669" s="134"/>
      <c r="N669" s="137"/>
    </row>
    <row r="670">
      <c r="A670" s="134"/>
      <c r="B670" s="134"/>
      <c r="C670" s="134"/>
      <c r="D670" s="135"/>
      <c r="E670" s="136"/>
      <c r="F670" s="136"/>
      <c r="G670" s="134"/>
      <c r="H670" s="134"/>
      <c r="I670" s="137"/>
      <c r="J670" s="137"/>
      <c r="K670" s="134"/>
      <c r="L670" s="137"/>
      <c r="M670" s="134"/>
      <c r="N670" s="137"/>
    </row>
    <row r="671">
      <c r="A671" s="134"/>
      <c r="B671" s="134"/>
      <c r="C671" s="134"/>
      <c r="D671" s="135"/>
      <c r="E671" s="136"/>
      <c r="F671" s="136"/>
      <c r="G671" s="134"/>
      <c r="H671" s="134"/>
      <c r="I671" s="137"/>
      <c r="J671" s="137"/>
      <c r="K671" s="134"/>
      <c r="L671" s="137"/>
      <c r="M671" s="134"/>
      <c r="N671" s="137"/>
    </row>
    <row r="672">
      <c r="A672" s="134"/>
      <c r="B672" s="134"/>
      <c r="C672" s="134"/>
      <c r="D672" s="135"/>
      <c r="E672" s="136"/>
      <c r="F672" s="136"/>
      <c r="G672" s="134"/>
      <c r="H672" s="134"/>
      <c r="I672" s="137"/>
      <c r="J672" s="137"/>
      <c r="K672" s="134"/>
      <c r="L672" s="137"/>
      <c r="M672" s="134"/>
      <c r="N672" s="137"/>
    </row>
    <row r="673">
      <c r="A673" s="134"/>
      <c r="B673" s="134"/>
      <c r="C673" s="134"/>
      <c r="D673" s="135"/>
      <c r="E673" s="136"/>
      <c r="F673" s="136"/>
      <c r="G673" s="134"/>
      <c r="H673" s="134"/>
      <c r="I673" s="137"/>
      <c r="J673" s="137"/>
      <c r="K673" s="134"/>
      <c r="L673" s="137"/>
      <c r="M673" s="134"/>
      <c r="N673" s="137"/>
    </row>
    <row r="674">
      <c r="A674" s="134"/>
      <c r="B674" s="134"/>
      <c r="C674" s="134"/>
      <c r="D674" s="135"/>
      <c r="E674" s="136"/>
      <c r="F674" s="136"/>
      <c r="G674" s="134"/>
      <c r="H674" s="134"/>
      <c r="I674" s="137"/>
      <c r="J674" s="137"/>
      <c r="K674" s="134"/>
      <c r="L674" s="137"/>
      <c r="M674" s="134"/>
      <c r="N674" s="137"/>
    </row>
    <row r="675">
      <c r="A675" s="134"/>
      <c r="B675" s="134"/>
      <c r="C675" s="134"/>
      <c r="D675" s="135"/>
      <c r="E675" s="136"/>
      <c r="F675" s="136"/>
      <c r="G675" s="134"/>
      <c r="H675" s="134"/>
      <c r="I675" s="137"/>
      <c r="J675" s="137"/>
      <c r="K675" s="134"/>
      <c r="L675" s="137"/>
      <c r="M675" s="134"/>
      <c r="N675" s="137"/>
    </row>
    <row r="676">
      <c r="A676" s="134"/>
      <c r="B676" s="134"/>
      <c r="C676" s="134"/>
      <c r="D676" s="135"/>
      <c r="E676" s="136"/>
      <c r="F676" s="136"/>
      <c r="G676" s="134"/>
      <c r="H676" s="134"/>
      <c r="I676" s="137"/>
      <c r="J676" s="137"/>
      <c r="K676" s="134"/>
      <c r="L676" s="137"/>
      <c r="M676" s="134"/>
      <c r="N676" s="137"/>
    </row>
    <row r="677">
      <c r="A677" s="134"/>
      <c r="B677" s="134"/>
      <c r="C677" s="134"/>
      <c r="D677" s="135"/>
      <c r="E677" s="136"/>
      <c r="F677" s="136"/>
      <c r="G677" s="134"/>
      <c r="H677" s="134"/>
      <c r="I677" s="137"/>
      <c r="J677" s="137"/>
      <c r="K677" s="134"/>
      <c r="L677" s="137"/>
      <c r="M677" s="134"/>
      <c r="N677" s="137"/>
    </row>
    <row r="678">
      <c r="A678" s="134"/>
      <c r="B678" s="134"/>
      <c r="C678" s="134"/>
      <c r="D678" s="135"/>
      <c r="E678" s="136"/>
      <c r="F678" s="136"/>
      <c r="G678" s="134"/>
      <c r="H678" s="134"/>
      <c r="I678" s="137"/>
      <c r="J678" s="137"/>
      <c r="K678" s="134"/>
      <c r="L678" s="137"/>
      <c r="M678" s="134"/>
      <c r="N678" s="137"/>
    </row>
    <row r="679">
      <c r="A679" s="134"/>
      <c r="B679" s="134"/>
      <c r="C679" s="134"/>
      <c r="D679" s="135"/>
      <c r="E679" s="136"/>
      <c r="F679" s="136"/>
      <c r="G679" s="134"/>
      <c r="H679" s="134"/>
      <c r="I679" s="137"/>
      <c r="J679" s="137"/>
      <c r="K679" s="134"/>
      <c r="L679" s="137"/>
      <c r="M679" s="134"/>
      <c r="N679" s="137"/>
    </row>
    <row r="680">
      <c r="A680" s="134"/>
      <c r="B680" s="134"/>
      <c r="C680" s="134"/>
      <c r="D680" s="135"/>
      <c r="E680" s="136"/>
      <c r="F680" s="136"/>
      <c r="G680" s="134"/>
      <c r="H680" s="134"/>
      <c r="I680" s="137"/>
      <c r="J680" s="137"/>
      <c r="K680" s="134"/>
      <c r="L680" s="137"/>
      <c r="M680" s="134"/>
      <c r="N680" s="137"/>
    </row>
    <row r="681">
      <c r="A681" s="134"/>
      <c r="B681" s="134"/>
      <c r="C681" s="134"/>
      <c r="D681" s="135"/>
      <c r="E681" s="136"/>
      <c r="F681" s="136"/>
      <c r="G681" s="134"/>
      <c r="H681" s="134"/>
      <c r="I681" s="137"/>
      <c r="J681" s="137"/>
      <c r="K681" s="134"/>
      <c r="L681" s="137"/>
      <c r="M681" s="134"/>
      <c r="N681" s="137"/>
    </row>
    <row r="682">
      <c r="A682" s="134"/>
      <c r="B682" s="134"/>
      <c r="C682" s="134"/>
      <c r="D682" s="135"/>
      <c r="E682" s="136"/>
      <c r="F682" s="136"/>
      <c r="G682" s="134"/>
      <c r="H682" s="134"/>
      <c r="I682" s="137"/>
      <c r="J682" s="137"/>
      <c r="K682" s="134"/>
      <c r="L682" s="137"/>
      <c r="M682" s="134"/>
      <c r="N682" s="137"/>
    </row>
    <row r="683">
      <c r="A683" s="134"/>
      <c r="B683" s="134"/>
      <c r="C683" s="134"/>
      <c r="D683" s="135"/>
      <c r="E683" s="136"/>
      <c r="F683" s="136"/>
      <c r="G683" s="134"/>
      <c r="H683" s="134"/>
      <c r="I683" s="137"/>
      <c r="J683" s="137"/>
      <c r="K683" s="134"/>
      <c r="L683" s="137"/>
      <c r="M683" s="134"/>
      <c r="N683" s="137"/>
    </row>
    <row r="684">
      <c r="A684" s="134"/>
      <c r="B684" s="134"/>
      <c r="C684" s="134"/>
      <c r="D684" s="135"/>
      <c r="E684" s="136"/>
      <c r="F684" s="136"/>
      <c r="G684" s="134"/>
      <c r="H684" s="134"/>
      <c r="I684" s="137"/>
      <c r="J684" s="137"/>
      <c r="K684" s="134"/>
      <c r="L684" s="137"/>
      <c r="M684" s="134"/>
      <c r="N684" s="137"/>
    </row>
    <row r="685">
      <c r="A685" s="134"/>
      <c r="B685" s="134"/>
      <c r="C685" s="134"/>
      <c r="D685" s="135"/>
      <c r="E685" s="136"/>
      <c r="F685" s="136"/>
      <c r="G685" s="134"/>
      <c r="H685" s="134"/>
      <c r="I685" s="137"/>
      <c r="J685" s="137"/>
      <c r="K685" s="134"/>
      <c r="L685" s="137"/>
      <c r="M685" s="134"/>
      <c r="N685" s="137"/>
    </row>
    <row r="686">
      <c r="A686" s="134"/>
      <c r="B686" s="134"/>
      <c r="C686" s="134"/>
      <c r="D686" s="135"/>
      <c r="E686" s="136"/>
      <c r="F686" s="136"/>
      <c r="G686" s="134"/>
      <c r="H686" s="134"/>
      <c r="I686" s="137"/>
      <c r="J686" s="137"/>
      <c r="K686" s="134"/>
      <c r="L686" s="137"/>
      <c r="M686" s="134"/>
      <c r="N686" s="137"/>
    </row>
    <row r="687">
      <c r="A687" s="134"/>
      <c r="B687" s="134"/>
      <c r="C687" s="134"/>
      <c r="D687" s="135"/>
      <c r="E687" s="136"/>
      <c r="F687" s="136"/>
      <c r="G687" s="134"/>
      <c r="H687" s="134"/>
      <c r="I687" s="137"/>
      <c r="J687" s="137"/>
      <c r="K687" s="134"/>
      <c r="L687" s="137"/>
      <c r="M687" s="134"/>
      <c r="N687" s="137"/>
    </row>
    <row r="688">
      <c r="A688" s="134"/>
      <c r="B688" s="134"/>
      <c r="C688" s="134"/>
      <c r="D688" s="135"/>
      <c r="E688" s="136"/>
      <c r="F688" s="136"/>
      <c r="G688" s="134"/>
      <c r="H688" s="134"/>
      <c r="I688" s="137"/>
      <c r="J688" s="137"/>
      <c r="K688" s="134"/>
      <c r="L688" s="137"/>
      <c r="M688" s="134"/>
      <c r="N688" s="137"/>
    </row>
    <row r="689">
      <c r="A689" s="134"/>
      <c r="B689" s="134"/>
      <c r="C689" s="134"/>
      <c r="D689" s="135"/>
      <c r="E689" s="136"/>
      <c r="F689" s="136"/>
      <c r="G689" s="134"/>
      <c r="H689" s="134"/>
      <c r="I689" s="137"/>
      <c r="J689" s="137"/>
      <c r="K689" s="134"/>
      <c r="L689" s="137"/>
      <c r="M689" s="134"/>
      <c r="N689" s="137"/>
    </row>
    <row r="690">
      <c r="A690" s="134"/>
      <c r="B690" s="134"/>
      <c r="C690" s="134"/>
      <c r="D690" s="135"/>
      <c r="E690" s="136"/>
      <c r="F690" s="136"/>
      <c r="G690" s="134"/>
      <c r="H690" s="134"/>
      <c r="I690" s="137"/>
      <c r="J690" s="137"/>
      <c r="K690" s="134"/>
      <c r="L690" s="137"/>
      <c r="M690" s="134"/>
      <c r="N690" s="137"/>
    </row>
    <row r="691">
      <c r="A691" s="134"/>
      <c r="B691" s="134"/>
      <c r="C691" s="134"/>
      <c r="D691" s="135"/>
      <c r="E691" s="136"/>
      <c r="F691" s="136"/>
      <c r="G691" s="134"/>
      <c r="H691" s="134"/>
      <c r="I691" s="137"/>
      <c r="J691" s="137"/>
      <c r="K691" s="134"/>
      <c r="L691" s="137"/>
      <c r="M691" s="134"/>
      <c r="N691" s="137"/>
    </row>
    <row r="692">
      <c r="A692" s="134"/>
      <c r="B692" s="134"/>
      <c r="C692" s="134"/>
      <c r="D692" s="135"/>
      <c r="E692" s="136"/>
      <c r="F692" s="136"/>
      <c r="G692" s="134"/>
      <c r="H692" s="134"/>
      <c r="I692" s="137"/>
      <c r="J692" s="137"/>
      <c r="K692" s="134"/>
      <c r="L692" s="137"/>
      <c r="M692" s="134"/>
      <c r="N692" s="137"/>
    </row>
    <row r="693">
      <c r="A693" s="134"/>
      <c r="B693" s="134"/>
      <c r="C693" s="134"/>
      <c r="D693" s="135"/>
      <c r="E693" s="136"/>
      <c r="F693" s="136"/>
      <c r="G693" s="134"/>
      <c r="H693" s="134"/>
      <c r="I693" s="137"/>
      <c r="J693" s="137"/>
      <c r="K693" s="134"/>
      <c r="L693" s="137"/>
      <c r="M693" s="134"/>
      <c r="N693" s="137"/>
    </row>
    <row r="694">
      <c r="A694" s="134"/>
      <c r="B694" s="134"/>
      <c r="C694" s="134"/>
      <c r="D694" s="135"/>
      <c r="E694" s="136"/>
      <c r="F694" s="136"/>
      <c r="G694" s="134"/>
      <c r="H694" s="134"/>
      <c r="I694" s="137"/>
      <c r="J694" s="137"/>
      <c r="K694" s="134"/>
      <c r="L694" s="137"/>
      <c r="M694" s="134"/>
      <c r="N694" s="137"/>
    </row>
    <row r="695">
      <c r="A695" s="134"/>
      <c r="B695" s="134"/>
      <c r="C695" s="134"/>
      <c r="D695" s="135"/>
      <c r="E695" s="136"/>
      <c r="F695" s="136"/>
      <c r="G695" s="134"/>
      <c r="H695" s="134"/>
      <c r="I695" s="137"/>
      <c r="J695" s="137"/>
      <c r="K695" s="134"/>
      <c r="L695" s="137"/>
      <c r="M695" s="134"/>
      <c r="N695" s="137"/>
    </row>
    <row r="696">
      <c r="A696" s="134"/>
      <c r="B696" s="134"/>
      <c r="C696" s="134"/>
      <c r="D696" s="135"/>
      <c r="E696" s="136"/>
      <c r="F696" s="136"/>
      <c r="G696" s="134"/>
      <c r="H696" s="134"/>
      <c r="I696" s="137"/>
      <c r="J696" s="137"/>
      <c r="K696" s="134"/>
      <c r="L696" s="137"/>
      <c r="M696" s="134"/>
      <c r="N696" s="137"/>
    </row>
    <row r="697">
      <c r="A697" s="134"/>
      <c r="B697" s="134"/>
      <c r="C697" s="134"/>
      <c r="D697" s="135"/>
      <c r="E697" s="136"/>
      <c r="F697" s="136"/>
      <c r="G697" s="134"/>
      <c r="H697" s="134"/>
      <c r="I697" s="137"/>
      <c r="J697" s="137"/>
      <c r="K697" s="134"/>
      <c r="L697" s="137"/>
      <c r="M697" s="134"/>
      <c r="N697" s="137"/>
    </row>
    <row r="698">
      <c r="A698" s="134"/>
      <c r="B698" s="134"/>
      <c r="C698" s="134"/>
      <c r="D698" s="135"/>
      <c r="E698" s="136"/>
      <c r="F698" s="136"/>
      <c r="G698" s="134"/>
      <c r="H698" s="134"/>
      <c r="I698" s="137"/>
      <c r="J698" s="137"/>
      <c r="K698" s="134"/>
      <c r="L698" s="137"/>
      <c r="M698" s="134"/>
      <c r="N698" s="137"/>
    </row>
    <row r="699">
      <c r="A699" s="134"/>
      <c r="B699" s="134"/>
      <c r="C699" s="134"/>
      <c r="D699" s="135"/>
      <c r="E699" s="136"/>
      <c r="F699" s="136"/>
      <c r="G699" s="134"/>
      <c r="H699" s="134"/>
      <c r="I699" s="137"/>
      <c r="J699" s="137"/>
      <c r="K699" s="134"/>
      <c r="L699" s="137"/>
      <c r="M699" s="134"/>
      <c r="N699" s="137"/>
    </row>
    <row r="700">
      <c r="A700" s="134"/>
      <c r="B700" s="134"/>
      <c r="C700" s="134"/>
      <c r="D700" s="135"/>
      <c r="E700" s="136"/>
      <c r="F700" s="136"/>
      <c r="G700" s="134"/>
      <c r="H700" s="134"/>
      <c r="I700" s="137"/>
      <c r="J700" s="137"/>
      <c r="K700" s="134"/>
      <c r="L700" s="137"/>
      <c r="M700" s="134"/>
      <c r="N700" s="137"/>
    </row>
    <row r="701">
      <c r="A701" s="134"/>
      <c r="B701" s="134"/>
      <c r="C701" s="134"/>
      <c r="D701" s="135"/>
      <c r="E701" s="136"/>
      <c r="F701" s="136"/>
      <c r="G701" s="134"/>
      <c r="H701" s="134"/>
      <c r="I701" s="137"/>
      <c r="J701" s="137"/>
      <c r="K701" s="134"/>
      <c r="L701" s="137"/>
      <c r="M701" s="134"/>
      <c r="N701" s="137"/>
    </row>
    <row r="702">
      <c r="A702" s="134"/>
      <c r="B702" s="134"/>
      <c r="C702" s="134"/>
      <c r="D702" s="135"/>
      <c r="E702" s="136"/>
      <c r="F702" s="136"/>
      <c r="G702" s="134"/>
      <c r="H702" s="134"/>
      <c r="I702" s="137"/>
      <c r="J702" s="137"/>
      <c r="K702" s="134"/>
      <c r="L702" s="137"/>
      <c r="M702" s="134"/>
      <c r="N702" s="137"/>
    </row>
    <row r="703">
      <c r="A703" s="134"/>
      <c r="B703" s="134"/>
      <c r="C703" s="134"/>
      <c r="D703" s="135"/>
      <c r="E703" s="136"/>
      <c r="F703" s="136"/>
      <c r="G703" s="134"/>
      <c r="H703" s="134"/>
      <c r="I703" s="137"/>
      <c r="J703" s="137"/>
      <c r="K703" s="134"/>
      <c r="L703" s="137"/>
      <c r="M703" s="134"/>
      <c r="N703" s="137"/>
    </row>
    <row r="704">
      <c r="A704" s="134"/>
      <c r="B704" s="134"/>
      <c r="C704" s="134"/>
      <c r="D704" s="135"/>
      <c r="E704" s="136"/>
      <c r="F704" s="136"/>
      <c r="G704" s="134"/>
      <c r="H704" s="134"/>
      <c r="I704" s="137"/>
      <c r="J704" s="137"/>
      <c r="K704" s="134"/>
      <c r="L704" s="137"/>
      <c r="M704" s="134"/>
      <c r="N704" s="137"/>
    </row>
    <row r="705">
      <c r="A705" s="134"/>
      <c r="B705" s="134"/>
      <c r="C705" s="134"/>
      <c r="D705" s="135"/>
      <c r="E705" s="136"/>
      <c r="F705" s="136"/>
      <c r="G705" s="134"/>
      <c r="H705" s="134"/>
      <c r="I705" s="137"/>
      <c r="J705" s="137"/>
      <c r="K705" s="134"/>
      <c r="L705" s="137"/>
      <c r="M705" s="134"/>
      <c r="N705" s="137"/>
    </row>
    <row r="706">
      <c r="A706" s="134"/>
      <c r="B706" s="134"/>
      <c r="C706" s="134"/>
      <c r="D706" s="135"/>
      <c r="E706" s="136"/>
      <c r="F706" s="136"/>
      <c r="G706" s="134"/>
      <c r="H706" s="134"/>
      <c r="I706" s="137"/>
      <c r="J706" s="137"/>
      <c r="K706" s="134"/>
      <c r="L706" s="137"/>
      <c r="M706" s="134"/>
      <c r="N706" s="137"/>
    </row>
    <row r="707">
      <c r="A707" s="134"/>
      <c r="B707" s="134"/>
      <c r="C707" s="134"/>
      <c r="D707" s="135"/>
      <c r="E707" s="136"/>
      <c r="F707" s="136"/>
      <c r="G707" s="134"/>
      <c r="H707" s="134"/>
      <c r="I707" s="137"/>
      <c r="J707" s="137"/>
      <c r="K707" s="134"/>
      <c r="L707" s="137"/>
      <c r="M707" s="134"/>
      <c r="N707" s="137"/>
    </row>
    <row r="708">
      <c r="A708" s="134"/>
      <c r="B708" s="134"/>
      <c r="C708" s="134"/>
      <c r="D708" s="135"/>
      <c r="E708" s="136"/>
      <c r="F708" s="136"/>
      <c r="G708" s="134"/>
      <c r="H708" s="134"/>
      <c r="I708" s="137"/>
      <c r="J708" s="137"/>
      <c r="K708" s="134"/>
      <c r="L708" s="137"/>
      <c r="M708" s="134"/>
      <c r="N708" s="137"/>
    </row>
    <row r="709">
      <c r="A709" s="134"/>
      <c r="B709" s="134"/>
      <c r="C709" s="134"/>
      <c r="D709" s="135"/>
      <c r="E709" s="136"/>
      <c r="F709" s="136"/>
      <c r="G709" s="134"/>
      <c r="H709" s="134"/>
      <c r="I709" s="137"/>
      <c r="J709" s="137"/>
      <c r="K709" s="134"/>
      <c r="L709" s="137"/>
      <c r="M709" s="134"/>
      <c r="N709" s="137"/>
    </row>
    <row r="710">
      <c r="A710" s="134"/>
      <c r="B710" s="134"/>
      <c r="C710" s="134"/>
      <c r="D710" s="135"/>
      <c r="E710" s="136"/>
      <c r="F710" s="136"/>
      <c r="G710" s="134"/>
      <c r="H710" s="134"/>
      <c r="I710" s="137"/>
      <c r="J710" s="137"/>
      <c r="K710" s="134"/>
      <c r="L710" s="137"/>
      <c r="M710" s="134"/>
      <c r="N710" s="137"/>
    </row>
    <row r="711">
      <c r="A711" s="134"/>
      <c r="B711" s="134"/>
      <c r="C711" s="134"/>
      <c r="D711" s="135"/>
      <c r="E711" s="136"/>
      <c r="F711" s="136"/>
      <c r="G711" s="134"/>
      <c r="H711" s="134"/>
      <c r="I711" s="137"/>
      <c r="J711" s="137"/>
      <c r="K711" s="134"/>
      <c r="L711" s="137"/>
      <c r="M711" s="134"/>
      <c r="N711" s="137"/>
    </row>
    <row r="712">
      <c r="A712" s="134"/>
      <c r="B712" s="134"/>
      <c r="C712" s="134"/>
      <c r="D712" s="135"/>
      <c r="E712" s="136"/>
      <c r="F712" s="136"/>
      <c r="G712" s="134"/>
      <c r="H712" s="134"/>
      <c r="I712" s="137"/>
      <c r="J712" s="137"/>
      <c r="K712" s="134"/>
      <c r="L712" s="137"/>
      <c r="M712" s="134"/>
      <c r="N712" s="137"/>
    </row>
    <row r="713">
      <c r="A713" s="134"/>
      <c r="B713" s="134"/>
      <c r="C713" s="134"/>
      <c r="D713" s="135"/>
      <c r="E713" s="136"/>
      <c r="F713" s="136"/>
      <c r="G713" s="134"/>
      <c r="H713" s="134"/>
      <c r="I713" s="137"/>
      <c r="J713" s="137"/>
      <c r="K713" s="134"/>
      <c r="L713" s="137"/>
      <c r="M713" s="134"/>
      <c r="N713" s="137"/>
    </row>
    <row r="714">
      <c r="A714" s="134"/>
      <c r="B714" s="134"/>
      <c r="C714" s="134"/>
      <c r="D714" s="135"/>
      <c r="E714" s="136"/>
      <c r="F714" s="136"/>
      <c r="G714" s="134"/>
      <c r="H714" s="134"/>
      <c r="I714" s="137"/>
      <c r="J714" s="137"/>
      <c r="K714" s="134"/>
      <c r="L714" s="137"/>
      <c r="M714" s="134"/>
      <c r="N714" s="137"/>
    </row>
    <row r="715">
      <c r="A715" s="134"/>
      <c r="B715" s="134"/>
      <c r="C715" s="134"/>
      <c r="D715" s="135"/>
      <c r="E715" s="136"/>
      <c r="F715" s="136"/>
      <c r="G715" s="134"/>
      <c r="H715" s="134"/>
      <c r="I715" s="137"/>
      <c r="J715" s="137"/>
      <c r="K715" s="134"/>
      <c r="L715" s="137"/>
      <c r="M715" s="134"/>
      <c r="N715" s="137"/>
    </row>
    <row r="716">
      <c r="A716" s="134"/>
      <c r="B716" s="134"/>
      <c r="C716" s="134"/>
      <c r="D716" s="135"/>
      <c r="E716" s="136"/>
      <c r="F716" s="136"/>
      <c r="G716" s="134"/>
      <c r="H716" s="134"/>
      <c r="I716" s="137"/>
      <c r="J716" s="137"/>
      <c r="K716" s="134"/>
      <c r="L716" s="137"/>
      <c r="M716" s="134"/>
      <c r="N716" s="137"/>
    </row>
    <row r="717">
      <c r="A717" s="134"/>
      <c r="B717" s="134"/>
      <c r="C717" s="134"/>
      <c r="D717" s="135"/>
      <c r="E717" s="136"/>
      <c r="F717" s="136"/>
      <c r="G717" s="134"/>
      <c r="H717" s="134"/>
      <c r="I717" s="137"/>
      <c r="J717" s="137"/>
      <c r="K717" s="134"/>
      <c r="L717" s="137"/>
      <c r="M717" s="134"/>
      <c r="N717" s="137"/>
    </row>
    <row r="718">
      <c r="A718" s="134"/>
      <c r="B718" s="134"/>
      <c r="C718" s="134"/>
      <c r="D718" s="135"/>
      <c r="E718" s="136"/>
      <c r="F718" s="136"/>
      <c r="G718" s="134"/>
      <c r="H718" s="134"/>
      <c r="I718" s="137"/>
      <c r="J718" s="137"/>
      <c r="K718" s="134"/>
      <c r="L718" s="137"/>
      <c r="M718" s="134"/>
      <c r="N718" s="137"/>
    </row>
    <row r="719">
      <c r="A719" s="134"/>
      <c r="B719" s="134"/>
      <c r="C719" s="134"/>
      <c r="D719" s="135"/>
      <c r="E719" s="136"/>
      <c r="F719" s="136"/>
      <c r="G719" s="134"/>
      <c r="H719" s="134"/>
      <c r="I719" s="137"/>
      <c r="J719" s="137"/>
      <c r="K719" s="134"/>
      <c r="L719" s="137"/>
      <c r="M719" s="134"/>
      <c r="N719" s="137"/>
    </row>
    <row r="720">
      <c r="A720" s="134"/>
      <c r="B720" s="134"/>
      <c r="C720" s="134"/>
      <c r="D720" s="135"/>
      <c r="E720" s="136"/>
      <c r="F720" s="136"/>
      <c r="G720" s="134"/>
      <c r="H720" s="134"/>
      <c r="I720" s="137"/>
      <c r="J720" s="137"/>
      <c r="K720" s="134"/>
      <c r="L720" s="137"/>
      <c r="M720" s="134"/>
      <c r="N720" s="137"/>
    </row>
    <row r="721">
      <c r="A721" s="134"/>
      <c r="B721" s="134"/>
      <c r="C721" s="134"/>
      <c r="D721" s="135"/>
      <c r="E721" s="136"/>
      <c r="F721" s="136"/>
      <c r="G721" s="134"/>
      <c r="H721" s="134"/>
      <c r="I721" s="137"/>
      <c r="J721" s="137"/>
      <c r="K721" s="134"/>
      <c r="L721" s="137"/>
      <c r="M721" s="134"/>
      <c r="N721" s="137"/>
    </row>
    <row r="722">
      <c r="A722" s="134"/>
      <c r="B722" s="134"/>
      <c r="C722" s="134"/>
      <c r="D722" s="135"/>
      <c r="E722" s="136"/>
      <c r="F722" s="136"/>
      <c r="G722" s="134"/>
      <c r="H722" s="134"/>
      <c r="I722" s="137"/>
      <c r="J722" s="137"/>
      <c r="K722" s="134"/>
      <c r="L722" s="137"/>
      <c r="M722" s="134"/>
      <c r="N722" s="137"/>
    </row>
    <row r="723">
      <c r="A723" s="134"/>
      <c r="B723" s="134"/>
      <c r="C723" s="134"/>
      <c r="D723" s="135"/>
      <c r="E723" s="136"/>
      <c r="F723" s="136"/>
      <c r="G723" s="134"/>
      <c r="H723" s="134"/>
      <c r="I723" s="137"/>
      <c r="J723" s="137"/>
      <c r="K723" s="134"/>
      <c r="L723" s="137"/>
      <c r="M723" s="134"/>
      <c r="N723" s="137"/>
    </row>
    <row r="724">
      <c r="A724" s="134"/>
      <c r="B724" s="134"/>
      <c r="C724" s="134"/>
      <c r="D724" s="135"/>
      <c r="E724" s="136"/>
      <c r="F724" s="136"/>
      <c r="G724" s="134"/>
      <c r="H724" s="134"/>
      <c r="I724" s="137"/>
      <c r="J724" s="137"/>
      <c r="K724" s="134"/>
      <c r="L724" s="137"/>
      <c r="M724" s="134"/>
      <c r="N724" s="137"/>
    </row>
    <row r="725">
      <c r="A725" s="134"/>
      <c r="B725" s="134"/>
      <c r="C725" s="134"/>
      <c r="D725" s="135"/>
      <c r="E725" s="136"/>
      <c r="F725" s="136"/>
      <c r="G725" s="134"/>
      <c r="H725" s="134"/>
      <c r="I725" s="137"/>
      <c r="J725" s="137"/>
      <c r="K725" s="134"/>
      <c r="L725" s="137"/>
      <c r="M725" s="134"/>
      <c r="N725" s="137"/>
    </row>
    <row r="726">
      <c r="A726" s="134"/>
      <c r="B726" s="134"/>
      <c r="C726" s="134"/>
      <c r="D726" s="135"/>
      <c r="E726" s="136"/>
      <c r="F726" s="136"/>
      <c r="G726" s="134"/>
      <c r="H726" s="134"/>
      <c r="I726" s="137"/>
      <c r="J726" s="137"/>
      <c r="K726" s="134"/>
      <c r="L726" s="137"/>
      <c r="M726" s="134"/>
      <c r="N726" s="137"/>
    </row>
    <row r="727">
      <c r="A727" s="134"/>
      <c r="B727" s="134"/>
      <c r="C727" s="134"/>
      <c r="D727" s="135"/>
      <c r="E727" s="136"/>
      <c r="F727" s="136"/>
      <c r="G727" s="134"/>
      <c r="H727" s="134"/>
      <c r="I727" s="137"/>
      <c r="J727" s="137"/>
      <c r="K727" s="134"/>
      <c r="L727" s="137"/>
      <c r="M727" s="134"/>
      <c r="N727" s="137"/>
    </row>
    <row r="728">
      <c r="A728" s="134"/>
      <c r="B728" s="134"/>
      <c r="C728" s="134"/>
      <c r="D728" s="135"/>
      <c r="E728" s="136"/>
      <c r="F728" s="136"/>
      <c r="G728" s="134"/>
      <c r="H728" s="134"/>
      <c r="I728" s="137"/>
      <c r="J728" s="137"/>
      <c r="K728" s="134"/>
      <c r="L728" s="137"/>
      <c r="M728" s="134"/>
      <c r="N728" s="137"/>
    </row>
    <row r="729">
      <c r="A729" s="134"/>
      <c r="B729" s="134"/>
      <c r="C729" s="134"/>
      <c r="D729" s="135"/>
      <c r="E729" s="136"/>
      <c r="F729" s="136"/>
      <c r="G729" s="134"/>
      <c r="H729" s="134"/>
      <c r="I729" s="137"/>
      <c r="J729" s="137"/>
      <c r="K729" s="134"/>
      <c r="L729" s="137"/>
      <c r="M729" s="134"/>
      <c r="N729" s="137"/>
    </row>
    <row r="730">
      <c r="A730" s="134"/>
      <c r="B730" s="134"/>
      <c r="C730" s="134"/>
      <c r="D730" s="135"/>
      <c r="E730" s="136"/>
      <c r="F730" s="136"/>
      <c r="G730" s="134"/>
      <c r="H730" s="134"/>
      <c r="I730" s="137"/>
      <c r="J730" s="137"/>
      <c r="K730" s="134"/>
      <c r="L730" s="137"/>
      <c r="M730" s="134"/>
      <c r="N730" s="137"/>
    </row>
    <row r="731">
      <c r="A731" s="134"/>
      <c r="B731" s="134"/>
      <c r="C731" s="134"/>
      <c r="D731" s="135"/>
      <c r="E731" s="136"/>
      <c r="F731" s="136"/>
      <c r="G731" s="134"/>
      <c r="H731" s="134"/>
      <c r="I731" s="137"/>
      <c r="J731" s="137"/>
      <c r="K731" s="134"/>
      <c r="L731" s="137"/>
      <c r="M731" s="134"/>
      <c r="N731" s="137"/>
    </row>
    <row r="732">
      <c r="A732" s="134"/>
      <c r="B732" s="134"/>
      <c r="C732" s="134"/>
      <c r="D732" s="135"/>
      <c r="E732" s="136"/>
      <c r="F732" s="136"/>
      <c r="G732" s="134"/>
      <c r="H732" s="134"/>
      <c r="I732" s="137"/>
      <c r="J732" s="137"/>
      <c r="K732" s="134"/>
      <c r="L732" s="137"/>
      <c r="M732" s="134"/>
      <c r="N732" s="137"/>
    </row>
    <row r="733">
      <c r="A733" s="134"/>
      <c r="B733" s="134"/>
      <c r="C733" s="134"/>
      <c r="D733" s="135"/>
      <c r="E733" s="136"/>
      <c r="F733" s="136"/>
      <c r="G733" s="134"/>
      <c r="H733" s="134"/>
      <c r="I733" s="137"/>
      <c r="J733" s="137"/>
      <c r="K733" s="134"/>
      <c r="L733" s="137"/>
      <c r="M733" s="134"/>
      <c r="N733" s="137"/>
    </row>
    <row r="734">
      <c r="A734" s="134"/>
      <c r="B734" s="134"/>
      <c r="C734" s="134"/>
      <c r="D734" s="135"/>
      <c r="E734" s="136"/>
      <c r="F734" s="136"/>
      <c r="G734" s="134"/>
      <c r="H734" s="134"/>
      <c r="I734" s="137"/>
      <c r="J734" s="137"/>
      <c r="K734" s="134"/>
      <c r="L734" s="137"/>
      <c r="M734" s="134"/>
      <c r="N734" s="137"/>
    </row>
    <row r="735">
      <c r="A735" s="134"/>
      <c r="B735" s="134"/>
      <c r="C735" s="134"/>
      <c r="D735" s="135"/>
      <c r="E735" s="136"/>
      <c r="F735" s="136"/>
      <c r="G735" s="134"/>
      <c r="H735" s="134"/>
      <c r="I735" s="137"/>
      <c r="J735" s="137"/>
      <c r="K735" s="134"/>
      <c r="L735" s="137"/>
      <c r="M735" s="134"/>
      <c r="N735" s="137"/>
    </row>
    <row r="736">
      <c r="A736" s="134"/>
      <c r="B736" s="134"/>
      <c r="C736" s="134"/>
      <c r="D736" s="135"/>
      <c r="E736" s="136"/>
      <c r="F736" s="136"/>
      <c r="G736" s="134"/>
      <c r="H736" s="134"/>
      <c r="I736" s="137"/>
      <c r="J736" s="137"/>
      <c r="K736" s="134"/>
      <c r="L736" s="137"/>
      <c r="M736" s="134"/>
      <c r="N736" s="137"/>
    </row>
    <row r="737">
      <c r="A737" s="134"/>
      <c r="B737" s="134"/>
      <c r="C737" s="134"/>
      <c r="D737" s="135"/>
      <c r="E737" s="136"/>
      <c r="F737" s="136"/>
      <c r="G737" s="134"/>
      <c r="H737" s="134"/>
      <c r="I737" s="137"/>
      <c r="J737" s="137"/>
      <c r="K737" s="134"/>
      <c r="L737" s="137"/>
      <c r="M737" s="134"/>
      <c r="N737" s="137"/>
    </row>
    <row r="738">
      <c r="A738" s="134"/>
      <c r="B738" s="134"/>
      <c r="C738" s="134"/>
      <c r="D738" s="135"/>
      <c r="E738" s="136"/>
      <c r="F738" s="136"/>
      <c r="G738" s="134"/>
      <c r="H738" s="134"/>
      <c r="I738" s="137"/>
      <c r="J738" s="137"/>
      <c r="K738" s="134"/>
      <c r="L738" s="137"/>
      <c r="M738" s="134"/>
      <c r="N738" s="137"/>
    </row>
    <row r="739">
      <c r="A739" s="134"/>
      <c r="B739" s="134"/>
      <c r="C739" s="134"/>
      <c r="D739" s="135"/>
      <c r="E739" s="136"/>
      <c r="F739" s="136"/>
      <c r="G739" s="134"/>
      <c r="H739" s="134"/>
      <c r="I739" s="137"/>
      <c r="J739" s="137"/>
      <c r="K739" s="134"/>
      <c r="L739" s="137"/>
      <c r="M739" s="134"/>
      <c r="N739" s="137"/>
    </row>
    <row r="740">
      <c r="A740" s="134"/>
      <c r="B740" s="134"/>
      <c r="C740" s="134"/>
      <c r="D740" s="135"/>
      <c r="E740" s="136"/>
      <c r="F740" s="136"/>
      <c r="G740" s="134"/>
      <c r="H740" s="134"/>
      <c r="I740" s="137"/>
      <c r="J740" s="137"/>
      <c r="K740" s="134"/>
      <c r="L740" s="137"/>
      <c r="M740" s="134"/>
      <c r="N740" s="137"/>
    </row>
    <row r="741">
      <c r="A741" s="134"/>
      <c r="B741" s="134"/>
      <c r="C741" s="134"/>
      <c r="D741" s="135"/>
      <c r="E741" s="136"/>
      <c r="F741" s="136"/>
      <c r="G741" s="134"/>
      <c r="H741" s="134"/>
      <c r="I741" s="137"/>
      <c r="J741" s="137"/>
      <c r="K741" s="134"/>
      <c r="L741" s="137"/>
      <c r="M741" s="134"/>
      <c r="N741" s="137"/>
    </row>
    <row r="742">
      <c r="A742" s="134"/>
      <c r="B742" s="134"/>
      <c r="C742" s="134"/>
      <c r="D742" s="135"/>
      <c r="E742" s="136"/>
      <c r="F742" s="136"/>
      <c r="G742" s="134"/>
      <c r="H742" s="134"/>
      <c r="I742" s="137"/>
      <c r="J742" s="137"/>
      <c r="K742" s="134"/>
      <c r="L742" s="137"/>
      <c r="M742" s="134"/>
      <c r="N742" s="137"/>
    </row>
    <row r="743">
      <c r="A743" s="134"/>
      <c r="B743" s="134"/>
      <c r="C743" s="134"/>
      <c r="D743" s="135"/>
      <c r="E743" s="136"/>
      <c r="F743" s="136"/>
      <c r="G743" s="134"/>
      <c r="H743" s="134"/>
      <c r="I743" s="137"/>
      <c r="J743" s="137"/>
      <c r="K743" s="134"/>
      <c r="L743" s="137"/>
      <c r="M743" s="134"/>
      <c r="N743" s="137"/>
    </row>
    <row r="744">
      <c r="A744" s="134"/>
      <c r="B744" s="134"/>
      <c r="C744" s="134"/>
      <c r="D744" s="135"/>
      <c r="E744" s="136"/>
      <c r="F744" s="136"/>
      <c r="G744" s="134"/>
      <c r="H744" s="134"/>
      <c r="I744" s="137"/>
      <c r="J744" s="137"/>
      <c r="K744" s="134"/>
      <c r="L744" s="137"/>
      <c r="M744" s="134"/>
      <c r="N744" s="137"/>
    </row>
    <row r="745">
      <c r="A745" s="134"/>
      <c r="B745" s="134"/>
      <c r="C745" s="134"/>
      <c r="D745" s="135"/>
      <c r="E745" s="136"/>
      <c r="F745" s="136"/>
      <c r="G745" s="134"/>
      <c r="H745" s="134"/>
      <c r="I745" s="137"/>
      <c r="J745" s="137"/>
      <c r="K745" s="134"/>
      <c r="L745" s="137"/>
      <c r="M745" s="134"/>
      <c r="N745" s="137"/>
    </row>
    <row r="746">
      <c r="A746" s="134"/>
      <c r="B746" s="134"/>
      <c r="C746" s="134"/>
      <c r="D746" s="135"/>
      <c r="E746" s="136"/>
      <c r="F746" s="136"/>
      <c r="G746" s="134"/>
      <c r="H746" s="134"/>
      <c r="I746" s="137"/>
      <c r="J746" s="137"/>
      <c r="K746" s="134"/>
      <c r="L746" s="137"/>
      <c r="M746" s="134"/>
      <c r="N746" s="137"/>
    </row>
    <row r="747">
      <c r="A747" s="134"/>
      <c r="B747" s="134"/>
      <c r="C747" s="134"/>
      <c r="D747" s="135"/>
      <c r="E747" s="136"/>
      <c r="F747" s="136"/>
      <c r="G747" s="134"/>
      <c r="H747" s="134"/>
      <c r="I747" s="137"/>
      <c r="J747" s="137"/>
      <c r="K747" s="134"/>
      <c r="L747" s="137"/>
      <c r="M747" s="134"/>
      <c r="N747" s="137"/>
    </row>
    <row r="748">
      <c r="A748" s="134"/>
      <c r="B748" s="134"/>
      <c r="C748" s="134"/>
      <c r="D748" s="135"/>
      <c r="E748" s="136"/>
      <c r="F748" s="136"/>
      <c r="G748" s="134"/>
      <c r="H748" s="134"/>
      <c r="I748" s="137"/>
      <c r="J748" s="137"/>
      <c r="K748" s="134"/>
      <c r="L748" s="137"/>
      <c r="M748" s="134"/>
      <c r="N748" s="137"/>
    </row>
    <row r="749">
      <c r="A749" s="134"/>
      <c r="B749" s="134"/>
      <c r="C749" s="134"/>
      <c r="D749" s="135"/>
      <c r="E749" s="136"/>
      <c r="F749" s="136"/>
      <c r="G749" s="134"/>
      <c r="H749" s="134"/>
      <c r="I749" s="137"/>
      <c r="J749" s="137"/>
      <c r="K749" s="134"/>
      <c r="L749" s="137"/>
      <c r="M749" s="134"/>
      <c r="N749" s="137"/>
    </row>
    <row r="750">
      <c r="A750" s="134"/>
      <c r="B750" s="134"/>
      <c r="C750" s="134"/>
      <c r="D750" s="135"/>
      <c r="E750" s="136"/>
      <c r="F750" s="136"/>
      <c r="G750" s="134"/>
      <c r="H750" s="134"/>
      <c r="I750" s="137"/>
      <c r="J750" s="137"/>
      <c r="K750" s="134"/>
      <c r="L750" s="137"/>
      <c r="M750" s="134"/>
      <c r="N750" s="137"/>
    </row>
    <row r="751">
      <c r="A751" s="134"/>
      <c r="B751" s="134"/>
      <c r="C751" s="134"/>
      <c r="D751" s="135"/>
      <c r="E751" s="136"/>
      <c r="F751" s="136"/>
      <c r="G751" s="134"/>
      <c r="H751" s="134"/>
      <c r="I751" s="137"/>
      <c r="J751" s="137"/>
      <c r="K751" s="134"/>
      <c r="L751" s="137"/>
      <c r="M751" s="134"/>
      <c r="N751" s="137"/>
    </row>
    <row r="752">
      <c r="A752" s="134"/>
      <c r="B752" s="134"/>
      <c r="C752" s="134"/>
      <c r="D752" s="135"/>
      <c r="E752" s="136"/>
      <c r="F752" s="136"/>
      <c r="G752" s="134"/>
      <c r="H752" s="134"/>
      <c r="I752" s="137"/>
      <c r="J752" s="137"/>
      <c r="K752" s="134"/>
      <c r="L752" s="137"/>
      <c r="M752" s="134"/>
      <c r="N752" s="137"/>
    </row>
    <row r="753">
      <c r="A753" s="134"/>
      <c r="B753" s="134"/>
      <c r="C753" s="134"/>
      <c r="D753" s="135"/>
      <c r="E753" s="136"/>
      <c r="F753" s="136"/>
      <c r="G753" s="134"/>
      <c r="H753" s="134"/>
      <c r="I753" s="137"/>
      <c r="J753" s="137"/>
      <c r="K753" s="134"/>
      <c r="L753" s="137"/>
      <c r="M753" s="134"/>
      <c r="N753" s="137"/>
    </row>
    <row r="754">
      <c r="A754" s="134"/>
      <c r="B754" s="134"/>
      <c r="C754" s="134"/>
      <c r="D754" s="135"/>
      <c r="E754" s="136"/>
      <c r="F754" s="136"/>
      <c r="G754" s="134"/>
      <c r="H754" s="134"/>
      <c r="I754" s="137"/>
      <c r="J754" s="137"/>
      <c r="K754" s="134"/>
      <c r="L754" s="137"/>
      <c r="M754" s="134"/>
      <c r="N754" s="137"/>
    </row>
    <row r="755">
      <c r="A755" s="134"/>
      <c r="B755" s="134"/>
      <c r="C755" s="134"/>
      <c r="D755" s="135"/>
      <c r="E755" s="136"/>
      <c r="F755" s="136"/>
      <c r="G755" s="134"/>
      <c r="H755" s="134"/>
      <c r="I755" s="137"/>
      <c r="J755" s="137"/>
      <c r="K755" s="134"/>
      <c r="L755" s="137"/>
      <c r="M755" s="134"/>
      <c r="N755" s="137"/>
    </row>
    <row r="756">
      <c r="A756" s="134"/>
      <c r="B756" s="134"/>
      <c r="C756" s="134"/>
      <c r="D756" s="135"/>
      <c r="E756" s="136"/>
      <c r="F756" s="136"/>
      <c r="G756" s="134"/>
      <c r="H756" s="134"/>
      <c r="I756" s="137"/>
      <c r="J756" s="137"/>
      <c r="K756" s="134"/>
      <c r="L756" s="137"/>
      <c r="M756" s="134"/>
      <c r="N756" s="137"/>
    </row>
    <row r="757">
      <c r="A757" s="134"/>
      <c r="B757" s="134"/>
      <c r="C757" s="134"/>
      <c r="D757" s="135"/>
      <c r="E757" s="136"/>
      <c r="F757" s="136"/>
      <c r="G757" s="134"/>
      <c r="H757" s="134"/>
      <c r="I757" s="137"/>
      <c r="J757" s="137"/>
      <c r="K757" s="134"/>
      <c r="L757" s="137"/>
      <c r="M757" s="134"/>
      <c r="N757" s="137"/>
    </row>
    <row r="758">
      <c r="A758" s="134"/>
      <c r="B758" s="134"/>
      <c r="C758" s="134"/>
      <c r="D758" s="135"/>
      <c r="E758" s="136"/>
      <c r="F758" s="136"/>
      <c r="G758" s="134"/>
      <c r="H758" s="134"/>
      <c r="I758" s="137"/>
      <c r="J758" s="137"/>
      <c r="K758" s="134"/>
      <c r="L758" s="137"/>
      <c r="M758" s="134"/>
      <c r="N758" s="137"/>
    </row>
    <row r="759">
      <c r="A759" s="134"/>
      <c r="B759" s="134"/>
      <c r="C759" s="134"/>
      <c r="D759" s="135"/>
      <c r="E759" s="136"/>
      <c r="F759" s="136"/>
      <c r="G759" s="134"/>
      <c r="H759" s="134"/>
      <c r="I759" s="137"/>
      <c r="J759" s="137"/>
      <c r="K759" s="134"/>
      <c r="L759" s="137"/>
      <c r="M759" s="134"/>
      <c r="N759" s="137"/>
    </row>
    <row r="760">
      <c r="A760" s="134"/>
      <c r="B760" s="134"/>
      <c r="C760" s="134"/>
      <c r="D760" s="135"/>
      <c r="E760" s="136"/>
      <c r="F760" s="136"/>
      <c r="G760" s="134"/>
      <c r="H760" s="134"/>
      <c r="I760" s="137"/>
      <c r="J760" s="137"/>
      <c r="K760" s="134"/>
      <c r="L760" s="137"/>
      <c r="M760" s="134"/>
      <c r="N760" s="137"/>
    </row>
    <row r="761">
      <c r="A761" s="134"/>
      <c r="B761" s="134"/>
      <c r="C761" s="134"/>
      <c r="D761" s="135"/>
      <c r="E761" s="136"/>
      <c r="F761" s="136"/>
      <c r="G761" s="134"/>
      <c r="H761" s="134"/>
      <c r="I761" s="137"/>
      <c r="J761" s="137"/>
      <c r="K761" s="134"/>
      <c r="L761" s="137"/>
      <c r="M761" s="134"/>
      <c r="N761" s="137"/>
    </row>
    <row r="762">
      <c r="A762" s="134"/>
      <c r="B762" s="134"/>
      <c r="C762" s="134"/>
      <c r="D762" s="135"/>
      <c r="E762" s="136"/>
      <c r="F762" s="136"/>
      <c r="G762" s="134"/>
      <c r="H762" s="134"/>
      <c r="I762" s="137"/>
      <c r="J762" s="137"/>
      <c r="K762" s="134"/>
      <c r="L762" s="137"/>
      <c r="M762" s="134"/>
      <c r="N762" s="137"/>
    </row>
    <row r="763">
      <c r="A763" s="134"/>
      <c r="B763" s="134"/>
      <c r="C763" s="134"/>
      <c r="D763" s="135"/>
      <c r="E763" s="136"/>
      <c r="F763" s="136"/>
      <c r="G763" s="134"/>
      <c r="H763" s="134"/>
      <c r="I763" s="137"/>
      <c r="J763" s="137"/>
      <c r="K763" s="134"/>
      <c r="L763" s="137"/>
      <c r="M763" s="134"/>
      <c r="N763" s="137"/>
    </row>
    <row r="764">
      <c r="A764" s="134"/>
      <c r="B764" s="134"/>
      <c r="C764" s="134"/>
      <c r="D764" s="135"/>
      <c r="E764" s="136"/>
      <c r="F764" s="136"/>
      <c r="G764" s="134"/>
      <c r="H764" s="134"/>
      <c r="I764" s="137"/>
      <c r="J764" s="137"/>
      <c r="K764" s="134"/>
      <c r="L764" s="137"/>
      <c r="M764" s="134"/>
      <c r="N764" s="137"/>
    </row>
    <row r="765">
      <c r="A765" s="134"/>
      <c r="B765" s="134"/>
      <c r="C765" s="134"/>
      <c r="D765" s="135"/>
      <c r="E765" s="136"/>
      <c r="F765" s="136"/>
      <c r="G765" s="134"/>
      <c r="H765" s="134"/>
      <c r="I765" s="137"/>
      <c r="J765" s="137"/>
      <c r="K765" s="134"/>
      <c r="L765" s="137"/>
      <c r="M765" s="134"/>
      <c r="N765" s="137"/>
    </row>
    <row r="766">
      <c r="A766" s="134"/>
      <c r="B766" s="134"/>
      <c r="C766" s="134"/>
      <c r="D766" s="135"/>
      <c r="E766" s="136"/>
      <c r="F766" s="136"/>
      <c r="G766" s="134"/>
      <c r="H766" s="134"/>
      <c r="I766" s="137"/>
      <c r="J766" s="137"/>
      <c r="K766" s="134"/>
      <c r="L766" s="137"/>
      <c r="M766" s="134"/>
      <c r="N766" s="137"/>
    </row>
    <row r="767">
      <c r="A767" s="134"/>
      <c r="B767" s="134"/>
      <c r="C767" s="134"/>
      <c r="D767" s="135"/>
      <c r="E767" s="136"/>
      <c r="F767" s="136"/>
      <c r="G767" s="134"/>
      <c r="H767" s="134"/>
      <c r="I767" s="137"/>
      <c r="J767" s="137"/>
      <c r="K767" s="134"/>
      <c r="L767" s="137"/>
      <c r="M767" s="134"/>
      <c r="N767" s="137"/>
    </row>
    <row r="768">
      <c r="A768" s="134"/>
      <c r="B768" s="134"/>
      <c r="C768" s="134"/>
      <c r="D768" s="135"/>
      <c r="E768" s="136"/>
      <c r="F768" s="136"/>
      <c r="G768" s="134"/>
      <c r="H768" s="134"/>
      <c r="I768" s="137"/>
      <c r="J768" s="137"/>
      <c r="K768" s="134"/>
      <c r="L768" s="137"/>
      <c r="M768" s="134"/>
      <c r="N768" s="137"/>
    </row>
    <row r="769">
      <c r="A769" s="134"/>
      <c r="B769" s="134"/>
      <c r="C769" s="134"/>
      <c r="D769" s="135"/>
      <c r="E769" s="136"/>
      <c r="F769" s="136"/>
      <c r="G769" s="134"/>
      <c r="H769" s="134"/>
      <c r="I769" s="137"/>
      <c r="J769" s="137"/>
      <c r="K769" s="134"/>
      <c r="L769" s="137"/>
      <c r="M769" s="134"/>
      <c r="N769" s="137"/>
    </row>
    <row r="770">
      <c r="A770" s="134"/>
      <c r="B770" s="134"/>
      <c r="C770" s="134"/>
      <c r="D770" s="135"/>
      <c r="E770" s="136"/>
      <c r="F770" s="136"/>
      <c r="G770" s="134"/>
      <c r="H770" s="134"/>
      <c r="I770" s="137"/>
      <c r="J770" s="137"/>
      <c r="K770" s="134"/>
      <c r="L770" s="137"/>
      <c r="M770" s="134"/>
      <c r="N770" s="137"/>
    </row>
    <row r="771">
      <c r="A771" s="134"/>
      <c r="B771" s="134"/>
      <c r="C771" s="134"/>
      <c r="D771" s="135"/>
      <c r="E771" s="136"/>
      <c r="F771" s="136"/>
      <c r="G771" s="134"/>
      <c r="H771" s="134"/>
      <c r="I771" s="137"/>
      <c r="J771" s="137"/>
      <c r="K771" s="134"/>
      <c r="L771" s="137"/>
      <c r="M771" s="134"/>
      <c r="N771" s="137"/>
    </row>
    <row r="772">
      <c r="A772" s="134"/>
      <c r="B772" s="134"/>
      <c r="C772" s="134"/>
      <c r="D772" s="135"/>
      <c r="E772" s="136"/>
      <c r="F772" s="136"/>
      <c r="G772" s="134"/>
      <c r="H772" s="134"/>
      <c r="I772" s="137"/>
      <c r="J772" s="137"/>
      <c r="K772" s="134"/>
      <c r="L772" s="137"/>
      <c r="M772" s="134"/>
      <c r="N772" s="137"/>
    </row>
    <row r="773">
      <c r="A773" s="134"/>
      <c r="B773" s="134"/>
      <c r="C773" s="134"/>
      <c r="D773" s="135"/>
      <c r="E773" s="136"/>
      <c r="F773" s="136"/>
      <c r="G773" s="134"/>
      <c r="H773" s="134"/>
      <c r="I773" s="137"/>
      <c r="J773" s="137"/>
      <c r="K773" s="134"/>
      <c r="L773" s="137"/>
      <c r="M773" s="134"/>
      <c r="N773" s="137"/>
    </row>
    <row r="774">
      <c r="A774" s="134"/>
      <c r="B774" s="134"/>
      <c r="C774" s="134"/>
      <c r="D774" s="135"/>
      <c r="E774" s="136"/>
      <c r="F774" s="136"/>
      <c r="G774" s="134"/>
      <c r="H774" s="134"/>
      <c r="I774" s="137"/>
      <c r="J774" s="137"/>
      <c r="K774" s="134"/>
      <c r="L774" s="137"/>
      <c r="M774" s="134"/>
      <c r="N774" s="137"/>
    </row>
    <row r="775">
      <c r="A775" s="134"/>
      <c r="B775" s="134"/>
      <c r="C775" s="134"/>
      <c r="D775" s="135"/>
      <c r="E775" s="136"/>
      <c r="F775" s="136"/>
      <c r="G775" s="134"/>
      <c r="H775" s="134"/>
      <c r="I775" s="137"/>
      <c r="J775" s="137"/>
      <c r="K775" s="134"/>
      <c r="L775" s="137"/>
      <c r="M775" s="134"/>
      <c r="N775" s="137"/>
    </row>
    <row r="776">
      <c r="A776" s="134"/>
      <c r="B776" s="134"/>
      <c r="C776" s="134"/>
      <c r="D776" s="135"/>
      <c r="E776" s="136"/>
      <c r="F776" s="136"/>
      <c r="G776" s="134"/>
      <c r="H776" s="134"/>
      <c r="I776" s="137"/>
      <c r="J776" s="137"/>
      <c r="K776" s="134"/>
      <c r="L776" s="137"/>
      <c r="M776" s="134"/>
      <c r="N776" s="137"/>
    </row>
    <row r="777">
      <c r="A777" s="134"/>
      <c r="B777" s="134"/>
      <c r="C777" s="134"/>
      <c r="D777" s="135"/>
      <c r="E777" s="136"/>
      <c r="F777" s="136"/>
      <c r="G777" s="134"/>
      <c r="H777" s="134"/>
      <c r="I777" s="137"/>
      <c r="J777" s="137"/>
      <c r="K777" s="134"/>
      <c r="L777" s="137"/>
      <c r="M777" s="134"/>
      <c r="N777" s="137"/>
    </row>
    <row r="778">
      <c r="A778" s="134"/>
      <c r="B778" s="134"/>
      <c r="C778" s="134"/>
      <c r="D778" s="135"/>
      <c r="E778" s="136"/>
      <c r="F778" s="136"/>
      <c r="G778" s="134"/>
      <c r="H778" s="134"/>
      <c r="I778" s="137"/>
      <c r="J778" s="137"/>
      <c r="K778" s="134"/>
      <c r="L778" s="137"/>
      <c r="M778" s="134"/>
      <c r="N778" s="137"/>
    </row>
    <row r="779">
      <c r="A779" s="134"/>
      <c r="B779" s="134"/>
      <c r="C779" s="134"/>
      <c r="D779" s="135"/>
      <c r="E779" s="136"/>
      <c r="F779" s="136"/>
      <c r="G779" s="134"/>
      <c r="H779" s="134"/>
      <c r="I779" s="137"/>
      <c r="J779" s="137"/>
      <c r="K779" s="134"/>
      <c r="L779" s="137"/>
      <c r="M779" s="134"/>
      <c r="N779" s="137"/>
    </row>
    <row r="780">
      <c r="A780" s="134"/>
      <c r="B780" s="134"/>
      <c r="C780" s="134"/>
      <c r="D780" s="135"/>
      <c r="E780" s="136"/>
      <c r="F780" s="136"/>
      <c r="G780" s="134"/>
      <c r="H780" s="134"/>
      <c r="I780" s="137"/>
      <c r="J780" s="137"/>
      <c r="K780" s="134"/>
      <c r="L780" s="137"/>
      <c r="M780" s="134"/>
      <c r="N780" s="137"/>
    </row>
    <row r="781">
      <c r="A781" s="134"/>
      <c r="B781" s="134"/>
      <c r="C781" s="134"/>
      <c r="D781" s="135"/>
      <c r="E781" s="136"/>
      <c r="F781" s="136"/>
      <c r="G781" s="134"/>
      <c r="H781" s="134"/>
      <c r="I781" s="137"/>
      <c r="J781" s="137"/>
      <c r="K781" s="134"/>
      <c r="L781" s="137"/>
      <c r="M781" s="134"/>
      <c r="N781" s="137"/>
    </row>
    <row r="782">
      <c r="A782" s="134"/>
      <c r="B782" s="134"/>
      <c r="C782" s="134"/>
      <c r="D782" s="135"/>
      <c r="E782" s="136"/>
      <c r="F782" s="136"/>
      <c r="G782" s="134"/>
      <c r="H782" s="134"/>
      <c r="I782" s="137"/>
      <c r="J782" s="137"/>
      <c r="K782" s="134"/>
      <c r="L782" s="137"/>
      <c r="M782" s="134"/>
      <c r="N782" s="137"/>
    </row>
    <row r="783">
      <c r="A783" s="134"/>
      <c r="B783" s="134"/>
      <c r="C783" s="134"/>
      <c r="D783" s="135"/>
      <c r="E783" s="136"/>
      <c r="F783" s="136"/>
      <c r="G783" s="134"/>
      <c r="H783" s="134"/>
      <c r="I783" s="137"/>
      <c r="J783" s="137"/>
      <c r="K783" s="134"/>
      <c r="L783" s="137"/>
      <c r="M783" s="134"/>
      <c r="N783" s="137"/>
    </row>
    <row r="784">
      <c r="A784" s="134"/>
      <c r="B784" s="134"/>
      <c r="C784" s="134"/>
      <c r="D784" s="135"/>
      <c r="E784" s="136"/>
      <c r="F784" s="136"/>
      <c r="G784" s="134"/>
      <c r="H784" s="134"/>
      <c r="I784" s="137"/>
      <c r="J784" s="137"/>
      <c r="K784" s="134"/>
      <c r="L784" s="137"/>
      <c r="M784" s="134"/>
      <c r="N784" s="137"/>
    </row>
    <row r="785">
      <c r="A785" s="134"/>
      <c r="B785" s="134"/>
      <c r="C785" s="134"/>
      <c r="D785" s="135"/>
      <c r="E785" s="136"/>
      <c r="F785" s="136"/>
      <c r="G785" s="134"/>
      <c r="H785" s="134"/>
      <c r="I785" s="137"/>
      <c r="J785" s="137"/>
      <c r="K785" s="134"/>
      <c r="L785" s="137"/>
      <c r="M785" s="134"/>
      <c r="N785" s="137"/>
    </row>
    <row r="786">
      <c r="A786" s="134"/>
      <c r="B786" s="134"/>
      <c r="C786" s="134"/>
      <c r="D786" s="135"/>
      <c r="E786" s="136"/>
      <c r="F786" s="136"/>
      <c r="G786" s="134"/>
      <c r="H786" s="134"/>
      <c r="I786" s="137"/>
      <c r="J786" s="137"/>
      <c r="K786" s="134"/>
      <c r="L786" s="137"/>
      <c r="M786" s="134"/>
      <c r="N786" s="137"/>
    </row>
    <row r="787">
      <c r="A787" s="134"/>
      <c r="B787" s="134"/>
      <c r="C787" s="134"/>
      <c r="D787" s="135"/>
      <c r="E787" s="136"/>
      <c r="F787" s="136"/>
      <c r="G787" s="134"/>
      <c r="H787" s="134"/>
      <c r="I787" s="137"/>
      <c r="J787" s="137"/>
      <c r="K787" s="134"/>
      <c r="L787" s="137"/>
      <c r="M787" s="134"/>
      <c r="N787" s="137"/>
    </row>
    <row r="788">
      <c r="A788" s="134"/>
      <c r="B788" s="134"/>
      <c r="C788" s="134"/>
      <c r="D788" s="135"/>
      <c r="E788" s="136"/>
      <c r="F788" s="136"/>
      <c r="G788" s="134"/>
      <c r="H788" s="134"/>
      <c r="I788" s="137"/>
      <c r="J788" s="137"/>
      <c r="K788" s="134"/>
      <c r="L788" s="137"/>
      <c r="M788" s="134"/>
      <c r="N788" s="137"/>
    </row>
    <row r="789">
      <c r="A789" s="134"/>
      <c r="B789" s="134"/>
      <c r="C789" s="134"/>
      <c r="D789" s="135"/>
      <c r="E789" s="136"/>
      <c r="F789" s="136"/>
      <c r="G789" s="134"/>
      <c r="H789" s="134"/>
      <c r="I789" s="137"/>
      <c r="J789" s="137"/>
      <c r="K789" s="134"/>
      <c r="L789" s="137"/>
      <c r="M789" s="134"/>
      <c r="N789" s="137"/>
    </row>
    <row r="790">
      <c r="A790" s="134"/>
      <c r="B790" s="134"/>
      <c r="C790" s="134"/>
      <c r="D790" s="135"/>
      <c r="E790" s="136"/>
      <c r="F790" s="136"/>
      <c r="G790" s="134"/>
      <c r="H790" s="134"/>
      <c r="I790" s="137"/>
      <c r="J790" s="137"/>
      <c r="K790" s="134"/>
      <c r="L790" s="137"/>
      <c r="M790" s="134"/>
      <c r="N790" s="137"/>
    </row>
    <row r="791">
      <c r="A791" s="134"/>
      <c r="B791" s="134"/>
      <c r="C791" s="134"/>
      <c r="D791" s="135"/>
      <c r="E791" s="136"/>
      <c r="F791" s="136"/>
      <c r="G791" s="134"/>
      <c r="H791" s="134"/>
      <c r="I791" s="137"/>
      <c r="J791" s="137"/>
      <c r="K791" s="134"/>
      <c r="L791" s="137"/>
      <c r="M791" s="134"/>
      <c r="N791" s="137"/>
    </row>
    <row r="792">
      <c r="A792" s="134"/>
      <c r="B792" s="134"/>
      <c r="C792" s="134"/>
      <c r="D792" s="135"/>
      <c r="E792" s="136"/>
      <c r="F792" s="136"/>
      <c r="G792" s="134"/>
      <c r="H792" s="134"/>
      <c r="I792" s="137"/>
      <c r="J792" s="137"/>
      <c r="K792" s="134"/>
      <c r="L792" s="137"/>
      <c r="M792" s="134"/>
      <c r="N792" s="137"/>
    </row>
    <row r="793">
      <c r="A793" s="134"/>
      <c r="B793" s="134"/>
      <c r="C793" s="134"/>
      <c r="D793" s="135"/>
      <c r="E793" s="136"/>
      <c r="F793" s="136"/>
      <c r="G793" s="134"/>
      <c r="H793" s="134"/>
      <c r="I793" s="137"/>
      <c r="J793" s="137"/>
      <c r="K793" s="134"/>
      <c r="L793" s="137"/>
      <c r="M793" s="134"/>
      <c r="N793" s="137"/>
    </row>
    <row r="794">
      <c r="A794" s="134"/>
      <c r="B794" s="134"/>
      <c r="C794" s="134"/>
      <c r="D794" s="135"/>
      <c r="E794" s="136"/>
      <c r="F794" s="136"/>
      <c r="G794" s="134"/>
      <c r="H794" s="134"/>
      <c r="I794" s="137"/>
      <c r="J794" s="137"/>
      <c r="K794" s="134"/>
      <c r="L794" s="137"/>
      <c r="M794" s="134"/>
      <c r="N794" s="137"/>
    </row>
    <row r="795">
      <c r="A795" s="134"/>
      <c r="B795" s="134"/>
      <c r="C795" s="134"/>
      <c r="D795" s="135"/>
      <c r="E795" s="136"/>
      <c r="F795" s="136"/>
      <c r="G795" s="134"/>
      <c r="H795" s="134"/>
      <c r="I795" s="137"/>
      <c r="J795" s="137"/>
      <c r="K795" s="134"/>
      <c r="L795" s="137"/>
      <c r="M795" s="134"/>
      <c r="N795" s="137"/>
    </row>
    <row r="796">
      <c r="A796" s="134"/>
      <c r="B796" s="134"/>
      <c r="C796" s="134"/>
      <c r="D796" s="135"/>
      <c r="E796" s="136"/>
      <c r="F796" s="136"/>
      <c r="G796" s="134"/>
      <c r="H796" s="134"/>
      <c r="I796" s="137"/>
      <c r="J796" s="137"/>
      <c r="K796" s="134"/>
      <c r="L796" s="137"/>
      <c r="M796" s="134"/>
      <c r="N796" s="137"/>
    </row>
    <row r="797">
      <c r="A797" s="134"/>
      <c r="B797" s="134"/>
      <c r="C797" s="134"/>
      <c r="D797" s="135"/>
      <c r="E797" s="136"/>
      <c r="F797" s="136"/>
      <c r="G797" s="134"/>
      <c r="H797" s="134"/>
      <c r="I797" s="137"/>
      <c r="J797" s="137"/>
      <c r="K797" s="134"/>
      <c r="L797" s="137"/>
      <c r="M797" s="134"/>
      <c r="N797" s="137"/>
    </row>
    <row r="798">
      <c r="A798" s="134"/>
      <c r="B798" s="134"/>
      <c r="C798" s="134"/>
      <c r="D798" s="135"/>
      <c r="E798" s="136"/>
      <c r="F798" s="136"/>
      <c r="G798" s="134"/>
      <c r="H798" s="134"/>
      <c r="I798" s="137"/>
      <c r="J798" s="137"/>
      <c r="K798" s="134"/>
      <c r="L798" s="137"/>
      <c r="M798" s="134"/>
      <c r="N798" s="137"/>
    </row>
    <row r="799">
      <c r="A799" s="134"/>
      <c r="B799" s="134"/>
      <c r="C799" s="134"/>
      <c r="D799" s="135"/>
      <c r="E799" s="136"/>
      <c r="F799" s="136"/>
      <c r="G799" s="134"/>
      <c r="H799" s="134"/>
      <c r="I799" s="137"/>
      <c r="J799" s="137"/>
      <c r="K799" s="134"/>
      <c r="L799" s="137"/>
      <c r="M799" s="134"/>
      <c r="N799" s="137"/>
    </row>
    <row r="800">
      <c r="A800" s="134"/>
      <c r="B800" s="134"/>
      <c r="C800" s="134"/>
      <c r="D800" s="135"/>
      <c r="E800" s="136"/>
      <c r="F800" s="136"/>
      <c r="G800" s="134"/>
      <c r="H800" s="134"/>
      <c r="I800" s="137"/>
      <c r="J800" s="137"/>
      <c r="K800" s="134"/>
      <c r="L800" s="137"/>
      <c r="M800" s="134"/>
      <c r="N800" s="137"/>
    </row>
    <row r="801">
      <c r="A801" s="134"/>
      <c r="B801" s="134"/>
      <c r="C801" s="134"/>
      <c r="D801" s="135"/>
      <c r="E801" s="136"/>
      <c r="F801" s="136"/>
      <c r="G801" s="134"/>
      <c r="H801" s="134"/>
      <c r="I801" s="137"/>
      <c r="J801" s="137"/>
      <c r="K801" s="134"/>
      <c r="L801" s="137"/>
      <c r="M801" s="134"/>
      <c r="N801" s="137"/>
    </row>
    <row r="802">
      <c r="A802" s="134"/>
      <c r="B802" s="134"/>
      <c r="C802" s="134"/>
      <c r="D802" s="135"/>
      <c r="E802" s="136"/>
      <c r="F802" s="136"/>
      <c r="G802" s="134"/>
      <c r="H802" s="134"/>
      <c r="I802" s="137"/>
      <c r="J802" s="137"/>
      <c r="K802" s="134"/>
      <c r="L802" s="137"/>
      <c r="M802" s="134"/>
      <c r="N802" s="137"/>
    </row>
    <row r="803">
      <c r="A803" s="134"/>
      <c r="B803" s="134"/>
      <c r="C803" s="134"/>
      <c r="D803" s="135"/>
      <c r="E803" s="136"/>
      <c r="F803" s="136"/>
      <c r="G803" s="134"/>
      <c r="H803" s="134"/>
      <c r="I803" s="137"/>
      <c r="J803" s="137"/>
      <c r="K803" s="134"/>
      <c r="L803" s="137"/>
      <c r="M803" s="134"/>
      <c r="N803" s="137"/>
    </row>
    <row r="804">
      <c r="A804" s="134"/>
      <c r="B804" s="134"/>
      <c r="C804" s="134"/>
      <c r="D804" s="135"/>
      <c r="E804" s="136"/>
      <c r="F804" s="136"/>
      <c r="G804" s="134"/>
      <c r="H804" s="134"/>
      <c r="I804" s="137"/>
      <c r="J804" s="137"/>
      <c r="K804" s="134"/>
      <c r="L804" s="137"/>
      <c r="M804" s="134"/>
      <c r="N804" s="137"/>
    </row>
    <row r="805">
      <c r="A805" s="134"/>
      <c r="B805" s="134"/>
      <c r="C805" s="134"/>
      <c r="D805" s="135"/>
      <c r="E805" s="136"/>
      <c r="F805" s="136"/>
      <c r="G805" s="134"/>
      <c r="H805" s="134"/>
      <c r="I805" s="137"/>
      <c r="J805" s="137"/>
      <c r="K805" s="134"/>
      <c r="L805" s="137"/>
      <c r="M805" s="134"/>
      <c r="N805" s="137"/>
    </row>
    <row r="806">
      <c r="A806" s="134"/>
      <c r="B806" s="134"/>
      <c r="C806" s="134"/>
      <c r="D806" s="135"/>
      <c r="E806" s="136"/>
      <c r="F806" s="136"/>
      <c r="G806" s="134"/>
      <c r="H806" s="134"/>
      <c r="I806" s="137"/>
      <c r="J806" s="137"/>
      <c r="K806" s="134"/>
      <c r="L806" s="137"/>
      <c r="M806" s="134"/>
      <c r="N806" s="137"/>
    </row>
    <row r="807">
      <c r="A807" s="134"/>
      <c r="B807" s="134"/>
      <c r="C807" s="134"/>
      <c r="D807" s="135"/>
      <c r="E807" s="136"/>
      <c r="F807" s="136"/>
      <c r="G807" s="134"/>
      <c r="H807" s="134"/>
      <c r="I807" s="137"/>
      <c r="J807" s="137"/>
      <c r="K807" s="134"/>
      <c r="L807" s="137"/>
      <c r="M807" s="134"/>
      <c r="N807" s="137"/>
    </row>
    <row r="808">
      <c r="A808" s="134"/>
      <c r="B808" s="134"/>
      <c r="C808" s="134"/>
      <c r="D808" s="135"/>
      <c r="E808" s="136"/>
      <c r="F808" s="136"/>
      <c r="G808" s="134"/>
      <c r="H808" s="134"/>
      <c r="I808" s="137"/>
      <c r="J808" s="137"/>
      <c r="K808" s="134"/>
      <c r="L808" s="137"/>
      <c r="M808" s="134"/>
      <c r="N808" s="137"/>
    </row>
    <row r="809">
      <c r="A809" s="134"/>
      <c r="B809" s="134"/>
      <c r="C809" s="134"/>
      <c r="D809" s="135"/>
      <c r="E809" s="136"/>
      <c r="F809" s="136"/>
      <c r="G809" s="134"/>
      <c r="H809" s="134"/>
      <c r="I809" s="137"/>
      <c r="J809" s="137"/>
      <c r="K809" s="134"/>
      <c r="L809" s="137"/>
      <c r="M809" s="134"/>
      <c r="N809" s="137"/>
    </row>
    <row r="810">
      <c r="A810" s="134"/>
      <c r="B810" s="134"/>
      <c r="C810" s="134"/>
      <c r="D810" s="135"/>
      <c r="E810" s="136"/>
      <c r="F810" s="136"/>
      <c r="G810" s="134"/>
      <c r="H810" s="134"/>
      <c r="I810" s="137"/>
      <c r="J810" s="137"/>
      <c r="K810" s="134"/>
      <c r="L810" s="137"/>
      <c r="M810" s="134"/>
      <c r="N810" s="137"/>
    </row>
    <row r="811">
      <c r="A811" s="134"/>
      <c r="B811" s="134"/>
      <c r="C811" s="134"/>
      <c r="D811" s="135"/>
      <c r="E811" s="136"/>
      <c r="F811" s="136"/>
      <c r="G811" s="134"/>
      <c r="H811" s="134"/>
      <c r="I811" s="137"/>
      <c r="J811" s="137"/>
      <c r="K811" s="134"/>
      <c r="L811" s="137"/>
      <c r="M811" s="134"/>
      <c r="N811" s="137"/>
    </row>
    <row r="812">
      <c r="A812" s="134"/>
      <c r="B812" s="134"/>
      <c r="C812" s="134"/>
      <c r="D812" s="135"/>
      <c r="E812" s="136"/>
      <c r="F812" s="136"/>
      <c r="G812" s="134"/>
      <c r="H812" s="134"/>
      <c r="I812" s="137"/>
      <c r="J812" s="137"/>
      <c r="K812" s="134"/>
      <c r="L812" s="137"/>
      <c r="M812" s="134"/>
      <c r="N812" s="137"/>
    </row>
    <row r="813">
      <c r="A813" s="134"/>
      <c r="B813" s="134"/>
      <c r="C813" s="134"/>
      <c r="D813" s="135"/>
      <c r="E813" s="136"/>
      <c r="F813" s="136"/>
      <c r="G813" s="134"/>
      <c r="H813" s="134"/>
      <c r="I813" s="137"/>
      <c r="J813" s="137"/>
      <c r="K813" s="134"/>
      <c r="L813" s="137"/>
      <c r="M813" s="134"/>
      <c r="N813" s="137"/>
    </row>
    <row r="814">
      <c r="A814" s="134"/>
      <c r="B814" s="134"/>
      <c r="C814" s="134"/>
      <c r="D814" s="135"/>
      <c r="E814" s="136"/>
      <c r="F814" s="136"/>
      <c r="G814" s="134"/>
      <c r="H814" s="134"/>
      <c r="I814" s="137"/>
      <c r="J814" s="137"/>
      <c r="K814" s="134"/>
      <c r="L814" s="137"/>
      <c r="M814" s="134"/>
      <c r="N814" s="137"/>
    </row>
    <row r="815">
      <c r="A815" s="134"/>
      <c r="B815" s="134"/>
      <c r="C815" s="134"/>
      <c r="D815" s="135"/>
      <c r="E815" s="136"/>
      <c r="F815" s="136"/>
      <c r="G815" s="134"/>
      <c r="H815" s="134"/>
      <c r="I815" s="137"/>
      <c r="J815" s="137"/>
      <c r="K815" s="134"/>
      <c r="L815" s="137"/>
      <c r="M815" s="134"/>
      <c r="N815" s="137"/>
    </row>
    <row r="816">
      <c r="A816" s="134"/>
      <c r="B816" s="134"/>
      <c r="C816" s="134"/>
      <c r="D816" s="135"/>
      <c r="E816" s="136"/>
      <c r="F816" s="136"/>
      <c r="G816" s="134"/>
      <c r="H816" s="134"/>
      <c r="I816" s="137"/>
      <c r="J816" s="137"/>
      <c r="K816" s="134"/>
      <c r="L816" s="137"/>
      <c r="M816" s="134"/>
      <c r="N816" s="137"/>
    </row>
    <row r="817">
      <c r="A817" s="134"/>
      <c r="B817" s="134"/>
      <c r="C817" s="134"/>
      <c r="D817" s="135"/>
      <c r="E817" s="136"/>
      <c r="F817" s="136"/>
      <c r="G817" s="134"/>
      <c r="H817" s="134"/>
      <c r="I817" s="137"/>
      <c r="J817" s="137"/>
      <c r="K817" s="134"/>
      <c r="L817" s="137"/>
      <c r="M817" s="134"/>
      <c r="N817" s="137"/>
    </row>
    <row r="818">
      <c r="A818" s="134"/>
      <c r="B818" s="134"/>
      <c r="C818" s="134"/>
      <c r="D818" s="135"/>
      <c r="E818" s="136"/>
      <c r="F818" s="136"/>
      <c r="G818" s="134"/>
      <c r="H818" s="134"/>
      <c r="I818" s="137"/>
      <c r="J818" s="137"/>
      <c r="K818" s="134"/>
      <c r="L818" s="137"/>
      <c r="M818" s="134"/>
      <c r="N818" s="137"/>
    </row>
    <row r="819">
      <c r="A819" s="134"/>
      <c r="B819" s="134"/>
      <c r="C819" s="134"/>
      <c r="D819" s="135"/>
      <c r="E819" s="136"/>
      <c r="F819" s="136"/>
      <c r="G819" s="134"/>
      <c r="H819" s="134"/>
      <c r="I819" s="137"/>
      <c r="J819" s="137"/>
      <c r="K819" s="134"/>
      <c r="L819" s="137"/>
      <c r="M819" s="134"/>
      <c r="N819" s="137"/>
    </row>
    <row r="820">
      <c r="A820" s="134"/>
      <c r="B820" s="134"/>
      <c r="C820" s="134"/>
      <c r="D820" s="135"/>
      <c r="E820" s="136"/>
      <c r="F820" s="136"/>
      <c r="G820" s="134"/>
      <c r="H820" s="134"/>
      <c r="I820" s="137"/>
      <c r="J820" s="137"/>
      <c r="K820" s="134"/>
      <c r="L820" s="137"/>
      <c r="M820" s="134"/>
      <c r="N820" s="137"/>
    </row>
    <row r="821">
      <c r="A821" s="134"/>
      <c r="B821" s="134"/>
      <c r="C821" s="134"/>
      <c r="D821" s="135"/>
      <c r="E821" s="136"/>
      <c r="F821" s="136"/>
      <c r="G821" s="134"/>
      <c r="H821" s="134"/>
      <c r="I821" s="137"/>
      <c r="J821" s="137"/>
      <c r="K821" s="134"/>
      <c r="L821" s="137"/>
      <c r="M821" s="134"/>
      <c r="N821" s="137"/>
    </row>
    <row r="822">
      <c r="A822" s="134"/>
      <c r="B822" s="134"/>
      <c r="C822" s="134"/>
      <c r="D822" s="135"/>
      <c r="E822" s="136"/>
      <c r="F822" s="136"/>
      <c r="G822" s="134"/>
      <c r="H822" s="134"/>
      <c r="I822" s="137"/>
      <c r="J822" s="137"/>
      <c r="K822" s="134"/>
      <c r="L822" s="137"/>
      <c r="M822" s="134"/>
      <c r="N822" s="137"/>
    </row>
    <row r="823">
      <c r="A823" s="134"/>
      <c r="B823" s="134"/>
      <c r="C823" s="134"/>
      <c r="D823" s="135"/>
      <c r="E823" s="136"/>
      <c r="F823" s="136"/>
      <c r="G823" s="134"/>
      <c r="H823" s="134"/>
      <c r="I823" s="137"/>
      <c r="J823" s="137"/>
      <c r="K823" s="134"/>
      <c r="L823" s="137"/>
      <c r="M823" s="134"/>
      <c r="N823" s="137"/>
    </row>
    <row r="824">
      <c r="A824" s="134"/>
      <c r="B824" s="134"/>
      <c r="C824" s="134"/>
      <c r="D824" s="135"/>
      <c r="E824" s="136"/>
      <c r="F824" s="136"/>
      <c r="G824" s="134"/>
      <c r="H824" s="134"/>
      <c r="I824" s="137"/>
      <c r="J824" s="137"/>
      <c r="K824" s="134"/>
      <c r="L824" s="137"/>
      <c r="M824" s="134"/>
      <c r="N824" s="137"/>
    </row>
    <row r="825">
      <c r="A825" s="134"/>
      <c r="B825" s="134"/>
      <c r="C825" s="134"/>
      <c r="D825" s="135"/>
      <c r="E825" s="136"/>
      <c r="F825" s="136"/>
      <c r="G825" s="134"/>
      <c r="H825" s="134"/>
      <c r="I825" s="137"/>
      <c r="J825" s="137"/>
      <c r="K825" s="134"/>
      <c r="L825" s="137"/>
      <c r="M825" s="134"/>
      <c r="N825" s="137"/>
    </row>
    <row r="826">
      <c r="A826" s="134"/>
      <c r="B826" s="134"/>
      <c r="C826" s="134"/>
      <c r="D826" s="135"/>
      <c r="E826" s="136"/>
      <c r="F826" s="136"/>
      <c r="G826" s="134"/>
      <c r="H826" s="134"/>
      <c r="I826" s="137"/>
      <c r="J826" s="137"/>
      <c r="K826" s="134"/>
      <c r="L826" s="137"/>
      <c r="M826" s="134"/>
      <c r="N826" s="137"/>
    </row>
    <row r="827">
      <c r="A827" s="134"/>
      <c r="B827" s="134"/>
      <c r="C827" s="134"/>
      <c r="D827" s="135"/>
      <c r="E827" s="136"/>
      <c r="F827" s="136"/>
      <c r="G827" s="134"/>
      <c r="H827" s="134"/>
      <c r="I827" s="137"/>
      <c r="J827" s="137"/>
      <c r="K827" s="134"/>
      <c r="L827" s="137"/>
      <c r="M827" s="134"/>
      <c r="N827" s="137"/>
    </row>
    <row r="828">
      <c r="A828" s="134"/>
      <c r="B828" s="134"/>
      <c r="C828" s="134"/>
      <c r="D828" s="135"/>
      <c r="E828" s="136"/>
      <c r="F828" s="136"/>
      <c r="G828" s="134"/>
      <c r="H828" s="134"/>
      <c r="I828" s="137"/>
      <c r="J828" s="137"/>
      <c r="K828" s="134"/>
      <c r="L828" s="137"/>
      <c r="M828" s="134"/>
      <c r="N828" s="137"/>
    </row>
    <row r="829">
      <c r="A829" s="134"/>
      <c r="B829" s="134"/>
      <c r="C829" s="134"/>
      <c r="D829" s="135"/>
      <c r="E829" s="136"/>
      <c r="F829" s="136"/>
      <c r="G829" s="134"/>
      <c r="H829" s="134"/>
      <c r="I829" s="137"/>
      <c r="J829" s="137"/>
      <c r="K829" s="134"/>
      <c r="L829" s="137"/>
      <c r="M829" s="134"/>
      <c r="N829" s="137"/>
    </row>
    <row r="830">
      <c r="A830" s="134"/>
      <c r="B830" s="134"/>
      <c r="C830" s="134"/>
      <c r="D830" s="135"/>
      <c r="E830" s="136"/>
      <c r="F830" s="136"/>
      <c r="G830" s="134"/>
      <c r="H830" s="134"/>
      <c r="I830" s="137"/>
      <c r="J830" s="137"/>
      <c r="K830" s="134"/>
      <c r="L830" s="137"/>
      <c r="M830" s="134"/>
      <c r="N830" s="137"/>
    </row>
    <row r="831">
      <c r="A831" s="134"/>
      <c r="B831" s="134"/>
      <c r="C831" s="134"/>
      <c r="D831" s="135"/>
      <c r="E831" s="136"/>
      <c r="F831" s="136"/>
      <c r="G831" s="134"/>
      <c r="H831" s="134"/>
      <c r="I831" s="137"/>
      <c r="J831" s="137"/>
      <c r="K831" s="134"/>
      <c r="L831" s="137"/>
      <c r="M831" s="134"/>
      <c r="N831" s="137"/>
    </row>
    <row r="832">
      <c r="A832" s="134"/>
      <c r="B832" s="134"/>
      <c r="C832" s="134"/>
      <c r="D832" s="135"/>
      <c r="E832" s="136"/>
      <c r="F832" s="136"/>
      <c r="G832" s="134"/>
      <c r="H832" s="134"/>
      <c r="I832" s="137"/>
      <c r="J832" s="137"/>
      <c r="K832" s="134"/>
      <c r="L832" s="137"/>
      <c r="M832" s="134"/>
      <c r="N832" s="137"/>
    </row>
    <row r="833">
      <c r="A833" s="134"/>
      <c r="B833" s="134"/>
      <c r="C833" s="134"/>
      <c r="D833" s="135"/>
      <c r="E833" s="136"/>
      <c r="F833" s="136"/>
      <c r="G833" s="134"/>
      <c r="H833" s="134"/>
      <c r="I833" s="137"/>
      <c r="J833" s="137"/>
      <c r="K833" s="134"/>
      <c r="L833" s="137"/>
      <c r="M833" s="134"/>
      <c r="N833" s="137"/>
    </row>
    <row r="834">
      <c r="A834" s="134"/>
      <c r="B834" s="134"/>
      <c r="C834" s="134"/>
      <c r="D834" s="135"/>
      <c r="E834" s="136"/>
      <c r="F834" s="136"/>
      <c r="G834" s="134"/>
      <c r="H834" s="134"/>
      <c r="I834" s="137"/>
      <c r="J834" s="137"/>
      <c r="K834" s="134"/>
      <c r="L834" s="137"/>
      <c r="M834" s="134"/>
      <c r="N834" s="137"/>
    </row>
    <row r="835">
      <c r="A835" s="134"/>
      <c r="B835" s="134"/>
      <c r="C835" s="134"/>
      <c r="D835" s="135"/>
      <c r="E835" s="136"/>
      <c r="F835" s="136"/>
      <c r="G835" s="134"/>
      <c r="H835" s="134"/>
      <c r="I835" s="137"/>
      <c r="J835" s="137"/>
      <c r="K835" s="134"/>
      <c r="L835" s="137"/>
      <c r="M835" s="134"/>
      <c r="N835" s="137"/>
    </row>
    <row r="836">
      <c r="A836" s="134"/>
      <c r="B836" s="134"/>
      <c r="C836" s="134"/>
      <c r="D836" s="135"/>
      <c r="E836" s="136"/>
      <c r="F836" s="136"/>
      <c r="G836" s="134"/>
      <c r="H836" s="134"/>
      <c r="I836" s="137"/>
      <c r="J836" s="137"/>
      <c r="K836" s="134"/>
      <c r="L836" s="137"/>
      <c r="M836" s="134"/>
      <c r="N836" s="137"/>
    </row>
    <row r="837">
      <c r="A837" s="134"/>
      <c r="B837" s="134"/>
      <c r="C837" s="134"/>
      <c r="D837" s="135"/>
      <c r="E837" s="136"/>
      <c r="F837" s="136"/>
      <c r="G837" s="134"/>
      <c r="H837" s="134"/>
      <c r="I837" s="137"/>
      <c r="J837" s="137"/>
      <c r="K837" s="134"/>
      <c r="L837" s="137"/>
      <c r="M837" s="134"/>
      <c r="N837" s="137"/>
    </row>
    <row r="838">
      <c r="A838" s="134"/>
      <c r="B838" s="134"/>
      <c r="C838" s="134"/>
      <c r="D838" s="135"/>
      <c r="E838" s="136"/>
      <c r="F838" s="136"/>
      <c r="G838" s="134"/>
      <c r="H838" s="134"/>
      <c r="I838" s="137"/>
      <c r="J838" s="137"/>
      <c r="K838" s="134"/>
      <c r="L838" s="137"/>
      <c r="M838" s="134"/>
      <c r="N838" s="137"/>
    </row>
    <row r="839">
      <c r="A839" s="134"/>
      <c r="B839" s="134"/>
      <c r="C839" s="134"/>
      <c r="D839" s="135"/>
      <c r="E839" s="136"/>
      <c r="F839" s="136"/>
      <c r="G839" s="134"/>
      <c r="H839" s="134"/>
      <c r="I839" s="137"/>
      <c r="J839" s="137"/>
      <c r="K839" s="134"/>
      <c r="L839" s="137"/>
      <c r="M839" s="134"/>
      <c r="N839" s="137"/>
    </row>
    <row r="840">
      <c r="A840" s="134"/>
      <c r="B840" s="134"/>
      <c r="C840" s="134"/>
      <c r="D840" s="135"/>
      <c r="E840" s="136"/>
      <c r="F840" s="136"/>
      <c r="G840" s="134"/>
      <c r="H840" s="134"/>
      <c r="I840" s="137"/>
      <c r="J840" s="137"/>
      <c r="K840" s="134"/>
      <c r="L840" s="137"/>
      <c r="M840" s="134"/>
      <c r="N840" s="137"/>
    </row>
    <row r="841">
      <c r="A841" s="134"/>
      <c r="B841" s="134"/>
      <c r="C841" s="134"/>
      <c r="D841" s="135"/>
      <c r="E841" s="136"/>
      <c r="F841" s="136"/>
      <c r="G841" s="134"/>
      <c r="H841" s="134"/>
      <c r="I841" s="137"/>
      <c r="J841" s="137"/>
      <c r="K841" s="134"/>
      <c r="L841" s="137"/>
      <c r="M841" s="134"/>
      <c r="N841" s="137"/>
    </row>
    <row r="842">
      <c r="A842" s="134"/>
      <c r="B842" s="134"/>
      <c r="C842" s="134"/>
      <c r="D842" s="135"/>
      <c r="E842" s="136"/>
      <c r="F842" s="136"/>
      <c r="G842" s="134"/>
      <c r="H842" s="134"/>
      <c r="I842" s="137"/>
      <c r="J842" s="137"/>
      <c r="K842" s="134"/>
      <c r="L842" s="137"/>
      <c r="M842" s="134"/>
      <c r="N842" s="137"/>
    </row>
    <row r="843">
      <c r="A843" s="134"/>
      <c r="B843" s="134"/>
      <c r="C843" s="134"/>
      <c r="D843" s="135"/>
      <c r="E843" s="136"/>
      <c r="F843" s="136"/>
      <c r="G843" s="134"/>
      <c r="H843" s="134"/>
      <c r="I843" s="137"/>
      <c r="J843" s="137"/>
      <c r="K843" s="134"/>
      <c r="L843" s="137"/>
      <c r="M843" s="134"/>
      <c r="N843" s="137"/>
    </row>
    <row r="844">
      <c r="A844" s="134"/>
      <c r="B844" s="134"/>
      <c r="C844" s="134"/>
      <c r="D844" s="135"/>
      <c r="E844" s="136"/>
      <c r="F844" s="136"/>
      <c r="G844" s="134"/>
      <c r="H844" s="134"/>
      <c r="I844" s="137"/>
      <c r="J844" s="137"/>
      <c r="K844" s="134"/>
      <c r="L844" s="137"/>
      <c r="M844" s="134"/>
      <c r="N844" s="137"/>
    </row>
    <row r="845">
      <c r="A845" s="134"/>
      <c r="B845" s="134"/>
      <c r="C845" s="134"/>
      <c r="D845" s="135"/>
      <c r="E845" s="136"/>
      <c r="F845" s="136"/>
      <c r="G845" s="134"/>
      <c r="H845" s="134"/>
      <c r="I845" s="137"/>
      <c r="J845" s="137"/>
      <c r="K845" s="134"/>
      <c r="L845" s="137"/>
      <c r="M845" s="134"/>
      <c r="N845" s="137"/>
    </row>
    <row r="846">
      <c r="A846" s="134"/>
      <c r="B846" s="134"/>
      <c r="C846" s="134"/>
      <c r="D846" s="135"/>
      <c r="E846" s="136"/>
      <c r="F846" s="136"/>
      <c r="G846" s="134"/>
      <c r="H846" s="134"/>
      <c r="I846" s="137"/>
      <c r="J846" s="137"/>
      <c r="K846" s="134"/>
      <c r="L846" s="137"/>
      <c r="M846" s="134"/>
      <c r="N846" s="137"/>
    </row>
    <row r="847">
      <c r="A847" s="134"/>
      <c r="B847" s="134"/>
      <c r="C847" s="134"/>
      <c r="D847" s="135"/>
      <c r="E847" s="136"/>
      <c r="F847" s="136"/>
      <c r="G847" s="134"/>
      <c r="H847" s="134"/>
      <c r="I847" s="137"/>
      <c r="J847" s="137"/>
      <c r="K847" s="134"/>
      <c r="L847" s="137"/>
      <c r="M847" s="134"/>
      <c r="N847" s="137"/>
    </row>
    <row r="848">
      <c r="A848" s="134"/>
      <c r="B848" s="134"/>
      <c r="C848" s="134"/>
      <c r="D848" s="135"/>
      <c r="E848" s="136"/>
      <c r="F848" s="136"/>
      <c r="G848" s="134"/>
      <c r="H848" s="134"/>
      <c r="I848" s="137"/>
      <c r="J848" s="137"/>
      <c r="K848" s="134"/>
      <c r="L848" s="137"/>
      <c r="M848" s="134"/>
      <c r="N848" s="137"/>
    </row>
    <row r="849">
      <c r="A849" s="134"/>
      <c r="B849" s="134"/>
      <c r="C849" s="134"/>
      <c r="D849" s="135"/>
      <c r="E849" s="136"/>
      <c r="F849" s="136"/>
      <c r="G849" s="134"/>
      <c r="H849" s="134"/>
      <c r="I849" s="137"/>
      <c r="J849" s="137"/>
      <c r="K849" s="134"/>
      <c r="L849" s="137"/>
      <c r="M849" s="134"/>
      <c r="N849" s="137"/>
    </row>
    <row r="850">
      <c r="A850" s="134"/>
      <c r="B850" s="134"/>
      <c r="C850" s="134"/>
      <c r="D850" s="135"/>
      <c r="E850" s="136"/>
      <c r="F850" s="136"/>
      <c r="G850" s="134"/>
      <c r="H850" s="134"/>
      <c r="I850" s="137"/>
      <c r="J850" s="137"/>
      <c r="K850" s="134"/>
      <c r="L850" s="137"/>
      <c r="M850" s="134"/>
      <c r="N850" s="137"/>
    </row>
    <row r="851">
      <c r="A851" s="134"/>
      <c r="B851" s="134"/>
      <c r="C851" s="134"/>
      <c r="D851" s="135"/>
      <c r="E851" s="136"/>
      <c r="F851" s="136"/>
      <c r="G851" s="134"/>
      <c r="H851" s="134"/>
      <c r="I851" s="137"/>
      <c r="J851" s="137"/>
      <c r="K851" s="134"/>
      <c r="L851" s="137"/>
      <c r="M851" s="134"/>
      <c r="N851" s="137"/>
    </row>
    <row r="852">
      <c r="A852" s="134"/>
      <c r="B852" s="134"/>
      <c r="C852" s="134"/>
      <c r="D852" s="135"/>
      <c r="E852" s="136"/>
      <c r="F852" s="136"/>
      <c r="G852" s="134"/>
      <c r="H852" s="134"/>
      <c r="I852" s="137"/>
      <c r="J852" s="137"/>
      <c r="K852" s="134"/>
      <c r="L852" s="137"/>
      <c r="M852" s="134"/>
      <c r="N852" s="137"/>
    </row>
    <row r="853">
      <c r="A853" s="134"/>
      <c r="B853" s="134"/>
      <c r="C853" s="134"/>
      <c r="D853" s="135"/>
      <c r="E853" s="136"/>
      <c r="F853" s="136"/>
      <c r="G853" s="134"/>
      <c r="H853" s="134"/>
      <c r="I853" s="137"/>
      <c r="J853" s="137"/>
      <c r="K853" s="134"/>
      <c r="L853" s="137"/>
      <c r="M853" s="134"/>
      <c r="N853" s="137"/>
    </row>
    <row r="854">
      <c r="A854" s="134"/>
      <c r="B854" s="134"/>
      <c r="C854" s="134"/>
      <c r="D854" s="135"/>
      <c r="E854" s="136"/>
      <c r="F854" s="136"/>
      <c r="G854" s="134"/>
      <c r="H854" s="134"/>
      <c r="I854" s="137"/>
      <c r="J854" s="137"/>
      <c r="K854" s="134"/>
      <c r="L854" s="137"/>
      <c r="M854" s="134"/>
      <c r="N854" s="137"/>
    </row>
    <row r="855">
      <c r="A855" s="134"/>
      <c r="B855" s="134"/>
      <c r="C855" s="134"/>
      <c r="D855" s="135"/>
      <c r="E855" s="136"/>
      <c r="F855" s="136"/>
      <c r="G855" s="134"/>
      <c r="H855" s="134"/>
      <c r="I855" s="137"/>
      <c r="J855" s="137"/>
      <c r="K855" s="134"/>
      <c r="L855" s="137"/>
      <c r="M855" s="134"/>
      <c r="N855" s="137"/>
    </row>
    <row r="856">
      <c r="A856" s="134"/>
      <c r="B856" s="134"/>
      <c r="C856" s="134"/>
      <c r="D856" s="135"/>
      <c r="E856" s="136"/>
      <c r="F856" s="136"/>
      <c r="G856" s="134"/>
      <c r="H856" s="134"/>
      <c r="I856" s="137"/>
      <c r="J856" s="137"/>
      <c r="K856" s="134"/>
      <c r="L856" s="137"/>
      <c r="M856" s="134"/>
      <c r="N856" s="137"/>
    </row>
    <row r="857">
      <c r="A857" s="134"/>
      <c r="B857" s="134"/>
      <c r="C857" s="134"/>
      <c r="D857" s="135"/>
      <c r="E857" s="136"/>
      <c r="F857" s="136"/>
      <c r="G857" s="134"/>
      <c r="H857" s="134"/>
      <c r="I857" s="137"/>
      <c r="J857" s="137"/>
      <c r="K857" s="134"/>
      <c r="L857" s="137"/>
      <c r="M857" s="134"/>
      <c r="N857" s="137"/>
    </row>
    <row r="858">
      <c r="A858" s="134"/>
      <c r="B858" s="134"/>
      <c r="C858" s="134"/>
      <c r="D858" s="135"/>
      <c r="E858" s="136"/>
      <c r="F858" s="136"/>
      <c r="G858" s="134"/>
      <c r="H858" s="134"/>
      <c r="I858" s="137"/>
      <c r="J858" s="137"/>
      <c r="K858" s="134"/>
      <c r="L858" s="137"/>
      <c r="M858" s="134"/>
      <c r="N858" s="137"/>
    </row>
    <row r="859">
      <c r="A859" s="134"/>
      <c r="B859" s="134"/>
      <c r="C859" s="134"/>
      <c r="D859" s="135"/>
      <c r="E859" s="136"/>
      <c r="F859" s="136"/>
      <c r="G859" s="134"/>
      <c r="H859" s="134"/>
      <c r="I859" s="137"/>
      <c r="J859" s="137"/>
      <c r="K859" s="134"/>
      <c r="L859" s="137"/>
      <c r="M859" s="134"/>
      <c r="N859" s="137"/>
    </row>
    <row r="860">
      <c r="A860" s="134"/>
      <c r="B860" s="134"/>
      <c r="C860" s="134"/>
      <c r="D860" s="135"/>
      <c r="E860" s="136"/>
      <c r="F860" s="136"/>
      <c r="G860" s="134"/>
      <c r="H860" s="134"/>
      <c r="I860" s="137"/>
      <c r="J860" s="137"/>
      <c r="K860" s="134"/>
      <c r="L860" s="137"/>
      <c r="M860" s="134"/>
      <c r="N860" s="137"/>
    </row>
    <row r="861">
      <c r="A861" s="134"/>
      <c r="B861" s="134"/>
      <c r="C861" s="134"/>
      <c r="D861" s="135"/>
      <c r="E861" s="136"/>
      <c r="F861" s="136"/>
      <c r="G861" s="134"/>
      <c r="H861" s="134"/>
      <c r="I861" s="137"/>
      <c r="J861" s="137"/>
      <c r="K861" s="134"/>
      <c r="L861" s="137"/>
      <c r="M861" s="134"/>
      <c r="N861" s="137"/>
    </row>
    <row r="862">
      <c r="A862" s="134"/>
      <c r="B862" s="134"/>
      <c r="C862" s="134"/>
      <c r="D862" s="135"/>
      <c r="E862" s="136"/>
      <c r="F862" s="136"/>
      <c r="G862" s="134"/>
      <c r="H862" s="134"/>
      <c r="I862" s="137"/>
      <c r="J862" s="137"/>
      <c r="K862" s="134"/>
      <c r="L862" s="137"/>
      <c r="M862" s="134"/>
      <c r="N862" s="137"/>
    </row>
    <row r="863">
      <c r="A863" s="134"/>
      <c r="B863" s="134"/>
      <c r="C863" s="134"/>
      <c r="D863" s="135"/>
      <c r="E863" s="136"/>
      <c r="F863" s="136"/>
      <c r="G863" s="134"/>
      <c r="H863" s="134"/>
      <c r="I863" s="137"/>
      <c r="J863" s="137"/>
      <c r="K863" s="134"/>
      <c r="L863" s="137"/>
      <c r="M863" s="134"/>
      <c r="N863" s="137"/>
    </row>
    <row r="864">
      <c r="A864" s="134"/>
      <c r="B864" s="134"/>
      <c r="C864" s="134"/>
      <c r="D864" s="135"/>
      <c r="E864" s="136"/>
      <c r="F864" s="136"/>
      <c r="G864" s="134"/>
      <c r="H864" s="134"/>
      <c r="I864" s="137"/>
      <c r="J864" s="137"/>
      <c r="K864" s="134"/>
      <c r="L864" s="137"/>
      <c r="M864" s="134"/>
      <c r="N864" s="137"/>
    </row>
    <row r="865">
      <c r="A865" s="134"/>
      <c r="B865" s="134"/>
      <c r="C865" s="134"/>
      <c r="D865" s="135"/>
      <c r="E865" s="136"/>
      <c r="F865" s="136"/>
      <c r="G865" s="134"/>
      <c r="H865" s="134"/>
      <c r="I865" s="137"/>
      <c r="J865" s="137"/>
      <c r="K865" s="134"/>
      <c r="L865" s="137"/>
      <c r="M865" s="134"/>
      <c r="N865" s="137"/>
    </row>
    <row r="866">
      <c r="A866" s="134"/>
      <c r="B866" s="134"/>
      <c r="C866" s="134"/>
      <c r="D866" s="135"/>
      <c r="E866" s="136"/>
      <c r="F866" s="136"/>
      <c r="G866" s="134"/>
      <c r="H866" s="134"/>
      <c r="I866" s="137"/>
      <c r="J866" s="137"/>
      <c r="K866" s="134"/>
      <c r="L866" s="137"/>
      <c r="M866" s="134"/>
      <c r="N866" s="137"/>
    </row>
    <row r="867">
      <c r="A867" s="134"/>
      <c r="B867" s="134"/>
      <c r="C867" s="134"/>
      <c r="D867" s="135"/>
      <c r="E867" s="136"/>
      <c r="F867" s="136"/>
      <c r="G867" s="134"/>
      <c r="H867" s="134"/>
      <c r="I867" s="137"/>
      <c r="J867" s="137"/>
      <c r="K867" s="134"/>
      <c r="L867" s="137"/>
      <c r="M867" s="134"/>
      <c r="N867" s="137"/>
    </row>
    <row r="868">
      <c r="A868" s="134"/>
      <c r="B868" s="134"/>
      <c r="C868" s="134"/>
      <c r="D868" s="135"/>
      <c r="E868" s="136"/>
      <c r="F868" s="136"/>
      <c r="G868" s="134"/>
      <c r="H868" s="134"/>
      <c r="I868" s="137"/>
      <c r="J868" s="137"/>
      <c r="K868" s="134"/>
      <c r="L868" s="137"/>
      <c r="M868" s="134"/>
      <c r="N868" s="137"/>
    </row>
    <row r="869">
      <c r="A869" s="134"/>
      <c r="B869" s="134"/>
      <c r="C869" s="134"/>
      <c r="D869" s="135"/>
      <c r="E869" s="136"/>
      <c r="F869" s="136"/>
      <c r="G869" s="134"/>
      <c r="H869" s="134"/>
      <c r="I869" s="137"/>
      <c r="J869" s="137"/>
      <c r="K869" s="134"/>
      <c r="L869" s="137"/>
      <c r="M869" s="134"/>
      <c r="N869" s="137"/>
    </row>
    <row r="870">
      <c r="A870" s="134"/>
      <c r="B870" s="134"/>
      <c r="C870" s="134"/>
      <c r="D870" s="135"/>
      <c r="E870" s="136"/>
      <c r="F870" s="136"/>
      <c r="G870" s="134"/>
      <c r="H870" s="134"/>
      <c r="I870" s="137"/>
      <c r="J870" s="137"/>
      <c r="K870" s="134"/>
      <c r="L870" s="137"/>
      <c r="M870" s="134"/>
      <c r="N870" s="137"/>
    </row>
    <row r="871">
      <c r="A871" s="134"/>
      <c r="B871" s="134"/>
      <c r="C871" s="134"/>
      <c r="D871" s="135"/>
      <c r="E871" s="136"/>
      <c r="F871" s="136"/>
      <c r="G871" s="134"/>
      <c r="H871" s="134"/>
      <c r="I871" s="137"/>
      <c r="J871" s="137"/>
      <c r="K871" s="134"/>
      <c r="L871" s="137"/>
      <c r="M871" s="134"/>
      <c r="N871" s="137"/>
    </row>
    <row r="872">
      <c r="A872" s="134"/>
      <c r="B872" s="134"/>
      <c r="C872" s="134"/>
      <c r="D872" s="135"/>
      <c r="E872" s="136"/>
      <c r="F872" s="136"/>
      <c r="G872" s="134"/>
      <c r="H872" s="134"/>
      <c r="I872" s="137"/>
      <c r="J872" s="137"/>
      <c r="K872" s="134"/>
      <c r="L872" s="137"/>
      <c r="M872" s="134"/>
      <c r="N872" s="137"/>
    </row>
    <row r="873">
      <c r="A873" s="134"/>
      <c r="B873" s="134"/>
      <c r="C873" s="134"/>
      <c r="D873" s="135"/>
      <c r="E873" s="136"/>
      <c r="F873" s="136"/>
      <c r="G873" s="134"/>
      <c r="H873" s="134"/>
      <c r="I873" s="137"/>
      <c r="J873" s="137"/>
      <c r="K873" s="134"/>
      <c r="L873" s="137"/>
      <c r="M873" s="134"/>
      <c r="N873" s="137"/>
    </row>
    <row r="874">
      <c r="A874" s="134"/>
      <c r="B874" s="134"/>
      <c r="C874" s="134"/>
      <c r="D874" s="135"/>
      <c r="E874" s="136"/>
      <c r="F874" s="136"/>
      <c r="G874" s="134"/>
      <c r="H874" s="134"/>
      <c r="I874" s="137"/>
      <c r="J874" s="137"/>
      <c r="K874" s="134"/>
      <c r="L874" s="137"/>
      <c r="M874" s="134"/>
      <c r="N874" s="137"/>
    </row>
    <row r="875">
      <c r="A875" s="134"/>
      <c r="B875" s="134"/>
      <c r="C875" s="134"/>
      <c r="D875" s="135"/>
      <c r="E875" s="136"/>
      <c r="F875" s="136"/>
      <c r="G875" s="134"/>
      <c r="H875" s="134"/>
      <c r="I875" s="137"/>
      <c r="J875" s="137"/>
      <c r="K875" s="134"/>
      <c r="L875" s="137"/>
      <c r="M875" s="134"/>
      <c r="N875" s="137"/>
    </row>
    <row r="876">
      <c r="A876" s="134"/>
      <c r="B876" s="134"/>
      <c r="C876" s="134"/>
      <c r="D876" s="135"/>
      <c r="E876" s="136"/>
      <c r="F876" s="136"/>
      <c r="G876" s="134"/>
      <c r="H876" s="134"/>
      <c r="I876" s="137"/>
      <c r="J876" s="137"/>
      <c r="K876" s="134"/>
      <c r="L876" s="137"/>
      <c r="M876" s="134"/>
      <c r="N876" s="137"/>
    </row>
    <row r="877">
      <c r="A877" s="134"/>
      <c r="B877" s="134"/>
      <c r="C877" s="134"/>
      <c r="D877" s="135"/>
      <c r="E877" s="136"/>
      <c r="F877" s="136"/>
      <c r="G877" s="134"/>
      <c r="H877" s="134"/>
      <c r="I877" s="137"/>
      <c r="J877" s="137"/>
      <c r="K877" s="134"/>
      <c r="L877" s="137"/>
      <c r="M877" s="134"/>
      <c r="N877" s="137"/>
    </row>
    <row r="878">
      <c r="A878" s="134"/>
      <c r="B878" s="134"/>
      <c r="C878" s="134"/>
      <c r="D878" s="135"/>
      <c r="E878" s="136"/>
      <c r="F878" s="136"/>
      <c r="G878" s="134"/>
      <c r="H878" s="134"/>
      <c r="I878" s="137"/>
      <c r="J878" s="137"/>
      <c r="K878" s="134"/>
      <c r="L878" s="137"/>
      <c r="M878" s="134"/>
      <c r="N878" s="137"/>
    </row>
    <row r="879">
      <c r="A879" s="134"/>
      <c r="B879" s="134"/>
      <c r="C879" s="134"/>
      <c r="D879" s="135"/>
      <c r="E879" s="136"/>
      <c r="F879" s="136"/>
      <c r="G879" s="134"/>
      <c r="H879" s="134"/>
      <c r="I879" s="137"/>
      <c r="J879" s="137"/>
      <c r="K879" s="134"/>
      <c r="L879" s="137"/>
      <c r="M879" s="134"/>
      <c r="N879" s="137"/>
    </row>
    <row r="880">
      <c r="A880" s="134"/>
      <c r="B880" s="134"/>
      <c r="C880" s="134"/>
      <c r="D880" s="135"/>
      <c r="E880" s="136"/>
      <c r="F880" s="136"/>
      <c r="G880" s="134"/>
      <c r="H880" s="134"/>
      <c r="I880" s="137"/>
      <c r="J880" s="137"/>
      <c r="K880" s="134"/>
      <c r="L880" s="137"/>
      <c r="M880" s="134"/>
      <c r="N880" s="137"/>
    </row>
    <row r="881">
      <c r="A881" s="134"/>
      <c r="B881" s="134"/>
      <c r="C881" s="134"/>
      <c r="D881" s="135"/>
      <c r="E881" s="136"/>
      <c r="F881" s="136"/>
      <c r="G881" s="134"/>
      <c r="H881" s="134"/>
      <c r="I881" s="137"/>
      <c r="J881" s="137"/>
      <c r="K881" s="134"/>
      <c r="L881" s="137"/>
      <c r="M881" s="134"/>
      <c r="N881" s="137"/>
    </row>
    <row r="882">
      <c r="A882" s="134"/>
      <c r="B882" s="134"/>
      <c r="C882" s="134"/>
      <c r="D882" s="135"/>
      <c r="E882" s="136"/>
      <c r="F882" s="136"/>
      <c r="G882" s="134"/>
      <c r="H882" s="134"/>
      <c r="I882" s="137"/>
      <c r="J882" s="137"/>
      <c r="K882" s="134"/>
      <c r="L882" s="137"/>
      <c r="M882" s="134"/>
      <c r="N882" s="137"/>
    </row>
    <row r="883">
      <c r="A883" s="134"/>
      <c r="B883" s="134"/>
      <c r="C883" s="134"/>
      <c r="D883" s="135"/>
      <c r="E883" s="136"/>
      <c r="F883" s="136"/>
      <c r="G883" s="134"/>
      <c r="H883" s="134"/>
      <c r="I883" s="137"/>
      <c r="J883" s="137"/>
      <c r="K883" s="134"/>
      <c r="L883" s="137"/>
      <c r="M883" s="134"/>
      <c r="N883" s="137"/>
    </row>
    <row r="884">
      <c r="A884" s="134"/>
      <c r="B884" s="134"/>
      <c r="C884" s="134"/>
      <c r="D884" s="135"/>
      <c r="E884" s="136"/>
      <c r="F884" s="136"/>
      <c r="G884" s="134"/>
      <c r="H884" s="134"/>
      <c r="I884" s="137"/>
      <c r="J884" s="137"/>
      <c r="K884" s="134"/>
      <c r="L884" s="137"/>
      <c r="M884" s="134"/>
      <c r="N884" s="137"/>
    </row>
    <row r="885">
      <c r="A885" s="134"/>
      <c r="B885" s="134"/>
      <c r="C885" s="134"/>
      <c r="D885" s="135"/>
      <c r="E885" s="136"/>
      <c r="F885" s="136"/>
      <c r="G885" s="134"/>
      <c r="H885" s="134"/>
      <c r="I885" s="137"/>
      <c r="J885" s="137"/>
      <c r="K885" s="134"/>
      <c r="L885" s="137"/>
      <c r="M885" s="134"/>
      <c r="N885" s="137"/>
    </row>
    <row r="886">
      <c r="A886" s="134"/>
      <c r="B886" s="134"/>
      <c r="C886" s="134"/>
      <c r="D886" s="135"/>
      <c r="E886" s="136"/>
      <c r="F886" s="136"/>
      <c r="G886" s="134"/>
      <c r="H886" s="134"/>
      <c r="I886" s="137"/>
      <c r="J886" s="137"/>
      <c r="K886" s="134"/>
      <c r="L886" s="137"/>
      <c r="M886" s="134"/>
      <c r="N886" s="137"/>
    </row>
    <row r="887">
      <c r="A887" s="134"/>
      <c r="B887" s="134"/>
      <c r="C887" s="134"/>
      <c r="D887" s="135"/>
      <c r="E887" s="136"/>
      <c r="F887" s="136"/>
      <c r="G887" s="134"/>
      <c r="H887" s="134"/>
      <c r="I887" s="137"/>
      <c r="J887" s="137"/>
      <c r="K887" s="134"/>
      <c r="L887" s="137"/>
      <c r="M887" s="134"/>
      <c r="N887" s="137"/>
    </row>
    <row r="888">
      <c r="A888" s="134"/>
      <c r="B888" s="134"/>
      <c r="C888" s="134"/>
      <c r="D888" s="135"/>
      <c r="E888" s="136"/>
      <c r="F888" s="136"/>
      <c r="G888" s="134"/>
      <c r="H888" s="134"/>
      <c r="I888" s="137"/>
      <c r="J888" s="137"/>
      <c r="K888" s="134"/>
      <c r="L888" s="137"/>
      <c r="M888" s="134"/>
      <c r="N888" s="137"/>
    </row>
    <row r="889">
      <c r="A889" s="134"/>
      <c r="B889" s="134"/>
      <c r="C889" s="134"/>
      <c r="D889" s="135"/>
      <c r="E889" s="136"/>
      <c r="F889" s="136"/>
      <c r="G889" s="134"/>
      <c r="H889" s="134"/>
      <c r="I889" s="137"/>
      <c r="J889" s="137"/>
      <c r="K889" s="134"/>
      <c r="L889" s="137"/>
      <c r="M889" s="134"/>
      <c r="N889" s="137"/>
    </row>
    <row r="890">
      <c r="A890" s="134"/>
      <c r="B890" s="134"/>
      <c r="C890" s="134"/>
      <c r="D890" s="135"/>
      <c r="E890" s="136"/>
      <c r="F890" s="136"/>
      <c r="G890" s="134"/>
      <c r="H890" s="134"/>
      <c r="I890" s="137"/>
      <c r="J890" s="137"/>
      <c r="K890" s="134"/>
      <c r="L890" s="137"/>
      <c r="M890" s="134"/>
      <c r="N890" s="137"/>
    </row>
    <row r="891">
      <c r="A891" s="134"/>
      <c r="B891" s="134"/>
      <c r="C891" s="134"/>
      <c r="D891" s="135"/>
      <c r="E891" s="136"/>
      <c r="F891" s="136"/>
      <c r="G891" s="134"/>
      <c r="H891" s="134"/>
      <c r="I891" s="137"/>
      <c r="J891" s="137"/>
      <c r="K891" s="134"/>
      <c r="L891" s="137"/>
      <c r="M891" s="134"/>
      <c r="N891" s="137"/>
    </row>
    <row r="892">
      <c r="A892" s="134"/>
      <c r="B892" s="134"/>
      <c r="C892" s="134"/>
      <c r="D892" s="135"/>
      <c r="E892" s="136"/>
      <c r="F892" s="136"/>
      <c r="G892" s="134"/>
      <c r="H892" s="134"/>
      <c r="I892" s="137"/>
      <c r="J892" s="137"/>
      <c r="K892" s="134"/>
      <c r="L892" s="137"/>
      <c r="M892" s="134"/>
      <c r="N892" s="137"/>
    </row>
    <row r="893">
      <c r="A893" s="134"/>
      <c r="B893" s="134"/>
      <c r="C893" s="134"/>
      <c r="D893" s="135"/>
      <c r="E893" s="136"/>
      <c r="F893" s="136"/>
      <c r="G893" s="134"/>
      <c r="H893" s="134"/>
      <c r="I893" s="137"/>
      <c r="J893" s="137"/>
      <c r="K893" s="134"/>
      <c r="L893" s="137"/>
      <c r="M893" s="134"/>
      <c r="N893" s="137"/>
    </row>
    <row r="894">
      <c r="A894" s="134"/>
      <c r="B894" s="134"/>
      <c r="C894" s="134"/>
      <c r="D894" s="135"/>
      <c r="E894" s="136"/>
      <c r="F894" s="136"/>
      <c r="G894" s="134"/>
      <c r="H894" s="134"/>
      <c r="I894" s="137"/>
      <c r="J894" s="137"/>
      <c r="K894" s="134"/>
      <c r="L894" s="137"/>
      <c r="M894" s="134"/>
      <c r="N894" s="137"/>
    </row>
    <row r="895">
      <c r="A895" s="134"/>
      <c r="B895" s="134"/>
      <c r="C895" s="134"/>
      <c r="D895" s="135"/>
      <c r="E895" s="136"/>
      <c r="F895" s="136"/>
      <c r="G895" s="134"/>
      <c r="H895" s="134"/>
      <c r="I895" s="137"/>
      <c r="J895" s="137"/>
      <c r="K895" s="134"/>
      <c r="L895" s="137"/>
      <c r="M895" s="134"/>
      <c r="N895" s="137"/>
    </row>
    <row r="896">
      <c r="A896" s="134"/>
      <c r="B896" s="134"/>
      <c r="C896" s="134"/>
      <c r="D896" s="135"/>
      <c r="E896" s="136"/>
      <c r="F896" s="136"/>
      <c r="G896" s="134"/>
      <c r="H896" s="134"/>
      <c r="I896" s="137"/>
      <c r="J896" s="137"/>
      <c r="K896" s="134"/>
      <c r="L896" s="137"/>
      <c r="M896" s="134"/>
      <c r="N896" s="137"/>
    </row>
    <row r="897">
      <c r="A897" s="134"/>
      <c r="B897" s="134"/>
      <c r="C897" s="134"/>
      <c r="D897" s="135"/>
      <c r="E897" s="136"/>
      <c r="F897" s="136"/>
      <c r="G897" s="134"/>
      <c r="H897" s="134"/>
      <c r="I897" s="137"/>
      <c r="J897" s="137"/>
      <c r="K897" s="134"/>
      <c r="L897" s="137"/>
      <c r="M897" s="134"/>
      <c r="N897" s="137"/>
    </row>
    <row r="898">
      <c r="A898" s="134"/>
      <c r="B898" s="134"/>
      <c r="C898" s="134"/>
      <c r="D898" s="135"/>
      <c r="E898" s="136"/>
      <c r="F898" s="136"/>
      <c r="G898" s="134"/>
      <c r="H898" s="134"/>
      <c r="I898" s="137"/>
      <c r="J898" s="137"/>
      <c r="K898" s="134"/>
      <c r="L898" s="137"/>
      <c r="M898" s="134"/>
      <c r="N898" s="137"/>
    </row>
    <row r="899">
      <c r="A899" s="134"/>
      <c r="B899" s="134"/>
      <c r="C899" s="134"/>
      <c r="D899" s="135"/>
      <c r="E899" s="136"/>
      <c r="F899" s="136"/>
      <c r="G899" s="134"/>
      <c r="H899" s="134"/>
      <c r="I899" s="137"/>
      <c r="J899" s="137"/>
      <c r="K899" s="134"/>
      <c r="L899" s="137"/>
      <c r="M899" s="134"/>
      <c r="N899" s="137"/>
    </row>
    <row r="900">
      <c r="A900" s="134"/>
      <c r="B900" s="134"/>
      <c r="C900" s="134"/>
      <c r="D900" s="135"/>
      <c r="E900" s="136"/>
      <c r="F900" s="136"/>
      <c r="G900" s="134"/>
      <c r="H900" s="134"/>
      <c r="I900" s="137"/>
      <c r="J900" s="137"/>
      <c r="K900" s="134"/>
      <c r="L900" s="137"/>
      <c r="M900" s="134"/>
      <c r="N900" s="137"/>
    </row>
    <row r="901">
      <c r="A901" s="134"/>
      <c r="B901" s="134"/>
      <c r="C901" s="134"/>
      <c r="D901" s="135"/>
      <c r="E901" s="136"/>
      <c r="F901" s="136"/>
      <c r="G901" s="134"/>
      <c r="H901" s="134"/>
      <c r="I901" s="137"/>
      <c r="J901" s="137"/>
      <c r="K901" s="134"/>
      <c r="L901" s="137"/>
      <c r="M901" s="134"/>
      <c r="N901" s="137"/>
    </row>
    <row r="902">
      <c r="A902" s="134"/>
      <c r="B902" s="134"/>
      <c r="C902" s="134"/>
      <c r="D902" s="135"/>
      <c r="E902" s="136"/>
      <c r="F902" s="136"/>
      <c r="G902" s="134"/>
      <c r="H902" s="134"/>
      <c r="I902" s="137"/>
      <c r="J902" s="137"/>
      <c r="K902" s="134"/>
      <c r="L902" s="137"/>
      <c r="M902" s="134"/>
      <c r="N902" s="137"/>
    </row>
    <row r="903">
      <c r="A903" s="134"/>
      <c r="B903" s="134"/>
      <c r="C903" s="134"/>
      <c r="D903" s="135"/>
      <c r="E903" s="136"/>
      <c r="F903" s="136"/>
      <c r="G903" s="134"/>
      <c r="H903" s="134"/>
      <c r="I903" s="137"/>
      <c r="J903" s="137"/>
      <c r="K903" s="134"/>
      <c r="L903" s="137"/>
      <c r="M903" s="134"/>
      <c r="N903" s="137"/>
    </row>
    <row r="904">
      <c r="A904" s="134"/>
      <c r="B904" s="134"/>
      <c r="C904" s="134"/>
      <c r="D904" s="135"/>
      <c r="E904" s="136"/>
      <c r="F904" s="136"/>
      <c r="G904" s="134"/>
      <c r="H904" s="134"/>
      <c r="I904" s="137"/>
      <c r="J904" s="137"/>
      <c r="K904" s="134"/>
      <c r="L904" s="137"/>
      <c r="M904" s="134"/>
      <c r="N904" s="137"/>
    </row>
    <row r="905">
      <c r="A905" s="134"/>
      <c r="B905" s="134"/>
      <c r="C905" s="134"/>
      <c r="D905" s="135"/>
      <c r="E905" s="136"/>
      <c r="F905" s="136"/>
      <c r="G905" s="134"/>
      <c r="H905" s="134"/>
      <c r="I905" s="137"/>
      <c r="J905" s="137"/>
      <c r="K905" s="134"/>
      <c r="L905" s="137"/>
      <c r="M905" s="134"/>
      <c r="N905" s="137"/>
    </row>
    <row r="906">
      <c r="A906" s="134"/>
      <c r="B906" s="134"/>
      <c r="C906" s="134"/>
      <c r="D906" s="135"/>
      <c r="E906" s="136"/>
      <c r="F906" s="136"/>
      <c r="G906" s="134"/>
      <c r="H906" s="134"/>
      <c r="I906" s="137"/>
      <c r="J906" s="137"/>
      <c r="K906" s="134"/>
      <c r="L906" s="137"/>
      <c r="M906" s="134"/>
      <c r="N906" s="137"/>
    </row>
    <row r="907">
      <c r="A907" s="134"/>
      <c r="B907" s="134"/>
      <c r="C907" s="134"/>
      <c r="D907" s="135"/>
      <c r="E907" s="136"/>
      <c r="F907" s="136"/>
      <c r="G907" s="134"/>
      <c r="H907" s="134"/>
      <c r="I907" s="137"/>
      <c r="J907" s="137"/>
      <c r="K907" s="134"/>
      <c r="L907" s="137"/>
      <c r="M907" s="134"/>
      <c r="N907" s="137"/>
    </row>
    <row r="908">
      <c r="A908" s="134"/>
      <c r="B908" s="134"/>
      <c r="C908" s="134"/>
      <c r="D908" s="135"/>
      <c r="E908" s="136"/>
      <c r="F908" s="136"/>
      <c r="G908" s="134"/>
      <c r="H908" s="134"/>
      <c r="I908" s="137"/>
      <c r="J908" s="137"/>
      <c r="K908" s="134"/>
      <c r="L908" s="137"/>
      <c r="M908" s="134"/>
      <c r="N908" s="137"/>
    </row>
    <row r="909">
      <c r="A909" s="134"/>
      <c r="B909" s="134"/>
      <c r="C909" s="134"/>
      <c r="D909" s="135"/>
      <c r="E909" s="136"/>
      <c r="F909" s="136"/>
      <c r="G909" s="134"/>
      <c r="H909" s="134"/>
      <c r="I909" s="137"/>
      <c r="J909" s="137"/>
      <c r="K909" s="134"/>
      <c r="L909" s="137"/>
      <c r="M909" s="134"/>
      <c r="N909" s="137"/>
    </row>
    <row r="910">
      <c r="A910" s="134"/>
      <c r="B910" s="134"/>
      <c r="C910" s="134"/>
      <c r="D910" s="135"/>
      <c r="E910" s="136"/>
      <c r="F910" s="136"/>
      <c r="G910" s="134"/>
      <c r="H910" s="134"/>
      <c r="I910" s="137"/>
      <c r="J910" s="137"/>
      <c r="K910" s="134"/>
      <c r="L910" s="137"/>
      <c r="M910" s="134"/>
      <c r="N910" s="137"/>
    </row>
    <row r="911">
      <c r="A911" s="134"/>
      <c r="B911" s="134"/>
      <c r="C911" s="134"/>
      <c r="D911" s="135"/>
      <c r="E911" s="136"/>
      <c r="F911" s="136"/>
      <c r="G911" s="134"/>
      <c r="H911" s="134"/>
      <c r="I911" s="137"/>
      <c r="J911" s="137"/>
      <c r="K911" s="134"/>
      <c r="L911" s="137"/>
      <c r="M911" s="134"/>
      <c r="N911" s="137"/>
    </row>
    <row r="912">
      <c r="A912" s="134"/>
      <c r="B912" s="134"/>
      <c r="C912" s="134"/>
      <c r="D912" s="135"/>
      <c r="E912" s="136"/>
      <c r="F912" s="136"/>
      <c r="G912" s="134"/>
      <c r="H912" s="134"/>
      <c r="I912" s="137"/>
      <c r="J912" s="137"/>
      <c r="K912" s="134"/>
      <c r="L912" s="137"/>
      <c r="M912" s="134"/>
      <c r="N912" s="137"/>
    </row>
    <row r="913">
      <c r="A913" s="134"/>
      <c r="B913" s="134"/>
      <c r="C913" s="134"/>
      <c r="D913" s="135"/>
      <c r="E913" s="136"/>
      <c r="F913" s="136"/>
      <c r="G913" s="134"/>
      <c r="H913" s="134"/>
      <c r="I913" s="137"/>
      <c r="J913" s="137"/>
      <c r="K913" s="134"/>
      <c r="L913" s="137"/>
      <c r="M913" s="134"/>
      <c r="N913" s="137"/>
    </row>
    <row r="914">
      <c r="A914" s="134"/>
      <c r="B914" s="134"/>
      <c r="C914" s="134"/>
      <c r="D914" s="135"/>
      <c r="E914" s="136"/>
      <c r="F914" s="136"/>
      <c r="G914" s="134"/>
      <c r="H914" s="134"/>
      <c r="I914" s="137"/>
      <c r="J914" s="137"/>
      <c r="K914" s="134"/>
      <c r="L914" s="137"/>
      <c r="M914" s="134"/>
      <c r="N914" s="137"/>
    </row>
    <row r="915">
      <c r="A915" s="134"/>
      <c r="B915" s="134"/>
      <c r="C915" s="134"/>
      <c r="D915" s="135"/>
      <c r="E915" s="136"/>
      <c r="F915" s="136"/>
      <c r="G915" s="134"/>
      <c r="H915" s="134"/>
      <c r="I915" s="137"/>
      <c r="J915" s="137"/>
      <c r="K915" s="134"/>
      <c r="L915" s="137"/>
      <c r="M915" s="134"/>
      <c r="N915" s="137"/>
    </row>
    <row r="916">
      <c r="A916" s="134"/>
      <c r="B916" s="134"/>
      <c r="C916" s="134"/>
      <c r="D916" s="135"/>
      <c r="E916" s="136"/>
      <c r="F916" s="136"/>
      <c r="G916" s="134"/>
      <c r="H916" s="134"/>
      <c r="I916" s="137"/>
      <c r="J916" s="137"/>
      <c r="K916" s="134"/>
      <c r="L916" s="137"/>
      <c r="M916" s="134"/>
      <c r="N916" s="137"/>
    </row>
    <row r="917">
      <c r="A917" s="134"/>
      <c r="B917" s="134"/>
      <c r="C917" s="134"/>
      <c r="D917" s="135"/>
      <c r="E917" s="136"/>
      <c r="F917" s="136"/>
      <c r="G917" s="134"/>
      <c r="H917" s="134"/>
      <c r="I917" s="137"/>
      <c r="J917" s="137"/>
      <c r="K917" s="134"/>
      <c r="L917" s="137"/>
      <c r="M917" s="134"/>
      <c r="N917" s="137"/>
    </row>
    <row r="918">
      <c r="A918" s="134"/>
      <c r="B918" s="134"/>
      <c r="C918" s="134"/>
      <c r="D918" s="135"/>
      <c r="E918" s="136"/>
      <c r="F918" s="136"/>
      <c r="G918" s="134"/>
      <c r="H918" s="134"/>
      <c r="I918" s="137"/>
      <c r="J918" s="137"/>
      <c r="K918" s="134"/>
      <c r="L918" s="137"/>
      <c r="M918" s="134"/>
      <c r="N918" s="137"/>
    </row>
    <row r="919">
      <c r="A919" s="134"/>
      <c r="B919" s="134"/>
      <c r="C919" s="134"/>
      <c r="D919" s="135"/>
      <c r="E919" s="136"/>
      <c r="F919" s="136"/>
      <c r="G919" s="134"/>
      <c r="H919" s="134"/>
      <c r="I919" s="137"/>
      <c r="J919" s="137"/>
      <c r="K919" s="134"/>
      <c r="L919" s="137"/>
      <c r="M919" s="134"/>
      <c r="N919" s="137"/>
    </row>
    <row r="920">
      <c r="A920" s="134"/>
      <c r="B920" s="134"/>
      <c r="C920" s="134"/>
      <c r="D920" s="135"/>
      <c r="E920" s="136"/>
      <c r="F920" s="136"/>
      <c r="G920" s="134"/>
      <c r="H920" s="134"/>
      <c r="I920" s="137"/>
      <c r="J920" s="137"/>
      <c r="K920" s="134"/>
      <c r="L920" s="137"/>
      <c r="M920" s="134"/>
      <c r="N920" s="137"/>
    </row>
    <row r="921">
      <c r="A921" s="134"/>
      <c r="B921" s="134"/>
      <c r="C921" s="134"/>
      <c r="D921" s="135"/>
      <c r="E921" s="136"/>
      <c r="F921" s="136"/>
      <c r="G921" s="134"/>
      <c r="H921" s="134"/>
      <c r="I921" s="137"/>
      <c r="J921" s="137"/>
      <c r="K921" s="134"/>
      <c r="L921" s="137"/>
      <c r="M921" s="134"/>
      <c r="N921" s="137"/>
    </row>
    <row r="922">
      <c r="A922" s="134"/>
      <c r="B922" s="134"/>
      <c r="C922" s="134"/>
      <c r="D922" s="135"/>
      <c r="E922" s="136"/>
      <c r="F922" s="136"/>
      <c r="G922" s="134"/>
      <c r="H922" s="134"/>
      <c r="I922" s="137"/>
      <c r="J922" s="137"/>
      <c r="K922" s="134"/>
      <c r="L922" s="137"/>
      <c r="M922" s="134"/>
      <c r="N922" s="137"/>
    </row>
    <row r="923">
      <c r="A923" s="134"/>
      <c r="B923" s="134"/>
      <c r="C923" s="134"/>
      <c r="D923" s="135"/>
      <c r="E923" s="136"/>
      <c r="F923" s="136"/>
      <c r="G923" s="134"/>
      <c r="H923" s="134"/>
      <c r="I923" s="137"/>
      <c r="J923" s="137"/>
      <c r="K923" s="134"/>
      <c r="L923" s="137"/>
      <c r="M923" s="134"/>
      <c r="N923" s="137"/>
    </row>
    <row r="924">
      <c r="A924" s="134"/>
      <c r="B924" s="134"/>
      <c r="C924" s="134"/>
      <c r="D924" s="135"/>
      <c r="E924" s="136"/>
      <c r="F924" s="136"/>
      <c r="G924" s="134"/>
      <c r="H924" s="134"/>
      <c r="I924" s="137"/>
      <c r="J924" s="137"/>
      <c r="K924" s="134"/>
      <c r="L924" s="137"/>
      <c r="M924" s="134"/>
      <c r="N924" s="137"/>
    </row>
    <row r="925">
      <c r="A925" s="134"/>
      <c r="B925" s="134"/>
      <c r="C925" s="134"/>
      <c r="D925" s="135"/>
      <c r="E925" s="136"/>
      <c r="F925" s="136"/>
      <c r="G925" s="134"/>
      <c r="H925" s="134"/>
      <c r="I925" s="137"/>
      <c r="J925" s="137"/>
      <c r="K925" s="134"/>
      <c r="L925" s="137"/>
      <c r="M925" s="134"/>
      <c r="N925" s="137"/>
    </row>
    <row r="926">
      <c r="A926" s="134"/>
      <c r="B926" s="134"/>
      <c r="C926" s="134"/>
      <c r="D926" s="135"/>
      <c r="E926" s="136"/>
      <c r="F926" s="136"/>
      <c r="G926" s="134"/>
      <c r="H926" s="134"/>
      <c r="I926" s="137"/>
      <c r="J926" s="137"/>
      <c r="K926" s="134"/>
      <c r="L926" s="137"/>
      <c r="M926" s="134"/>
      <c r="N926" s="137"/>
    </row>
    <row r="927">
      <c r="A927" s="134"/>
      <c r="B927" s="134"/>
      <c r="C927" s="134"/>
      <c r="D927" s="135"/>
      <c r="E927" s="136"/>
      <c r="F927" s="136"/>
      <c r="G927" s="134"/>
      <c r="H927" s="134"/>
      <c r="I927" s="137"/>
      <c r="J927" s="137"/>
      <c r="K927" s="134"/>
      <c r="L927" s="137"/>
      <c r="M927" s="134"/>
      <c r="N927" s="137"/>
    </row>
    <row r="928">
      <c r="A928" s="134"/>
      <c r="B928" s="134"/>
      <c r="C928" s="134"/>
      <c r="D928" s="135"/>
      <c r="E928" s="136"/>
      <c r="F928" s="136"/>
      <c r="G928" s="134"/>
      <c r="H928" s="134"/>
      <c r="I928" s="137"/>
      <c r="J928" s="137"/>
      <c r="K928" s="134"/>
      <c r="L928" s="137"/>
      <c r="M928" s="134"/>
      <c r="N928" s="137"/>
    </row>
    <row r="929">
      <c r="A929" s="134"/>
      <c r="B929" s="134"/>
      <c r="C929" s="134"/>
      <c r="D929" s="135"/>
      <c r="E929" s="136"/>
      <c r="F929" s="136"/>
      <c r="G929" s="134"/>
      <c r="H929" s="134"/>
      <c r="I929" s="137"/>
      <c r="J929" s="137"/>
      <c r="K929" s="134"/>
      <c r="L929" s="137"/>
      <c r="M929" s="134"/>
      <c r="N929" s="137"/>
    </row>
    <row r="930">
      <c r="A930" s="134"/>
      <c r="B930" s="134"/>
      <c r="C930" s="134"/>
      <c r="D930" s="135"/>
      <c r="E930" s="136"/>
      <c r="F930" s="136"/>
      <c r="G930" s="134"/>
      <c r="H930" s="134"/>
      <c r="I930" s="137"/>
      <c r="J930" s="137"/>
      <c r="K930" s="134"/>
      <c r="L930" s="137"/>
      <c r="M930" s="134"/>
      <c r="N930" s="137"/>
    </row>
    <row r="931">
      <c r="A931" s="134"/>
      <c r="B931" s="134"/>
      <c r="C931" s="134"/>
      <c r="D931" s="135"/>
      <c r="E931" s="136"/>
      <c r="F931" s="136"/>
      <c r="G931" s="134"/>
      <c r="H931" s="134"/>
      <c r="I931" s="137"/>
      <c r="J931" s="137"/>
      <c r="K931" s="134"/>
      <c r="L931" s="137"/>
      <c r="M931" s="134"/>
      <c r="N931" s="137"/>
    </row>
    <row r="932">
      <c r="A932" s="134"/>
      <c r="B932" s="134"/>
      <c r="C932" s="134"/>
      <c r="D932" s="135"/>
      <c r="E932" s="136"/>
      <c r="F932" s="136"/>
      <c r="G932" s="134"/>
      <c r="H932" s="134"/>
      <c r="I932" s="137"/>
      <c r="J932" s="137"/>
      <c r="K932" s="134"/>
      <c r="L932" s="137"/>
      <c r="M932" s="134"/>
      <c r="N932" s="137"/>
    </row>
    <row r="933">
      <c r="A933" s="134"/>
      <c r="B933" s="134"/>
      <c r="C933" s="134"/>
      <c r="D933" s="135"/>
      <c r="E933" s="136"/>
      <c r="F933" s="136"/>
      <c r="G933" s="134"/>
      <c r="H933" s="134"/>
      <c r="I933" s="137"/>
      <c r="J933" s="137"/>
      <c r="K933" s="134"/>
      <c r="L933" s="137"/>
      <c r="M933" s="134"/>
      <c r="N933" s="137"/>
    </row>
    <row r="934">
      <c r="A934" s="134"/>
      <c r="B934" s="134"/>
      <c r="C934" s="134"/>
      <c r="D934" s="135"/>
      <c r="E934" s="136"/>
      <c r="F934" s="136"/>
      <c r="G934" s="134"/>
      <c r="H934" s="134"/>
      <c r="I934" s="137"/>
      <c r="J934" s="137"/>
      <c r="K934" s="134"/>
      <c r="L934" s="137"/>
      <c r="M934" s="134"/>
      <c r="N934" s="137"/>
    </row>
    <row r="935">
      <c r="A935" s="134"/>
      <c r="B935" s="134"/>
      <c r="C935" s="134"/>
      <c r="D935" s="135"/>
      <c r="E935" s="136"/>
      <c r="F935" s="136"/>
      <c r="G935" s="134"/>
      <c r="H935" s="134"/>
      <c r="I935" s="137"/>
      <c r="J935" s="137"/>
      <c r="K935" s="134"/>
      <c r="L935" s="137"/>
      <c r="M935" s="134"/>
      <c r="N935" s="137"/>
    </row>
    <row r="936">
      <c r="A936" s="134"/>
      <c r="B936" s="134"/>
      <c r="C936" s="134"/>
      <c r="D936" s="135"/>
      <c r="E936" s="136"/>
      <c r="F936" s="136"/>
      <c r="G936" s="134"/>
      <c r="H936" s="134"/>
      <c r="I936" s="137"/>
      <c r="J936" s="137"/>
      <c r="K936" s="134"/>
      <c r="L936" s="137"/>
      <c r="M936" s="134"/>
      <c r="N936" s="137"/>
    </row>
    <row r="937">
      <c r="A937" s="134"/>
      <c r="B937" s="134"/>
      <c r="C937" s="134"/>
      <c r="D937" s="135"/>
      <c r="E937" s="136"/>
      <c r="F937" s="136"/>
      <c r="G937" s="134"/>
      <c r="H937" s="134"/>
      <c r="I937" s="137"/>
      <c r="J937" s="137"/>
      <c r="K937" s="134"/>
      <c r="L937" s="137"/>
      <c r="M937" s="134"/>
      <c r="N937" s="137"/>
    </row>
    <row r="938">
      <c r="A938" s="134"/>
      <c r="B938" s="134"/>
      <c r="C938" s="134"/>
      <c r="D938" s="135"/>
      <c r="E938" s="136"/>
      <c r="F938" s="136"/>
      <c r="G938" s="134"/>
      <c r="H938" s="134"/>
      <c r="I938" s="137"/>
      <c r="J938" s="137"/>
      <c r="K938" s="134"/>
      <c r="L938" s="137"/>
      <c r="M938" s="134"/>
      <c r="N938" s="137"/>
    </row>
    <row r="939">
      <c r="A939" s="134"/>
      <c r="B939" s="134"/>
      <c r="C939" s="134"/>
      <c r="D939" s="135"/>
      <c r="E939" s="136"/>
      <c r="F939" s="136"/>
      <c r="G939" s="134"/>
      <c r="H939" s="134"/>
      <c r="I939" s="137"/>
      <c r="J939" s="137"/>
      <c r="K939" s="134"/>
      <c r="L939" s="137"/>
      <c r="M939" s="134"/>
      <c r="N939" s="137"/>
    </row>
    <row r="940">
      <c r="A940" s="134"/>
      <c r="B940" s="134"/>
      <c r="C940" s="134"/>
      <c r="D940" s="135"/>
      <c r="E940" s="136"/>
      <c r="F940" s="136"/>
      <c r="G940" s="134"/>
      <c r="H940" s="134"/>
      <c r="I940" s="137"/>
      <c r="J940" s="137"/>
      <c r="K940" s="134"/>
      <c r="L940" s="137"/>
      <c r="M940" s="134"/>
      <c r="N940" s="137"/>
    </row>
    <row r="941">
      <c r="A941" s="134"/>
      <c r="B941" s="134"/>
      <c r="C941" s="134"/>
      <c r="D941" s="135"/>
      <c r="E941" s="136"/>
      <c r="F941" s="136"/>
      <c r="G941" s="134"/>
      <c r="H941" s="134"/>
      <c r="I941" s="137"/>
      <c r="J941" s="137"/>
      <c r="K941" s="134"/>
      <c r="L941" s="137"/>
      <c r="M941" s="134"/>
      <c r="N941" s="137"/>
    </row>
    <row r="942">
      <c r="A942" s="134"/>
      <c r="B942" s="134"/>
      <c r="C942" s="134"/>
      <c r="D942" s="135"/>
      <c r="E942" s="136"/>
      <c r="F942" s="136"/>
      <c r="G942" s="134"/>
      <c r="H942" s="134"/>
      <c r="I942" s="137"/>
      <c r="J942" s="137"/>
      <c r="K942" s="134"/>
      <c r="L942" s="137"/>
      <c r="M942" s="134"/>
      <c r="N942" s="137"/>
    </row>
    <row r="943">
      <c r="A943" s="134"/>
      <c r="B943" s="134"/>
      <c r="C943" s="134"/>
      <c r="D943" s="135"/>
      <c r="E943" s="136"/>
      <c r="F943" s="136"/>
      <c r="G943" s="134"/>
      <c r="H943" s="134"/>
      <c r="I943" s="137"/>
      <c r="J943" s="137"/>
      <c r="K943" s="134"/>
      <c r="L943" s="137"/>
      <c r="M943" s="134"/>
      <c r="N943" s="137"/>
    </row>
    <row r="944">
      <c r="A944" s="134"/>
      <c r="B944" s="134"/>
      <c r="C944" s="134"/>
      <c r="D944" s="135"/>
      <c r="E944" s="136"/>
      <c r="F944" s="136"/>
      <c r="G944" s="134"/>
      <c r="H944" s="134"/>
      <c r="I944" s="137"/>
      <c r="J944" s="137"/>
      <c r="K944" s="134"/>
      <c r="L944" s="137"/>
      <c r="M944" s="134"/>
      <c r="N944" s="137"/>
    </row>
    <row r="945">
      <c r="A945" s="134"/>
      <c r="B945" s="134"/>
      <c r="C945" s="134"/>
      <c r="D945" s="135"/>
      <c r="E945" s="136"/>
      <c r="F945" s="136"/>
      <c r="G945" s="134"/>
      <c r="H945" s="134"/>
      <c r="I945" s="137"/>
      <c r="J945" s="137"/>
      <c r="K945" s="134"/>
      <c r="L945" s="137"/>
      <c r="M945" s="134"/>
      <c r="N945" s="137"/>
    </row>
    <row r="946">
      <c r="A946" s="134"/>
      <c r="B946" s="134"/>
      <c r="C946" s="134"/>
      <c r="D946" s="135"/>
      <c r="E946" s="136"/>
      <c r="F946" s="136"/>
      <c r="G946" s="134"/>
      <c r="H946" s="134"/>
      <c r="I946" s="137"/>
      <c r="J946" s="137"/>
      <c r="K946" s="134"/>
      <c r="L946" s="137"/>
      <c r="M946" s="134"/>
      <c r="N946" s="137"/>
    </row>
    <row r="947">
      <c r="A947" s="134"/>
      <c r="B947" s="134"/>
      <c r="C947" s="134"/>
      <c r="D947" s="135"/>
      <c r="E947" s="136"/>
      <c r="F947" s="136"/>
      <c r="G947" s="134"/>
      <c r="H947" s="134"/>
      <c r="I947" s="137"/>
      <c r="J947" s="137"/>
      <c r="K947" s="134"/>
      <c r="L947" s="137"/>
      <c r="M947" s="134"/>
      <c r="N947" s="137"/>
    </row>
    <row r="948">
      <c r="A948" s="134"/>
      <c r="B948" s="134"/>
      <c r="C948" s="134"/>
      <c r="D948" s="135"/>
      <c r="E948" s="136"/>
      <c r="F948" s="136"/>
      <c r="G948" s="134"/>
      <c r="H948" s="134"/>
      <c r="I948" s="137"/>
      <c r="J948" s="137"/>
      <c r="K948" s="134"/>
      <c r="L948" s="137"/>
      <c r="M948" s="134"/>
      <c r="N948" s="137"/>
    </row>
    <row r="949">
      <c r="A949" s="134"/>
      <c r="B949" s="134"/>
      <c r="C949" s="134"/>
      <c r="D949" s="135"/>
      <c r="E949" s="136"/>
      <c r="F949" s="136"/>
      <c r="G949" s="134"/>
      <c r="H949" s="134"/>
      <c r="I949" s="137"/>
      <c r="J949" s="137"/>
      <c r="K949" s="134"/>
      <c r="L949" s="137"/>
      <c r="M949" s="134"/>
      <c r="N949" s="137"/>
    </row>
    <row r="950">
      <c r="A950" s="134"/>
      <c r="B950" s="134"/>
      <c r="C950" s="134"/>
      <c r="D950" s="135"/>
      <c r="E950" s="136"/>
      <c r="F950" s="136"/>
      <c r="G950" s="134"/>
      <c r="H950" s="134"/>
      <c r="I950" s="137"/>
      <c r="J950" s="137"/>
      <c r="K950" s="134"/>
      <c r="L950" s="137"/>
      <c r="M950" s="134"/>
      <c r="N950" s="137"/>
    </row>
    <row r="951">
      <c r="A951" s="134"/>
      <c r="B951" s="134"/>
      <c r="C951" s="134"/>
      <c r="D951" s="135"/>
      <c r="E951" s="136"/>
      <c r="F951" s="136"/>
      <c r="G951" s="134"/>
      <c r="H951" s="134"/>
      <c r="I951" s="137"/>
      <c r="J951" s="137"/>
      <c r="K951" s="134"/>
      <c r="L951" s="137"/>
      <c r="M951" s="134"/>
      <c r="N951" s="137"/>
    </row>
    <row r="952">
      <c r="A952" s="134"/>
      <c r="B952" s="134"/>
      <c r="C952" s="134"/>
      <c r="D952" s="135"/>
      <c r="E952" s="136"/>
      <c r="F952" s="136"/>
      <c r="G952" s="134"/>
      <c r="H952" s="134"/>
      <c r="I952" s="137"/>
      <c r="J952" s="137"/>
      <c r="K952" s="134"/>
      <c r="L952" s="137"/>
      <c r="M952" s="134"/>
      <c r="N952" s="137"/>
    </row>
    <row r="953">
      <c r="A953" s="134"/>
      <c r="B953" s="134"/>
      <c r="C953" s="134"/>
      <c r="D953" s="135"/>
      <c r="E953" s="136"/>
      <c r="F953" s="136"/>
      <c r="G953" s="134"/>
      <c r="H953" s="134"/>
      <c r="I953" s="137"/>
      <c r="J953" s="137"/>
      <c r="K953" s="134"/>
      <c r="L953" s="137"/>
      <c r="M953" s="134"/>
      <c r="N953" s="137"/>
    </row>
    <row r="954">
      <c r="A954" s="134"/>
      <c r="B954" s="134"/>
      <c r="C954" s="134"/>
      <c r="D954" s="135"/>
      <c r="E954" s="136"/>
      <c r="F954" s="136"/>
      <c r="G954" s="134"/>
      <c r="H954" s="134"/>
      <c r="I954" s="137"/>
      <c r="J954" s="137"/>
      <c r="K954" s="134"/>
      <c r="L954" s="137"/>
      <c r="M954" s="134"/>
      <c r="N954" s="137"/>
    </row>
    <row r="955">
      <c r="A955" s="134"/>
      <c r="B955" s="134"/>
      <c r="C955" s="134"/>
      <c r="D955" s="135"/>
      <c r="E955" s="136"/>
      <c r="F955" s="136"/>
      <c r="G955" s="134"/>
      <c r="H955" s="134"/>
      <c r="I955" s="137"/>
      <c r="J955" s="137"/>
      <c r="K955" s="134"/>
      <c r="L955" s="137"/>
      <c r="M955" s="134"/>
      <c r="N955" s="137"/>
    </row>
    <row r="956">
      <c r="A956" s="134"/>
      <c r="B956" s="134"/>
      <c r="C956" s="134"/>
      <c r="D956" s="135"/>
      <c r="E956" s="136"/>
      <c r="F956" s="136"/>
      <c r="G956" s="134"/>
      <c r="H956" s="134"/>
      <c r="I956" s="137"/>
      <c r="J956" s="137"/>
      <c r="K956" s="134"/>
      <c r="L956" s="137"/>
      <c r="M956" s="134"/>
      <c r="N956" s="137"/>
    </row>
    <row r="957">
      <c r="A957" s="134"/>
      <c r="B957" s="134"/>
      <c r="C957" s="134"/>
      <c r="D957" s="135"/>
      <c r="E957" s="136"/>
      <c r="F957" s="136"/>
      <c r="G957" s="134"/>
      <c r="H957" s="134"/>
      <c r="I957" s="137"/>
      <c r="J957" s="137"/>
      <c r="K957" s="134"/>
      <c r="L957" s="137"/>
      <c r="M957" s="134"/>
      <c r="N957" s="137"/>
    </row>
    <row r="958">
      <c r="A958" s="134"/>
      <c r="B958" s="134"/>
      <c r="C958" s="134"/>
      <c r="D958" s="135"/>
      <c r="E958" s="136"/>
      <c r="F958" s="136"/>
      <c r="G958" s="134"/>
      <c r="H958" s="134"/>
      <c r="I958" s="137"/>
      <c r="J958" s="137"/>
      <c r="K958" s="134"/>
      <c r="L958" s="137"/>
      <c r="M958" s="134"/>
      <c r="N958" s="137"/>
    </row>
    <row r="959">
      <c r="A959" s="134"/>
      <c r="B959" s="134"/>
      <c r="C959" s="134"/>
      <c r="D959" s="135"/>
      <c r="E959" s="136"/>
      <c r="F959" s="136"/>
      <c r="G959" s="134"/>
      <c r="H959" s="134"/>
      <c r="I959" s="137"/>
      <c r="J959" s="137"/>
      <c r="K959" s="134"/>
      <c r="L959" s="137"/>
      <c r="M959" s="134"/>
      <c r="N959" s="137"/>
    </row>
    <row r="960">
      <c r="A960" s="134"/>
      <c r="B960" s="134"/>
      <c r="C960" s="134"/>
      <c r="D960" s="135"/>
      <c r="E960" s="136"/>
      <c r="F960" s="136"/>
      <c r="G960" s="134"/>
      <c r="H960" s="134"/>
      <c r="I960" s="137"/>
      <c r="J960" s="137"/>
      <c r="K960" s="134"/>
      <c r="L960" s="137"/>
      <c r="M960" s="134"/>
      <c r="N960" s="137"/>
    </row>
    <row r="961">
      <c r="A961" s="134"/>
      <c r="B961" s="134"/>
      <c r="C961" s="134"/>
      <c r="D961" s="135"/>
      <c r="E961" s="136"/>
      <c r="F961" s="136"/>
      <c r="G961" s="134"/>
      <c r="H961" s="134"/>
      <c r="I961" s="137"/>
      <c r="J961" s="137"/>
      <c r="K961" s="134"/>
      <c r="L961" s="137"/>
      <c r="M961" s="134"/>
      <c r="N961" s="137"/>
    </row>
    <row r="962">
      <c r="A962" s="134"/>
      <c r="B962" s="134"/>
      <c r="C962" s="134"/>
      <c r="D962" s="135"/>
      <c r="E962" s="136"/>
      <c r="F962" s="136"/>
      <c r="G962" s="134"/>
      <c r="H962" s="134"/>
      <c r="I962" s="137"/>
      <c r="J962" s="137"/>
      <c r="K962" s="134"/>
      <c r="L962" s="137"/>
      <c r="M962" s="134"/>
      <c r="N962" s="137"/>
    </row>
    <row r="963">
      <c r="A963" s="134"/>
      <c r="B963" s="134"/>
      <c r="C963" s="134"/>
      <c r="D963" s="135"/>
      <c r="E963" s="136"/>
      <c r="F963" s="136"/>
      <c r="G963" s="134"/>
      <c r="H963" s="134"/>
      <c r="I963" s="137"/>
      <c r="J963" s="137"/>
      <c r="K963" s="134"/>
      <c r="L963" s="137"/>
      <c r="M963" s="134"/>
      <c r="N963" s="137"/>
    </row>
    <row r="964">
      <c r="A964" s="134"/>
      <c r="B964" s="134"/>
      <c r="C964" s="134"/>
      <c r="D964" s="135"/>
      <c r="E964" s="136"/>
      <c r="F964" s="136"/>
      <c r="G964" s="134"/>
      <c r="H964" s="134"/>
      <c r="I964" s="137"/>
      <c r="J964" s="137"/>
      <c r="K964" s="134"/>
      <c r="L964" s="137"/>
      <c r="M964" s="134"/>
      <c r="N964" s="137"/>
    </row>
    <row r="965">
      <c r="A965" s="134"/>
      <c r="B965" s="134"/>
      <c r="C965" s="134"/>
      <c r="D965" s="135"/>
      <c r="E965" s="136"/>
      <c r="F965" s="136"/>
      <c r="G965" s="134"/>
      <c r="H965" s="134"/>
      <c r="I965" s="137"/>
      <c r="J965" s="137"/>
      <c r="K965" s="134"/>
      <c r="L965" s="137"/>
      <c r="M965" s="134"/>
      <c r="N965" s="137"/>
    </row>
    <row r="966">
      <c r="A966" s="134"/>
      <c r="B966" s="134"/>
      <c r="C966" s="134"/>
      <c r="D966" s="135"/>
      <c r="E966" s="136"/>
      <c r="F966" s="136"/>
      <c r="G966" s="134"/>
      <c r="H966" s="134"/>
      <c r="I966" s="137"/>
      <c r="J966" s="137"/>
      <c r="K966" s="134"/>
      <c r="L966" s="137"/>
      <c r="M966" s="134"/>
      <c r="N966" s="137"/>
    </row>
    <row r="967">
      <c r="A967" s="134"/>
      <c r="B967" s="134"/>
      <c r="C967" s="134"/>
      <c r="D967" s="135"/>
      <c r="E967" s="136"/>
      <c r="F967" s="136"/>
      <c r="G967" s="134"/>
      <c r="H967" s="134"/>
      <c r="I967" s="137"/>
      <c r="J967" s="137"/>
      <c r="K967" s="134"/>
      <c r="L967" s="137"/>
      <c r="M967" s="134"/>
      <c r="N967" s="137"/>
    </row>
    <row r="968">
      <c r="A968" s="134"/>
      <c r="B968" s="134"/>
      <c r="C968" s="134"/>
      <c r="D968" s="135"/>
      <c r="E968" s="136"/>
      <c r="F968" s="136"/>
      <c r="G968" s="134"/>
      <c r="H968" s="134"/>
      <c r="I968" s="137"/>
      <c r="J968" s="137"/>
      <c r="K968" s="134"/>
      <c r="L968" s="137"/>
      <c r="M968" s="134"/>
      <c r="N968" s="137"/>
    </row>
    <row r="969">
      <c r="A969" s="134"/>
      <c r="B969" s="134"/>
      <c r="C969" s="134"/>
      <c r="D969" s="135"/>
      <c r="E969" s="136"/>
      <c r="F969" s="136"/>
      <c r="G969" s="134"/>
      <c r="H969" s="134"/>
      <c r="I969" s="137"/>
      <c r="J969" s="137"/>
      <c r="K969" s="134"/>
      <c r="L969" s="137"/>
      <c r="M969" s="134"/>
      <c r="N969" s="137"/>
    </row>
    <row r="970">
      <c r="A970" s="134"/>
      <c r="B970" s="134"/>
      <c r="C970" s="134"/>
      <c r="D970" s="135"/>
      <c r="E970" s="136"/>
      <c r="F970" s="136"/>
      <c r="G970" s="134"/>
      <c r="H970" s="134"/>
      <c r="I970" s="137"/>
      <c r="J970" s="137"/>
      <c r="K970" s="134"/>
      <c r="L970" s="137"/>
      <c r="M970" s="134"/>
      <c r="N970" s="137"/>
    </row>
    <row r="971">
      <c r="A971" s="134"/>
      <c r="B971" s="134"/>
      <c r="C971" s="134"/>
      <c r="D971" s="135"/>
      <c r="E971" s="136"/>
      <c r="F971" s="136"/>
      <c r="G971" s="134"/>
      <c r="H971" s="134"/>
      <c r="I971" s="137"/>
      <c r="J971" s="137"/>
      <c r="K971" s="134"/>
      <c r="L971" s="137"/>
      <c r="M971" s="134"/>
      <c r="N971" s="137"/>
    </row>
    <row r="972">
      <c r="A972" s="134"/>
      <c r="B972" s="134"/>
      <c r="C972" s="134"/>
      <c r="D972" s="135"/>
      <c r="E972" s="136"/>
      <c r="F972" s="136"/>
      <c r="G972" s="134"/>
      <c r="H972" s="134"/>
      <c r="I972" s="137"/>
      <c r="J972" s="137"/>
      <c r="K972" s="134"/>
      <c r="L972" s="137"/>
      <c r="M972" s="134"/>
      <c r="N972" s="137"/>
    </row>
    <row r="973">
      <c r="A973" s="134"/>
      <c r="B973" s="134"/>
      <c r="C973" s="134"/>
      <c r="D973" s="135"/>
      <c r="E973" s="136"/>
      <c r="F973" s="136"/>
      <c r="G973" s="134"/>
      <c r="H973" s="134"/>
      <c r="I973" s="137"/>
      <c r="J973" s="137"/>
      <c r="K973" s="134"/>
      <c r="L973" s="137"/>
      <c r="M973" s="134"/>
      <c r="N973" s="137"/>
    </row>
    <row r="974">
      <c r="A974" s="134"/>
      <c r="B974" s="134"/>
      <c r="C974" s="134"/>
      <c r="D974" s="135"/>
      <c r="E974" s="136"/>
      <c r="F974" s="136"/>
      <c r="G974" s="134"/>
      <c r="H974" s="134"/>
      <c r="I974" s="137"/>
      <c r="J974" s="137"/>
      <c r="K974" s="134"/>
      <c r="L974" s="137"/>
      <c r="M974" s="134"/>
      <c r="N974" s="137"/>
    </row>
    <row r="975">
      <c r="A975" s="134"/>
      <c r="B975" s="134"/>
      <c r="C975" s="134"/>
      <c r="D975" s="135"/>
      <c r="E975" s="136"/>
      <c r="F975" s="136"/>
      <c r="G975" s="134"/>
      <c r="H975" s="134"/>
      <c r="I975" s="137"/>
      <c r="J975" s="137"/>
      <c r="K975" s="134"/>
      <c r="L975" s="137"/>
      <c r="M975" s="134"/>
      <c r="N975" s="137"/>
    </row>
    <row r="976">
      <c r="A976" s="134"/>
      <c r="B976" s="134"/>
      <c r="C976" s="134"/>
      <c r="D976" s="135"/>
      <c r="E976" s="136"/>
      <c r="F976" s="136"/>
      <c r="G976" s="134"/>
      <c r="H976" s="134"/>
      <c r="I976" s="137"/>
      <c r="J976" s="137"/>
      <c r="K976" s="134"/>
      <c r="L976" s="137"/>
      <c r="M976" s="134"/>
      <c r="N976" s="137"/>
    </row>
    <row r="977">
      <c r="A977" s="134"/>
      <c r="B977" s="134"/>
      <c r="C977" s="134"/>
      <c r="D977" s="135"/>
      <c r="E977" s="136"/>
      <c r="F977" s="136"/>
      <c r="G977" s="134"/>
      <c r="H977" s="134"/>
      <c r="I977" s="137"/>
      <c r="J977" s="137"/>
      <c r="K977" s="134"/>
      <c r="L977" s="137"/>
      <c r="M977" s="134"/>
      <c r="N977" s="137"/>
    </row>
    <row r="978">
      <c r="A978" s="134"/>
      <c r="B978" s="134"/>
      <c r="C978" s="134"/>
      <c r="D978" s="135"/>
      <c r="E978" s="136"/>
      <c r="F978" s="136"/>
      <c r="G978" s="134"/>
      <c r="H978" s="134"/>
      <c r="I978" s="137"/>
      <c r="J978" s="137"/>
      <c r="K978" s="134"/>
      <c r="L978" s="137"/>
      <c r="M978" s="134"/>
      <c r="N978" s="137"/>
    </row>
    <row r="979">
      <c r="A979" s="134"/>
      <c r="B979" s="134"/>
      <c r="C979" s="134"/>
      <c r="D979" s="135"/>
      <c r="E979" s="136"/>
      <c r="F979" s="136"/>
      <c r="G979" s="134"/>
      <c r="H979" s="134"/>
      <c r="I979" s="137"/>
      <c r="J979" s="137"/>
      <c r="K979" s="134"/>
      <c r="L979" s="137"/>
      <c r="M979" s="134"/>
      <c r="N979" s="137"/>
    </row>
    <row r="980">
      <c r="A980" s="134"/>
      <c r="B980" s="134"/>
      <c r="C980" s="134"/>
      <c r="D980" s="135"/>
      <c r="E980" s="136"/>
      <c r="F980" s="136"/>
      <c r="G980" s="134"/>
      <c r="H980" s="134"/>
      <c r="I980" s="137"/>
      <c r="J980" s="137"/>
      <c r="K980" s="134"/>
      <c r="L980" s="137"/>
      <c r="M980" s="134"/>
      <c r="N980" s="137"/>
    </row>
    <row r="981">
      <c r="A981" s="134"/>
      <c r="B981" s="134"/>
      <c r="C981" s="134"/>
      <c r="D981" s="135"/>
      <c r="E981" s="136"/>
      <c r="F981" s="136"/>
      <c r="G981" s="134"/>
      <c r="H981" s="134"/>
      <c r="I981" s="137"/>
      <c r="J981" s="137"/>
      <c r="K981" s="134"/>
      <c r="L981" s="137"/>
      <c r="M981" s="134"/>
      <c r="N981" s="137"/>
    </row>
    <row r="982">
      <c r="A982" s="134"/>
      <c r="B982" s="134"/>
      <c r="C982" s="134"/>
      <c r="D982" s="135"/>
      <c r="E982" s="136"/>
      <c r="F982" s="136"/>
      <c r="G982" s="134"/>
      <c r="H982" s="134"/>
      <c r="I982" s="137"/>
      <c r="J982" s="137"/>
      <c r="K982" s="134"/>
      <c r="L982" s="137"/>
      <c r="M982" s="134"/>
      <c r="N982" s="137"/>
    </row>
    <row r="983">
      <c r="A983" s="134"/>
      <c r="B983" s="134"/>
      <c r="C983" s="134"/>
      <c r="D983" s="135"/>
      <c r="E983" s="136"/>
      <c r="F983" s="136"/>
      <c r="G983" s="134"/>
      <c r="H983" s="134"/>
      <c r="I983" s="137"/>
      <c r="J983" s="137"/>
      <c r="K983" s="134"/>
      <c r="L983" s="137"/>
      <c r="M983" s="134"/>
      <c r="N983" s="137"/>
    </row>
    <row r="984">
      <c r="A984" s="134"/>
      <c r="B984" s="134"/>
      <c r="C984" s="134"/>
      <c r="D984" s="135"/>
      <c r="E984" s="136"/>
      <c r="F984" s="136"/>
      <c r="G984" s="134"/>
      <c r="H984" s="134"/>
      <c r="I984" s="137"/>
      <c r="J984" s="137"/>
      <c r="K984" s="134"/>
      <c r="L984" s="137"/>
      <c r="M984" s="134"/>
      <c r="N984" s="137"/>
    </row>
    <row r="985">
      <c r="A985" s="134"/>
      <c r="B985" s="134"/>
      <c r="C985" s="134"/>
      <c r="D985" s="135"/>
      <c r="E985" s="136"/>
      <c r="F985" s="136"/>
      <c r="G985" s="134"/>
      <c r="H985" s="134"/>
      <c r="I985" s="137"/>
      <c r="J985" s="137"/>
      <c r="K985" s="134"/>
      <c r="L985" s="137"/>
      <c r="M985" s="134"/>
      <c r="N985" s="137"/>
    </row>
    <row r="986">
      <c r="A986" s="134"/>
      <c r="B986" s="134"/>
      <c r="C986" s="134"/>
      <c r="D986" s="135"/>
      <c r="E986" s="136"/>
      <c r="F986" s="136"/>
      <c r="G986" s="134"/>
      <c r="H986" s="134"/>
      <c r="I986" s="137"/>
      <c r="J986" s="137"/>
      <c r="K986" s="134"/>
      <c r="L986" s="137"/>
      <c r="M986" s="134"/>
      <c r="N986" s="137"/>
    </row>
    <row r="987">
      <c r="A987" s="134"/>
      <c r="B987" s="134"/>
      <c r="C987" s="134"/>
      <c r="D987" s="135"/>
      <c r="E987" s="136"/>
      <c r="F987" s="136"/>
      <c r="G987" s="134"/>
      <c r="H987" s="134"/>
      <c r="I987" s="137"/>
      <c r="J987" s="137"/>
      <c r="K987" s="134"/>
      <c r="L987" s="137"/>
      <c r="M987" s="134"/>
      <c r="N987" s="137"/>
    </row>
    <row r="988">
      <c r="A988" s="134"/>
      <c r="B988" s="134"/>
      <c r="C988" s="134"/>
      <c r="D988" s="135"/>
      <c r="E988" s="136"/>
      <c r="F988" s="136"/>
      <c r="G988" s="134"/>
      <c r="H988" s="134"/>
      <c r="I988" s="137"/>
      <c r="J988" s="137"/>
      <c r="K988" s="134"/>
      <c r="L988" s="137"/>
      <c r="M988" s="134"/>
      <c r="N988" s="137"/>
    </row>
    <row r="989">
      <c r="A989" s="134"/>
      <c r="B989" s="134"/>
      <c r="C989" s="134"/>
      <c r="D989" s="135"/>
      <c r="E989" s="136"/>
      <c r="F989" s="136"/>
      <c r="G989" s="134"/>
      <c r="H989" s="134"/>
      <c r="I989" s="137"/>
      <c r="J989" s="137"/>
      <c r="K989" s="134"/>
      <c r="L989" s="137"/>
      <c r="M989" s="134"/>
      <c r="N989" s="137"/>
    </row>
    <row r="990">
      <c r="A990" s="134"/>
      <c r="B990" s="134"/>
      <c r="C990" s="134"/>
      <c r="D990" s="135"/>
      <c r="E990" s="136"/>
      <c r="F990" s="136"/>
      <c r="G990" s="134"/>
      <c r="H990" s="134"/>
      <c r="I990" s="137"/>
      <c r="J990" s="137"/>
      <c r="K990" s="134"/>
      <c r="L990" s="137"/>
      <c r="M990" s="134"/>
      <c r="N990" s="137"/>
    </row>
    <row r="991">
      <c r="A991" s="134"/>
      <c r="B991" s="134"/>
      <c r="C991" s="134"/>
      <c r="D991" s="135"/>
      <c r="E991" s="136"/>
      <c r="F991" s="136"/>
      <c r="G991" s="134"/>
      <c r="H991" s="134"/>
      <c r="I991" s="137"/>
      <c r="J991" s="137"/>
      <c r="K991" s="134"/>
      <c r="L991" s="137"/>
      <c r="M991" s="134"/>
      <c r="N991" s="137"/>
    </row>
    <row r="992">
      <c r="A992" s="134"/>
      <c r="B992" s="134"/>
      <c r="C992" s="134"/>
      <c r="D992" s="135"/>
      <c r="E992" s="136"/>
      <c r="F992" s="136"/>
      <c r="G992" s="134"/>
      <c r="H992" s="134"/>
      <c r="I992" s="137"/>
      <c r="J992" s="137"/>
      <c r="K992" s="134"/>
      <c r="L992" s="137"/>
      <c r="M992" s="134"/>
      <c r="N992" s="137"/>
    </row>
    <row r="993">
      <c r="A993" s="134"/>
      <c r="B993" s="134"/>
      <c r="C993" s="134"/>
      <c r="D993" s="135"/>
      <c r="E993" s="136"/>
      <c r="F993" s="136"/>
      <c r="G993" s="134"/>
      <c r="H993" s="134"/>
      <c r="I993" s="137"/>
      <c r="J993" s="137"/>
      <c r="K993" s="134"/>
      <c r="L993" s="137"/>
      <c r="M993" s="134"/>
      <c r="N993" s="137"/>
    </row>
    <row r="994">
      <c r="A994" s="134"/>
      <c r="B994" s="134"/>
      <c r="C994" s="134"/>
      <c r="D994" s="135"/>
      <c r="E994" s="136"/>
      <c r="F994" s="136"/>
      <c r="G994" s="134"/>
      <c r="H994" s="134"/>
      <c r="I994" s="137"/>
      <c r="J994" s="137"/>
      <c r="K994" s="134"/>
      <c r="L994" s="137"/>
      <c r="M994" s="134"/>
      <c r="N994" s="137"/>
    </row>
    <row r="995">
      <c r="A995" s="134"/>
      <c r="B995" s="134"/>
      <c r="C995" s="134"/>
      <c r="D995" s="135"/>
      <c r="E995" s="136"/>
      <c r="F995" s="136"/>
      <c r="G995" s="134"/>
      <c r="H995" s="134"/>
      <c r="I995" s="137"/>
      <c r="J995" s="137"/>
      <c r="K995" s="134"/>
      <c r="L995" s="137"/>
      <c r="M995" s="134"/>
      <c r="N995" s="137"/>
    </row>
    <row r="996">
      <c r="A996" s="134"/>
      <c r="B996" s="134"/>
      <c r="C996" s="134"/>
      <c r="D996" s="135"/>
      <c r="E996" s="136"/>
      <c r="F996" s="136"/>
      <c r="G996" s="134"/>
      <c r="H996" s="134"/>
      <c r="I996" s="137"/>
      <c r="J996" s="137"/>
      <c r="K996" s="134"/>
      <c r="L996" s="137"/>
      <c r="M996" s="134"/>
      <c r="N996" s="137"/>
    </row>
    <row r="997">
      <c r="A997" s="134"/>
      <c r="B997" s="134"/>
      <c r="C997" s="134"/>
      <c r="D997" s="135"/>
      <c r="E997" s="136"/>
      <c r="F997" s="136"/>
      <c r="G997" s="134"/>
      <c r="H997" s="134"/>
      <c r="I997" s="137"/>
      <c r="J997" s="137"/>
      <c r="K997" s="134"/>
      <c r="L997" s="137"/>
      <c r="M997" s="134"/>
      <c r="N997" s="137"/>
    </row>
    <row r="998">
      <c r="A998" s="134"/>
      <c r="B998" s="134"/>
      <c r="C998" s="134"/>
      <c r="D998" s="135"/>
      <c r="E998" s="136"/>
      <c r="F998" s="136"/>
      <c r="G998" s="134"/>
      <c r="H998" s="134"/>
      <c r="I998" s="137"/>
      <c r="J998" s="137"/>
      <c r="K998" s="134"/>
      <c r="L998" s="137"/>
      <c r="M998" s="134"/>
      <c r="N998" s="137"/>
    </row>
    <row r="999">
      <c r="A999" s="134"/>
      <c r="B999" s="134"/>
      <c r="C999" s="134"/>
      <c r="D999" s="135"/>
      <c r="E999" s="136"/>
      <c r="F999" s="136"/>
      <c r="G999" s="134"/>
      <c r="H999" s="134"/>
      <c r="I999" s="137"/>
      <c r="J999" s="137"/>
      <c r="K999" s="134"/>
      <c r="L999" s="137"/>
      <c r="M999" s="134"/>
      <c r="N999" s="137"/>
    </row>
    <row r="1000">
      <c r="A1000" s="134"/>
      <c r="B1000" s="134"/>
      <c r="C1000" s="134"/>
      <c r="D1000" s="135"/>
      <c r="E1000" s="136"/>
      <c r="F1000" s="136"/>
      <c r="G1000" s="134"/>
      <c r="H1000" s="134"/>
      <c r="I1000" s="137"/>
      <c r="J1000" s="137"/>
      <c r="K1000" s="134"/>
      <c r="L1000" s="137"/>
      <c r="M1000" s="134"/>
      <c r="N1000" s="137"/>
    </row>
    <row r="1001">
      <c r="A1001" s="134"/>
      <c r="B1001" s="134"/>
      <c r="C1001" s="134"/>
      <c r="D1001" s="135"/>
      <c r="E1001" s="136"/>
      <c r="F1001" s="136"/>
      <c r="G1001" s="134"/>
      <c r="H1001" s="134"/>
      <c r="I1001" s="137"/>
      <c r="J1001" s="137"/>
      <c r="K1001" s="134"/>
      <c r="L1001" s="137"/>
      <c r="M1001" s="134"/>
      <c r="N1001" s="137"/>
    </row>
    <row r="1002">
      <c r="A1002" s="134"/>
      <c r="B1002" s="134"/>
      <c r="C1002" s="134"/>
      <c r="D1002" s="135"/>
      <c r="E1002" s="136"/>
      <c r="F1002" s="136"/>
      <c r="G1002" s="134"/>
      <c r="H1002" s="134"/>
      <c r="I1002" s="137"/>
      <c r="J1002" s="137"/>
      <c r="K1002" s="134"/>
      <c r="L1002" s="137"/>
      <c r="M1002" s="134"/>
      <c r="N1002" s="137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6" width="18.88"/>
    <col customWidth="1" min="7" max="7" width="2.63"/>
  </cols>
  <sheetData>
    <row r="1">
      <c r="A1" s="50"/>
      <c r="B1" s="50"/>
      <c r="C1" s="50"/>
      <c r="D1" s="50"/>
      <c r="E1" s="50"/>
      <c r="F1" s="50"/>
      <c r="G1" s="50"/>
    </row>
    <row r="2">
      <c r="A2" s="50"/>
      <c r="B2" s="50"/>
      <c r="C2" s="50"/>
      <c r="D2" s="50"/>
      <c r="E2" s="50"/>
      <c r="F2" s="50"/>
      <c r="G2" s="50"/>
    </row>
    <row r="3" ht="57.75" customHeight="1">
      <c r="A3" s="139"/>
      <c r="B3" s="139"/>
      <c r="C3" s="140" t="s">
        <v>3279</v>
      </c>
      <c r="D3" s="141"/>
      <c r="E3" s="142"/>
      <c r="F3" s="139"/>
      <c r="G3" s="139"/>
    </row>
    <row r="4">
      <c r="A4" s="50"/>
      <c r="B4" s="50"/>
      <c r="C4" s="50"/>
      <c r="D4" s="143" t="str">
        <f>IFERROR(__xludf.DUMMYFUNCTION("IF(C3&lt;&gt;"""", IFNA(REGEXREPLACE(REGEXEXTRACT(C3,""\[.*\]""),""\[|\]"","""")),)"),"SES-0018")</f>
        <v>SES-0018</v>
      </c>
      <c r="E4" s="50"/>
      <c r="F4" s="50"/>
      <c r="G4" s="50"/>
    </row>
    <row r="5">
      <c r="A5" s="50"/>
      <c r="B5" s="144"/>
      <c r="C5" s="144"/>
      <c r="D5" s="145"/>
      <c r="E5" s="50"/>
      <c r="F5" s="50"/>
      <c r="G5" s="50"/>
    </row>
    <row r="6">
      <c r="A6" s="50"/>
      <c r="B6" s="146" t="str">
        <f>IFNA(VLOOKUP(D4,SESSIONS!B:D,3,FALSE),"")</f>
        <v/>
      </c>
      <c r="D6" s="147" t="str">
        <f>IFNA(VLOOKUP(D4,SESSIONS!B:E,4,FALSE),"")</f>
        <v/>
      </c>
      <c r="E6" s="147" t="str">
        <f>IFNA(VLOOKUP(D4,SESSIONS!B:F,5,FALSE),"")</f>
        <v/>
      </c>
      <c r="F6" s="148"/>
      <c r="G6" s="50"/>
    </row>
    <row r="7">
      <c r="A7" s="50"/>
      <c r="B7" s="50"/>
      <c r="C7" s="50"/>
      <c r="D7" s="143"/>
      <c r="E7" s="50"/>
      <c r="F7" s="50"/>
      <c r="G7" s="50"/>
    </row>
    <row r="8" ht="28.5" customHeight="1">
      <c r="A8" s="50"/>
      <c r="B8" s="149" t="s">
        <v>93</v>
      </c>
      <c r="C8" s="150" t="s">
        <v>94</v>
      </c>
      <c r="D8" s="150" t="s">
        <v>3305</v>
      </c>
      <c r="E8" s="151"/>
      <c r="F8" s="152"/>
      <c r="G8" s="50"/>
    </row>
    <row r="9">
      <c r="A9" s="50"/>
      <c r="B9" s="153" t="str">
        <f>IFERROR(__xludf.DUMMYFUNCTION("QUERY('INSCRIPTIONS OLD'!A:L,""SELECT G,H,I WHERE A='""&amp;D4&amp;""' ORDER BY F,E"",0)"),"#N/A")</f>
        <v>#N/A</v>
      </c>
      <c r="C9" s="154"/>
      <c r="D9" s="154"/>
      <c r="E9" s="154"/>
      <c r="F9" s="155"/>
      <c r="G9" s="50"/>
    </row>
    <row r="10">
      <c r="A10" s="50"/>
      <c r="B10" s="156"/>
      <c r="C10" s="157"/>
      <c r="D10" s="157"/>
      <c r="E10" s="157"/>
      <c r="F10" s="158"/>
      <c r="G10" s="50"/>
    </row>
    <row r="11">
      <c r="A11" s="50"/>
      <c r="B11" s="156"/>
      <c r="C11" s="157"/>
      <c r="D11" s="157"/>
      <c r="E11" s="157"/>
      <c r="F11" s="158"/>
      <c r="G11" s="50"/>
    </row>
    <row r="12">
      <c r="A12" s="50"/>
      <c r="B12" s="156"/>
      <c r="C12" s="157"/>
      <c r="D12" s="157"/>
      <c r="E12" s="157"/>
      <c r="F12" s="158"/>
      <c r="G12" s="50"/>
    </row>
    <row r="13">
      <c r="A13" s="50"/>
      <c r="B13" s="156"/>
      <c r="C13" s="157"/>
      <c r="D13" s="157"/>
      <c r="E13" s="157"/>
      <c r="F13" s="158"/>
      <c r="G13" s="50"/>
    </row>
    <row r="14">
      <c r="A14" s="50"/>
      <c r="B14" s="156"/>
      <c r="C14" s="157"/>
      <c r="D14" s="157"/>
      <c r="E14" s="157"/>
      <c r="F14" s="158"/>
      <c r="G14" s="50"/>
    </row>
    <row r="15">
      <c r="A15" s="50"/>
      <c r="B15" s="156"/>
      <c r="C15" s="157"/>
      <c r="D15" s="157"/>
      <c r="E15" s="157"/>
      <c r="F15" s="158"/>
      <c r="G15" s="50"/>
    </row>
    <row r="16">
      <c r="A16" s="50"/>
      <c r="B16" s="156"/>
      <c r="C16" s="157"/>
      <c r="D16" s="157"/>
      <c r="E16" s="157"/>
      <c r="F16" s="158"/>
      <c r="G16" s="50"/>
    </row>
    <row r="17">
      <c r="A17" s="50"/>
      <c r="B17" s="156"/>
      <c r="C17" s="157"/>
      <c r="D17" s="157"/>
      <c r="E17" s="157"/>
      <c r="F17" s="158"/>
      <c r="G17" s="50"/>
    </row>
    <row r="18">
      <c r="A18" s="50"/>
      <c r="B18" s="156"/>
      <c r="C18" s="157"/>
      <c r="D18" s="157"/>
      <c r="E18" s="157"/>
      <c r="F18" s="158"/>
      <c r="G18" s="50"/>
    </row>
    <row r="19">
      <c r="A19" s="50"/>
      <c r="B19" s="156"/>
      <c r="C19" s="157"/>
      <c r="D19" s="157"/>
      <c r="E19" s="157"/>
      <c r="F19" s="158"/>
      <c r="G19" s="50"/>
    </row>
    <row r="20">
      <c r="A20" s="50"/>
      <c r="B20" s="156"/>
      <c r="C20" s="157"/>
      <c r="D20" s="157"/>
      <c r="E20" s="157"/>
      <c r="F20" s="158"/>
      <c r="G20" s="50"/>
    </row>
    <row r="21">
      <c r="A21" s="50"/>
      <c r="B21" s="156"/>
      <c r="C21" s="157"/>
      <c r="D21" s="157"/>
      <c r="E21" s="157"/>
      <c r="F21" s="158"/>
      <c r="G21" s="50"/>
    </row>
    <row r="22">
      <c r="A22" s="50"/>
      <c r="B22" s="156"/>
      <c r="C22" s="157"/>
      <c r="D22" s="157"/>
      <c r="E22" s="157"/>
      <c r="F22" s="158"/>
      <c r="G22" s="50"/>
    </row>
    <row r="23">
      <c r="A23" s="50"/>
      <c r="B23" s="156"/>
      <c r="C23" s="157"/>
      <c r="D23" s="157"/>
      <c r="E23" s="157"/>
      <c r="F23" s="158"/>
      <c r="G23" s="50"/>
    </row>
    <row r="24">
      <c r="A24" s="50"/>
      <c r="B24" s="156"/>
      <c r="C24" s="157"/>
      <c r="D24" s="157"/>
      <c r="E24" s="157"/>
      <c r="F24" s="158"/>
      <c r="G24" s="50"/>
    </row>
    <row r="25">
      <c r="A25" s="50"/>
      <c r="B25" s="156"/>
      <c r="C25" s="157"/>
      <c r="D25" s="157"/>
      <c r="E25" s="157"/>
      <c r="F25" s="158"/>
      <c r="G25" s="50"/>
    </row>
    <row r="26">
      <c r="A26" s="50"/>
      <c r="B26" s="156"/>
      <c r="C26" s="157"/>
      <c r="D26" s="157"/>
      <c r="E26" s="157"/>
      <c r="F26" s="158"/>
      <c r="G26" s="50"/>
    </row>
    <row r="27">
      <c r="A27" s="50"/>
      <c r="B27" s="156"/>
      <c r="C27" s="157"/>
      <c r="D27" s="157"/>
      <c r="E27" s="157"/>
      <c r="F27" s="158"/>
      <c r="G27" s="50"/>
    </row>
    <row r="28">
      <c r="A28" s="50"/>
      <c r="B28" s="156"/>
      <c r="C28" s="157"/>
      <c r="D28" s="157"/>
      <c r="E28" s="157"/>
      <c r="F28" s="158"/>
      <c r="G28" s="50"/>
    </row>
    <row r="29">
      <c r="A29" s="50"/>
      <c r="B29" s="156"/>
      <c r="C29" s="157"/>
      <c r="D29" s="157"/>
      <c r="E29" s="157"/>
      <c r="F29" s="158"/>
      <c r="G29" s="50"/>
    </row>
    <row r="30">
      <c r="A30" s="50"/>
      <c r="B30" s="156"/>
      <c r="C30" s="157"/>
      <c r="D30" s="157"/>
      <c r="E30" s="157"/>
      <c r="F30" s="158"/>
      <c r="G30" s="50"/>
    </row>
    <row r="31">
      <c r="A31" s="50"/>
      <c r="B31" s="156"/>
      <c r="C31" s="157"/>
      <c r="D31" s="157"/>
      <c r="E31" s="157"/>
      <c r="F31" s="158"/>
      <c r="G31" s="50"/>
    </row>
    <row r="32">
      <c r="A32" s="50"/>
      <c r="B32" s="156"/>
      <c r="C32" s="157"/>
      <c r="D32" s="157"/>
      <c r="E32" s="157"/>
      <c r="F32" s="158"/>
      <c r="G32" s="50"/>
    </row>
    <row r="33">
      <c r="A33" s="50"/>
      <c r="B33" s="156"/>
      <c r="C33" s="157"/>
      <c r="D33" s="157"/>
      <c r="E33" s="157"/>
      <c r="F33" s="158"/>
      <c r="G33" s="50"/>
    </row>
    <row r="34">
      <c r="A34" s="50"/>
      <c r="B34" s="156"/>
      <c r="C34" s="157"/>
      <c r="D34" s="157"/>
      <c r="E34" s="157"/>
      <c r="F34" s="158"/>
      <c r="G34" s="50"/>
    </row>
    <row r="35">
      <c r="A35" s="50"/>
      <c r="B35" s="156"/>
      <c r="C35" s="157"/>
      <c r="D35" s="157"/>
      <c r="E35" s="157"/>
      <c r="F35" s="158"/>
      <c r="G35" s="50"/>
    </row>
    <row r="36">
      <c r="A36" s="50"/>
      <c r="B36" s="159"/>
      <c r="C36" s="160"/>
      <c r="D36" s="160"/>
      <c r="E36" s="160"/>
      <c r="F36" s="161"/>
      <c r="G36" s="50"/>
    </row>
    <row r="37">
      <c r="A37" s="50"/>
      <c r="B37" s="50"/>
      <c r="C37" s="50"/>
      <c r="D37" s="50"/>
      <c r="E37" s="50"/>
      <c r="F37" s="50"/>
      <c r="G37" s="50"/>
    </row>
    <row r="38">
      <c r="A38" s="50"/>
      <c r="B38" s="50"/>
      <c r="C38" s="50"/>
      <c r="D38" s="50"/>
      <c r="E38" s="50"/>
      <c r="F38" s="50"/>
      <c r="G38" s="50"/>
    </row>
    <row r="39">
      <c r="A39" s="50"/>
      <c r="B39" s="50"/>
      <c r="C39" s="50"/>
      <c r="D39" s="50"/>
      <c r="E39" s="50"/>
      <c r="F39" s="50"/>
      <c r="G39" s="50"/>
    </row>
    <row r="40">
      <c r="A40" s="50"/>
      <c r="B40" s="50"/>
      <c r="C40" s="50"/>
      <c r="D40" s="50"/>
      <c r="E40" s="50"/>
      <c r="F40" s="50"/>
      <c r="G40" s="50"/>
    </row>
    <row r="41">
      <c r="A41" s="50"/>
      <c r="B41" s="50"/>
      <c r="C41" s="50"/>
      <c r="D41" s="50"/>
      <c r="E41" s="50"/>
      <c r="F41" s="50"/>
      <c r="G41" s="50"/>
    </row>
    <row r="42">
      <c r="A42" s="50"/>
      <c r="B42" s="50"/>
      <c r="C42" s="50"/>
      <c r="D42" s="50"/>
      <c r="E42" s="50"/>
      <c r="F42" s="50"/>
      <c r="G42" s="50"/>
    </row>
    <row r="43">
      <c r="A43" s="50"/>
      <c r="B43" s="50"/>
      <c r="C43" s="50"/>
      <c r="D43" s="50"/>
      <c r="E43" s="50"/>
      <c r="F43" s="50"/>
      <c r="G43" s="50"/>
    </row>
    <row r="44">
      <c r="A44" s="50"/>
      <c r="B44" s="50"/>
      <c r="C44" s="50"/>
      <c r="D44" s="50"/>
      <c r="E44" s="50"/>
      <c r="F44" s="50"/>
      <c r="G44" s="50"/>
    </row>
    <row r="45">
      <c r="A45" s="50"/>
      <c r="B45" s="50"/>
      <c r="C45" s="50"/>
      <c r="D45" s="50"/>
      <c r="E45" s="50"/>
      <c r="F45" s="50"/>
      <c r="G45" s="50"/>
    </row>
    <row r="46">
      <c r="A46" s="50"/>
      <c r="B46" s="50"/>
      <c r="C46" s="50"/>
      <c r="D46" s="50"/>
      <c r="E46" s="50"/>
      <c r="F46" s="50"/>
      <c r="G46" s="50"/>
    </row>
    <row r="47">
      <c r="A47" s="50"/>
      <c r="B47" s="50"/>
      <c r="C47" s="50"/>
      <c r="D47" s="50"/>
      <c r="E47" s="50"/>
      <c r="F47" s="50"/>
      <c r="G47" s="50"/>
    </row>
    <row r="48">
      <c r="A48" s="50"/>
      <c r="B48" s="50"/>
      <c r="C48" s="50"/>
      <c r="D48" s="50"/>
      <c r="E48" s="50"/>
      <c r="F48" s="50"/>
      <c r="G48" s="50"/>
    </row>
    <row r="49">
      <c r="A49" s="50"/>
      <c r="B49" s="50"/>
      <c r="C49" s="50"/>
      <c r="D49" s="50"/>
      <c r="E49" s="50"/>
      <c r="F49" s="50"/>
      <c r="G49" s="50"/>
    </row>
    <row r="50">
      <c r="A50" s="50"/>
      <c r="B50" s="50"/>
      <c r="C50" s="50"/>
      <c r="D50" s="50"/>
      <c r="E50" s="50"/>
      <c r="F50" s="50"/>
      <c r="G50" s="50"/>
    </row>
    <row r="51">
      <c r="A51" s="50"/>
      <c r="B51" s="50"/>
      <c r="C51" s="50"/>
      <c r="D51" s="50"/>
      <c r="E51" s="50"/>
      <c r="F51" s="50"/>
      <c r="G51" s="50"/>
    </row>
    <row r="52">
      <c r="A52" s="50"/>
      <c r="B52" s="50"/>
      <c r="C52" s="50"/>
      <c r="D52" s="50"/>
      <c r="E52" s="50"/>
      <c r="F52" s="50"/>
      <c r="G52" s="50"/>
    </row>
    <row r="53">
      <c r="A53" s="50"/>
      <c r="B53" s="50"/>
      <c r="C53" s="50"/>
      <c r="D53" s="50"/>
      <c r="E53" s="50"/>
      <c r="F53" s="50"/>
      <c r="G53" s="50"/>
    </row>
    <row r="54">
      <c r="A54" s="50"/>
      <c r="B54" s="50"/>
      <c r="C54" s="50"/>
      <c r="D54" s="50"/>
      <c r="E54" s="50"/>
      <c r="F54" s="50"/>
      <c r="G54" s="50"/>
    </row>
    <row r="55">
      <c r="A55" s="50"/>
      <c r="B55" s="50"/>
      <c r="C55" s="50"/>
      <c r="D55" s="50"/>
      <c r="E55" s="50"/>
      <c r="F55" s="50"/>
      <c r="G55" s="50"/>
    </row>
    <row r="56">
      <c r="A56" s="50"/>
      <c r="B56" s="50"/>
      <c r="C56" s="50"/>
      <c r="D56" s="50"/>
      <c r="E56" s="50"/>
      <c r="F56" s="50"/>
      <c r="G56" s="50"/>
    </row>
    <row r="57">
      <c r="A57" s="50"/>
      <c r="B57" s="50"/>
      <c r="C57" s="50"/>
      <c r="D57" s="50"/>
      <c r="E57" s="50"/>
      <c r="F57" s="50"/>
      <c r="G57" s="50"/>
    </row>
    <row r="58">
      <c r="A58" s="50"/>
      <c r="B58" s="50"/>
      <c r="C58" s="50"/>
      <c r="D58" s="50"/>
      <c r="E58" s="50"/>
      <c r="F58" s="50"/>
      <c r="G58" s="50"/>
    </row>
    <row r="59">
      <c r="A59" s="50"/>
      <c r="B59" s="50"/>
      <c r="C59" s="50"/>
      <c r="D59" s="50"/>
      <c r="E59" s="50"/>
      <c r="F59" s="50"/>
      <c r="G59" s="50"/>
    </row>
    <row r="60">
      <c r="A60" s="50"/>
      <c r="B60" s="50"/>
      <c r="C60" s="50"/>
      <c r="D60" s="50"/>
      <c r="E60" s="50"/>
      <c r="F60" s="50"/>
      <c r="G60" s="50"/>
    </row>
    <row r="61">
      <c r="A61" s="50"/>
      <c r="B61" s="50"/>
      <c r="C61" s="50"/>
      <c r="D61" s="50"/>
      <c r="E61" s="50"/>
      <c r="F61" s="50"/>
      <c r="G61" s="50"/>
    </row>
    <row r="62">
      <c r="A62" s="50"/>
      <c r="B62" s="50"/>
      <c r="C62" s="50"/>
      <c r="D62" s="50"/>
      <c r="E62" s="50"/>
      <c r="F62" s="50"/>
      <c r="G62" s="50"/>
    </row>
    <row r="63">
      <c r="A63" s="50"/>
      <c r="B63" s="50"/>
      <c r="C63" s="50"/>
      <c r="D63" s="50"/>
      <c r="E63" s="50"/>
      <c r="F63" s="50"/>
      <c r="G63" s="50"/>
    </row>
    <row r="64">
      <c r="A64" s="50"/>
      <c r="B64" s="50"/>
      <c r="C64" s="50"/>
      <c r="D64" s="50"/>
      <c r="E64" s="50"/>
      <c r="F64" s="50"/>
      <c r="G64" s="50"/>
    </row>
    <row r="65">
      <c r="A65" s="50"/>
      <c r="B65" s="50"/>
      <c r="C65" s="50"/>
      <c r="D65" s="50"/>
      <c r="E65" s="50"/>
      <c r="F65" s="50"/>
      <c r="G65" s="50"/>
    </row>
    <row r="66">
      <c r="A66" s="50"/>
      <c r="B66" s="50"/>
      <c r="C66" s="50"/>
      <c r="D66" s="50"/>
      <c r="E66" s="50"/>
      <c r="F66" s="50"/>
      <c r="G66" s="50"/>
    </row>
    <row r="67">
      <c r="A67" s="50"/>
      <c r="B67" s="50"/>
      <c r="C67" s="50"/>
      <c r="D67" s="50"/>
      <c r="E67" s="50"/>
      <c r="F67" s="50"/>
      <c r="G67" s="50"/>
    </row>
    <row r="68">
      <c r="A68" s="50"/>
      <c r="B68" s="50"/>
      <c r="C68" s="50"/>
      <c r="D68" s="50"/>
      <c r="E68" s="50"/>
      <c r="F68" s="50"/>
      <c r="G68" s="50"/>
    </row>
    <row r="69">
      <c r="A69" s="50"/>
      <c r="B69" s="50"/>
      <c r="C69" s="50"/>
      <c r="D69" s="50"/>
      <c r="E69" s="50"/>
      <c r="F69" s="50"/>
      <c r="G69" s="50"/>
    </row>
    <row r="70">
      <c r="A70" s="50"/>
      <c r="B70" s="50"/>
      <c r="C70" s="50"/>
      <c r="D70" s="50"/>
      <c r="E70" s="50"/>
      <c r="F70" s="50"/>
      <c r="G70" s="50"/>
    </row>
    <row r="71">
      <c r="A71" s="50"/>
      <c r="B71" s="50"/>
      <c r="C71" s="50"/>
      <c r="D71" s="50"/>
      <c r="E71" s="50"/>
      <c r="F71" s="50"/>
      <c r="G71" s="50"/>
    </row>
    <row r="72">
      <c r="A72" s="50"/>
      <c r="B72" s="50"/>
      <c r="C72" s="50"/>
      <c r="D72" s="50"/>
      <c r="E72" s="50"/>
      <c r="F72" s="50"/>
      <c r="G72" s="50"/>
    </row>
    <row r="73">
      <c r="A73" s="50"/>
      <c r="B73" s="50"/>
      <c r="C73" s="50"/>
      <c r="D73" s="50"/>
      <c r="E73" s="50"/>
      <c r="F73" s="50"/>
      <c r="G73" s="50"/>
    </row>
    <row r="74">
      <c r="A74" s="50"/>
      <c r="B74" s="50"/>
      <c r="C74" s="50"/>
      <c r="D74" s="50"/>
      <c r="E74" s="50"/>
      <c r="F74" s="50"/>
      <c r="G74" s="50"/>
    </row>
    <row r="75">
      <c r="A75" s="50"/>
      <c r="B75" s="50"/>
      <c r="C75" s="50"/>
      <c r="D75" s="50"/>
      <c r="E75" s="50"/>
      <c r="F75" s="50"/>
      <c r="G75" s="50"/>
    </row>
    <row r="76">
      <c r="A76" s="50"/>
      <c r="B76" s="50"/>
      <c r="C76" s="50"/>
      <c r="D76" s="50"/>
      <c r="E76" s="50"/>
      <c r="F76" s="50"/>
      <c r="G76" s="50"/>
    </row>
    <row r="77">
      <c r="A77" s="50"/>
      <c r="B77" s="50"/>
      <c r="C77" s="50"/>
      <c r="D77" s="50"/>
      <c r="E77" s="50"/>
      <c r="F77" s="50"/>
      <c r="G77" s="50"/>
    </row>
    <row r="78">
      <c r="A78" s="50"/>
      <c r="B78" s="50"/>
      <c r="C78" s="50"/>
      <c r="D78" s="50"/>
      <c r="E78" s="50"/>
      <c r="F78" s="50"/>
      <c r="G78" s="50"/>
    </row>
    <row r="79">
      <c r="A79" s="50"/>
      <c r="B79" s="50"/>
      <c r="C79" s="50"/>
      <c r="D79" s="50"/>
      <c r="E79" s="50"/>
      <c r="F79" s="50"/>
      <c r="G79" s="50"/>
    </row>
    <row r="80">
      <c r="A80" s="50"/>
      <c r="B80" s="50"/>
      <c r="C80" s="50"/>
      <c r="D80" s="50"/>
      <c r="E80" s="50"/>
      <c r="F80" s="50"/>
      <c r="G80" s="50"/>
    </row>
    <row r="81">
      <c r="A81" s="50"/>
      <c r="B81" s="50"/>
      <c r="C81" s="50"/>
      <c r="D81" s="50"/>
      <c r="E81" s="50"/>
      <c r="F81" s="50"/>
      <c r="G81" s="50"/>
    </row>
    <row r="82">
      <c r="A82" s="50"/>
      <c r="B82" s="50"/>
      <c r="C82" s="50"/>
      <c r="D82" s="50"/>
      <c r="E82" s="50"/>
      <c r="F82" s="50"/>
      <c r="G82" s="50"/>
    </row>
    <row r="83">
      <c r="A83" s="50"/>
      <c r="B83" s="50"/>
      <c r="C83" s="50"/>
      <c r="D83" s="50"/>
      <c r="E83" s="50"/>
      <c r="F83" s="50"/>
      <c r="G83" s="50"/>
    </row>
    <row r="84">
      <c r="A84" s="50"/>
      <c r="B84" s="50"/>
      <c r="C84" s="50"/>
      <c r="D84" s="50"/>
      <c r="E84" s="50"/>
      <c r="F84" s="50"/>
      <c r="G84" s="50"/>
    </row>
    <row r="85">
      <c r="A85" s="50"/>
      <c r="B85" s="50"/>
      <c r="C85" s="50"/>
      <c r="D85" s="50"/>
      <c r="E85" s="50"/>
      <c r="F85" s="50"/>
      <c r="G85" s="50"/>
    </row>
    <row r="86">
      <c r="A86" s="50"/>
      <c r="B86" s="50"/>
      <c r="C86" s="50"/>
      <c r="D86" s="50"/>
      <c r="E86" s="50"/>
      <c r="F86" s="50"/>
      <c r="G86" s="50"/>
    </row>
    <row r="87">
      <c r="A87" s="50"/>
      <c r="B87" s="50"/>
      <c r="C87" s="50"/>
      <c r="D87" s="50"/>
      <c r="E87" s="50"/>
      <c r="F87" s="50"/>
      <c r="G87" s="50"/>
    </row>
    <row r="88">
      <c r="A88" s="50"/>
      <c r="B88" s="50"/>
      <c r="C88" s="50"/>
      <c r="D88" s="50"/>
      <c r="E88" s="50"/>
      <c r="F88" s="50"/>
      <c r="G88" s="50"/>
    </row>
    <row r="89">
      <c r="A89" s="50"/>
      <c r="B89" s="50"/>
      <c r="C89" s="50"/>
      <c r="D89" s="50"/>
      <c r="E89" s="50"/>
      <c r="F89" s="50"/>
      <c r="G89" s="50"/>
    </row>
    <row r="90">
      <c r="A90" s="50"/>
      <c r="B90" s="50"/>
      <c r="C90" s="50"/>
      <c r="D90" s="50"/>
      <c r="E90" s="50"/>
      <c r="F90" s="50"/>
      <c r="G90" s="50"/>
    </row>
    <row r="91">
      <c r="A91" s="50"/>
      <c r="B91" s="50"/>
      <c r="C91" s="50"/>
      <c r="D91" s="50"/>
      <c r="E91" s="50"/>
      <c r="F91" s="50"/>
      <c r="G91" s="50"/>
    </row>
    <row r="92">
      <c r="A92" s="50"/>
      <c r="B92" s="50"/>
      <c r="C92" s="50"/>
      <c r="D92" s="50"/>
      <c r="E92" s="50"/>
      <c r="F92" s="50"/>
      <c r="G92" s="50"/>
    </row>
    <row r="93">
      <c r="A93" s="50"/>
      <c r="B93" s="50"/>
      <c r="C93" s="50"/>
      <c r="D93" s="50"/>
      <c r="E93" s="50"/>
      <c r="F93" s="50"/>
      <c r="G93" s="50"/>
    </row>
    <row r="94">
      <c r="A94" s="50"/>
      <c r="B94" s="50"/>
      <c r="C94" s="50"/>
      <c r="D94" s="50"/>
      <c r="E94" s="50"/>
      <c r="F94" s="50"/>
      <c r="G94" s="50"/>
    </row>
    <row r="95">
      <c r="A95" s="50"/>
      <c r="B95" s="50"/>
      <c r="C95" s="50"/>
      <c r="D95" s="50"/>
      <c r="E95" s="50"/>
      <c r="F95" s="50"/>
      <c r="G95" s="50"/>
    </row>
    <row r="96">
      <c r="A96" s="50"/>
      <c r="B96" s="50"/>
      <c r="C96" s="50"/>
      <c r="D96" s="50"/>
      <c r="E96" s="50"/>
      <c r="F96" s="50"/>
      <c r="G96" s="50"/>
    </row>
    <row r="97">
      <c r="A97" s="50"/>
      <c r="B97" s="50"/>
      <c r="C97" s="50"/>
      <c r="D97" s="50"/>
      <c r="E97" s="50"/>
      <c r="F97" s="50"/>
      <c r="G97" s="50"/>
    </row>
    <row r="98">
      <c r="A98" s="50"/>
      <c r="B98" s="50"/>
      <c r="C98" s="50"/>
      <c r="D98" s="50"/>
      <c r="E98" s="50"/>
      <c r="F98" s="50"/>
      <c r="G98" s="50"/>
    </row>
    <row r="99">
      <c r="A99" s="50"/>
      <c r="B99" s="50"/>
      <c r="C99" s="50"/>
      <c r="D99" s="50"/>
      <c r="E99" s="50"/>
      <c r="F99" s="50"/>
      <c r="G99" s="50"/>
    </row>
    <row r="100">
      <c r="A100" s="50"/>
      <c r="B100" s="50"/>
      <c r="C100" s="50"/>
      <c r="D100" s="50"/>
      <c r="E100" s="50"/>
      <c r="F100" s="50"/>
      <c r="G100" s="50"/>
    </row>
    <row r="101">
      <c r="A101" s="50"/>
      <c r="B101" s="50"/>
      <c r="C101" s="50"/>
      <c r="D101" s="50"/>
      <c r="E101" s="50"/>
      <c r="F101" s="50"/>
      <c r="G101" s="50"/>
    </row>
    <row r="102">
      <c r="A102" s="50"/>
      <c r="B102" s="50"/>
      <c r="C102" s="50"/>
      <c r="D102" s="50"/>
      <c r="E102" s="50"/>
      <c r="F102" s="50"/>
      <c r="G102" s="50"/>
    </row>
    <row r="103">
      <c r="A103" s="50"/>
      <c r="B103" s="50"/>
      <c r="C103" s="50"/>
      <c r="D103" s="50"/>
      <c r="E103" s="50"/>
      <c r="F103" s="50"/>
      <c r="G103" s="50"/>
    </row>
    <row r="104">
      <c r="A104" s="50"/>
      <c r="B104" s="50"/>
      <c r="C104" s="50"/>
      <c r="D104" s="50"/>
      <c r="E104" s="50"/>
      <c r="F104" s="50"/>
      <c r="G104" s="50"/>
    </row>
    <row r="105">
      <c r="A105" s="50"/>
      <c r="B105" s="50"/>
      <c r="C105" s="50"/>
      <c r="D105" s="50"/>
      <c r="E105" s="50"/>
      <c r="F105" s="50"/>
      <c r="G105" s="50"/>
    </row>
    <row r="106">
      <c r="A106" s="50"/>
      <c r="B106" s="50"/>
      <c r="C106" s="50"/>
      <c r="D106" s="50"/>
      <c r="E106" s="50"/>
      <c r="F106" s="50"/>
      <c r="G106" s="50"/>
    </row>
    <row r="107">
      <c r="A107" s="50"/>
      <c r="B107" s="50"/>
      <c r="C107" s="50"/>
      <c r="D107" s="50"/>
      <c r="E107" s="50"/>
      <c r="F107" s="50"/>
      <c r="G107" s="50"/>
    </row>
    <row r="108">
      <c r="A108" s="50"/>
      <c r="B108" s="50"/>
      <c r="C108" s="50"/>
      <c r="D108" s="50"/>
      <c r="E108" s="50"/>
      <c r="F108" s="50"/>
      <c r="G108" s="50"/>
    </row>
    <row r="109">
      <c r="A109" s="50"/>
      <c r="B109" s="50"/>
      <c r="C109" s="50"/>
      <c r="D109" s="50"/>
      <c r="E109" s="50"/>
      <c r="F109" s="50"/>
      <c r="G109" s="50"/>
    </row>
    <row r="110">
      <c r="A110" s="50"/>
      <c r="B110" s="50"/>
      <c r="C110" s="50"/>
      <c r="D110" s="50"/>
      <c r="E110" s="50"/>
      <c r="F110" s="50"/>
      <c r="G110" s="50"/>
    </row>
    <row r="111">
      <c r="A111" s="50"/>
      <c r="B111" s="50"/>
      <c r="C111" s="50"/>
      <c r="D111" s="50"/>
      <c r="E111" s="50"/>
      <c r="F111" s="50"/>
      <c r="G111" s="50"/>
    </row>
    <row r="112">
      <c r="A112" s="50"/>
      <c r="B112" s="50"/>
      <c r="C112" s="50"/>
      <c r="D112" s="50"/>
      <c r="E112" s="50"/>
      <c r="F112" s="50"/>
      <c r="G112" s="50"/>
    </row>
    <row r="113">
      <c r="A113" s="50"/>
      <c r="B113" s="50"/>
      <c r="C113" s="50"/>
      <c r="D113" s="50"/>
      <c r="E113" s="50"/>
      <c r="F113" s="50"/>
      <c r="G113" s="50"/>
    </row>
    <row r="114">
      <c r="A114" s="50"/>
      <c r="B114" s="50"/>
      <c r="C114" s="50"/>
      <c r="D114" s="50"/>
      <c r="E114" s="50"/>
      <c r="F114" s="50"/>
      <c r="G114" s="50"/>
    </row>
    <row r="115">
      <c r="A115" s="50"/>
      <c r="B115" s="50"/>
      <c r="C115" s="50"/>
      <c r="D115" s="50"/>
      <c r="E115" s="50"/>
      <c r="F115" s="50"/>
      <c r="G115" s="50"/>
    </row>
    <row r="116">
      <c r="A116" s="50"/>
      <c r="B116" s="50"/>
      <c r="C116" s="50"/>
      <c r="D116" s="50"/>
      <c r="E116" s="50"/>
      <c r="F116" s="50"/>
      <c r="G116" s="50"/>
    </row>
    <row r="117">
      <c r="A117" s="50"/>
      <c r="B117" s="50"/>
      <c r="C117" s="50"/>
      <c r="D117" s="50"/>
      <c r="E117" s="50"/>
      <c r="F117" s="50"/>
      <c r="G117" s="50"/>
    </row>
    <row r="118">
      <c r="A118" s="50"/>
      <c r="B118" s="50"/>
      <c r="C118" s="50"/>
      <c r="D118" s="50"/>
      <c r="E118" s="50"/>
      <c r="F118" s="50"/>
      <c r="G118" s="50"/>
    </row>
    <row r="119">
      <c r="A119" s="50"/>
      <c r="B119" s="50"/>
      <c r="C119" s="50"/>
      <c r="D119" s="50"/>
      <c r="E119" s="50"/>
      <c r="F119" s="50"/>
      <c r="G119" s="50"/>
    </row>
    <row r="120">
      <c r="A120" s="50"/>
      <c r="B120" s="50"/>
      <c r="C120" s="50"/>
      <c r="D120" s="50"/>
      <c r="E120" s="50"/>
      <c r="F120" s="50"/>
      <c r="G120" s="50"/>
    </row>
    <row r="121">
      <c r="A121" s="50"/>
      <c r="B121" s="50"/>
      <c r="C121" s="50"/>
      <c r="D121" s="50"/>
      <c r="E121" s="50"/>
      <c r="F121" s="50"/>
      <c r="G121" s="50"/>
    </row>
    <row r="122">
      <c r="A122" s="50"/>
      <c r="B122" s="50"/>
      <c r="C122" s="50"/>
      <c r="D122" s="50"/>
      <c r="E122" s="50"/>
      <c r="F122" s="50"/>
      <c r="G122" s="50"/>
    </row>
    <row r="123">
      <c r="A123" s="50"/>
      <c r="B123" s="50"/>
      <c r="C123" s="50"/>
      <c r="D123" s="50"/>
      <c r="E123" s="50"/>
      <c r="F123" s="50"/>
      <c r="G123" s="50"/>
    </row>
    <row r="124">
      <c r="A124" s="50"/>
      <c r="B124" s="50"/>
      <c r="C124" s="50"/>
      <c r="D124" s="50"/>
      <c r="E124" s="50"/>
      <c r="F124" s="50"/>
      <c r="G124" s="50"/>
    </row>
    <row r="125">
      <c r="A125" s="50"/>
      <c r="B125" s="50"/>
      <c r="C125" s="50"/>
      <c r="D125" s="50"/>
      <c r="E125" s="50"/>
      <c r="F125" s="50"/>
      <c r="G125" s="50"/>
    </row>
    <row r="126">
      <c r="A126" s="50"/>
      <c r="B126" s="50"/>
      <c r="C126" s="50"/>
      <c r="D126" s="50"/>
      <c r="E126" s="50"/>
      <c r="F126" s="50"/>
      <c r="G126" s="50"/>
    </row>
    <row r="127">
      <c r="A127" s="50"/>
      <c r="B127" s="50"/>
      <c r="C127" s="50"/>
      <c r="D127" s="50"/>
      <c r="E127" s="50"/>
      <c r="F127" s="50"/>
      <c r="G127" s="50"/>
    </row>
    <row r="128">
      <c r="A128" s="50"/>
      <c r="B128" s="50"/>
      <c r="C128" s="50"/>
      <c r="D128" s="50"/>
      <c r="E128" s="50"/>
      <c r="F128" s="50"/>
      <c r="G128" s="50"/>
    </row>
    <row r="129">
      <c r="A129" s="50"/>
      <c r="B129" s="50"/>
      <c r="C129" s="50"/>
      <c r="D129" s="50"/>
      <c r="E129" s="50"/>
      <c r="F129" s="50"/>
      <c r="G129" s="50"/>
    </row>
    <row r="130">
      <c r="A130" s="50"/>
      <c r="B130" s="50"/>
      <c r="C130" s="50"/>
      <c r="D130" s="50"/>
      <c r="E130" s="50"/>
      <c r="F130" s="50"/>
      <c r="G130" s="50"/>
    </row>
    <row r="131">
      <c r="A131" s="50"/>
      <c r="B131" s="50"/>
      <c r="C131" s="50"/>
      <c r="D131" s="50"/>
      <c r="E131" s="50"/>
      <c r="F131" s="50"/>
      <c r="G131" s="50"/>
    </row>
    <row r="132">
      <c r="A132" s="50"/>
      <c r="B132" s="50"/>
      <c r="C132" s="50"/>
      <c r="D132" s="50"/>
      <c r="E132" s="50"/>
      <c r="F132" s="50"/>
      <c r="G132" s="50"/>
    </row>
    <row r="133">
      <c r="A133" s="50"/>
      <c r="B133" s="50"/>
      <c r="C133" s="50"/>
      <c r="D133" s="50"/>
      <c r="E133" s="50"/>
      <c r="F133" s="50"/>
      <c r="G133" s="50"/>
    </row>
    <row r="134">
      <c r="A134" s="50"/>
      <c r="B134" s="50"/>
      <c r="C134" s="50"/>
      <c r="D134" s="50"/>
      <c r="E134" s="50"/>
      <c r="F134" s="50"/>
      <c r="G134" s="50"/>
    </row>
    <row r="135">
      <c r="A135" s="50"/>
      <c r="B135" s="50"/>
      <c r="C135" s="50"/>
      <c r="D135" s="50"/>
      <c r="E135" s="50"/>
      <c r="F135" s="50"/>
      <c r="G135" s="50"/>
    </row>
    <row r="136">
      <c r="A136" s="50"/>
      <c r="B136" s="50"/>
      <c r="C136" s="50"/>
      <c r="D136" s="50"/>
      <c r="E136" s="50"/>
      <c r="F136" s="50"/>
      <c r="G136" s="50"/>
    </row>
    <row r="137">
      <c r="A137" s="50"/>
      <c r="B137" s="50"/>
      <c r="C137" s="50"/>
      <c r="D137" s="50"/>
      <c r="E137" s="50"/>
      <c r="F137" s="50"/>
      <c r="G137" s="50"/>
    </row>
    <row r="138">
      <c r="A138" s="50"/>
      <c r="B138" s="50"/>
      <c r="C138" s="50"/>
      <c r="D138" s="50"/>
      <c r="E138" s="50"/>
      <c r="F138" s="50"/>
      <c r="G138" s="50"/>
    </row>
    <row r="139">
      <c r="A139" s="50"/>
      <c r="B139" s="50"/>
      <c r="C139" s="50"/>
      <c r="D139" s="50"/>
      <c r="E139" s="50"/>
      <c r="F139" s="50"/>
      <c r="G139" s="50"/>
    </row>
    <row r="140">
      <c r="A140" s="50"/>
      <c r="B140" s="50"/>
      <c r="C140" s="50"/>
      <c r="D140" s="50"/>
      <c r="E140" s="50"/>
      <c r="F140" s="50"/>
      <c r="G140" s="50"/>
    </row>
    <row r="141">
      <c r="A141" s="50"/>
      <c r="B141" s="50"/>
      <c r="C141" s="50"/>
      <c r="D141" s="50"/>
      <c r="E141" s="50"/>
      <c r="F141" s="50"/>
      <c r="G141" s="50"/>
    </row>
    <row r="142">
      <c r="A142" s="50"/>
      <c r="B142" s="50"/>
      <c r="C142" s="50"/>
      <c r="D142" s="50"/>
      <c r="E142" s="50"/>
      <c r="F142" s="50"/>
      <c r="G142" s="50"/>
    </row>
    <row r="143">
      <c r="A143" s="50"/>
      <c r="B143" s="50"/>
      <c r="C143" s="50"/>
      <c r="D143" s="50"/>
      <c r="E143" s="50"/>
      <c r="F143" s="50"/>
      <c r="G143" s="50"/>
    </row>
    <row r="144">
      <c r="A144" s="50"/>
      <c r="B144" s="50"/>
      <c r="C144" s="50"/>
      <c r="D144" s="50"/>
      <c r="E144" s="50"/>
      <c r="F144" s="50"/>
      <c r="G144" s="50"/>
    </row>
    <row r="145">
      <c r="A145" s="50"/>
      <c r="B145" s="50"/>
      <c r="C145" s="50"/>
      <c r="D145" s="50"/>
      <c r="E145" s="50"/>
      <c r="F145" s="50"/>
      <c r="G145" s="50"/>
    </row>
    <row r="146">
      <c r="A146" s="50"/>
      <c r="B146" s="50"/>
      <c r="C146" s="50"/>
      <c r="D146" s="50"/>
      <c r="E146" s="50"/>
      <c r="F146" s="50"/>
      <c r="G146" s="50"/>
    </row>
    <row r="147">
      <c r="A147" s="50"/>
      <c r="B147" s="50"/>
      <c r="C147" s="50"/>
      <c r="D147" s="50"/>
      <c r="E147" s="50"/>
      <c r="F147" s="50"/>
      <c r="G147" s="50"/>
    </row>
    <row r="148">
      <c r="A148" s="50"/>
      <c r="B148" s="50"/>
      <c r="C148" s="50"/>
      <c r="D148" s="50"/>
      <c r="E148" s="50"/>
      <c r="F148" s="50"/>
      <c r="G148" s="50"/>
    </row>
    <row r="149">
      <c r="A149" s="50"/>
      <c r="B149" s="50"/>
      <c r="C149" s="50"/>
      <c r="D149" s="50"/>
      <c r="E149" s="50"/>
      <c r="F149" s="50"/>
      <c r="G149" s="50"/>
    </row>
    <row r="150">
      <c r="A150" s="50"/>
      <c r="B150" s="50"/>
      <c r="C150" s="50"/>
      <c r="D150" s="50"/>
      <c r="E150" s="50"/>
      <c r="F150" s="50"/>
      <c r="G150" s="50"/>
    </row>
    <row r="151">
      <c r="A151" s="50"/>
      <c r="B151" s="50"/>
      <c r="C151" s="50"/>
      <c r="D151" s="50"/>
      <c r="E151" s="50"/>
      <c r="F151" s="50"/>
      <c r="G151" s="50"/>
    </row>
    <row r="152">
      <c r="A152" s="50"/>
      <c r="B152" s="50"/>
      <c r="C152" s="50"/>
      <c r="D152" s="50"/>
      <c r="E152" s="50"/>
      <c r="F152" s="50"/>
      <c r="G152" s="50"/>
    </row>
    <row r="153">
      <c r="A153" s="50"/>
      <c r="B153" s="50"/>
      <c r="C153" s="50"/>
      <c r="D153" s="50"/>
      <c r="E153" s="50"/>
      <c r="F153" s="50"/>
      <c r="G153" s="50"/>
    </row>
    <row r="154">
      <c r="A154" s="50"/>
      <c r="B154" s="50"/>
      <c r="C154" s="50"/>
      <c r="D154" s="50"/>
      <c r="E154" s="50"/>
      <c r="F154" s="50"/>
      <c r="G154" s="50"/>
    </row>
    <row r="155">
      <c r="A155" s="50"/>
      <c r="B155" s="50"/>
      <c r="C155" s="50"/>
      <c r="D155" s="50"/>
      <c r="E155" s="50"/>
      <c r="F155" s="50"/>
      <c r="G155" s="50"/>
    </row>
    <row r="156">
      <c r="A156" s="50"/>
      <c r="B156" s="50"/>
      <c r="C156" s="50"/>
      <c r="D156" s="50"/>
      <c r="E156" s="50"/>
      <c r="F156" s="50"/>
      <c r="G156" s="50"/>
    </row>
    <row r="157">
      <c r="A157" s="50"/>
      <c r="B157" s="50"/>
      <c r="C157" s="50"/>
      <c r="D157" s="50"/>
      <c r="E157" s="50"/>
      <c r="F157" s="50"/>
      <c r="G157" s="50"/>
    </row>
    <row r="158">
      <c r="A158" s="50"/>
      <c r="B158" s="50"/>
      <c r="C158" s="50"/>
      <c r="D158" s="50"/>
      <c r="E158" s="50"/>
      <c r="F158" s="50"/>
      <c r="G158" s="50"/>
    </row>
    <row r="159">
      <c r="A159" s="50"/>
      <c r="B159" s="50"/>
      <c r="C159" s="50"/>
      <c r="D159" s="50"/>
      <c r="E159" s="50"/>
      <c r="F159" s="50"/>
      <c r="G159" s="50"/>
    </row>
    <row r="160">
      <c r="A160" s="50"/>
      <c r="B160" s="50"/>
      <c r="C160" s="50"/>
      <c r="D160" s="50"/>
      <c r="E160" s="50"/>
      <c r="F160" s="50"/>
      <c r="G160" s="50"/>
    </row>
    <row r="161">
      <c r="A161" s="50"/>
      <c r="B161" s="50"/>
      <c r="C161" s="50"/>
      <c r="D161" s="50"/>
      <c r="E161" s="50"/>
      <c r="F161" s="50"/>
      <c r="G161" s="50"/>
    </row>
    <row r="162">
      <c r="A162" s="50"/>
      <c r="B162" s="50"/>
      <c r="C162" s="50"/>
      <c r="D162" s="50"/>
      <c r="E162" s="50"/>
      <c r="F162" s="50"/>
      <c r="G162" s="50"/>
    </row>
    <row r="163">
      <c r="A163" s="50"/>
      <c r="B163" s="50"/>
      <c r="C163" s="50"/>
      <c r="D163" s="50"/>
      <c r="E163" s="50"/>
      <c r="F163" s="50"/>
      <c r="G163" s="50"/>
    </row>
    <row r="164">
      <c r="A164" s="50"/>
      <c r="B164" s="50"/>
      <c r="C164" s="50"/>
      <c r="D164" s="50"/>
      <c r="E164" s="50"/>
      <c r="F164" s="50"/>
      <c r="G164" s="50"/>
    </row>
    <row r="165">
      <c r="A165" s="50"/>
      <c r="B165" s="50"/>
      <c r="C165" s="50"/>
      <c r="D165" s="50"/>
      <c r="E165" s="50"/>
      <c r="F165" s="50"/>
      <c r="G165" s="50"/>
    </row>
    <row r="166">
      <c r="A166" s="50"/>
      <c r="B166" s="50"/>
      <c r="C166" s="50"/>
      <c r="D166" s="50"/>
      <c r="E166" s="50"/>
      <c r="F166" s="50"/>
      <c r="G166" s="50"/>
    </row>
    <row r="167">
      <c r="A167" s="50"/>
      <c r="B167" s="50"/>
      <c r="C167" s="50"/>
      <c r="D167" s="50"/>
      <c r="E167" s="50"/>
      <c r="F167" s="50"/>
      <c r="G167" s="50"/>
    </row>
    <row r="168">
      <c r="A168" s="50"/>
      <c r="B168" s="50"/>
      <c r="C168" s="50"/>
      <c r="D168" s="50"/>
      <c r="E168" s="50"/>
      <c r="F168" s="50"/>
      <c r="G168" s="50"/>
    </row>
    <row r="169">
      <c r="A169" s="50"/>
      <c r="B169" s="50"/>
      <c r="C169" s="50"/>
      <c r="D169" s="50"/>
      <c r="E169" s="50"/>
      <c r="F169" s="50"/>
      <c r="G169" s="50"/>
    </row>
    <row r="170">
      <c r="A170" s="50"/>
      <c r="B170" s="50"/>
      <c r="C170" s="50"/>
      <c r="D170" s="50"/>
      <c r="E170" s="50"/>
      <c r="F170" s="50"/>
      <c r="G170" s="50"/>
    </row>
    <row r="171">
      <c r="A171" s="50"/>
      <c r="B171" s="50"/>
      <c r="C171" s="50"/>
      <c r="D171" s="50"/>
      <c r="E171" s="50"/>
      <c r="F171" s="50"/>
      <c r="G171" s="50"/>
    </row>
    <row r="172">
      <c r="A172" s="50"/>
      <c r="B172" s="50"/>
      <c r="C172" s="50"/>
      <c r="D172" s="50"/>
      <c r="E172" s="50"/>
      <c r="F172" s="50"/>
      <c r="G172" s="50"/>
    </row>
    <row r="173">
      <c r="A173" s="50"/>
      <c r="B173" s="50"/>
      <c r="C173" s="50"/>
      <c r="D173" s="50"/>
      <c r="E173" s="50"/>
      <c r="F173" s="50"/>
      <c r="G173" s="50"/>
    </row>
    <row r="174">
      <c r="A174" s="50"/>
      <c r="B174" s="50"/>
      <c r="C174" s="50"/>
      <c r="D174" s="50"/>
      <c r="E174" s="50"/>
      <c r="F174" s="50"/>
      <c r="G174" s="50"/>
    </row>
    <row r="175">
      <c r="A175" s="50"/>
      <c r="B175" s="50"/>
      <c r="C175" s="50"/>
      <c r="D175" s="50"/>
      <c r="E175" s="50"/>
      <c r="F175" s="50"/>
      <c r="G175" s="50"/>
    </row>
    <row r="176">
      <c r="A176" s="50"/>
      <c r="B176" s="50"/>
      <c r="C176" s="50"/>
      <c r="D176" s="50"/>
      <c r="E176" s="50"/>
      <c r="F176" s="50"/>
      <c r="G176" s="50"/>
    </row>
    <row r="177">
      <c r="A177" s="50"/>
      <c r="B177" s="50"/>
      <c r="C177" s="50"/>
      <c r="D177" s="50"/>
      <c r="E177" s="50"/>
      <c r="F177" s="50"/>
      <c r="G177" s="50"/>
    </row>
    <row r="178">
      <c r="A178" s="50"/>
      <c r="B178" s="50"/>
      <c r="C178" s="50"/>
      <c r="D178" s="50"/>
      <c r="E178" s="50"/>
      <c r="F178" s="50"/>
      <c r="G178" s="50"/>
    </row>
    <row r="179">
      <c r="A179" s="50"/>
      <c r="B179" s="50"/>
      <c r="C179" s="50"/>
      <c r="D179" s="50"/>
      <c r="E179" s="50"/>
      <c r="F179" s="50"/>
      <c r="G179" s="50"/>
    </row>
    <row r="180">
      <c r="A180" s="50"/>
      <c r="B180" s="50"/>
      <c r="C180" s="50"/>
      <c r="D180" s="50"/>
      <c r="E180" s="50"/>
      <c r="F180" s="50"/>
      <c r="G180" s="50"/>
    </row>
    <row r="181">
      <c r="A181" s="50"/>
      <c r="B181" s="50"/>
      <c r="C181" s="50"/>
      <c r="D181" s="50"/>
      <c r="E181" s="50"/>
      <c r="F181" s="50"/>
      <c r="G181" s="50"/>
    </row>
    <row r="182">
      <c r="A182" s="50"/>
      <c r="B182" s="50"/>
      <c r="C182" s="50"/>
      <c r="D182" s="50"/>
      <c r="E182" s="50"/>
      <c r="F182" s="50"/>
      <c r="G182" s="50"/>
    </row>
    <row r="183">
      <c r="A183" s="50"/>
      <c r="B183" s="50"/>
      <c r="C183" s="50"/>
      <c r="D183" s="50"/>
      <c r="E183" s="50"/>
      <c r="F183" s="50"/>
      <c r="G183" s="50"/>
    </row>
    <row r="184">
      <c r="A184" s="50"/>
      <c r="B184" s="50"/>
      <c r="C184" s="50"/>
      <c r="D184" s="50"/>
      <c r="E184" s="50"/>
      <c r="F184" s="50"/>
      <c r="G184" s="50"/>
    </row>
    <row r="185">
      <c r="A185" s="50"/>
      <c r="B185" s="50"/>
      <c r="C185" s="50"/>
      <c r="D185" s="50"/>
      <c r="E185" s="50"/>
      <c r="F185" s="50"/>
      <c r="G185" s="50"/>
    </row>
    <row r="186">
      <c r="A186" s="50"/>
      <c r="B186" s="50"/>
      <c r="C186" s="50"/>
      <c r="D186" s="50"/>
      <c r="E186" s="50"/>
      <c r="F186" s="50"/>
      <c r="G186" s="50"/>
    </row>
    <row r="187">
      <c r="A187" s="50"/>
      <c r="B187" s="50"/>
      <c r="C187" s="50"/>
      <c r="D187" s="50"/>
      <c r="E187" s="50"/>
      <c r="F187" s="50"/>
      <c r="G187" s="50"/>
    </row>
    <row r="188">
      <c r="A188" s="50"/>
      <c r="B188" s="50"/>
      <c r="C188" s="50"/>
      <c r="D188" s="50"/>
      <c r="E188" s="50"/>
      <c r="F188" s="50"/>
      <c r="G188" s="50"/>
    </row>
    <row r="189">
      <c r="A189" s="50"/>
      <c r="B189" s="50"/>
      <c r="C189" s="50"/>
      <c r="D189" s="50"/>
      <c r="E189" s="50"/>
      <c r="F189" s="50"/>
      <c r="G189" s="50"/>
    </row>
    <row r="190">
      <c r="A190" s="50"/>
      <c r="B190" s="50"/>
      <c r="C190" s="50"/>
      <c r="D190" s="50"/>
      <c r="E190" s="50"/>
      <c r="F190" s="50"/>
      <c r="G190" s="50"/>
    </row>
    <row r="191">
      <c r="A191" s="50"/>
      <c r="B191" s="50"/>
      <c r="C191" s="50"/>
      <c r="D191" s="50"/>
      <c r="E191" s="50"/>
      <c r="F191" s="50"/>
      <c r="G191" s="50"/>
    </row>
    <row r="192">
      <c r="A192" s="50"/>
      <c r="B192" s="50"/>
      <c r="C192" s="50"/>
      <c r="D192" s="50"/>
      <c r="E192" s="50"/>
      <c r="F192" s="50"/>
      <c r="G192" s="50"/>
    </row>
    <row r="193">
      <c r="A193" s="50"/>
      <c r="B193" s="50"/>
      <c r="C193" s="50"/>
      <c r="D193" s="50"/>
      <c r="E193" s="50"/>
      <c r="F193" s="50"/>
      <c r="G193" s="50"/>
    </row>
    <row r="194">
      <c r="A194" s="50"/>
      <c r="B194" s="50"/>
      <c r="C194" s="50"/>
      <c r="D194" s="50"/>
      <c r="E194" s="50"/>
      <c r="F194" s="50"/>
      <c r="G194" s="50"/>
    </row>
    <row r="195">
      <c r="A195" s="50"/>
      <c r="B195" s="50"/>
      <c r="C195" s="50"/>
      <c r="D195" s="50"/>
      <c r="E195" s="50"/>
      <c r="F195" s="50"/>
      <c r="G195" s="50"/>
    </row>
    <row r="196">
      <c r="A196" s="50"/>
      <c r="B196" s="50"/>
      <c r="C196" s="50"/>
      <c r="D196" s="50"/>
      <c r="E196" s="50"/>
      <c r="F196" s="50"/>
      <c r="G196" s="50"/>
    </row>
    <row r="197">
      <c r="A197" s="50"/>
      <c r="B197" s="50"/>
      <c r="C197" s="50"/>
      <c r="D197" s="50"/>
      <c r="E197" s="50"/>
      <c r="F197" s="50"/>
      <c r="G197" s="50"/>
    </row>
    <row r="198">
      <c r="A198" s="50"/>
      <c r="B198" s="50"/>
      <c r="C198" s="50"/>
      <c r="D198" s="50"/>
      <c r="E198" s="50"/>
      <c r="F198" s="50"/>
      <c r="G198" s="50"/>
    </row>
    <row r="199">
      <c r="A199" s="50"/>
      <c r="B199" s="50"/>
      <c r="C199" s="50"/>
      <c r="D199" s="50"/>
      <c r="E199" s="50"/>
      <c r="F199" s="50"/>
      <c r="G199" s="50"/>
    </row>
    <row r="200">
      <c r="A200" s="50"/>
      <c r="B200" s="50"/>
      <c r="C200" s="50"/>
      <c r="D200" s="50"/>
      <c r="E200" s="50"/>
      <c r="F200" s="50"/>
      <c r="G200" s="50"/>
    </row>
    <row r="201">
      <c r="A201" s="50"/>
      <c r="B201" s="50"/>
      <c r="C201" s="50"/>
      <c r="D201" s="50"/>
      <c r="E201" s="50"/>
      <c r="F201" s="50"/>
      <c r="G201" s="50"/>
    </row>
    <row r="202">
      <c r="A202" s="50"/>
      <c r="B202" s="50"/>
      <c r="C202" s="50"/>
      <c r="D202" s="50"/>
      <c r="E202" s="50"/>
      <c r="F202" s="50"/>
      <c r="G202" s="50"/>
    </row>
    <row r="203">
      <c r="A203" s="50"/>
      <c r="B203" s="50"/>
      <c r="C203" s="50"/>
      <c r="D203" s="50"/>
      <c r="E203" s="50"/>
      <c r="F203" s="50"/>
      <c r="G203" s="50"/>
    </row>
    <row r="204">
      <c r="A204" s="50"/>
      <c r="B204" s="50"/>
      <c r="C204" s="50"/>
      <c r="D204" s="50"/>
      <c r="E204" s="50"/>
      <c r="F204" s="50"/>
      <c r="G204" s="50"/>
    </row>
    <row r="205">
      <c r="A205" s="50"/>
      <c r="B205" s="50"/>
      <c r="C205" s="50"/>
      <c r="D205" s="50"/>
      <c r="E205" s="50"/>
      <c r="F205" s="50"/>
      <c r="G205" s="50"/>
    </row>
    <row r="206">
      <c r="A206" s="50"/>
      <c r="B206" s="50"/>
      <c r="C206" s="50"/>
      <c r="D206" s="50"/>
      <c r="E206" s="50"/>
      <c r="F206" s="50"/>
      <c r="G206" s="50"/>
    </row>
    <row r="207">
      <c r="A207" s="50"/>
      <c r="B207" s="50"/>
      <c r="C207" s="50"/>
      <c r="D207" s="50"/>
      <c r="E207" s="50"/>
      <c r="F207" s="50"/>
      <c r="G207" s="50"/>
    </row>
    <row r="208">
      <c r="A208" s="50"/>
      <c r="B208" s="50"/>
      <c r="C208" s="50"/>
      <c r="D208" s="50"/>
      <c r="E208" s="50"/>
      <c r="F208" s="50"/>
      <c r="G208" s="50"/>
    </row>
    <row r="209">
      <c r="A209" s="50"/>
      <c r="B209" s="50"/>
      <c r="C209" s="50"/>
      <c r="D209" s="50"/>
      <c r="E209" s="50"/>
      <c r="F209" s="50"/>
      <c r="G209" s="50"/>
    </row>
    <row r="210">
      <c r="A210" s="50"/>
      <c r="B210" s="50"/>
      <c r="C210" s="50"/>
      <c r="D210" s="50"/>
      <c r="E210" s="50"/>
      <c r="F210" s="50"/>
      <c r="G210" s="50"/>
    </row>
    <row r="211">
      <c r="A211" s="50"/>
      <c r="B211" s="50"/>
      <c r="C211" s="50"/>
      <c r="D211" s="50"/>
      <c r="E211" s="50"/>
      <c r="F211" s="50"/>
      <c r="G211" s="50"/>
    </row>
    <row r="212">
      <c r="A212" s="50"/>
      <c r="B212" s="50"/>
      <c r="C212" s="50"/>
      <c r="D212" s="50"/>
      <c r="E212" s="50"/>
      <c r="F212" s="50"/>
      <c r="G212" s="50"/>
    </row>
    <row r="213">
      <c r="A213" s="50"/>
      <c r="B213" s="50"/>
      <c r="C213" s="50"/>
      <c r="D213" s="50"/>
      <c r="E213" s="50"/>
      <c r="F213" s="50"/>
      <c r="G213" s="50"/>
    </row>
    <row r="214">
      <c r="A214" s="50"/>
      <c r="B214" s="50"/>
      <c r="C214" s="50"/>
      <c r="D214" s="50"/>
      <c r="E214" s="50"/>
      <c r="F214" s="50"/>
      <c r="G214" s="50"/>
    </row>
    <row r="215">
      <c r="A215" s="50"/>
      <c r="B215" s="50"/>
      <c r="C215" s="50"/>
      <c r="D215" s="50"/>
      <c r="E215" s="50"/>
      <c r="F215" s="50"/>
      <c r="G215" s="50"/>
    </row>
    <row r="216">
      <c r="A216" s="50"/>
      <c r="B216" s="50"/>
      <c r="C216" s="50"/>
      <c r="D216" s="50"/>
      <c r="E216" s="50"/>
      <c r="F216" s="50"/>
      <c r="G216" s="50"/>
    </row>
    <row r="217">
      <c r="A217" s="50"/>
      <c r="B217" s="50"/>
      <c r="C217" s="50"/>
      <c r="D217" s="50"/>
      <c r="E217" s="50"/>
      <c r="F217" s="50"/>
      <c r="G217" s="50"/>
    </row>
    <row r="218">
      <c r="A218" s="50"/>
      <c r="B218" s="50"/>
      <c r="C218" s="50"/>
      <c r="D218" s="50"/>
      <c r="E218" s="50"/>
      <c r="F218" s="50"/>
      <c r="G218" s="50"/>
    </row>
    <row r="219">
      <c r="A219" s="50"/>
      <c r="B219" s="50"/>
      <c r="C219" s="50"/>
      <c r="D219" s="50"/>
      <c r="E219" s="50"/>
      <c r="F219" s="50"/>
      <c r="G219" s="50"/>
    </row>
    <row r="220">
      <c r="A220" s="50"/>
      <c r="B220" s="50"/>
      <c r="C220" s="50"/>
      <c r="D220" s="50"/>
      <c r="E220" s="50"/>
      <c r="F220" s="50"/>
      <c r="G220" s="50"/>
    </row>
    <row r="221">
      <c r="A221" s="50"/>
      <c r="B221" s="50"/>
      <c r="C221" s="50"/>
      <c r="D221" s="50"/>
      <c r="E221" s="50"/>
      <c r="F221" s="50"/>
      <c r="G221" s="50"/>
    </row>
    <row r="222">
      <c r="A222" s="50"/>
      <c r="B222" s="50"/>
      <c r="C222" s="50"/>
      <c r="D222" s="50"/>
      <c r="E222" s="50"/>
      <c r="F222" s="50"/>
      <c r="G222" s="50"/>
    </row>
    <row r="223">
      <c r="A223" s="50"/>
      <c r="B223" s="50"/>
      <c r="C223" s="50"/>
      <c r="D223" s="50"/>
      <c r="E223" s="50"/>
      <c r="F223" s="50"/>
      <c r="G223" s="50"/>
    </row>
    <row r="224">
      <c r="A224" s="50"/>
      <c r="B224" s="50"/>
      <c r="C224" s="50"/>
      <c r="D224" s="50"/>
      <c r="E224" s="50"/>
      <c r="F224" s="50"/>
      <c r="G224" s="50"/>
    </row>
    <row r="225">
      <c r="A225" s="50"/>
      <c r="B225" s="50"/>
      <c r="C225" s="50"/>
      <c r="D225" s="50"/>
      <c r="E225" s="50"/>
      <c r="F225" s="50"/>
      <c r="G225" s="50"/>
    </row>
    <row r="226">
      <c r="A226" s="50"/>
      <c r="B226" s="50"/>
      <c r="C226" s="50"/>
      <c r="D226" s="50"/>
      <c r="E226" s="50"/>
      <c r="F226" s="50"/>
      <c r="G226" s="50"/>
    </row>
    <row r="227">
      <c r="A227" s="50"/>
      <c r="B227" s="50"/>
      <c r="C227" s="50"/>
      <c r="D227" s="50"/>
      <c r="E227" s="50"/>
      <c r="F227" s="50"/>
      <c r="G227" s="50"/>
    </row>
    <row r="228">
      <c r="A228" s="50"/>
      <c r="B228" s="50"/>
      <c r="C228" s="50"/>
      <c r="D228" s="50"/>
      <c r="E228" s="50"/>
      <c r="F228" s="50"/>
      <c r="G228" s="50"/>
    </row>
    <row r="229">
      <c r="A229" s="50"/>
      <c r="B229" s="50"/>
      <c r="C229" s="50"/>
      <c r="D229" s="50"/>
      <c r="E229" s="50"/>
      <c r="F229" s="50"/>
      <c r="G229" s="50"/>
    </row>
    <row r="230">
      <c r="A230" s="50"/>
      <c r="B230" s="50"/>
      <c r="C230" s="50"/>
      <c r="D230" s="50"/>
      <c r="E230" s="50"/>
      <c r="F230" s="50"/>
      <c r="G230" s="50"/>
    </row>
    <row r="231">
      <c r="A231" s="50"/>
      <c r="B231" s="50"/>
      <c r="C231" s="50"/>
      <c r="D231" s="50"/>
      <c r="E231" s="50"/>
      <c r="F231" s="50"/>
      <c r="G231" s="50"/>
    </row>
    <row r="232">
      <c r="A232" s="50"/>
      <c r="B232" s="50"/>
      <c r="C232" s="50"/>
      <c r="D232" s="50"/>
      <c r="E232" s="50"/>
      <c r="F232" s="50"/>
      <c r="G232" s="50"/>
    </row>
    <row r="233">
      <c r="A233" s="50"/>
      <c r="B233" s="50"/>
      <c r="C233" s="50"/>
      <c r="D233" s="50"/>
      <c r="E233" s="50"/>
      <c r="F233" s="50"/>
      <c r="G233" s="50"/>
    </row>
    <row r="234">
      <c r="A234" s="50"/>
      <c r="B234" s="50"/>
      <c r="C234" s="50"/>
      <c r="D234" s="50"/>
      <c r="E234" s="50"/>
      <c r="F234" s="50"/>
      <c r="G234" s="50"/>
    </row>
    <row r="235">
      <c r="A235" s="50"/>
      <c r="B235" s="50"/>
      <c r="C235" s="50"/>
      <c r="D235" s="50"/>
      <c r="E235" s="50"/>
      <c r="F235" s="50"/>
      <c r="G235" s="50"/>
    </row>
    <row r="236">
      <c r="A236" s="50"/>
      <c r="B236" s="50"/>
      <c r="C236" s="50"/>
      <c r="D236" s="50"/>
      <c r="E236" s="50"/>
      <c r="F236" s="50"/>
      <c r="G236" s="50"/>
    </row>
    <row r="237">
      <c r="A237" s="50"/>
      <c r="B237" s="50"/>
      <c r="C237" s="50"/>
      <c r="D237" s="50"/>
      <c r="E237" s="50"/>
      <c r="F237" s="50"/>
      <c r="G237" s="50"/>
    </row>
    <row r="238">
      <c r="A238" s="50"/>
      <c r="B238" s="50"/>
      <c r="C238" s="50"/>
      <c r="D238" s="50"/>
      <c r="E238" s="50"/>
      <c r="F238" s="50"/>
      <c r="G238" s="50"/>
    </row>
    <row r="239">
      <c r="A239" s="50"/>
      <c r="B239" s="50"/>
      <c r="C239" s="50"/>
      <c r="D239" s="50"/>
      <c r="E239" s="50"/>
      <c r="F239" s="50"/>
      <c r="G239" s="50"/>
    </row>
    <row r="240">
      <c r="A240" s="50"/>
      <c r="B240" s="50"/>
      <c r="C240" s="50"/>
      <c r="D240" s="50"/>
      <c r="E240" s="50"/>
      <c r="F240" s="50"/>
      <c r="G240" s="50"/>
    </row>
    <row r="241">
      <c r="A241" s="50"/>
      <c r="B241" s="50"/>
      <c r="C241" s="50"/>
      <c r="D241" s="50"/>
      <c r="E241" s="50"/>
      <c r="F241" s="50"/>
      <c r="G241" s="50"/>
    </row>
    <row r="242">
      <c r="A242" s="50"/>
      <c r="B242" s="50"/>
      <c r="C242" s="50"/>
      <c r="D242" s="50"/>
      <c r="E242" s="50"/>
      <c r="F242" s="50"/>
      <c r="G242" s="50"/>
    </row>
    <row r="243">
      <c r="A243" s="50"/>
      <c r="B243" s="50"/>
      <c r="C243" s="50"/>
      <c r="D243" s="50"/>
      <c r="E243" s="50"/>
      <c r="F243" s="50"/>
      <c r="G243" s="50"/>
    </row>
    <row r="244">
      <c r="A244" s="50"/>
      <c r="B244" s="50"/>
      <c r="C244" s="50"/>
      <c r="D244" s="50"/>
      <c r="E244" s="50"/>
      <c r="F244" s="50"/>
      <c r="G244" s="50"/>
    </row>
    <row r="245">
      <c r="A245" s="50"/>
      <c r="B245" s="50"/>
      <c r="C245" s="50"/>
      <c r="D245" s="50"/>
      <c r="E245" s="50"/>
      <c r="F245" s="50"/>
      <c r="G245" s="50"/>
    </row>
    <row r="246">
      <c r="A246" s="50"/>
      <c r="B246" s="50"/>
      <c r="C246" s="50"/>
      <c r="D246" s="50"/>
      <c r="E246" s="50"/>
      <c r="F246" s="50"/>
      <c r="G246" s="50"/>
    </row>
    <row r="247">
      <c r="A247" s="50"/>
      <c r="B247" s="50"/>
      <c r="C247" s="50"/>
      <c r="D247" s="50"/>
      <c r="E247" s="50"/>
      <c r="F247" s="50"/>
      <c r="G247" s="50"/>
    </row>
    <row r="248">
      <c r="A248" s="50"/>
      <c r="B248" s="50"/>
      <c r="C248" s="50"/>
      <c r="D248" s="50"/>
      <c r="E248" s="50"/>
      <c r="F248" s="50"/>
      <c r="G248" s="50"/>
    </row>
    <row r="249">
      <c r="A249" s="50"/>
      <c r="B249" s="50"/>
      <c r="C249" s="50"/>
      <c r="D249" s="50"/>
      <c r="E249" s="50"/>
      <c r="F249" s="50"/>
      <c r="G249" s="50"/>
    </row>
    <row r="250">
      <c r="A250" s="50"/>
      <c r="B250" s="50"/>
      <c r="C250" s="50"/>
      <c r="D250" s="50"/>
      <c r="E250" s="50"/>
      <c r="F250" s="50"/>
      <c r="G250" s="50"/>
    </row>
    <row r="251">
      <c r="A251" s="50"/>
      <c r="B251" s="50"/>
      <c r="C251" s="50"/>
      <c r="D251" s="50"/>
      <c r="E251" s="50"/>
      <c r="F251" s="50"/>
      <c r="G251" s="50"/>
    </row>
    <row r="252">
      <c r="A252" s="50"/>
      <c r="B252" s="50"/>
      <c r="C252" s="50"/>
      <c r="D252" s="50"/>
      <c r="E252" s="50"/>
      <c r="F252" s="50"/>
      <c r="G252" s="50"/>
    </row>
    <row r="253">
      <c r="A253" s="50"/>
      <c r="B253" s="50"/>
      <c r="C253" s="50"/>
      <c r="D253" s="50"/>
      <c r="E253" s="50"/>
      <c r="F253" s="50"/>
      <c r="G253" s="50"/>
    </row>
    <row r="254">
      <c r="A254" s="50"/>
      <c r="B254" s="50"/>
      <c r="C254" s="50"/>
      <c r="D254" s="50"/>
      <c r="E254" s="50"/>
      <c r="F254" s="50"/>
      <c r="G254" s="50"/>
    </row>
    <row r="255">
      <c r="A255" s="50"/>
      <c r="B255" s="50"/>
      <c r="C255" s="50"/>
      <c r="D255" s="50"/>
      <c r="E255" s="50"/>
      <c r="F255" s="50"/>
      <c r="G255" s="50"/>
    </row>
    <row r="256">
      <c r="A256" s="50"/>
      <c r="B256" s="50"/>
      <c r="C256" s="50"/>
      <c r="D256" s="50"/>
      <c r="E256" s="50"/>
      <c r="F256" s="50"/>
      <c r="G256" s="50"/>
    </row>
    <row r="257">
      <c r="A257" s="50"/>
      <c r="B257" s="50"/>
      <c r="C257" s="50"/>
      <c r="D257" s="50"/>
      <c r="E257" s="50"/>
      <c r="F257" s="50"/>
      <c r="G257" s="50"/>
    </row>
    <row r="258">
      <c r="A258" s="50"/>
      <c r="B258" s="50"/>
      <c r="C258" s="50"/>
      <c r="D258" s="50"/>
      <c r="E258" s="50"/>
      <c r="F258" s="50"/>
      <c r="G258" s="50"/>
    </row>
    <row r="259">
      <c r="A259" s="50"/>
      <c r="B259" s="50"/>
      <c r="C259" s="50"/>
      <c r="D259" s="50"/>
      <c r="E259" s="50"/>
      <c r="F259" s="50"/>
      <c r="G259" s="50"/>
    </row>
    <row r="260">
      <c r="A260" s="50"/>
      <c r="B260" s="50"/>
      <c r="C260" s="50"/>
      <c r="D260" s="50"/>
      <c r="E260" s="50"/>
      <c r="F260" s="50"/>
      <c r="G260" s="50"/>
    </row>
    <row r="261">
      <c r="A261" s="50"/>
      <c r="B261" s="50"/>
      <c r="C261" s="50"/>
      <c r="D261" s="50"/>
      <c r="E261" s="50"/>
      <c r="F261" s="50"/>
      <c r="G261" s="50"/>
    </row>
    <row r="262">
      <c r="A262" s="50"/>
      <c r="B262" s="50"/>
      <c r="C262" s="50"/>
      <c r="D262" s="50"/>
      <c r="E262" s="50"/>
      <c r="F262" s="50"/>
      <c r="G262" s="50"/>
    </row>
    <row r="263">
      <c r="A263" s="50"/>
      <c r="B263" s="50"/>
      <c r="C263" s="50"/>
      <c r="D263" s="50"/>
      <c r="E263" s="50"/>
      <c r="F263" s="50"/>
      <c r="G263" s="50"/>
    </row>
    <row r="264">
      <c r="A264" s="50"/>
      <c r="B264" s="50"/>
      <c r="C264" s="50"/>
      <c r="D264" s="50"/>
      <c r="E264" s="50"/>
      <c r="F264" s="50"/>
      <c r="G264" s="50"/>
    </row>
    <row r="265">
      <c r="A265" s="50"/>
      <c r="B265" s="50"/>
      <c r="C265" s="50"/>
      <c r="D265" s="50"/>
      <c r="E265" s="50"/>
      <c r="F265" s="50"/>
      <c r="G265" s="50"/>
    </row>
    <row r="266">
      <c r="A266" s="50"/>
      <c r="B266" s="50"/>
      <c r="C266" s="50"/>
      <c r="D266" s="50"/>
      <c r="E266" s="50"/>
      <c r="F266" s="50"/>
      <c r="G266" s="50"/>
    </row>
    <row r="267">
      <c r="A267" s="50"/>
      <c r="B267" s="50"/>
      <c r="C267" s="50"/>
      <c r="D267" s="50"/>
      <c r="E267" s="50"/>
      <c r="F267" s="50"/>
      <c r="G267" s="50"/>
    </row>
    <row r="268">
      <c r="A268" s="50"/>
      <c r="B268" s="50"/>
      <c r="C268" s="50"/>
      <c r="D268" s="50"/>
      <c r="E268" s="50"/>
      <c r="F268" s="50"/>
      <c r="G268" s="50"/>
    </row>
    <row r="269">
      <c r="A269" s="50"/>
      <c r="B269" s="50"/>
      <c r="C269" s="50"/>
      <c r="D269" s="50"/>
      <c r="E269" s="50"/>
      <c r="F269" s="50"/>
      <c r="G269" s="50"/>
    </row>
    <row r="270">
      <c r="A270" s="50"/>
      <c r="B270" s="50"/>
      <c r="C270" s="50"/>
      <c r="D270" s="50"/>
      <c r="E270" s="50"/>
      <c r="F270" s="50"/>
      <c r="G270" s="50"/>
    </row>
    <row r="271">
      <c r="A271" s="50"/>
      <c r="B271" s="50"/>
      <c r="C271" s="50"/>
      <c r="D271" s="50"/>
      <c r="E271" s="50"/>
      <c r="F271" s="50"/>
      <c r="G271" s="50"/>
    </row>
    <row r="272">
      <c r="A272" s="50"/>
      <c r="B272" s="50"/>
      <c r="C272" s="50"/>
      <c r="D272" s="50"/>
      <c r="E272" s="50"/>
      <c r="F272" s="50"/>
      <c r="G272" s="50"/>
    </row>
    <row r="273">
      <c r="A273" s="50"/>
      <c r="B273" s="50"/>
      <c r="C273" s="50"/>
      <c r="D273" s="50"/>
      <c r="E273" s="50"/>
      <c r="F273" s="50"/>
      <c r="G273" s="50"/>
    </row>
    <row r="274">
      <c r="A274" s="50"/>
      <c r="B274" s="50"/>
      <c r="C274" s="50"/>
      <c r="D274" s="50"/>
      <c r="E274" s="50"/>
      <c r="F274" s="50"/>
      <c r="G274" s="50"/>
    </row>
    <row r="275">
      <c r="A275" s="50"/>
      <c r="B275" s="50"/>
      <c r="C275" s="50"/>
      <c r="D275" s="50"/>
      <c r="E275" s="50"/>
      <c r="F275" s="50"/>
      <c r="G275" s="50"/>
    </row>
    <row r="276">
      <c r="A276" s="50"/>
      <c r="B276" s="50"/>
      <c r="C276" s="50"/>
      <c r="D276" s="50"/>
      <c r="E276" s="50"/>
      <c r="F276" s="50"/>
      <c r="G276" s="50"/>
    </row>
    <row r="277">
      <c r="A277" s="50"/>
      <c r="B277" s="50"/>
      <c r="C277" s="50"/>
      <c r="D277" s="50"/>
      <c r="E277" s="50"/>
      <c r="F277" s="50"/>
      <c r="G277" s="50"/>
    </row>
    <row r="278">
      <c r="A278" s="50"/>
      <c r="B278" s="50"/>
      <c r="C278" s="50"/>
      <c r="D278" s="50"/>
      <c r="E278" s="50"/>
      <c r="F278" s="50"/>
      <c r="G278" s="50"/>
    </row>
    <row r="279">
      <c r="A279" s="50"/>
      <c r="B279" s="50"/>
      <c r="C279" s="50"/>
      <c r="D279" s="50"/>
      <c r="E279" s="50"/>
      <c r="F279" s="50"/>
      <c r="G279" s="50"/>
    </row>
    <row r="280">
      <c r="A280" s="50"/>
      <c r="B280" s="50"/>
      <c r="C280" s="50"/>
      <c r="D280" s="50"/>
      <c r="E280" s="50"/>
      <c r="F280" s="50"/>
      <c r="G280" s="50"/>
    </row>
    <row r="281">
      <c r="A281" s="50"/>
      <c r="B281" s="50"/>
      <c r="C281" s="50"/>
      <c r="D281" s="50"/>
      <c r="E281" s="50"/>
      <c r="F281" s="50"/>
      <c r="G281" s="50"/>
    </row>
    <row r="282">
      <c r="A282" s="50"/>
      <c r="B282" s="50"/>
      <c r="C282" s="50"/>
      <c r="D282" s="50"/>
      <c r="E282" s="50"/>
      <c r="F282" s="50"/>
      <c r="G282" s="50"/>
    </row>
    <row r="283">
      <c r="A283" s="50"/>
      <c r="B283" s="50"/>
      <c r="C283" s="50"/>
      <c r="D283" s="50"/>
      <c r="E283" s="50"/>
      <c r="F283" s="50"/>
      <c r="G283" s="50"/>
    </row>
    <row r="284">
      <c r="A284" s="50"/>
      <c r="B284" s="50"/>
      <c r="C284" s="50"/>
      <c r="D284" s="50"/>
      <c r="E284" s="50"/>
      <c r="F284" s="50"/>
      <c r="G284" s="50"/>
    </row>
    <row r="285">
      <c r="A285" s="50"/>
      <c r="B285" s="50"/>
      <c r="C285" s="50"/>
      <c r="D285" s="50"/>
      <c r="E285" s="50"/>
      <c r="F285" s="50"/>
      <c r="G285" s="50"/>
    </row>
    <row r="286">
      <c r="A286" s="50"/>
      <c r="B286" s="50"/>
      <c r="C286" s="50"/>
      <c r="D286" s="50"/>
      <c r="E286" s="50"/>
      <c r="F286" s="50"/>
      <c r="G286" s="50"/>
    </row>
    <row r="287">
      <c r="A287" s="50"/>
      <c r="B287" s="50"/>
      <c r="C287" s="50"/>
      <c r="D287" s="50"/>
      <c r="E287" s="50"/>
      <c r="F287" s="50"/>
      <c r="G287" s="50"/>
    </row>
    <row r="288">
      <c r="A288" s="50"/>
      <c r="B288" s="50"/>
      <c r="C288" s="50"/>
      <c r="D288" s="50"/>
      <c r="E288" s="50"/>
      <c r="F288" s="50"/>
      <c r="G288" s="50"/>
    </row>
    <row r="289">
      <c r="A289" s="50"/>
      <c r="B289" s="50"/>
      <c r="C289" s="50"/>
      <c r="D289" s="50"/>
      <c r="E289" s="50"/>
      <c r="F289" s="50"/>
      <c r="G289" s="50"/>
    </row>
    <row r="290">
      <c r="A290" s="50"/>
      <c r="B290" s="50"/>
      <c r="C290" s="50"/>
      <c r="D290" s="50"/>
      <c r="E290" s="50"/>
      <c r="F290" s="50"/>
      <c r="G290" s="50"/>
    </row>
    <row r="291">
      <c r="A291" s="50"/>
      <c r="B291" s="50"/>
      <c r="C291" s="50"/>
      <c r="D291" s="50"/>
      <c r="E291" s="50"/>
      <c r="F291" s="50"/>
      <c r="G291" s="50"/>
    </row>
    <row r="292">
      <c r="A292" s="50"/>
      <c r="B292" s="50"/>
      <c r="C292" s="50"/>
      <c r="D292" s="50"/>
      <c r="E292" s="50"/>
      <c r="F292" s="50"/>
      <c r="G292" s="50"/>
    </row>
    <row r="293">
      <c r="A293" s="50"/>
      <c r="B293" s="50"/>
      <c r="C293" s="50"/>
      <c r="D293" s="50"/>
      <c r="E293" s="50"/>
      <c r="F293" s="50"/>
      <c r="G293" s="50"/>
    </row>
    <row r="294">
      <c r="A294" s="50"/>
      <c r="B294" s="50"/>
      <c r="C294" s="50"/>
      <c r="D294" s="50"/>
      <c r="E294" s="50"/>
      <c r="F294" s="50"/>
      <c r="G294" s="50"/>
    </row>
    <row r="295">
      <c r="A295" s="50"/>
      <c r="B295" s="50"/>
      <c r="C295" s="50"/>
      <c r="D295" s="50"/>
      <c r="E295" s="50"/>
      <c r="F295" s="50"/>
      <c r="G295" s="50"/>
    </row>
    <row r="296">
      <c r="A296" s="50"/>
      <c r="B296" s="50"/>
      <c r="C296" s="50"/>
      <c r="D296" s="50"/>
      <c r="E296" s="50"/>
      <c r="F296" s="50"/>
      <c r="G296" s="50"/>
    </row>
    <row r="297">
      <c r="A297" s="50"/>
      <c r="B297" s="50"/>
      <c r="C297" s="50"/>
      <c r="D297" s="50"/>
      <c r="E297" s="50"/>
      <c r="F297" s="50"/>
      <c r="G297" s="50"/>
    </row>
    <row r="298">
      <c r="A298" s="50"/>
      <c r="B298" s="50"/>
      <c r="C298" s="50"/>
      <c r="D298" s="50"/>
      <c r="E298" s="50"/>
      <c r="F298" s="50"/>
      <c r="G298" s="50"/>
    </row>
    <row r="299">
      <c r="A299" s="50"/>
      <c r="B299" s="50"/>
      <c r="C299" s="50"/>
      <c r="D299" s="50"/>
      <c r="E299" s="50"/>
      <c r="F299" s="50"/>
      <c r="G299" s="50"/>
    </row>
    <row r="300">
      <c r="A300" s="50"/>
      <c r="B300" s="50"/>
      <c r="C300" s="50"/>
      <c r="D300" s="50"/>
      <c r="E300" s="50"/>
      <c r="F300" s="50"/>
      <c r="G300" s="50"/>
    </row>
    <row r="301">
      <c r="A301" s="50"/>
      <c r="B301" s="50"/>
      <c r="C301" s="50"/>
      <c r="D301" s="50"/>
      <c r="E301" s="50"/>
      <c r="F301" s="50"/>
      <c r="G301" s="50"/>
    </row>
    <row r="302">
      <c r="A302" s="50"/>
      <c r="B302" s="50"/>
      <c r="C302" s="50"/>
      <c r="D302" s="50"/>
      <c r="E302" s="50"/>
      <c r="F302" s="50"/>
      <c r="G302" s="50"/>
    </row>
    <row r="303">
      <c r="A303" s="50"/>
      <c r="B303" s="50"/>
      <c r="C303" s="50"/>
      <c r="D303" s="50"/>
      <c r="E303" s="50"/>
      <c r="F303" s="50"/>
      <c r="G303" s="50"/>
    </row>
    <row r="304">
      <c r="A304" s="50"/>
      <c r="B304" s="50"/>
      <c r="C304" s="50"/>
      <c r="D304" s="50"/>
      <c r="E304" s="50"/>
      <c r="F304" s="50"/>
      <c r="G304" s="50"/>
    </row>
    <row r="305">
      <c r="A305" s="50"/>
      <c r="B305" s="50"/>
      <c r="C305" s="50"/>
      <c r="D305" s="50"/>
      <c r="E305" s="50"/>
      <c r="F305" s="50"/>
      <c r="G305" s="50"/>
    </row>
    <row r="306">
      <c r="A306" s="50"/>
      <c r="B306" s="50"/>
      <c r="C306" s="50"/>
      <c r="D306" s="50"/>
      <c r="E306" s="50"/>
      <c r="F306" s="50"/>
      <c r="G306" s="50"/>
    </row>
    <row r="307">
      <c r="A307" s="50"/>
      <c r="B307" s="50"/>
      <c r="C307" s="50"/>
      <c r="D307" s="50"/>
      <c r="E307" s="50"/>
      <c r="F307" s="50"/>
      <c r="G307" s="50"/>
    </row>
    <row r="308">
      <c r="A308" s="50"/>
      <c r="B308" s="50"/>
      <c r="C308" s="50"/>
      <c r="D308" s="50"/>
      <c r="E308" s="50"/>
      <c r="F308" s="50"/>
      <c r="G308" s="50"/>
    </row>
    <row r="309">
      <c r="A309" s="50"/>
      <c r="B309" s="50"/>
      <c r="C309" s="50"/>
      <c r="D309" s="50"/>
      <c r="E309" s="50"/>
      <c r="F309" s="50"/>
      <c r="G309" s="50"/>
    </row>
    <row r="310">
      <c r="A310" s="50"/>
      <c r="B310" s="50"/>
      <c r="C310" s="50"/>
      <c r="D310" s="50"/>
      <c r="E310" s="50"/>
      <c r="F310" s="50"/>
      <c r="G310" s="50"/>
    </row>
    <row r="311">
      <c r="A311" s="50"/>
      <c r="B311" s="50"/>
      <c r="C311" s="50"/>
      <c r="D311" s="50"/>
      <c r="E311" s="50"/>
      <c r="F311" s="50"/>
      <c r="G311" s="50"/>
    </row>
    <row r="312">
      <c r="A312" s="50"/>
      <c r="B312" s="50"/>
      <c r="C312" s="50"/>
      <c r="D312" s="50"/>
      <c r="E312" s="50"/>
      <c r="F312" s="50"/>
      <c r="G312" s="50"/>
    </row>
    <row r="313">
      <c r="A313" s="50"/>
      <c r="B313" s="50"/>
      <c r="C313" s="50"/>
      <c r="D313" s="50"/>
      <c r="E313" s="50"/>
      <c r="F313" s="50"/>
      <c r="G313" s="50"/>
    </row>
    <row r="314">
      <c r="A314" s="50"/>
      <c r="B314" s="50"/>
      <c r="C314" s="50"/>
      <c r="D314" s="50"/>
      <c r="E314" s="50"/>
      <c r="F314" s="50"/>
      <c r="G314" s="50"/>
    </row>
    <row r="315">
      <c r="A315" s="50"/>
      <c r="B315" s="50"/>
      <c r="C315" s="50"/>
      <c r="D315" s="50"/>
      <c r="E315" s="50"/>
      <c r="F315" s="50"/>
      <c r="G315" s="50"/>
    </row>
    <row r="316">
      <c r="A316" s="50"/>
      <c r="B316" s="50"/>
      <c r="C316" s="50"/>
      <c r="D316" s="50"/>
      <c r="E316" s="50"/>
      <c r="F316" s="50"/>
      <c r="G316" s="50"/>
    </row>
    <row r="317">
      <c r="A317" s="50"/>
      <c r="B317" s="50"/>
      <c r="C317" s="50"/>
      <c r="D317" s="50"/>
      <c r="E317" s="50"/>
      <c r="F317" s="50"/>
      <c r="G317" s="50"/>
    </row>
    <row r="318">
      <c r="A318" s="50"/>
      <c r="B318" s="50"/>
      <c r="C318" s="50"/>
      <c r="D318" s="50"/>
      <c r="E318" s="50"/>
      <c r="F318" s="50"/>
      <c r="G318" s="50"/>
    </row>
    <row r="319">
      <c r="A319" s="50"/>
      <c r="B319" s="50"/>
      <c r="C319" s="50"/>
      <c r="D319" s="50"/>
      <c r="E319" s="50"/>
      <c r="F319" s="50"/>
      <c r="G319" s="50"/>
    </row>
    <row r="320">
      <c r="A320" s="50"/>
      <c r="B320" s="50"/>
      <c r="C320" s="50"/>
      <c r="D320" s="50"/>
      <c r="E320" s="50"/>
      <c r="F320" s="50"/>
      <c r="G320" s="50"/>
    </row>
    <row r="321">
      <c r="A321" s="50"/>
      <c r="B321" s="50"/>
      <c r="C321" s="50"/>
      <c r="D321" s="50"/>
      <c r="E321" s="50"/>
      <c r="F321" s="50"/>
      <c r="G321" s="50"/>
    </row>
    <row r="322">
      <c r="A322" s="50"/>
      <c r="B322" s="50"/>
      <c r="C322" s="50"/>
      <c r="D322" s="50"/>
      <c r="E322" s="50"/>
      <c r="F322" s="50"/>
      <c r="G322" s="50"/>
    </row>
    <row r="323">
      <c r="A323" s="50"/>
      <c r="B323" s="50"/>
      <c r="C323" s="50"/>
      <c r="D323" s="50"/>
      <c r="E323" s="50"/>
      <c r="F323" s="50"/>
      <c r="G323" s="50"/>
    </row>
    <row r="324">
      <c r="A324" s="50"/>
      <c r="B324" s="50"/>
      <c r="C324" s="50"/>
      <c r="D324" s="50"/>
      <c r="E324" s="50"/>
      <c r="F324" s="50"/>
      <c r="G324" s="50"/>
    </row>
    <row r="325">
      <c r="A325" s="50"/>
      <c r="B325" s="50"/>
      <c r="C325" s="50"/>
      <c r="D325" s="50"/>
      <c r="E325" s="50"/>
      <c r="F325" s="50"/>
      <c r="G325" s="50"/>
    </row>
    <row r="326">
      <c r="A326" s="50"/>
      <c r="B326" s="50"/>
      <c r="C326" s="50"/>
      <c r="D326" s="50"/>
      <c r="E326" s="50"/>
      <c r="F326" s="50"/>
      <c r="G326" s="50"/>
    </row>
    <row r="327">
      <c r="A327" s="50"/>
      <c r="B327" s="50"/>
      <c r="C327" s="50"/>
      <c r="D327" s="50"/>
      <c r="E327" s="50"/>
      <c r="F327" s="50"/>
      <c r="G327" s="50"/>
    </row>
    <row r="328">
      <c r="A328" s="50"/>
      <c r="B328" s="50"/>
      <c r="C328" s="50"/>
      <c r="D328" s="50"/>
      <c r="E328" s="50"/>
      <c r="F328" s="50"/>
      <c r="G328" s="50"/>
    </row>
    <row r="329">
      <c r="A329" s="50"/>
      <c r="B329" s="50"/>
      <c r="C329" s="50"/>
      <c r="D329" s="50"/>
      <c r="E329" s="50"/>
      <c r="F329" s="50"/>
      <c r="G329" s="50"/>
    </row>
    <row r="330">
      <c r="A330" s="50"/>
      <c r="B330" s="50"/>
      <c r="C330" s="50"/>
      <c r="D330" s="50"/>
      <c r="E330" s="50"/>
      <c r="F330" s="50"/>
      <c r="G330" s="50"/>
    </row>
    <row r="331">
      <c r="A331" s="50"/>
      <c r="B331" s="50"/>
      <c r="C331" s="50"/>
      <c r="D331" s="50"/>
      <c r="E331" s="50"/>
      <c r="F331" s="50"/>
      <c r="G331" s="50"/>
    </row>
    <row r="332">
      <c r="A332" s="50"/>
      <c r="B332" s="50"/>
      <c r="C332" s="50"/>
      <c r="D332" s="50"/>
      <c r="E332" s="50"/>
      <c r="F332" s="50"/>
      <c r="G332" s="50"/>
    </row>
    <row r="333">
      <c r="A333" s="50"/>
      <c r="B333" s="50"/>
      <c r="C333" s="50"/>
      <c r="D333" s="50"/>
      <c r="E333" s="50"/>
      <c r="F333" s="50"/>
      <c r="G333" s="50"/>
    </row>
    <row r="334">
      <c r="A334" s="50"/>
      <c r="B334" s="50"/>
      <c r="C334" s="50"/>
      <c r="D334" s="50"/>
      <c r="E334" s="50"/>
      <c r="F334" s="50"/>
      <c r="G334" s="50"/>
    </row>
    <row r="335">
      <c r="A335" s="50"/>
      <c r="B335" s="50"/>
      <c r="C335" s="50"/>
      <c r="D335" s="50"/>
      <c r="E335" s="50"/>
      <c r="F335" s="50"/>
      <c r="G335" s="50"/>
    </row>
    <row r="336">
      <c r="A336" s="50"/>
      <c r="B336" s="50"/>
      <c r="C336" s="50"/>
      <c r="D336" s="50"/>
      <c r="E336" s="50"/>
      <c r="F336" s="50"/>
      <c r="G336" s="50"/>
    </row>
    <row r="337">
      <c r="A337" s="50"/>
      <c r="B337" s="50"/>
      <c r="C337" s="50"/>
      <c r="D337" s="50"/>
      <c r="E337" s="50"/>
      <c r="F337" s="50"/>
      <c r="G337" s="50"/>
    </row>
    <row r="338">
      <c r="A338" s="50"/>
      <c r="B338" s="50"/>
      <c r="C338" s="50"/>
      <c r="D338" s="50"/>
      <c r="E338" s="50"/>
      <c r="F338" s="50"/>
      <c r="G338" s="50"/>
    </row>
    <row r="339">
      <c r="A339" s="50"/>
      <c r="B339" s="50"/>
      <c r="C339" s="50"/>
      <c r="D339" s="50"/>
      <c r="E339" s="50"/>
      <c r="F339" s="50"/>
      <c r="G339" s="50"/>
    </row>
    <row r="340">
      <c r="A340" s="50"/>
      <c r="B340" s="50"/>
      <c r="C340" s="50"/>
      <c r="D340" s="50"/>
      <c r="E340" s="50"/>
      <c r="F340" s="50"/>
      <c r="G340" s="50"/>
    </row>
    <row r="341">
      <c r="A341" s="50"/>
      <c r="B341" s="50"/>
      <c r="C341" s="50"/>
      <c r="D341" s="50"/>
      <c r="E341" s="50"/>
      <c r="F341" s="50"/>
      <c r="G341" s="50"/>
    </row>
    <row r="342">
      <c r="A342" s="50"/>
      <c r="B342" s="50"/>
      <c r="C342" s="50"/>
      <c r="D342" s="50"/>
      <c r="E342" s="50"/>
      <c r="F342" s="50"/>
      <c r="G342" s="50"/>
    </row>
    <row r="343">
      <c r="A343" s="50"/>
      <c r="B343" s="50"/>
      <c r="C343" s="50"/>
      <c r="D343" s="50"/>
      <c r="E343" s="50"/>
      <c r="F343" s="50"/>
      <c r="G343" s="50"/>
    </row>
    <row r="344">
      <c r="A344" s="50"/>
      <c r="B344" s="50"/>
      <c r="C344" s="50"/>
      <c r="D344" s="50"/>
      <c r="E344" s="50"/>
      <c r="F344" s="50"/>
      <c r="G344" s="50"/>
    </row>
    <row r="345">
      <c r="A345" s="50"/>
      <c r="B345" s="50"/>
      <c r="C345" s="50"/>
      <c r="D345" s="50"/>
      <c r="E345" s="50"/>
      <c r="F345" s="50"/>
      <c r="G345" s="50"/>
    </row>
    <row r="346">
      <c r="A346" s="50"/>
      <c r="B346" s="50"/>
      <c r="C346" s="50"/>
      <c r="D346" s="50"/>
      <c r="E346" s="50"/>
      <c r="F346" s="50"/>
      <c r="G346" s="50"/>
    </row>
    <row r="347">
      <c r="A347" s="50"/>
      <c r="B347" s="50"/>
      <c r="C347" s="50"/>
      <c r="D347" s="50"/>
      <c r="E347" s="50"/>
      <c r="F347" s="50"/>
      <c r="G347" s="50"/>
    </row>
    <row r="348">
      <c r="A348" s="50"/>
      <c r="B348" s="50"/>
      <c r="C348" s="50"/>
      <c r="D348" s="50"/>
      <c r="E348" s="50"/>
      <c r="F348" s="50"/>
      <c r="G348" s="50"/>
    </row>
    <row r="349">
      <c r="A349" s="50"/>
      <c r="B349" s="50"/>
      <c r="C349" s="50"/>
      <c r="D349" s="50"/>
      <c r="E349" s="50"/>
      <c r="F349" s="50"/>
      <c r="G349" s="50"/>
    </row>
    <row r="350">
      <c r="A350" s="50"/>
      <c r="B350" s="50"/>
      <c r="C350" s="50"/>
      <c r="D350" s="50"/>
      <c r="E350" s="50"/>
      <c r="F350" s="50"/>
      <c r="G350" s="50"/>
    </row>
    <row r="351">
      <c r="A351" s="50"/>
      <c r="B351" s="50"/>
      <c r="C351" s="50"/>
      <c r="D351" s="50"/>
      <c r="E351" s="50"/>
      <c r="F351" s="50"/>
      <c r="G351" s="50"/>
    </row>
    <row r="352">
      <c r="A352" s="50"/>
      <c r="B352" s="50"/>
      <c r="C352" s="50"/>
      <c r="D352" s="50"/>
      <c r="E352" s="50"/>
      <c r="F352" s="50"/>
      <c r="G352" s="50"/>
    </row>
    <row r="353">
      <c r="A353" s="50"/>
      <c r="B353" s="50"/>
      <c r="C353" s="50"/>
      <c r="D353" s="50"/>
      <c r="E353" s="50"/>
      <c r="F353" s="50"/>
      <c r="G353" s="50"/>
    </row>
    <row r="354">
      <c r="A354" s="50"/>
      <c r="B354" s="50"/>
      <c r="C354" s="50"/>
      <c r="D354" s="50"/>
      <c r="E354" s="50"/>
      <c r="F354" s="50"/>
      <c r="G354" s="50"/>
    </row>
    <row r="355">
      <c r="A355" s="50"/>
      <c r="B355" s="50"/>
      <c r="C355" s="50"/>
      <c r="D355" s="50"/>
      <c r="E355" s="50"/>
      <c r="F355" s="50"/>
      <c r="G355" s="50"/>
    </row>
    <row r="356">
      <c r="A356" s="50"/>
      <c r="B356" s="50"/>
      <c r="C356" s="50"/>
      <c r="D356" s="50"/>
      <c r="E356" s="50"/>
      <c r="F356" s="50"/>
      <c r="G356" s="50"/>
    </row>
    <row r="357">
      <c r="A357" s="50"/>
      <c r="B357" s="50"/>
      <c r="C357" s="50"/>
      <c r="D357" s="50"/>
      <c r="E357" s="50"/>
      <c r="F357" s="50"/>
      <c r="G357" s="50"/>
    </row>
    <row r="358">
      <c r="A358" s="50"/>
      <c r="B358" s="50"/>
      <c r="C358" s="50"/>
      <c r="D358" s="50"/>
      <c r="E358" s="50"/>
      <c r="F358" s="50"/>
      <c r="G358" s="50"/>
    </row>
    <row r="359">
      <c r="A359" s="50"/>
      <c r="B359" s="50"/>
      <c r="C359" s="50"/>
      <c r="D359" s="50"/>
      <c r="E359" s="50"/>
      <c r="F359" s="50"/>
      <c r="G359" s="50"/>
    </row>
    <row r="360">
      <c r="A360" s="50"/>
      <c r="B360" s="50"/>
      <c r="C360" s="50"/>
      <c r="D360" s="50"/>
      <c r="E360" s="50"/>
      <c r="F360" s="50"/>
      <c r="G360" s="50"/>
    </row>
    <row r="361">
      <c r="A361" s="50"/>
      <c r="B361" s="50"/>
      <c r="C361" s="50"/>
      <c r="D361" s="50"/>
      <c r="E361" s="50"/>
      <c r="F361" s="50"/>
      <c r="G361" s="50"/>
    </row>
    <row r="362">
      <c r="A362" s="50"/>
      <c r="B362" s="50"/>
      <c r="C362" s="50"/>
      <c r="D362" s="50"/>
      <c r="E362" s="50"/>
      <c r="F362" s="50"/>
      <c r="G362" s="50"/>
    </row>
    <row r="363">
      <c r="A363" s="50"/>
      <c r="B363" s="50"/>
      <c r="C363" s="50"/>
      <c r="D363" s="50"/>
      <c r="E363" s="50"/>
      <c r="F363" s="50"/>
      <c r="G363" s="50"/>
    </row>
    <row r="364">
      <c r="A364" s="50"/>
      <c r="B364" s="50"/>
      <c r="C364" s="50"/>
      <c r="D364" s="50"/>
      <c r="E364" s="50"/>
      <c r="F364" s="50"/>
      <c r="G364" s="50"/>
    </row>
    <row r="365">
      <c r="A365" s="50"/>
      <c r="B365" s="50"/>
      <c r="C365" s="50"/>
      <c r="D365" s="50"/>
      <c r="E365" s="50"/>
      <c r="F365" s="50"/>
      <c r="G365" s="50"/>
    </row>
    <row r="366">
      <c r="A366" s="50"/>
      <c r="B366" s="50"/>
      <c r="C366" s="50"/>
      <c r="D366" s="50"/>
      <c r="E366" s="50"/>
      <c r="F366" s="50"/>
      <c r="G366" s="50"/>
    </row>
    <row r="367">
      <c r="A367" s="50"/>
      <c r="B367" s="50"/>
      <c r="C367" s="50"/>
      <c r="D367" s="50"/>
      <c r="E367" s="50"/>
      <c r="F367" s="50"/>
      <c r="G367" s="50"/>
    </row>
    <row r="368">
      <c r="A368" s="50"/>
      <c r="B368" s="50"/>
      <c r="C368" s="50"/>
      <c r="D368" s="50"/>
      <c r="E368" s="50"/>
      <c r="F368" s="50"/>
      <c r="G368" s="50"/>
    </row>
    <row r="369">
      <c r="A369" s="50"/>
      <c r="B369" s="50"/>
      <c r="C369" s="50"/>
      <c r="D369" s="50"/>
      <c r="E369" s="50"/>
      <c r="F369" s="50"/>
      <c r="G369" s="50"/>
    </row>
    <row r="370">
      <c r="A370" s="50"/>
      <c r="B370" s="50"/>
      <c r="C370" s="50"/>
      <c r="D370" s="50"/>
      <c r="E370" s="50"/>
      <c r="F370" s="50"/>
      <c r="G370" s="50"/>
    </row>
    <row r="371">
      <c r="A371" s="50"/>
      <c r="B371" s="50"/>
      <c r="C371" s="50"/>
      <c r="D371" s="50"/>
      <c r="E371" s="50"/>
      <c r="F371" s="50"/>
      <c r="G371" s="50"/>
    </row>
    <row r="372">
      <c r="A372" s="50"/>
      <c r="B372" s="50"/>
      <c r="C372" s="50"/>
      <c r="D372" s="50"/>
      <c r="E372" s="50"/>
      <c r="F372" s="50"/>
      <c r="G372" s="50"/>
    </row>
    <row r="373">
      <c r="A373" s="50"/>
      <c r="B373" s="50"/>
      <c r="C373" s="50"/>
      <c r="D373" s="50"/>
      <c r="E373" s="50"/>
      <c r="F373" s="50"/>
      <c r="G373" s="50"/>
    </row>
    <row r="374">
      <c r="A374" s="50"/>
      <c r="B374" s="50"/>
      <c r="C374" s="50"/>
      <c r="D374" s="50"/>
      <c r="E374" s="50"/>
      <c r="F374" s="50"/>
      <c r="G374" s="50"/>
    </row>
    <row r="375">
      <c r="A375" s="50"/>
      <c r="B375" s="50"/>
      <c r="C375" s="50"/>
      <c r="D375" s="50"/>
      <c r="E375" s="50"/>
      <c r="F375" s="50"/>
      <c r="G375" s="50"/>
    </row>
    <row r="376">
      <c r="A376" s="50"/>
      <c r="B376" s="50"/>
      <c r="C376" s="50"/>
      <c r="D376" s="50"/>
      <c r="E376" s="50"/>
      <c r="F376" s="50"/>
      <c r="G376" s="50"/>
    </row>
    <row r="377">
      <c r="A377" s="50"/>
      <c r="B377" s="50"/>
      <c r="C377" s="50"/>
      <c r="D377" s="50"/>
      <c r="E377" s="50"/>
      <c r="F377" s="50"/>
      <c r="G377" s="50"/>
    </row>
    <row r="378">
      <c r="A378" s="50"/>
      <c r="B378" s="50"/>
      <c r="C378" s="50"/>
      <c r="D378" s="50"/>
      <c r="E378" s="50"/>
      <c r="F378" s="50"/>
      <c r="G378" s="50"/>
    </row>
    <row r="379">
      <c r="A379" s="50"/>
      <c r="B379" s="50"/>
      <c r="C379" s="50"/>
      <c r="D379" s="50"/>
      <c r="E379" s="50"/>
      <c r="F379" s="50"/>
      <c r="G379" s="50"/>
    </row>
    <row r="380">
      <c r="A380" s="50"/>
      <c r="B380" s="50"/>
      <c r="C380" s="50"/>
      <c r="D380" s="50"/>
      <c r="E380" s="50"/>
      <c r="F380" s="50"/>
      <c r="G380" s="50"/>
    </row>
    <row r="381">
      <c r="A381" s="50"/>
      <c r="B381" s="50"/>
      <c r="C381" s="50"/>
      <c r="D381" s="50"/>
      <c r="E381" s="50"/>
      <c r="F381" s="50"/>
      <c r="G381" s="50"/>
    </row>
    <row r="382">
      <c r="A382" s="50"/>
      <c r="B382" s="50"/>
      <c r="C382" s="50"/>
      <c r="D382" s="50"/>
      <c r="E382" s="50"/>
      <c r="F382" s="50"/>
      <c r="G382" s="50"/>
    </row>
    <row r="383">
      <c r="A383" s="50"/>
      <c r="B383" s="50"/>
      <c r="C383" s="50"/>
      <c r="D383" s="50"/>
      <c r="E383" s="50"/>
      <c r="F383" s="50"/>
      <c r="G383" s="50"/>
    </row>
    <row r="384">
      <c r="A384" s="50"/>
      <c r="B384" s="50"/>
      <c r="C384" s="50"/>
      <c r="D384" s="50"/>
      <c r="E384" s="50"/>
      <c r="F384" s="50"/>
      <c r="G384" s="50"/>
    </row>
    <row r="385">
      <c r="A385" s="50"/>
      <c r="B385" s="50"/>
      <c r="C385" s="50"/>
      <c r="D385" s="50"/>
      <c r="E385" s="50"/>
      <c r="F385" s="50"/>
      <c r="G385" s="50"/>
    </row>
    <row r="386">
      <c r="A386" s="50"/>
      <c r="B386" s="50"/>
      <c r="C386" s="50"/>
      <c r="D386" s="50"/>
      <c r="E386" s="50"/>
      <c r="F386" s="50"/>
      <c r="G386" s="50"/>
    </row>
    <row r="387">
      <c r="A387" s="50"/>
      <c r="B387" s="50"/>
      <c r="C387" s="50"/>
      <c r="D387" s="50"/>
      <c r="E387" s="50"/>
      <c r="F387" s="50"/>
      <c r="G387" s="50"/>
    </row>
    <row r="388">
      <c r="A388" s="50"/>
      <c r="B388" s="50"/>
      <c r="C388" s="50"/>
      <c r="D388" s="50"/>
      <c r="E388" s="50"/>
      <c r="F388" s="50"/>
      <c r="G388" s="50"/>
    </row>
    <row r="389">
      <c r="A389" s="50"/>
      <c r="B389" s="50"/>
      <c r="C389" s="50"/>
      <c r="D389" s="50"/>
      <c r="E389" s="50"/>
      <c r="F389" s="50"/>
      <c r="G389" s="50"/>
    </row>
    <row r="390">
      <c r="A390" s="50"/>
      <c r="B390" s="50"/>
      <c r="C390" s="50"/>
      <c r="D390" s="50"/>
      <c r="E390" s="50"/>
      <c r="F390" s="50"/>
      <c r="G390" s="50"/>
    </row>
    <row r="391">
      <c r="A391" s="50"/>
      <c r="B391" s="50"/>
      <c r="C391" s="50"/>
      <c r="D391" s="50"/>
      <c r="E391" s="50"/>
      <c r="F391" s="50"/>
      <c r="G391" s="50"/>
    </row>
    <row r="392">
      <c r="A392" s="50"/>
      <c r="B392" s="50"/>
      <c r="C392" s="50"/>
      <c r="D392" s="50"/>
      <c r="E392" s="50"/>
      <c r="F392" s="50"/>
      <c r="G392" s="50"/>
    </row>
    <row r="393">
      <c r="A393" s="50"/>
      <c r="B393" s="50"/>
      <c r="C393" s="50"/>
      <c r="D393" s="50"/>
      <c r="E393" s="50"/>
      <c r="F393" s="50"/>
      <c r="G393" s="50"/>
    </row>
    <row r="394">
      <c r="A394" s="50"/>
      <c r="B394" s="50"/>
      <c r="C394" s="50"/>
      <c r="D394" s="50"/>
      <c r="E394" s="50"/>
      <c r="F394" s="50"/>
      <c r="G394" s="50"/>
    </row>
    <row r="395">
      <c r="A395" s="50"/>
      <c r="B395" s="50"/>
      <c r="C395" s="50"/>
      <c r="D395" s="50"/>
      <c r="E395" s="50"/>
      <c r="F395" s="50"/>
      <c r="G395" s="50"/>
    </row>
    <row r="396">
      <c r="A396" s="50"/>
      <c r="B396" s="50"/>
      <c r="C396" s="50"/>
      <c r="D396" s="50"/>
      <c r="E396" s="50"/>
      <c r="F396" s="50"/>
      <c r="G396" s="50"/>
    </row>
    <row r="397">
      <c r="A397" s="50"/>
      <c r="B397" s="50"/>
      <c r="C397" s="50"/>
      <c r="D397" s="50"/>
      <c r="E397" s="50"/>
      <c r="F397" s="50"/>
      <c r="G397" s="50"/>
    </row>
    <row r="398">
      <c r="A398" s="50"/>
      <c r="B398" s="50"/>
      <c r="C398" s="50"/>
      <c r="D398" s="50"/>
      <c r="E398" s="50"/>
      <c r="F398" s="50"/>
      <c r="G398" s="50"/>
    </row>
    <row r="399">
      <c r="A399" s="50"/>
      <c r="B399" s="50"/>
      <c r="C399" s="50"/>
      <c r="D399" s="50"/>
      <c r="E399" s="50"/>
      <c r="F399" s="50"/>
      <c r="G399" s="50"/>
    </row>
    <row r="400">
      <c r="A400" s="50"/>
      <c r="B400" s="50"/>
      <c r="C400" s="50"/>
      <c r="D400" s="50"/>
      <c r="E400" s="50"/>
      <c r="F400" s="50"/>
      <c r="G400" s="50"/>
    </row>
    <row r="401">
      <c r="A401" s="50"/>
      <c r="B401" s="50"/>
      <c r="C401" s="50"/>
      <c r="D401" s="50"/>
      <c r="E401" s="50"/>
      <c r="F401" s="50"/>
      <c r="G401" s="50"/>
    </row>
    <row r="402">
      <c r="A402" s="50"/>
      <c r="B402" s="50"/>
      <c r="C402" s="50"/>
      <c r="D402" s="50"/>
      <c r="E402" s="50"/>
      <c r="F402" s="50"/>
      <c r="G402" s="50"/>
    </row>
    <row r="403">
      <c r="A403" s="50"/>
      <c r="B403" s="50"/>
      <c r="C403" s="50"/>
      <c r="D403" s="50"/>
      <c r="E403" s="50"/>
      <c r="F403" s="50"/>
      <c r="G403" s="50"/>
    </row>
    <row r="404">
      <c r="A404" s="50"/>
      <c r="B404" s="50"/>
      <c r="C404" s="50"/>
      <c r="D404" s="50"/>
      <c r="E404" s="50"/>
      <c r="F404" s="50"/>
      <c r="G404" s="50"/>
    </row>
    <row r="405">
      <c r="A405" s="50"/>
      <c r="B405" s="50"/>
      <c r="C405" s="50"/>
      <c r="D405" s="50"/>
      <c r="E405" s="50"/>
      <c r="F405" s="50"/>
      <c r="G405" s="50"/>
    </row>
    <row r="406">
      <c r="A406" s="50"/>
      <c r="B406" s="50"/>
      <c r="C406" s="50"/>
      <c r="D406" s="50"/>
      <c r="E406" s="50"/>
      <c r="F406" s="50"/>
      <c r="G406" s="50"/>
    </row>
    <row r="407">
      <c r="A407" s="50"/>
      <c r="B407" s="50"/>
      <c r="C407" s="50"/>
      <c r="D407" s="50"/>
      <c r="E407" s="50"/>
      <c r="F407" s="50"/>
      <c r="G407" s="50"/>
    </row>
    <row r="408">
      <c r="A408" s="50"/>
      <c r="B408" s="50"/>
      <c r="C408" s="50"/>
      <c r="D408" s="50"/>
      <c r="E408" s="50"/>
      <c r="F408" s="50"/>
      <c r="G408" s="50"/>
    </row>
    <row r="409">
      <c r="A409" s="50"/>
      <c r="B409" s="50"/>
      <c r="C409" s="50"/>
      <c r="D409" s="50"/>
      <c r="E409" s="50"/>
      <c r="F409" s="50"/>
      <c r="G409" s="50"/>
    </row>
    <row r="410">
      <c r="A410" s="50"/>
      <c r="B410" s="50"/>
      <c r="C410" s="50"/>
      <c r="D410" s="50"/>
      <c r="E410" s="50"/>
      <c r="F410" s="50"/>
      <c r="G410" s="50"/>
    </row>
    <row r="411">
      <c r="A411" s="50"/>
      <c r="B411" s="50"/>
      <c r="C411" s="50"/>
      <c r="D411" s="50"/>
      <c r="E411" s="50"/>
      <c r="F411" s="50"/>
      <c r="G411" s="50"/>
    </row>
    <row r="412">
      <c r="A412" s="50"/>
      <c r="B412" s="50"/>
      <c r="C412" s="50"/>
      <c r="D412" s="50"/>
      <c r="E412" s="50"/>
      <c r="F412" s="50"/>
      <c r="G412" s="50"/>
    </row>
    <row r="413">
      <c r="A413" s="50"/>
      <c r="B413" s="50"/>
      <c r="C413" s="50"/>
      <c r="D413" s="50"/>
      <c r="E413" s="50"/>
      <c r="F413" s="50"/>
      <c r="G413" s="50"/>
    </row>
    <row r="414">
      <c r="A414" s="50"/>
      <c r="B414" s="50"/>
      <c r="C414" s="50"/>
      <c r="D414" s="50"/>
      <c r="E414" s="50"/>
      <c r="F414" s="50"/>
      <c r="G414" s="50"/>
    </row>
    <row r="415">
      <c r="A415" s="50"/>
      <c r="B415" s="50"/>
      <c r="C415" s="50"/>
      <c r="D415" s="50"/>
      <c r="E415" s="50"/>
      <c r="F415" s="50"/>
      <c r="G415" s="50"/>
    </row>
    <row r="416">
      <c r="A416" s="50"/>
      <c r="B416" s="50"/>
      <c r="C416" s="50"/>
      <c r="D416" s="50"/>
      <c r="E416" s="50"/>
      <c r="F416" s="50"/>
      <c r="G416" s="50"/>
    </row>
    <row r="417">
      <c r="A417" s="50"/>
      <c r="B417" s="50"/>
      <c r="C417" s="50"/>
      <c r="D417" s="50"/>
      <c r="E417" s="50"/>
      <c r="F417" s="50"/>
      <c r="G417" s="50"/>
    </row>
    <row r="418">
      <c r="A418" s="50"/>
      <c r="B418" s="50"/>
      <c r="C418" s="50"/>
      <c r="D418" s="50"/>
      <c r="E418" s="50"/>
      <c r="F418" s="50"/>
      <c r="G418" s="50"/>
    </row>
    <row r="419">
      <c r="A419" s="50"/>
      <c r="B419" s="50"/>
      <c r="C419" s="50"/>
      <c r="D419" s="50"/>
      <c r="E419" s="50"/>
      <c r="F419" s="50"/>
      <c r="G419" s="50"/>
    </row>
    <row r="420">
      <c r="A420" s="50"/>
      <c r="B420" s="50"/>
      <c r="C420" s="50"/>
      <c r="D420" s="50"/>
      <c r="E420" s="50"/>
      <c r="F420" s="50"/>
      <c r="G420" s="50"/>
    </row>
    <row r="421">
      <c r="A421" s="50"/>
      <c r="B421" s="50"/>
      <c r="C421" s="50"/>
      <c r="D421" s="50"/>
      <c r="E421" s="50"/>
      <c r="F421" s="50"/>
      <c r="G421" s="50"/>
    </row>
    <row r="422">
      <c r="A422" s="50"/>
      <c r="B422" s="50"/>
      <c r="C422" s="50"/>
      <c r="D422" s="50"/>
      <c r="E422" s="50"/>
      <c r="F422" s="50"/>
      <c r="G422" s="50"/>
    </row>
    <row r="423">
      <c r="A423" s="50"/>
      <c r="B423" s="50"/>
      <c r="C423" s="50"/>
      <c r="D423" s="50"/>
      <c r="E423" s="50"/>
      <c r="F423" s="50"/>
      <c r="G423" s="50"/>
    </row>
    <row r="424">
      <c r="A424" s="50"/>
      <c r="B424" s="50"/>
      <c r="C424" s="50"/>
      <c r="D424" s="50"/>
      <c r="E424" s="50"/>
      <c r="F424" s="50"/>
      <c r="G424" s="50"/>
    </row>
    <row r="425">
      <c r="A425" s="50"/>
      <c r="B425" s="50"/>
      <c r="C425" s="50"/>
      <c r="D425" s="50"/>
      <c r="E425" s="50"/>
      <c r="F425" s="50"/>
      <c r="G425" s="50"/>
    </row>
    <row r="426">
      <c r="A426" s="50"/>
      <c r="B426" s="50"/>
      <c r="C426" s="50"/>
      <c r="D426" s="50"/>
      <c r="E426" s="50"/>
      <c r="F426" s="50"/>
      <c r="G426" s="50"/>
    </row>
    <row r="427">
      <c r="A427" s="50"/>
      <c r="B427" s="50"/>
      <c r="C427" s="50"/>
      <c r="D427" s="50"/>
      <c r="E427" s="50"/>
      <c r="F427" s="50"/>
      <c r="G427" s="50"/>
    </row>
    <row r="428">
      <c r="A428" s="50"/>
      <c r="B428" s="50"/>
      <c r="C428" s="50"/>
      <c r="D428" s="50"/>
      <c r="E428" s="50"/>
      <c r="F428" s="50"/>
      <c r="G428" s="50"/>
    </row>
    <row r="429">
      <c r="A429" s="50"/>
      <c r="B429" s="50"/>
      <c r="C429" s="50"/>
      <c r="D429" s="50"/>
      <c r="E429" s="50"/>
      <c r="F429" s="50"/>
      <c r="G429" s="50"/>
    </row>
    <row r="430">
      <c r="A430" s="50"/>
      <c r="B430" s="50"/>
      <c r="C430" s="50"/>
      <c r="D430" s="50"/>
      <c r="E430" s="50"/>
      <c r="F430" s="50"/>
      <c r="G430" s="50"/>
    </row>
    <row r="431">
      <c r="A431" s="50"/>
      <c r="B431" s="50"/>
      <c r="C431" s="50"/>
      <c r="D431" s="50"/>
      <c r="E431" s="50"/>
      <c r="F431" s="50"/>
      <c r="G431" s="50"/>
    </row>
    <row r="432">
      <c r="A432" s="50"/>
      <c r="B432" s="50"/>
      <c r="C432" s="50"/>
      <c r="D432" s="50"/>
      <c r="E432" s="50"/>
      <c r="F432" s="50"/>
      <c r="G432" s="50"/>
    </row>
    <row r="433">
      <c r="A433" s="50"/>
      <c r="B433" s="50"/>
      <c r="C433" s="50"/>
      <c r="D433" s="50"/>
      <c r="E433" s="50"/>
      <c r="F433" s="50"/>
      <c r="G433" s="50"/>
    </row>
    <row r="434">
      <c r="A434" s="50"/>
      <c r="B434" s="50"/>
      <c r="C434" s="50"/>
      <c r="D434" s="50"/>
      <c r="E434" s="50"/>
      <c r="F434" s="50"/>
      <c r="G434" s="50"/>
    </row>
    <row r="435">
      <c r="A435" s="50"/>
      <c r="B435" s="50"/>
      <c r="C435" s="50"/>
      <c r="D435" s="50"/>
      <c r="E435" s="50"/>
      <c r="F435" s="50"/>
      <c r="G435" s="50"/>
    </row>
    <row r="436">
      <c r="A436" s="50"/>
      <c r="B436" s="50"/>
      <c r="C436" s="50"/>
      <c r="D436" s="50"/>
      <c r="E436" s="50"/>
      <c r="F436" s="50"/>
      <c r="G436" s="50"/>
    </row>
    <row r="437">
      <c r="A437" s="50"/>
      <c r="B437" s="50"/>
      <c r="C437" s="50"/>
      <c r="D437" s="50"/>
      <c r="E437" s="50"/>
      <c r="F437" s="50"/>
      <c r="G437" s="50"/>
    </row>
    <row r="438">
      <c r="A438" s="50"/>
      <c r="B438" s="50"/>
      <c r="C438" s="50"/>
      <c r="D438" s="50"/>
      <c r="E438" s="50"/>
      <c r="F438" s="50"/>
      <c r="G438" s="50"/>
    </row>
    <row r="439">
      <c r="A439" s="50"/>
      <c r="B439" s="50"/>
      <c r="C439" s="50"/>
      <c r="D439" s="50"/>
      <c r="E439" s="50"/>
      <c r="F439" s="50"/>
      <c r="G439" s="50"/>
    </row>
    <row r="440">
      <c r="A440" s="50"/>
      <c r="B440" s="50"/>
      <c r="C440" s="50"/>
      <c r="D440" s="50"/>
      <c r="E440" s="50"/>
      <c r="F440" s="50"/>
      <c r="G440" s="50"/>
    </row>
    <row r="441">
      <c r="A441" s="50"/>
      <c r="B441" s="50"/>
      <c r="C441" s="50"/>
      <c r="D441" s="50"/>
      <c r="E441" s="50"/>
      <c r="F441" s="50"/>
      <c r="G441" s="50"/>
    </row>
    <row r="442">
      <c r="A442" s="50"/>
      <c r="B442" s="50"/>
      <c r="C442" s="50"/>
      <c r="D442" s="50"/>
      <c r="E442" s="50"/>
      <c r="F442" s="50"/>
      <c r="G442" s="50"/>
    </row>
    <row r="443">
      <c r="A443" s="50"/>
      <c r="B443" s="50"/>
      <c r="C443" s="50"/>
      <c r="D443" s="50"/>
      <c r="E443" s="50"/>
      <c r="F443" s="50"/>
      <c r="G443" s="50"/>
    </row>
    <row r="444">
      <c r="A444" s="50"/>
      <c r="B444" s="50"/>
      <c r="C444" s="50"/>
      <c r="D444" s="50"/>
      <c r="E444" s="50"/>
      <c r="F444" s="50"/>
      <c r="G444" s="50"/>
    </row>
    <row r="445">
      <c r="A445" s="50"/>
      <c r="B445" s="50"/>
      <c r="C445" s="50"/>
      <c r="D445" s="50"/>
      <c r="E445" s="50"/>
      <c r="F445" s="50"/>
      <c r="G445" s="50"/>
    </row>
    <row r="446">
      <c r="A446" s="50"/>
      <c r="B446" s="50"/>
      <c r="C446" s="50"/>
      <c r="D446" s="50"/>
      <c r="E446" s="50"/>
      <c r="F446" s="50"/>
      <c r="G446" s="50"/>
    </row>
    <row r="447">
      <c r="A447" s="50"/>
      <c r="B447" s="50"/>
      <c r="C447" s="50"/>
      <c r="D447" s="50"/>
      <c r="E447" s="50"/>
      <c r="F447" s="50"/>
      <c r="G447" s="50"/>
    </row>
    <row r="448">
      <c r="A448" s="50"/>
      <c r="B448" s="50"/>
      <c r="C448" s="50"/>
      <c r="D448" s="50"/>
      <c r="E448" s="50"/>
      <c r="F448" s="50"/>
      <c r="G448" s="50"/>
    </row>
    <row r="449">
      <c r="A449" s="50"/>
      <c r="B449" s="50"/>
      <c r="C449" s="50"/>
      <c r="D449" s="50"/>
      <c r="E449" s="50"/>
      <c r="F449" s="50"/>
      <c r="G449" s="50"/>
    </row>
    <row r="450">
      <c r="A450" s="50"/>
      <c r="B450" s="50"/>
      <c r="C450" s="50"/>
      <c r="D450" s="50"/>
      <c r="E450" s="50"/>
      <c r="F450" s="50"/>
      <c r="G450" s="50"/>
    </row>
    <row r="451">
      <c r="A451" s="50"/>
      <c r="B451" s="50"/>
      <c r="C451" s="50"/>
      <c r="D451" s="50"/>
      <c r="E451" s="50"/>
      <c r="F451" s="50"/>
      <c r="G451" s="50"/>
    </row>
    <row r="452">
      <c r="A452" s="50"/>
      <c r="B452" s="50"/>
      <c r="C452" s="50"/>
      <c r="D452" s="50"/>
      <c r="E452" s="50"/>
      <c r="F452" s="50"/>
      <c r="G452" s="50"/>
    </row>
    <row r="453">
      <c r="A453" s="50"/>
      <c r="B453" s="50"/>
      <c r="C453" s="50"/>
      <c r="D453" s="50"/>
      <c r="E453" s="50"/>
      <c r="F453" s="50"/>
      <c r="G453" s="50"/>
    </row>
    <row r="454">
      <c r="A454" s="50"/>
      <c r="B454" s="50"/>
      <c r="C454" s="50"/>
      <c r="D454" s="50"/>
      <c r="E454" s="50"/>
      <c r="F454" s="50"/>
      <c r="G454" s="50"/>
    </row>
    <row r="455">
      <c r="A455" s="50"/>
      <c r="B455" s="50"/>
      <c r="C455" s="50"/>
      <c r="D455" s="50"/>
      <c r="E455" s="50"/>
      <c r="F455" s="50"/>
      <c r="G455" s="50"/>
    </row>
    <row r="456">
      <c r="A456" s="50"/>
      <c r="B456" s="50"/>
      <c r="C456" s="50"/>
      <c r="D456" s="50"/>
      <c r="E456" s="50"/>
      <c r="F456" s="50"/>
      <c r="G456" s="50"/>
    </row>
    <row r="457">
      <c r="A457" s="50"/>
      <c r="B457" s="50"/>
      <c r="C457" s="50"/>
      <c r="D457" s="50"/>
      <c r="E457" s="50"/>
      <c r="F457" s="50"/>
      <c r="G457" s="50"/>
    </row>
    <row r="458">
      <c r="A458" s="50"/>
      <c r="B458" s="50"/>
      <c r="C458" s="50"/>
      <c r="D458" s="50"/>
      <c r="E458" s="50"/>
      <c r="F458" s="50"/>
      <c r="G458" s="50"/>
    </row>
    <row r="459">
      <c r="A459" s="50"/>
      <c r="B459" s="50"/>
      <c r="C459" s="50"/>
      <c r="D459" s="50"/>
      <c r="E459" s="50"/>
      <c r="F459" s="50"/>
      <c r="G459" s="50"/>
    </row>
    <row r="460">
      <c r="A460" s="50"/>
      <c r="B460" s="50"/>
      <c r="C460" s="50"/>
      <c r="D460" s="50"/>
      <c r="E460" s="50"/>
      <c r="F460" s="50"/>
      <c r="G460" s="50"/>
    </row>
    <row r="461">
      <c r="A461" s="50"/>
      <c r="B461" s="50"/>
      <c r="C461" s="50"/>
      <c r="D461" s="50"/>
      <c r="E461" s="50"/>
      <c r="F461" s="50"/>
      <c r="G461" s="50"/>
    </row>
    <row r="462">
      <c r="A462" s="50"/>
      <c r="B462" s="50"/>
      <c r="C462" s="50"/>
      <c r="D462" s="50"/>
      <c r="E462" s="50"/>
      <c r="F462" s="50"/>
      <c r="G462" s="50"/>
    </row>
    <row r="463">
      <c r="A463" s="50"/>
      <c r="B463" s="50"/>
      <c r="C463" s="50"/>
      <c r="D463" s="50"/>
      <c r="E463" s="50"/>
      <c r="F463" s="50"/>
      <c r="G463" s="50"/>
    </row>
    <row r="464">
      <c r="A464" s="50"/>
      <c r="B464" s="50"/>
      <c r="C464" s="50"/>
      <c r="D464" s="50"/>
      <c r="E464" s="50"/>
      <c r="F464" s="50"/>
      <c r="G464" s="50"/>
    </row>
    <row r="465">
      <c r="A465" s="50"/>
      <c r="B465" s="50"/>
      <c r="C465" s="50"/>
      <c r="D465" s="50"/>
      <c r="E465" s="50"/>
      <c r="F465" s="50"/>
      <c r="G465" s="50"/>
    </row>
    <row r="466">
      <c r="A466" s="50"/>
      <c r="B466" s="50"/>
      <c r="C466" s="50"/>
      <c r="D466" s="50"/>
      <c r="E466" s="50"/>
      <c r="F466" s="50"/>
      <c r="G466" s="50"/>
    </row>
    <row r="467">
      <c r="A467" s="50"/>
      <c r="B467" s="50"/>
      <c r="C467" s="50"/>
      <c r="D467" s="50"/>
      <c r="E467" s="50"/>
      <c r="F467" s="50"/>
      <c r="G467" s="50"/>
    </row>
    <row r="468">
      <c r="A468" s="50"/>
      <c r="B468" s="50"/>
      <c r="C468" s="50"/>
      <c r="D468" s="50"/>
      <c r="E468" s="50"/>
      <c r="F468" s="50"/>
      <c r="G468" s="50"/>
    </row>
    <row r="469">
      <c r="A469" s="50"/>
      <c r="B469" s="50"/>
      <c r="C469" s="50"/>
      <c r="D469" s="50"/>
      <c r="E469" s="50"/>
      <c r="F469" s="50"/>
      <c r="G469" s="50"/>
    </row>
    <row r="470">
      <c r="A470" s="50"/>
      <c r="B470" s="50"/>
      <c r="C470" s="50"/>
      <c r="D470" s="50"/>
      <c r="E470" s="50"/>
      <c r="F470" s="50"/>
      <c r="G470" s="50"/>
    </row>
    <row r="471">
      <c r="A471" s="50"/>
      <c r="B471" s="50"/>
      <c r="C471" s="50"/>
      <c r="D471" s="50"/>
      <c r="E471" s="50"/>
      <c r="F471" s="50"/>
      <c r="G471" s="50"/>
    </row>
    <row r="472">
      <c r="A472" s="50"/>
      <c r="B472" s="50"/>
      <c r="C472" s="50"/>
      <c r="D472" s="50"/>
      <c r="E472" s="50"/>
      <c r="F472" s="50"/>
      <c r="G472" s="50"/>
    </row>
    <row r="473">
      <c r="A473" s="50"/>
      <c r="B473" s="50"/>
      <c r="C473" s="50"/>
      <c r="D473" s="50"/>
      <c r="E473" s="50"/>
      <c r="F473" s="50"/>
      <c r="G473" s="50"/>
    </row>
    <row r="474">
      <c r="A474" s="50"/>
      <c r="B474" s="50"/>
      <c r="C474" s="50"/>
      <c r="D474" s="50"/>
      <c r="E474" s="50"/>
      <c r="F474" s="50"/>
      <c r="G474" s="50"/>
    </row>
    <row r="475">
      <c r="A475" s="50"/>
      <c r="B475" s="50"/>
      <c r="C475" s="50"/>
      <c r="D475" s="50"/>
      <c r="E475" s="50"/>
      <c r="F475" s="50"/>
      <c r="G475" s="50"/>
    </row>
    <row r="476">
      <c r="A476" s="50"/>
      <c r="B476" s="50"/>
      <c r="C476" s="50"/>
      <c r="D476" s="50"/>
      <c r="E476" s="50"/>
      <c r="F476" s="50"/>
      <c r="G476" s="50"/>
    </row>
    <row r="477">
      <c r="A477" s="50"/>
      <c r="B477" s="50"/>
      <c r="C477" s="50"/>
      <c r="D477" s="50"/>
      <c r="E477" s="50"/>
      <c r="F477" s="50"/>
      <c r="G477" s="50"/>
    </row>
    <row r="478">
      <c r="A478" s="50"/>
      <c r="B478" s="50"/>
      <c r="C478" s="50"/>
      <c r="D478" s="50"/>
      <c r="E478" s="50"/>
      <c r="F478" s="50"/>
      <c r="G478" s="50"/>
    </row>
    <row r="479">
      <c r="A479" s="50"/>
      <c r="B479" s="50"/>
      <c r="C479" s="50"/>
      <c r="D479" s="50"/>
      <c r="E479" s="50"/>
      <c r="F479" s="50"/>
      <c r="G479" s="50"/>
    </row>
    <row r="480">
      <c r="A480" s="50"/>
      <c r="B480" s="50"/>
      <c r="C480" s="50"/>
      <c r="D480" s="50"/>
      <c r="E480" s="50"/>
      <c r="F480" s="50"/>
      <c r="G480" s="50"/>
    </row>
    <row r="481">
      <c r="A481" s="50"/>
      <c r="B481" s="50"/>
      <c r="C481" s="50"/>
      <c r="D481" s="50"/>
      <c r="E481" s="50"/>
      <c r="F481" s="50"/>
      <c r="G481" s="50"/>
    </row>
    <row r="482">
      <c r="A482" s="50"/>
      <c r="B482" s="50"/>
      <c r="C482" s="50"/>
      <c r="D482" s="50"/>
      <c r="E482" s="50"/>
      <c r="F482" s="50"/>
      <c r="G482" s="50"/>
    </row>
    <row r="483">
      <c r="A483" s="50"/>
      <c r="B483" s="50"/>
      <c r="C483" s="50"/>
      <c r="D483" s="50"/>
      <c r="E483" s="50"/>
      <c r="F483" s="50"/>
      <c r="G483" s="50"/>
    </row>
    <row r="484">
      <c r="A484" s="50"/>
      <c r="B484" s="50"/>
      <c r="C484" s="50"/>
      <c r="D484" s="50"/>
      <c r="E484" s="50"/>
      <c r="F484" s="50"/>
      <c r="G484" s="50"/>
    </row>
    <row r="485">
      <c r="A485" s="50"/>
      <c r="B485" s="50"/>
      <c r="C485" s="50"/>
      <c r="D485" s="50"/>
      <c r="E485" s="50"/>
      <c r="F485" s="50"/>
      <c r="G485" s="50"/>
    </row>
    <row r="486">
      <c r="A486" s="50"/>
      <c r="B486" s="50"/>
      <c r="C486" s="50"/>
      <c r="D486" s="50"/>
      <c r="E486" s="50"/>
      <c r="F486" s="50"/>
      <c r="G486" s="50"/>
    </row>
    <row r="487">
      <c r="A487" s="50"/>
      <c r="B487" s="50"/>
      <c r="C487" s="50"/>
      <c r="D487" s="50"/>
      <c r="E487" s="50"/>
      <c r="F487" s="50"/>
      <c r="G487" s="50"/>
    </row>
    <row r="488">
      <c r="A488" s="50"/>
      <c r="B488" s="50"/>
      <c r="C488" s="50"/>
      <c r="D488" s="50"/>
      <c r="E488" s="50"/>
      <c r="F488" s="50"/>
      <c r="G488" s="50"/>
    </row>
    <row r="489">
      <c r="A489" s="50"/>
      <c r="B489" s="50"/>
      <c r="C489" s="50"/>
      <c r="D489" s="50"/>
      <c r="E489" s="50"/>
      <c r="F489" s="50"/>
      <c r="G489" s="50"/>
    </row>
    <row r="490">
      <c r="A490" s="50"/>
      <c r="B490" s="50"/>
      <c r="C490" s="50"/>
      <c r="D490" s="50"/>
      <c r="E490" s="50"/>
      <c r="F490" s="50"/>
      <c r="G490" s="50"/>
    </row>
    <row r="491">
      <c r="A491" s="50"/>
      <c r="B491" s="50"/>
      <c r="C491" s="50"/>
      <c r="D491" s="50"/>
      <c r="E491" s="50"/>
      <c r="F491" s="50"/>
      <c r="G491" s="50"/>
    </row>
    <row r="492">
      <c r="A492" s="50"/>
      <c r="B492" s="50"/>
      <c r="C492" s="50"/>
      <c r="D492" s="50"/>
      <c r="E492" s="50"/>
      <c r="F492" s="50"/>
      <c r="G492" s="50"/>
    </row>
    <row r="493">
      <c r="A493" s="50"/>
      <c r="B493" s="50"/>
      <c r="C493" s="50"/>
      <c r="D493" s="50"/>
      <c r="E493" s="50"/>
      <c r="F493" s="50"/>
      <c r="G493" s="50"/>
    </row>
    <row r="494">
      <c r="A494" s="50"/>
      <c r="B494" s="50"/>
      <c r="C494" s="50"/>
      <c r="D494" s="50"/>
      <c r="E494" s="50"/>
      <c r="F494" s="50"/>
      <c r="G494" s="50"/>
    </row>
    <row r="495">
      <c r="A495" s="50"/>
      <c r="B495" s="50"/>
      <c r="C495" s="50"/>
      <c r="D495" s="50"/>
      <c r="E495" s="50"/>
      <c r="F495" s="50"/>
      <c r="G495" s="50"/>
    </row>
    <row r="496">
      <c r="A496" s="50"/>
      <c r="B496" s="50"/>
      <c r="C496" s="50"/>
      <c r="D496" s="50"/>
      <c r="E496" s="50"/>
      <c r="F496" s="50"/>
      <c r="G496" s="50"/>
    </row>
    <row r="497">
      <c r="A497" s="50"/>
      <c r="B497" s="50"/>
      <c r="C497" s="50"/>
      <c r="D497" s="50"/>
      <c r="E497" s="50"/>
      <c r="F497" s="50"/>
      <c r="G497" s="50"/>
    </row>
    <row r="498">
      <c r="A498" s="50"/>
      <c r="B498" s="50"/>
      <c r="C498" s="50"/>
      <c r="D498" s="50"/>
      <c r="E498" s="50"/>
      <c r="F498" s="50"/>
      <c r="G498" s="50"/>
    </row>
    <row r="499">
      <c r="A499" s="50"/>
      <c r="B499" s="50"/>
      <c r="C499" s="50"/>
      <c r="D499" s="50"/>
      <c r="E499" s="50"/>
      <c r="F499" s="50"/>
      <c r="G499" s="50"/>
    </row>
    <row r="500">
      <c r="A500" s="50"/>
      <c r="B500" s="50"/>
      <c r="C500" s="50"/>
      <c r="D500" s="50"/>
      <c r="E500" s="50"/>
      <c r="F500" s="50"/>
      <c r="G500" s="50"/>
    </row>
    <row r="501">
      <c r="A501" s="50"/>
      <c r="B501" s="50"/>
      <c r="C501" s="50"/>
      <c r="D501" s="50"/>
      <c r="E501" s="50"/>
      <c r="F501" s="50"/>
      <c r="G501" s="50"/>
    </row>
    <row r="502">
      <c r="A502" s="50"/>
      <c r="B502" s="50"/>
      <c r="C502" s="50"/>
      <c r="D502" s="50"/>
      <c r="E502" s="50"/>
      <c r="F502" s="50"/>
      <c r="G502" s="50"/>
    </row>
    <row r="503">
      <c r="A503" s="50"/>
      <c r="B503" s="50"/>
      <c r="C503" s="50"/>
      <c r="D503" s="50"/>
      <c r="E503" s="50"/>
      <c r="F503" s="50"/>
      <c r="G503" s="50"/>
    </row>
    <row r="504">
      <c r="A504" s="50"/>
      <c r="B504" s="50"/>
      <c r="C504" s="50"/>
      <c r="D504" s="50"/>
      <c r="E504" s="50"/>
      <c r="F504" s="50"/>
      <c r="G504" s="50"/>
    </row>
    <row r="505">
      <c r="A505" s="50"/>
      <c r="B505" s="50"/>
      <c r="C505" s="50"/>
      <c r="D505" s="50"/>
      <c r="E505" s="50"/>
      <c r="F505" s="50"/>
      <c r="G505" s="50"/>
    </row>
    <row r="506">
      <c r="A506" s="50"/>
      <c r="B506" s="50"/>
      <c r="C506" s="50"/>
      <c r="D506" s="50"/>
      <c r="E506" s="50"/>
      <c r="F506" s="50"/>
      <c r="G506" s="50"/>
    </row>
    <row r="507">
      <c r="A507" s="50"/>
      <c r="B507" s="50"/>
      <c r="C507" s="50"/>
      <c r="D507" s="50"/>
      <c r="E507" s="50"/>
      <c r="F507" s="50"/>
      <c r="G507" s="50"/>
    </row>
    <row r="508">
      <c r="A508" s="50"/>
      <c r="B508" s="50"/>
      <c r="C508" s="50"/>
      <c r="D508" s="50"/>
      <c r="E508" s="50"/>
      <c r="F508" s="50"/>
      <c r="G508" s="50"/>
    </row>
    <row r="509">
      <c r="A509" s="50"/>
      <c r="B509" s="50"/>
      <c r="C509" s="50"/>
      <c r="D509" s="50"/>
      <c r="E509" s="50"/>
      <c r="F509" s="50"/>
      <c r="G509" s="50"/>
    </row>
    <row r="510">
      <c r="A510" s="50"/>
      <c r="B510" s="50"/>
      <c r="C510" s="50"/>
      <c r="D510" s="50"/>
      <c r="E510" s="50"/>
      <c r="F510" s="50"/>
      <c r="G510" s="50"/>
    </row>
    <row r="511">
      <c r="A511" s="50"/>
      <c r="B511" s="50"/>
      <c r="C511" s="50"/>
      <c r="D511" s="50"/>
      <c r="E511" s="50"/>
      <c r="F511" s="50"/>
      <c r="G511" s="50"/>
    </row>
    <row r="512">
      <c r="A512" s="50"/>
      <c r="B512" s="50"/>
      <c r="C512" s="50"/>
      <c r="D512" s="50"/>
      <c r="E512" s="50"/>
      <c r="F512" s="50"/>
      <c r="G512" s="50"/>
    </row>
    <row r="513">
      <c r="A513" s="50"/>
      <c r="B513" s="50"/>
      <c r="C513" s="50"/>
      <c r="D513" s="50"/>
      <c r="E513" s="50"/>
      <c r="F513" s="50"/>
      <c r="G513" s="50"/>
    </row>
    <row r="514">
      <c r="A514" s="50"/>
      <c r="B514" s="50"/>
      <c r="C514" s="50"/>
      <c r="D514" s="50"/>
      <c r="E514" s="50"/>
      <c r="F514" s="50"/>
      <c r="G514" s="50"/>
    </row>
    <row r="515">
      <c r="A515" s="50"/>
      <c r="B515" s="50"/>
      <c r="C515" s="50"/>
      <c r="D515" s="50"/>
      <c r="E515" s="50"/>
      <c r="F515" s="50"/>
      <c r="G515" s="50"/>
    </row>
    <row r="516">
      <c r="A516" s="50"/>
      <c r="B516" s="50"/>
      <c r="C516" s="50"/>
      <c r="D516" s="50"/>
      <c r="E516" s="50"/>
      <c r="F516" s="50"/>
      <c r="G516" s="50"/>
    </row>
    <row r="517">
      <c r="A517" s="50"/>
      <c r="B517" s="50"/>
      <c r="C517" s="50"/>
      <c r="D517" s="50"/>
      <c r="E517" s="50"/>
      <c r="F517" s="50"/>
      <c r="G517" s="50"/>
    </row>
    <row r="518">
      <c r="A518" s="50"/>
      <c r="B518" s="50"/>
      <c r="C518" s="50"/>
      <c r="D518" s="50"/>
      <c r="E518" s="50"/>
      <c r="F518" s="50"/>
      <c r="G518" s="50"/>
    </row>
    <row r="519">
      <c r="A519" s="50"/>
      <c r="B519" s="50"/>
      <c r="C519" s="50"/>
      <c r="D519" s="50"/>
      <c r="E519" s="50"/>
      <c r="F519" s="50"/>
      <c r="G519" s="50"/>
    </row>
    <row r="520">
      <c r="A520" s="50"/>
      <c r="B520" s="50"/>
      <c r="C520" s="50"/>
      <c r="D520" s="50"/>
      <c r="E520" s="50"/>
      <c r="F520" s="50"/>
      <c r="G520" s="50"/>
    </row>
    <row r="521">
      <c r="A521" s="50"/>
      <c r="B521" s="50"/>
      <c r="C521" s="50"/>
      <c r="D521" s="50"/>
      <c r="E521" s="50"/>
      <c r="F521" s="50"/>
      <c r="G521" s="50"/>
    </row>
    <row r="522">
      <c r="A522" s="50"/>
      <c r="B522" s="50"/>
      <c r="C522" s="50"/>
      <c r="D522" s="50"/>
      <c r="E522" s="50"/>
      <c r="F522" s="50"/>
      <c r="G522" s="50"/>
    </row>
    <row r="523">
      <c r="A523" s="50"/>
      <c r="B523" s="50"/>
      <c r="C523" s="50"/>
      <c r="D523" s="50"/>
      <c r="E523" s="50"/>
      <c r="F523" s="50"/>
      <c r="G523" s="50"/>
    </row>
    <row r="524">
      <c r="A524" s="50"/>
      <c r="B524" s="50"/>
      <c r="C524" s="50"/>
      <c r="D524" s="50"/>
      <c r="E524" s="50"/>
      <c r="F524" s="50"/>
      <c r="G524" s="50"/>
    </row>
    <row r="525">
      <c r="A525" s="50"/>
      <c r="B525" s="50"/>
      <c r="C525" s="50"/>
      <c r="D525" s="50"/>
      <c r="E525" s="50"/>
      <c r="F525" s="50"/>
      <c r="G525" s="50"/>
    </row>
    <row r="526">
      <c r="A526" s="50"/>
      <c r="B526" s="50"/>
      <c r="C526" s="50"/>
      <c r="D526" s="50"/>
      <c r="E526" s="50"/>
      <c r="F526" s="50"/>
      <c r="G526" s="50"/>
    </row>
    <row r="527">
      <c r="A527" s="50"/>
      <c r="B527" s="50"/>
      <c r="C527" s="50"/>
      <c r="D527" s="50"/>
      <c r="E527" s="50"/>
      <c r="F527" s="50"/>
      <c r="G527" s="50"/>
    </row>
    <row r="528">
      <c r="A528" s="50"/>
      <c r="B528" s="50"/>
      <c r="C528" s="50"/>
      <c r="D528" s="50"/>
      <c r="E528" s="50"/>
      <c r="F528" s="50"/>
      <c r="G528" s="50"/>
    </row>
    <row r="529">
      <c r="A529" s="50"/>
      <c r="B529" s="50"/>
      <c r="C529" s="50"/>
      <c r="D529" s="50"/>
      <c r="E529" s="50"/>
      <c r="F529" s="50"/>
      <c r="G529" s="50"/>
    </row>
    <row r="530">
      <c r="A530" s="50"/>
      <c r="B530" s="50"/>
      <c r="C530" s="50"/>
      <c r="D530" s="50"/>
      <c r="E530" s="50"/>
      <c r="F530" s="50"/>
      <c r="G530" s="50"/>
    </row>
    <row r="531">
      <c r="A531" s="50"/>
      <c r="B531" s="50"/>
      <c r="C531" s="50"/>
      <c r="D531" s="50"/>
      <c r="E531" s="50"/>
      <c r="F531" s="50"/>
      <c r="G531" s="50"/>
    </row>
    <row r="532">
      <c r="A532" s="50"/>
      <c r="B532" s="50"/>
      <c r="C532" s="50"/>
      <c r="D532" s="50"/>
      <c r="E532" s="50"/>
      <c r="F532" s="50"/>
      <c r="G532" s="50"/>
    </row>
    <row r="533">
      <c r="A533" s="50"/>
      <c r="B533" s="50"/>
      <c r="C533" s="50"/>
      <c r="D533" s="50"/>
      <c r="E533" s="50"/>
      <c r="F533" s="50"/>
      <c r="G533" s="50"/>
    </row>
    <row r="534">
      <c r="A534" s="50"/>
      <c r="B534" s="50"/>
      <c r="C534" s="50"/>
      <c r="D534" s="50"/>
      <c r="E534" s="50"/>
      <c r="F534" s="50"/>
      <c r="G534" s="50"/>
    </row>
    <row r="535">
      <c r="A535" s="50"/>
      <c r="B535" s="50"/>
      <c r="C535" s="50"/>
      <c r="D535" s="50"/>
      <c r="E535" s="50"/>
      <c r="F535" s="50"/>
      <c r="G535" s="50"/>
    </row>
    <row r="536">
      <c r="A536" s="50"/>
      <c r="B536" s="50"/>
      <c r="C536" s="50"/>
      <c r="D536" s="50"/>
      <c r="E536" s="50"/>
      <c r="F536" s="50"/>
      <c r="G536" s="50"/>
    </row>
    <row r="537">
      <c r="A537" s="50"/>
      <c r="B537" s="50"/>
      <c r="C537" s="50"/>
      <c r="D537" s="50"/>
      <c r="E537" s="50"/>
      <c r="F537" s="50"/>
      <c r="G537" s="50"/>
    </row>
    <row r="538">
      <c r="A538" s="50"/>
      <c r="B538" s="50"/>
      <c r="C538" s="50"/>
      <c r="D538" s="50"/>
      <c r="E538" s="50"/>
      <c r="F538" s="50"/>
      <c r="G538" s="50"/>
    </row>
    <row r="539">
      <c r="A539" s="50"/>
      <c r="B539" s="50"/>
      <c r="C539" s="50"/>
      <c r="D539" s="50"/>
      <c r="E539" s="50"/>
      <c r="F539" s="50"/>
      <c r="G539" s="50"/>
    </row>
    <row r="540">
      <c r="A540" s="50"/>
      <c r="B540" s="50"/>
      <c r="C540" s="50"/>
      <c r="D540" s="50"/>
      <c r="E540" s="50"/>
      <c r="F540" s="50"/>
      <c r="G540" s="50"/>
    </row>
    <row r="541">
      <c r="A541" s="50"/>
      <c r="B541" s="50"/>
      <c r="C541" s="50"/>
      <c r="D541" s="50"/>
      <c r="E541" s="50"/>
      <c r="F541" s="50"/>
      <c r="G541" s="50"/>
    </row>
    <row r="542">
      <c r="A542" s="50"/>
      <c r="B542" s="50"/>
      <c r="C542" s="50"/>
      <c r="D542" s="50"/>
      <c r="E542" s="50"/>
      <c r="F542" s="50"/>
      <c r="G542" s="50"/>
    </row>
    <row r="543">
      <c r="A543" s="50"/>
      <c r="B543" s="50"/>
      <c r="C543" s="50"/>
      <c r="D543" s="50"/>
      <c r="E543" s="50"/>
      <c r="F543" s="50"/>
      <c r="G543" s="50"/>
    </row>
    <row r="544">
      <c r="A544" s="50"/>
      <c r="B544" s="50"/>
      <c r="C544" s="50"/>
      <c r="D544" s="50"/>
      <c r="E544" s="50"/>
      <c r="F544" s="50"/>
      <c r="G544" s="50"/>
    </row>
    <row r="545">
      <c r="A545" s="50"/>
      <c r="B545" s="50"/>
      <c r="C545" s="50"/>
      <c r="D545" s="50"/>
      <c r="E545" s="50"/>
      <c r="F545" s="50"/>
      <c r="G545" s="50"/>
    </row>
    <row r="546">
      <c r="A546" s="50"/>
      <c r="B546" s="50"/>
      <c r="C546" s="50"/>
      <c r="D546" s="50"/>
      <c r="E546" s="50"/>
      <c r="F546" s="50"/>
      <c r="G546" s="50"/>
    </row>
    <row r="547">
      <c r="A547" s="50"/>
      <c r="B547" s="50"/>
      <c r="C547" s="50"/>
      <c r="D547" s="50"/>
      <c r="E547" s="50"/>
      <c r="F547" s="50"/>
      <c r="G547" s="50"/>
    </row>
    <row r="548">
      <c r="A548" s="50"/>
      <c r="B548" s="50"/>
      <c r="C548" s="50"/>
      <c r="D548" s="50"/>
      <c r="E548" s="50"/>
      <c r="F548" s="50"/>
      <c r="G548" s="50"/>
    </row>
    <row r="549">
      <c r="A549" s="50"/>
      <c r="B549" s="50"/>
      <c r="C549" s="50"/>
      <c r="D549" s="50"/>
      <c r="E549" s="50"/>
      <c r="F549" s="50"/>
      <c r="G549" s="50"/>
    </row>
    <row r="550">
      <c r="A550" s="50"/>
      <c r="B550" s="50"/>
      <c r="C550" s="50"/>
      <c r="D550" s="50"/>
      <c r="E550" s="50"/>
      <c r="F550" s="50"/>
      <c r="G550" s="50"/>
    </row>
    <row r="551">
      <c r="A551" s="50"/>
      <c r="B551" s="50"/>
      <c r="C551" s="50"/>
      <c r="D551" s="50"/>
      <c r="E551" s="50"/>
      <c r="F551" s="50"/>
      <c r="G551" s="50"/>
    </row>
    <row r="552">
      <c r="A552" s="50"/>
      <c r="B552" s="50"/>
      <c r="C552" s="50"/>
      <c r="D552" s="50"/>
      <c r="E552" s="50"/>
      <c r="F552" s="50"/>
      <c r="G552" s="50"/>
    </row>
    <row r="553">
      <c r="A553" s="50"/>
      <c r="B553" s="50"/>
      <c r="C553" s="50"/>
      <c r="D553" s="50"/>
      <c r="E553" s="50"/>
      <c r="F553" s="50"/>
      <c r="G553" s="50"/>
    </row>
    <row r="554">
      <c r="A554" s="50"/>
      <c r="B554" s="50"/>
      <c r="C554" s="50"/>
      <c r="D554" s="50"/>
      <c r="E554" s="50"/>
      <c r="F554" s="50"/>
      <c r="G554" s="50"/>
    </row>
    <row r="555">
      <c r="A555" s="50"/>
      <c r="B555" s="50"/>
      <c r="C555" s="50"/>
      <c r="D555" s="50"/>
      <c r="E555" s="50"/>
      <c r="F555" s="50"/>
      <c r="G555" s="50"/>
    </row>
    <row r="556">
      <c r="A556" s="50"/>
      <c r="B556" s="50"/>
      <c r="C556" s="50"/>
      <c r="D556" s="50"/>
      <c r="E556" s="50"/>
      <c r="F556" s="50"/>
      <c r="G556" s="50"/>
    </row>
    <row r="557">
      <c r="A557" s="50"/>
      <c r="B557" s="50"/>
      <c r="C557" s="50"/>
      <c r="D557" s="50"/>
      <c r="E557" s="50"/>
      <c r="F557" s="50"/>
      <c r="G557" s="50"/>
    </row>
    <row r="558">
      <c r="A558" s="50"/>
      <c r="B558" s="50"/>
      <c r="C558" s="50"/>
      <c r="D558" s="50"/>
      <c r="E558" s="50"/>
      <c r="F558" s="50"/>
      <c r="G558" s="50"/>
    </row>
    <row r="559">
      <c r="A559" s="50"/>
      <c r="B559" s="50"/>
      <c r="C559" s="50"/>
      <c r="D559" s="50"/>
      <c r="E559" s="50"/>
      <c r="F559" s="50"/>
      <c r="G559" s="50"/>
    </row>
    <row r="560">
      <c r="A560" s="50"/>
      <c r="B560" s="50"/>
      <c r="C560" s="50"/>
      <c r="D560" s="50"/>
      <c r="E560" s="50"/>
      <c r="F560" s="50"/>
      <c r="G560" s="50"/>
    </row>
    <row r="561">
      <c r="A561" s="50"/>
      <c r="B561" s="50"/>
      <c r="C561" s="50"/>
      <c r="D561" s="50"/>
      <c r="E561" s="50"/>
      <c r="F561" s="50"/>
      <c r="G561" s="50"/>
    </row>
    <row r="562">
      <c r="A562" s="50"/>
      <c r="B562" s="50"/>
      <c r="C562" s="50"/>
      <c r="D562" s="50"/>
      <c r="E562" s="50"/>
      <c r="F562" s="50"/>
      <c r="G562" s="50"/>
    </row>
    <row r="563">
      <c r="A563" s="50"/>
      <c r="B563" s="50"/>
      <c r="C563" s="50"/>
      <c r="D563" s="50"/>
      <c r="E563" s="50"/>
      <c r="F563" s="50"/>
      <c r="G563" s="50"/>
    </row>
    <row r="564">
      <c r="A564" s="50"/>
      <c r="B564" s="50"/>
      <c r="C564" s="50"/>
      <c r="D564" s="50"/>
      <c r="E564" s="50"/>
      <c r="F564" s="50"/>
      <c r="G564" s="50"/>
    </row>
    <row r="565">
      <c r="A565" s="50"/>
      <c r="B565" s="50"/>
      <c r="C565" s="50"/>
      <c r="D565" s="50"/>
      <c r="E565" s="50"/>
      <c r="F565" s="50"/>
      <c r="G565" s="50"/>
    </row>
    <row r="566">
      <c r="A566" s="50"/>
      <c r="B566" s="50"/>
      <c r="C566" s="50"/>
      <c r="D566" s="50"/>
      <c r="E566" s="50"/>
      <c r="F566" s="50"/>
      <c r="G566" s="50"/>
    </row>
    <row r="567">
      <c r="A567" s="50"/>
      <c r="B567" s="50"/>
      <c r="C567" s="50"/>
      <c r="D567" s="50"/>
      <c r="E567" s="50"/>
      <c r="F567" s="50"/>
      <c r="G567" s="50"/>
    </row>
    <row r="568">
      <c r="A568" s="50"/>
      <c r="B568" s="50"/>
      <c r="C568" s="50"/>
      <c r="D568" s="50"/>
      <c r="E568" s="50"/>
      <c r="F568" s="50"/>
      <c r="G568" s="50"/>
    </row>
    <row r="569">
      <c r="A569" s="50"/>
      <c r="B569" s="50"/>
      <c r="C569" s="50"/>
      <c r="D569" s="50"/>
      <c r="E569" s="50"/>
      <c r="F569" s="50"/>
      <c r="G569" s="50"/>
    </row>
    <row r="570">
      <c r="A570" s="50"/>
      <c r="B570" s="50"/>
      <c r="C570" s="50"/>
      <c r="D570" s="50"/>
      <c r="E570" s="50"/>
      <c r="F570" s="50"/>
      <c r="G570" s="50"/>
    </row>
    <row r="571">
      <c r="A571" s="50"/>
      <c r="B571" s="50"/>
      <c r="C571" s="50"/>
      <c r="D571" s="50"/>
      <c r="E571" s="50"/>
      <c r="F571" s="50"/>
      <c r="G571" s="50"/>
    </row>
    <row r="572">
      <c r="A572" s="50"/>
      <c r="B572" s="50"/>
      <c r="C572" s="50"/>
      <c r="D572" s="50"/>
      <c r="E572" s="50"/>
      <c r="F572" s="50"/>
      <c r="G572" s="50"/>
    </row>
    <row r="573">
      <c r="A573" s="50"/>
      <c r="B573" s="50"/>
      <c r="C573" s="50"/>
      <c r="D573" s="50"/>
      <c r="E573" s="50"/>
      <c r="F573" s="50"/>
      <c r="G573" s="50"/>
    </row>
    <row r="574">
      <c r="A574" s="50"/>
      <c r="B574" s="50"/>
      <c r="C574" s="50"/>
      <c r="D574" s="50"/>
      <c r="E574" s="50"/>
      <c r="F574" s="50"/>
      <c r="G574" s="50"/>
    </row>
    <row r="575">
      <c r="A575" s="50"/>
      <c r="B575" s="50"/>
      <c r="C575" s="50"/>
      <c r="D575" s="50"/>
      <c r="E575" s="50"/>
      <c r="F575" s="50"/>
      <c r="G575" s="50"/>
    </row>
    <row r="576">
      <c r="A576" s="50"/>
      <c r="B576" s="50"/>
      <c r="C576" s="50"/>
      <c r="D576" s="50"/>
      <c r="E576" s="50"/>
      <c r="F576" s="50"/>
      <c r="G576" s="50"/>
    </row>
    <row r="577">
      <c r="A577" s="50"/>
      <c r="B577" s="50"/>
      <c r="C577" s="50"/>
      <c r="D577" s="50"/>
      <c r="E577" s="50"/>
      <c r="F577" s="50"/>
      <c r="G577" s="50"/>
    </row>
    <row r="578">
      <c r="A578" s="50"/>
      <c r="B578" s="50"/>
      <c r="C578" s="50"/>
      <c r="D578" s="50"/>
      <c r="E578" s="50"/>
      <c r="F578" s="50"/>
      <c r="G578" s="50"/>
    </row>
    <row r="579">
      <c r="A579" s="50"/>
      <c r="B579" s="50"/>
      <c r="C579" s="50"/>
      <c r="D579" s="50"/>
      <c r="E579" s="50"/>
      <c r="F579" s="50"/>
      <c r="G579" s="50"/>
    </row>
    <row r="580">
      <c r="A580" s="50"/>
      <c r="B580" s="50"/>
      <c r="C580" s="50"/>
      <c r="D580" s="50"/>
      <c r="E580" s="50"/>
      <c r="F580" s="50"/>
      <c r="G580" s="50"/>
    </row>
    <row r="581">
      <c r="A581" s="50"/>
      <c r="B581" s="50"/>
      <c r="C581" s="50"/>
      <c r="D581" s="50"/>
      <c r="E581" s="50"/>
      <c r="F581" s="50"/>
      <c r="G581" s="50"/>
    </row>
    <row r="582">
      <c r="A582" s="50"/>
      <c r="B582" s="50"/>
      <c r="C582" s="50"/>
      <c r="D582" s="50"/>
      <c r="E582" s="50"/>
      <c r="F582" s="50"/>
      <c r="G582" s="50"/>
    </row>
    <row r="583">
      <c r="A583" s="50"/>
      <c r="B583" s="50"/>
      <c r="C583" s="50"/>
      <c r="D583" s="50"/>
      <c r="E583" s="50"/>
      <c r="F583" s="50"/>
      <c r="G583" s="50"/>
    </row>
    <row r="584">
      <c r="A584" s="50"/>
      <c r="B584" s="50"/>
      <c r="C584" s="50"/>
      <c r="D584" s="50"/>
      <c r="E584" s="50"/>
      <c r="F584" s="50"/>
      <c r="G584" s="50"/>
    </row>
    <row r="585">
      <c r="A585" s="50"/>
      <c r="B585" s="50"/>
      <c r="C585" s="50"/>
      <c r="D585" s="50"/>
      <c r="E585" s="50"/>
      <c r="F585" s="50"/>
      <c r="G585" s="50"/>
    </row>
    <row r="586">
      <c r="A586" s="50"/>
      <c r="B586" s="50"/>
      <c r="C586" s="50"/>
      <c r="D586" s="50"/>
      <c r="E586" s="50"/>
      <c r="F586" s="50"/>
      <c r="G586" s="50"/>
    </row>
    <row r="587">
      <c r="A587" s="50"/>
      <c r="B587" s="50"/>
      <c r="C587" s="50"/>
      <c r="D587" s="50"/>
      <c r="E587" s="50"/>
      <c r="F587" s="50"/>
      <c r="G587" s="50"/>
    </row>
    <row r="588">
      <c r="A588" s="50"/>
      <c r="B588" s="50"/>
      <c r="C588" s="50"/>
      <c r="D588" s="50"/>
      <c r="E588" s="50"/>
      <c r="F588" s="50"/>
      <c r="G588" s="50"/>
    </row>
    <row r="589">
      <c r="A589" s="50"/>
      <c r="B589" s="50"/>
      <c r="C589" s="50"/>
      <c r="D589" s="50"/>
      <c r="E589" s="50"/>
      <c r="F589" s="50"/>
      <c r="G589" s="50"/>
    </row>
    <row r="590">
      <c r="A590" s="50"/>
      <c r="B590" s="50"/>
      <c r="C590" s="50"/>
      <c r="D590" s="50"/>
      <c r="E590" s="50"/>
      <c r="F590" s="50"/>
      <c r="G590" s="50"/>
    </row>
    <row r="591">
      <c r="A591" s="50"/>
      <c r="B591" s="50"/>
      <c r="C591" s="50"/>
      <c r="D591" s="50"/>
      <c r="E591" s="50"/>
      <c r="F591" s="50"/>
      <c r="G591" s="50"/>
    </row>
    <row r="592">
      <c r="A592" s="50"/>
      <c r="B592" s="50"/>
      <c r="C592" s="50"/>
      <c r="D592" s="50"/>
      <c r="E592" s="50"/>
      <c r="F592" s="50"/>
      <c r="G592" s="50"/>
    </row>
    <row r="593">
      <c r="A593" s="50"/>
      <c r="B593" s="50"/>
      <c r="C593" s="50"/>
      <c r="D593" s="50"/>
      <c r="E593" s="50"/>
      <c r="F593" s="50"/>
      <c r="G593" s="50"/>
    </row>
    <row r="594">
      <c r="A594" s="50"/>
      <c r="B594" s="50"/>
      <c r="C594" s="50"/>
      <c r="D594" s="50"/>
      <c r="E594" s="50"/>
      <c r="F594" s="50"/>
      <c r="G594" s="50"/>
    </row>
    <row r="595">
      <c r="A595" s="50"/>
      <c r="B595" s="50"/>
      <c r="C595" s="50"/>
      <c r="D595" s="50"/>
      <c r="E595" s="50"/>
      <c r="F595" s="50"/>
      <c r="G595" s="50"/>
    </row>
    <row r="596">
      <c r="A596" s="50"/>
      <c r="B596" s="50"/>
      <c r="C596" s="50"/>
      <c r="D596" s="50"/>
      <c r="E596" s="50"/>
      <c r="F596" s="50"/>
      <c r="G596" s="50"/>
    </row>
    <row r="597">
      <c r="A597" s="50"/>
      <c r="B597" s="50"/>
      <c r="C597" s="50"/>
      <c r="D597" s="50"/>
      <c r="E597" s="50"/>
      <c r="F597" s="50"/>
      <c r="G597" s="50"/>
    </row>
    <row r="598">
      <c r="A598" s="50"/>
      <c r="B598" s="50"/>
      <c r="C598" s="50"/>
      <c r="D598" s="50"/>
      <c r="E598" s="50"/>
      <c r="F598" s="50"/>
      <c r="G598" s="50"/>
    </row>
    <row r="599">
      <c r="A599" s="50"/>
      <c r="B599" s="50"/>
      <c r="C599" s="50"/>
      <c r="D599" s="50"/>
      <c r="E599" s="50"/>
      <c r="F599" s="50"/>
      <c r="G599" s="50"/>
    </row>
    <row r="600">
      <c r="A600" s="50"/>
      <c r="B600" s="50"/>
      <c r="C600" s="50"/>
      <c r="D600" s="50"/>
      <c r="E600" s="50"/>
      <c r="F600" s="50"/>
      <c r="G600" s="50"/>
    </row>
    <row r="601">
      <c r="A601" s="50"/>
      <c r="B601" s="50"/>
      <c r="C601" s="50"/>
      <c r="D601" s="50"/>
      <c r="E601" s="50"/>
      <c r="F601" s="50"/>
      <c r="G601" s="50"/>
    </row>
    <row r="602">
      <c r="A602" s="50"/>
      <c r="B602" s="50"/>
      <c r="C602" s="50"/>
      <c r="D602" s="50"/>
      <c r="E602" s="50"/>
      <c r="F602" s="50"/>
      <c r="G602" s="50"/>
    </row>
    <row r="603">
      <c r="A603" s="50"/>
      <c r="B603" s="50"/>
      <c r="C603" s="50"/>
      <c r="D603" s="50"/>
      <c r="E603" s="50"/>
      <c r="F603" s="50"/>
      <c r="G603" s="50"/>
    </row>
    <row r="604">
      <c r="A604" s="50"/>
      <c r="B604" s="50"/>
      <c r="C604" s="50"/>
      <c r="D604" s="50"/>
      <c r="E604" s="50"/>
      <c r="F604" s="50"/>
      <c r="G604" s="50"/>
    </row>
    <row r="605">
      <c r="A605" s="50"/>
      <c r="B605" s="50"/>
      <c r="C605" s="50"/>
      <c r="D605" s="50"/>
      <c r="E605" s="50"/>
      <c r="F605" s="50"/>
      <c r="G605" s="50"/>
    </row>
    <row r="606">
      <c r="A606" s="50"/>
      <c r="B606" s="50"/>
      <c r="C606" s="50"/>
      <c r="D606" s="50"/>
      <c r="E606" s="50"/>
      <c r="F606" s="50"/>
      <c r="G606" s="50"/>
    </row>
    <row r="607">
      <c r="A607" s="50"/>
      <c r="B607" s="50"/>
      <c r="C607" s="50"/>
      <c r="D607" s="50"/>
      <c r="E607" s="50"/>
      <c r="F607" s="50"/>
      <c r="G607" s="50"/>
    </row>
    <row r="608">
      <c r="A608" s="50"/>
      <c r="B608" s="50"/>
      <c r="C608" s="50"/>
      <c r="D608" s="50"/>
      <c r="E608" s="50"/>
      <c r="F608" s="50"/>
      <c r="G608" s="50"/>
    </row>
    <row r="609">
      <c r="A609" s="50"/>
      <c r="B609" s="50"/>
      <c r="C609" s="50"/>
      <c r="D609" s="50"/>
      <c r="E609" s="50"/>
      <c r="F609" s="50"/>
      <c r="G609" s="50"/>
    </row>
    <row r="610">
      <c r="A610" s="50"/>
      <c r="B610" s="50"/>
      <c r="C610" s="50"/>
      <c r="D610" s="50"/>
      <c r="E610" s="50"/>
      <c r="F610" s="50"/>
      <c r="G610" s="50"/>
    </row>
    <row r="611">
      <c r="A611" s="50"/>
      <c r="B611" s="50"/>
      <c r="C611" s="50"/>
      <c r="D611" s="50"/>
      <c r="E611" s="50"/>
      <c r="F611" s="50"/>
      <c r="G611" s="50"/>
    </row>
    <row r="612">
      <c r="A612" s="50"/>
      <c r="B612" s="50"/>
      <c r="C612" s="50"/>
      <c r="D612" s="50"/>
      <c r="E612" s="50"/>
      <c r="F612" s="50"/>
      <c r="G612" s="50"/>
    </row>
    <row r="613">
      <c r="A613" s="50"/>
      <c r="B613" s="50"/>
      <c r="C613" s="50"/>
      <c r="D613" s="50"/>
      <c r="E613" s="50"/>
      <c r="F613" s="50"/>
      <c r="G613" s="50"/>
    </row>
    <row r="614">
      <c r="A614" s="50"/>
      <c r="B614" s="50"/>
      <c r="C614" s="50"/>
      <c r="D614" s="50"/>
      <c r="E614" s="50"/>
      <c r="F614" s="50"/>
      <c r="G614" s="50"/>
    </row>
    <row r="615">
      <c r="A615" s="50"/>
      <c r="B615" s="50"/>
      <c r="C615" s="50"/>
      <c r="D615" s="50"/>
      <c r="E615" s="50"/>
      <c r="F615" s="50"/>
      <c r="G615" s="50"/>
    </row>
    <row r="616">
      <c r="A616" s="50"/>
      <c r="B616" s="50"/>
      <c r="C616" s="50"/>
      <c r="D616" s="50"/>
      <c r="E616" s="50"/>
      <c r="F616" s="50"/>
      <c r="G616" s="50"/>
    </row>
    <row r="617">
      <c r="A617" s="50"/>
      <c r="B617" s="50"/>
      <c r="C617" s="50"/>
      <c r="D617" s="50"/>
      <c r="E617" s="50"/>
      <c r="F617" s="50"/>
      <c r="G617" s="50"/>
    </row>
    <row r="618">
      <c r="A618" s="50"/>
      <c r="B618" s="50"/>
      <c r="C618" s="50"/>
      <c r="D618" s="50"/>
      <c r="E618" s="50"/>
      <c r="F618" s="50"/>
      <c r="G618" s="50"/>
    </row>
    <row r="619">
      <c r="A619" s="50"/>
      <c r="B619" s="50"/>
      <c r="C619" s="50"/>
      <c r="D619" s="50"/>
      <c r="E619" s="50"/>
      <c r="F619" s="50"/>
      <c r="G619" s="50"/>
    </row>
    <row r="620">
      <c r="A620" s="50"/>
      <c r="B620" s="50"/>
      <c r="C620" s="50"/>
      <c r="D620" s="50"/>
      <c r="E620" s="50"/>
      <c r="F620" s="50"/>
      <c r="G620" s="50"/>
    </row>
    <row r="621">
      <c r="A621" s="50"/>
      <c r="B621" s="50"/>
      <c r="C621" s="50"/>
      <c r="D621" s="50"/>
      <c r="E621" s="50"/>
      <c r="F621" s="50"/>
      <c r="G621" s="50"/>
    </row>
    <row r="622">
      <c r="A622" s="50"/>
      <c r="B622" s="50"/>
      <c r="C622" s="50"/>
      <c r="D622" s="50"/>
      <c r="E622" s="50"/>
      <c r="F622" s="50"/>
      <c r="G622" s="50"/>
    </row>
    <row r="623">
      <c r="A623" s="50"/>
      <c r="B623" s="50"/>
      <c r="C623" s="50"/>
      <c r="D623" s="50"/>
      <c r="E623" s="50"/>
      <c r="F623" s="50"/>
      <c r="G623" s="50"/>
    </row>
    <row r="624">
      <c r="A624" s="50"/>
      <c r="B624" s="50"/>
      <c r="C624" s="50"/>
      <c r="D624" s="50"/>
      <c r="E624" s="50"/>
      <c r="F624" s="50"/>
      <c r="G624" s="50"/>
    </row>
    <row r="625">
      <c r="A625" s="50"/>
      <c r="B625" s="50"/>
      <c r="C625" s="50"/>
      <c r="D625" s="50"/>
      <c r="E625" s="50"/>
      <c r="F625" s="50"/>
      <c r="G625" s="50"/>
    </row>
    <row r="626">
      <c r="A626" s="50"/>
      <c r="B626" s="50"/>
      <c r="C626" s="50"/>
      <c r="D626" s="50"/>
      <c r="E626" s="50"/>
      <c r="F626" s="50"/>
      <c r="G626" s="50"/>
    </row>
    <row r="627">
      <c r="A627" s="50"/>
      <c r="B627" s="50"/>
      <c r="C627" s="50"/>
      <c r="D627" s="50"/>
      <c r="E627" s="50"/>
      <c r="F627" s="50"/>
      <c r="G627" s="50"/>
    </row>
    <row r="628">
      <c r="A628" s="50"/>
      <c r="B628" s="50"/>
      <c r="C628" s="50"/>
      <c r="D628" s="50"/>
      <c r="E628" s="50"/>
      <c r="F628" s="50"/>
      <c r="G628" s="50"/>
    </row>
    <row r="629">
      <c r="A629" s="50"/>
      <c r="B629" s="50"/>
      <c r="C629" s="50"/>
      <c r="D629" s="50"/>
      <c r="E629" s="50"/>
      <c r="F629" s="50"/>
      <c r="G629" s="50"/>
    </row>
    <row r="630">
      <c r="A630" s="50"/>
      <c r="B630" s="50"/>
      <c r="C630" s="50"/>
      <c r="D630" s="50"/>
      <c r="E630" s="50"/>
      <c r="F630" s="50"/>
      <c r="G630" s="50"/>
    </row>
    <row r="631">
      <c r="A631" s="50"/>
      <c r="B631" s="50"/>
      <c r="C631" s="50"/>
      <c r="D631" s="50"/>
      <c r="E631" s="50"/>
      <c r="F631" s="50"/>
      <c r="G631" s="50"/>
    </row>
    <row r="632">
      <c r="A632" s="50"/>
      <c r="B632" s="50"/>
      <c r="C632" s="50"/>
      <c r="D632" s="50"/>
      <c r="E632" s="50"/>
      <c r="F632" s="50"/>
      <c r="G632" s="50"/>
    </row>
    <row r="633">
      <c r="A633" s="50"/>
      <c r="B633" s="50"/>
      <c r="C633" s="50"/>
      <c r="D633" s="50"/>
      <c r="E633" s="50"/>
      <c r="F633" s="50"/>
      <c r="G633" s="50"/>
    </row>
    <row r="634">
      <c r="A634" s="50"/>
      <c r="B634" s="50"/>
      <c r="C634" s="50"/>
      <c r="D634" s="50"/>
      <c r="E634" s="50"/>
      <c r="F634" s="50"/>
      <c r="G634" s="50"/>
    </row>
    <row r="635">
      <c r="A635" s="50"/>
      <c r="B635" s="50"/>
      <c r="C635" s="50"/>
      <c r="D635" s="50"/>
      <c r="E635" s="50"/>
      <c r="F635" s="50"/>
      <c r="G635" s="50"/>
    </row>
    <row r="636">
      <c r="A636" s="50"/>
      <c r="B636" s="50"/>
      <c r="C636" s="50"/>
      <c r="D636" s="50"/>
      <c r="E636" s="50"/>
      <c r="F636" s="50"/>
      <c r="G636" s="50"/>
    </row>
    <row r="637">
      <c r="A637" s="50"/>
      <c r="B637" s="50"/>
      <c r="C637" s="50"/>
      <c r="D637" s="50"/>
      <c r="E637" s="50"/>
      <c r="F637" s="50"/>
      <c r="G637" s="50"/>
    </row>
    <row r="638">
      <c r="A638" s="50"/>
      <c r="B638" s="50"/>
      <c r="C638" s="50"/>
      <c r="D638" s="50"/>
      <c r="E638" s="50"/>
      <c r="F638" s="50"/>
      <c r="G638" s="50"/>
    </row>
    <row r="639">
      <c r="A639" s="50"/>
      <c r="B639" s="50"/>
      <c r="C639" s="50"/>
      <c r="D639" s="50"/>
      <c r="E639" s="50"/>
      <c r="F639" s="50"/>
      <c r="G639" s="50"/>
    </row>
    <row r="640">
      <c r="A640" s="50"/>
      <c r="B640" s="50"/>
      <c r="C640" s="50"/>
      <c r="D640" s="50"/>
      <c r="E640" s="50"/>
      <c r="F640" s="50"/>
      <c r="G640" s="50"/>
    </row>
    <row r="641">
      <c r="A641" s="50"/>
      <c r="B641" s="50"/>
      <c r="C641" s="50"/>
      <c r="D641" s="50"/>
      <c r="E641" s="50"/>
      <c r="F641" s="50"/>
      <c r="G641" s="50"/>
    </row>
    <row r="642">
      <c r="A642" s="50"/>
      <c r="B642" s="50"/>
      <c r="C642" s="50"/>
      <c r="D642" s="50"/>
      <c r="E642" s="50"/>
      <c r="F642" s="50"/>
      <c r="G642" s="50"/>
    </row>
    <row r="643">
      <c r="A643" s="50"/>
      <c r="B643" s="50"/>
      <c r="C643" s="50"/>
      <c r="D643" s="50"/>
      <c r="E643" s="50"/>
      <c r="F643" s="50"/>
      <c r="G643" s="50"/>
    </row>
    <row r="644">
      <c r="A644" s="50"/>
      <c r="B644" s="50"/>
      <c r="C644" s="50"/>
      <c r="D644" s="50"/>
      <c r="E644" s="50"/>
      <c r="F644" s="50"/>
      <c r="G644" s="50"/>
    </row>
    <row r="645">
      <c r="A645" s="50"/>
      <c r="B645" s="50"/>
      <c r="C645" s="50"/>
      <c r="D645" s="50"/>
      <c r="E645" s="50"/>
      <c r="F645" s="50"/>
      <c r="G645" s="50"/>
    </row>
    <row r="646">
      <c r="A646" s="50"/>
      <c r="B646" s="50"/>
      <c r="C646" s="50"/>
      <c r="D646" s="50"/>
      <c r="E646" s="50"/>
      <c r="F646" s="50"/>
      <c r="G646" s="50"/>
    </row>
    <row r="647">
      <c r="A647" s="50"/>
      <c r="B647" s="50"/>
      <c r="C647" s="50"/>
      <c r="D647" s="50"/>
      <c r="E647" s="50"/>
      <c r="F647" s="50"/>
      <c r="G647" s="50"/>
    </row>
    <row r="648">
      <c r="A648" s="50"/>
      <c r="B648" s="50"/>
      <c r="C648" s="50"/>
      <c r="D648" s="50"/>
      <c r="E648" s="50"/>
      <c r="F648" s="50"/>
      <c r="G648" s="50"/>
    </row>
    <row r="649">
      <c r="A649" s="50"/>
      <c r="B649" s="50"/>
      <c r="C649" s="50"/>
      <c r="D649" s="50"/>
      <c r="E649" s="50"/>
      <c r="F649" s="50"/>
      <c r="G649" s="50"/>
    </row>
    <row r="650">
      <c r="A650" s="50"/>
      <c r="B650" s="50"/>
      <c r="C650" s="50"/>
      <c r="D650" s="50"/>
      <c r="E650" s="50"/>
      <c r="F650" s="50"/>
      <c r="G650" s="50"/>
    </row>
    <row r="651">
      <c r="A651" s="50"/>
      <c r="B651" s="50"/>
      <c r="C651" s="50"/>
      <c r="D651" s="50"/>
      <c r="E651" s="50"/>
      <c r="F651" s="50"/>
      <c r="G651" s="50"/>
    </row>
    <row r="652">
      <c r="A652" s="50"/>
      <c r="B652" s="50"/>
      <c r="C652" s="50"/>
      <c r="D652" s="50"/>
      <c r="E652" s="50"/>
      <c r="F652" s="50"/>
      <c r="G652" s="50"/>
    </row>
    <row r="653">
      <c r="A653" s="50"/>
      <c r="B653" s="50"/>
      <c r="C653" s="50"/>
      <c r="D653" s="50"/>
      <c r="E653" s="50"/>
      <c r="F653" s="50"/>
      <c r="G653" s="50"/>
    </row>
    <row r="654">
      <c r="A654" s="50"/>
      <c r="B654" s="50"/>
      <c r="C654" s="50"/>
      <c r="D654" s="50"/>
      <c r="E654" s="50"/>
      <c r="F654" s="50"/>
      <c r="G654" s="50"/>
    </row>
    <row r="655">
      <c r="A655" s="50"/>
      <c r="B655" s="50"/>
      <c r="C655" s="50"/>
      <c r="D655" s="50"/>
      <c r="E655" s="50"/>
      <c r="F655" s="50"/>
      <c r="G655" s="50"/>
    </row>
    <row r="656">
      <c r="A656" s="50"/>
      <c r="B656" s="50"/>
      <c r="C656" s="50"/>
      <c r="D656" s="50"/>
      <c r="E656" s="50"/>
      <c r="F656" s="50"/>
      <c r="G656" s="50"/>
    </row>
    <row r="657">
      <c r="A657" s="50"/>
      <c r="B657" s="50"/>
      <c r="C657" s="50"/>
      <c r="D657" s="50"/>
      <c r="E657" s="50"/>
      <c r="F657" s="50"/>
      <c r="G657" s="50"/>
    </row>
    <row r="658">
      <c r="A658" s="50"/>
      <c r="B658" s="50"/>
      <c r="C658" s="50"/>
      <c r="D658" s="50"/>
      <c r="E658" s="50"/>
      <c r="F658" s="50"/>
      <c r="G658" s="50"/>
    </row>
    <row r="659">
      <c r="A659" s="50"/>
      <c r="B659" s="50"/>
      <c r="C659" s="50"/>
      <c r="D659" s="50"/>
      <c r="E659" s="50"/>
      <c r="F659" s="50"/>
      <c r="G659" s="50"/>
    </row>
    <row r="660">
      <c r="A660" s="50"/>
      <c r="B660" s="50"/>
      <c r="C660" s="50"/>
      <c r="D660" s="50"/>
      <c r="E660" s="50"/>
      <c r="F660" s="50"/>
      <c r="G660" s="50"/>
    </row>
    <row r="661">
      <c r="A661" s="50"/>
      <c r="B661" s="50"/>
      <c r="C661" s="50"/>
      <c r="D661" s="50"/>
      <c r="E661" s="50"/>
      <c r="F661" s="50"/>
      <c r="G661" s="50"/>
    </row>
    <row r="662">
      <c r="A662" s="50"/>
      <c r="B662" s="50"/>
      <c r="C662" s="50"/>
      <c r="D662" s="50"/>
      <c r="E662" s="50"/>
      <c r="F662" s="50"/>
      <c r="G662" s="50"/>
    </row>
    <row r="663">
      <c r="A663" s="50"/>
      <c r="B663" s="50"/>
      <c r="C663" s="50"/>
      <c r="D663" s="50"/>
      <c r="E663" s="50"/>
      <c r="F663" s="50"/>
      <c r="G663" s="50"/>
    </row>
    <row r="664">
      <c r="A664" s="50"/>
      <c r="B664" s="50"/>
      <c r="C664" s="50"/>
      <c r="D664" s="50"/>
      <c r="E664" s="50"/>
      <c r="F664" s="50"/>
      <c r="G664" s="50"/>
    </row>
    <row r="665">
      <c r="A665" s="50"/>
      <c r="B665" s="50"/>
      <c r="C665" s="50"/>
      <c r="D665" s="50"/>
      <c r="E665" s="50"/>
      <c r="F665" s="50"/>
      <c r="G665" s="50"/>
    </row>
    <row r="666">
      <c r="A666" s="50"/>
      <c r="B666" s="50"/>
      <c r="C666" s="50"/>
      <c r="D666" s="50"/>
      <c r="E666" s="50"/>
      <c r="F666" s="50"/>
      <c r="G666" s="50"/>
    </row>
    <row r="667">
      <c r="A667" s="50"/>
      <c r="B667" s="50"/>
      <c r="C667" s="50"/>
      <c r="D667" s="50"/>
      <c r="E667" s="50"/>
      <c r="F667" s="50"/>
      <c r="G667" s="50"/>
    </row>
    <row r="668">
      <c r="A668" s="50"/>
      <c r="B668" s="50"/>
      <c r="C668" s="50"/>
      <c r="D668" s="50"/>
      <c r="E668" s="50"/>
      <c r="F668" s="50"/>
      <c r="G668" s="50"/>
    </row>
    <row r="669">
      <c r="A669" s="50"/>
      <c r="B669" s="50"/>
      <c r="C669" s="50"/>
      <c r="D669" s="50"/>
      <c r="E669" s="50"/>
      <c r="F669" s="50"/>
      <c r="G669" s="50"/>
    </row>
    <row r="670">
      <c r="A670" s="50"/>
      <c r="B670" s="50"/>
      <c r="C670" s="50"/>
      <c r="D670" s="50"/>
      <c r="E670" s="50"/>
      <c r="F670" s="50"/>
      <c r="G670" s="50"/>
    </row>
    <row r="671">
      <c r="A671" s="50"/>
      <c r="B671" s="50"/>
      <c r="C671" s="50"/>
      <c r="D671" s="50"/>
      <c r="E671" s="50"/>
      <c r="F671" s="50"/>
      <c r="G671" s="50"/>
    </row>
    <row r="672">
      <c r="A672" s="50"/>
      <c r="B672" s="50"/>
      <c r="C672" s="50"/>
      <c r="D672" s="50"/>
      <c r="E672" s="50"/>
      <c r="F672" s="50"/>
      <c r="G672" s="50"/>
    </row>
    <row r="673">
      <c r="A673" s="50"/>
      <c r="B673" s="50"/>
      <c r="C673" s="50"/>
      <c r="D673" s="50"/>
      <c r="E673" s="50"/>
      <c r="F673" s="50"/>
      <c r="G673" s="50"/>
    </row>
    <row r="674">
      <c r="A674" s="50"/>
      <c r="B674" s="50"/>
      <c r="C674" s="50"/>
      <c r="D674" s="50"/>
      <c r="E674" s="50"/>
      <c r="F674" s="50"/>
      <c r="G674" s="50"/>
    </row>
    <row r="675">
      <c r="A675" s="50"/>
      <c r="B675" s="50"/>
      <c r="C675" s="50"/>
      <c r="D675" s="50"/>
      <c r="E675" s="50"/>
      <c r="F675" s="50"/>
      <c r="G675" s="50"/>
    </row>
    <row r="676">
      <c r="A676" s="50"/>
      <c r="B676" s="50"/>
      <c r="C676" s="50"/>
      <c r="D676" s="50"/>
      <c r="E676" s="50"/>
      <c r="F676" s="50"/>
      <c r="G676" s="50"/>
    </row>
    <row r="677">
      <c r="A677" s="50"/>
      <c r="B677" s="50"/>
      <c r="C677" s="50"/>
      <c r="D677" s="50"/>
      <c r="E677" s="50"/>
      <c r="F677" s="50"/>
      <c r="G677" s="50"/>
    </row>
    <row r="678">
      <c r="A678" s="50"/>
      <c r="B678" s="50"/>
      <c r="C678" s="50"/>
      <c r="D678" s="50"/>
      <c r="E678" s="50"/>
      <c r="F678" s="50"/>
      <c r="G678" s="50"/>
    </row>
    <row r="679">
      <c r="A679" s="50"/>
      <c r="B679" s="50"/>
      <c r="C679" s="50"/>
      <c r="D679" s="50"/>
      <c r="E679" s="50"/>
      <c r="F679" s="50"/>
      <c r="G679" s="50"/>
    </row>
    <row r="680">
      <c r="A680" s="50"/>
      <c r="B680" s="50"/>
      <c r="C680" s="50"/>
      <c r="D680" s="50"/>
      <c r="E680" s="50"/>
      <c r="F680" s="50"/>
      <c r="G680" s="50"/>
    </row>
    <row r="681">
      <c r="A681" s="50"/>
      <c r="B681" s="50"/>
      <c r="C681" s="50"/>
      <c r="D681" s="50"/>
      <c r="E681" s="50"/>
      <c r="F681" s="50"/>
      <c r="G681" s="50"/>
    </row>
    <row r="682">
      <c r="A682" s="50"/>
      <c r="B682" s="50"/>
      <c r="C682" s="50"/>
      <c r="D682" s="50"/>
      <c r="E682" s="50"/>
      <c r="F682" s="50"/>
      <c r="G682" s="50"/>
    </row>
    <row r="683">
      <c r="A683" s="50"/>
      <c r="B683" s="50"/>
      <c r="C683" s="50"/>
      <c r="D683" s="50"/>
      <c r="E683" s="50"/>
      <c r="F683" s="50"/>
      <c r="G683" s="50"/>
    </row>
    <row r="684">
      <c r="A684" s="50"/>
      <c r="B684" s="50"/>
      <c r="C684" s="50"/>
      <c r="D684" s="50"/>
      <c r="E684" s="50"/>
      <c r="F684" s="50"/>
      <c r="G684" s="50"/>
    </row>
    <row r="685">
      <c r="A685" s="50"/>
      <c r="B685" s="50"/>
      <c r="C685" s="50"/>
      <c r="D685" s="50"/>
      <c r="E685" s="50"/>
      <c r="F685" s="50"/>
      <c r="G685" s="50"/>
    </row>
    <row r="686">
      <c r="A686" s="50"/>
      <c r="B686" s="50"/>
      <c r="C686" s="50"/>
      <c r="D686" s="50"/>
      <c r="E686" s="50"/>
      <c r="F686" s="50"/>
      <c r="G686" s="50"/>
    </row>
    <row r="687">
      <c r="A687" s="50"/>
      <c r="B687" s="50"/>
      <c r="C687" s="50"/>
      <c r="D687" s="50"/>
      <c r="E687" s="50"/>
      <c r="F687" s="50"/>
      <c r="G687" s="50"/>
    </row>
    <row r="688">
      <c r="A688" s="50"/>
      <c r="B688" s="50"/>
      <c r="C688" s="50"/>
      <c r="D688" s="50"/>
      <c r="E688" s="50"/>
      <c r="F688" s="50"/>
      <c r="G688" s="50"/>
    </row>
    <row r="689">
      <c r="A689" s="50"/>
      <c r="B689" s="50"/>
      <c r="C689" s="50"/>
      <c r="D689" s="50"/>
      <c r="E689" s="50"/>
      <c r="F689" s="50"/>
      <c r="G689" s="50"/>
    </row>
    <row r="690">
      <c r="A690" s="50"/>
      <c r="B690" s="50"/>
      <c r="C690" s="50"/>
      <c r="D690" s="50"/>
      <c r="E690" s="50"/>
      <c r="F690" s="50"/>
      <c r="G690" s="50"/>
    </row>
    <row r="691">
      <c r="A691" s="50"/>
      <c r="B691" s="50"/>
      <c r="C691" s="50"/>
      <c r="D691" s="50"/>
      <c r="E691" s="50"/>
      <c r="F691" s="50"/>
      <c r="G691" s="50"/>
    </row>
    <row r="692">
      <c r="A692" s="50"/>
      <c r="B692" s="50"/>
      <c r="C692" s="50"/>
      <c r="D692" s="50"/>
      <c r="E692" s="50"/>
      <c r="F692" s="50"/>
      <c r="G692" s="50"/>
    </row>
    <row r="693">
      <c r="A693" s="50"/>
      <c r="B693" s="50"/>
      <c r="C693" s="50"/>
      <c r="D693" s="50"/>
      <c r="E693" s="50"/>
      <c r="F693" s="50"/>
      <c r="G693" s="50"/>
    </row>
    <row r="694">
      <c r="A694" s="50"/>
      <c r="B694" s="50"/>
      <c r="C694" s="50"/>
      <c r="D694" s="50"/>
      <c r="E694" s="50"/>
      <c r="F694" s="50"/>
      <c r="G694" s="50"/>
    </row>
    <row r="695">
      <c r="A695" s="50"/>
      <c r="B695" s="50"/>
      <c r="C695" s="50"/>
      <c r="D695" s="50"/>
      <c r="E695" s="50"/>
      <c r="F695" s="50"/>
      <c r="G695" s="50"/>
    </row>
    <row r="696">
      <c r="A696" s="50"/>
      <c r="B696" s="50"/>
      <c r="C696" s="50"/>
      <c r="D696" s="50"/>
      <c r="E696" s="50"/>
      <c r="F696" s="50"/>
      <c r="G696" s="50"/>
    </row>
    <row r="697">
      <c r="A697" s="50"/>
      <c r="B697" s="50"/>
      <c r="C697" s="50"/>
      <c r="D697" s="50"/>
      <c r="E697" s="50"/>
      <c r="F697" s="50"/>
      <c r="G697" s="50"/>
    </row>
    <row r="698">
      <c r="A698" s="50"/>
      <c r="B698" s="50"/>
      <c r="C698" s="50"/>
      <c r="D698" s="50"/>
      <c r="E698" s="50"/>
      <c r="F698" s="50"/>
      <c r="G698" s="50"/>
    </row>
    <row r="699">
      <c r="A699" s="50"/>
      <c r="B699" s="50"/>
      <c r="C699" s="50"/>
      <c r="D699" s="50"/>
      <c r="E699" s="50"/>
      <c r="F699" s="50"/>
      <c r="G699" s="50"/>
    </row>
    <row r="700">
      <c r="A700" s="50"/>
      <c r="B700" s="50"/>
      <c r="C700" s="50"/>
      <c r="D700" s="50"/>
      <c r="E700" s="50"/>
      <c r="F700" s="50"/>
      <c r="G700" s="50"/>
    </row>
    <row r="701">
      <c r="A701" s="50"/>
      <c r="B701" s="50"/>
      <c r="C701" s="50"/>
      <c r="D701" s="50"/>
      <c r="E701" s="50"/>
      <c r="F701" s="50"/>
      <c r="G701" s="50"/>
    </row>
    <row r="702">
      <c r="A702" s="50"/>
      <c r="B702" s="50"/>
      <c r="C702" s="50"/>
      <c r="D702" s="50"/>
      <c r="E702" s="50"/>
      <c r="F702" s="50"/>
      <c r="G702" s="50"/>
    </row>
    <row r="703">
      <c r="A703" s="50"/>
      <c r="B703" s="50"/>
      <c r="C703" s="50"/>
      <c r="D703" s="50"/>
      <c r="E703" s="50"/>
      <c r="F703" s="50"/>
      <c r="G703" s="50"/>
    </row>
    <row r="704">
      <c r="A704" s="50"/>
      <c r="B704" s="50"/>
      <c r="C704" s="50"/>
      <c r="D704" s="50"/>
      <c r="E704" s="50"/>
      <c r="F704" s="50"/>
      <c r="G704" s="50"/>
    </row>
    <row r="705">
      <c r="A705" s="50"/>
      <c r="B705" s="50"/>
      <c r="C705" s="50"/>
      <c r="D705" s="50"/>
      <c r="E705" s="50"/>
      <c r="F705" s="50"/>
      <c r="G705" s="50"/>
    </row>
    <row r="706">
      <c r="A706" s="50"/>
      <c r="B706" s="50"/>
      <c r="C706" s="50"/>
      <c r="D706" s="50"/>
      <c r="E706" s="50"/>
      <c r="F706" s="50"/>
      <c r="G706" s="50"/>
    </row>
    <row r="707">
      <c r="A707" s="50"/>
      <c r="B707" s="50"/>
      <c r="C707" s="50"/>
      <c r="D707" s="50"/>
      <c r="E707" s="50"/>
      <c r="F707" s="50"/>
      <c r="G707" s="50"/>
    </row>
    <row r="708">
      <c r="A708" s="50"/>
      <c r="B708" s="50"/>
      <c r="C708" s="50"/>
      <c r="D708" s="50"/>
      <c r="E708" s="50"/>
      <c r="F708" s="50"/>
      <c r="G708" s="50"/>
    </row>
    <row r="709">
      <c r="A709" s="50"/>
      <c r="B709" s="50"/>
      <c r="C709" s="50"/>
      <c r="D709" s="50"/>
      <c r="E709" s="50"/>
      <c r="F709" s="50"/>
      <c r="G709" s="50"/>
    </row>
    <row r="710">
      <c r="A710" s="50"/>
      <c r="B710" s="50"/>
      <c r="C710" s="50"/>
      <c r="D710" s="50"/>
      <c r="E710" s="50"/>
      <c r="F710" s="50"/>
      <c r="G710" s="50"/>
    </row>
    <row r="711">
      <c r="A711" s="50"/>
      <c r="B711" s="50"/>
      <c r="C711" s="50"/>
      <c r="D711" s="50"/>
      <c r="E711" s="50"/>
      <c r="F711" s="50"/>
      <c r="G711" s="50"/>
    </row>
    <row r="712">
      <c r="A712" s="50"/>
      <c r="B712" s="50"/>
      <c r="C712" s="50"/>
      <c r="D712" s="50"/>
      <c r="E712" s="50"/>
      <c r="F712" s="50"/>
      <c r="G712" s="50"/>
    </row>
    <row r="713">
      <c r="A713" s="50"/>
      <c r="B713" s="50"/>
      <c r="C713" s="50"/>
      <c r="D713" s="50"/>
      <c r="E713" s="50"/>
      <c r="F713" s="50"/>
      <c r="G713" s="50"/>
    </row>
    <row r="714">
      <c r="A714" s="50"/>
      <c r="B714" s="50"/>
      <c r="C714" s="50"/>
      <c r="D714" s="50"/>
      <c r="E714" s="50"/>
      <c r="F714" s="50"/>
      <c r="G714" s="50"/>
    </row>
    <row r="715">
      <c r="A715" s="50"/>
      <c r="B715" s="50"/>
      <c r="C715" s="50"/>
      <c r="D715" s="50"/>
      <c r="E715" s="50"/>
      <c r="F715" s="50"/>
      <c r="G715" s="50"/>
    </row>
    <row r="716">
      <c r="A716" s="50"/>
      <c r="B716" s="50"/>
      <c r="C716" s="50"/>
      <c r="D716" s="50"/>
      <c r="E716" s="50"/>
      <c r="F716" s="50"/>
      <c r="G716" s="50"/>
    </row>
    <row r="717">
      <c r="A717" s="50"/>
      <c r="B717" s="50"/>
      <c r="C717" s="50"/>
      <c r="D717" s="50"/>
      <c r="E717" s="50"/>
      <c r="F717" s="50"/>
      <c r="G717" s="50"/>
    </row>
    <row r="718">
      <c r="A718" s="50"/>
      <c r="B718" s="50"/>
      <c r="C718" s="50"/>
      <c r="D718" s="50"/>
      <c r="E718" s="50"/>
      <c r="F718" s="50"/>
      <c r="G718" s="50"/>
    </row>
    <row r="719">
      <c r="A719" s="50"/>
      <c r="B719" s="50"/>
      <c r="C719" s="50"/>
      <c r="D719" s="50"/>
      <c r="E719" s="50"/>
      <c r="F719" s="50"/>
      <c r="G719" s="50"/>
    </row>
    <row r="720">
      <c r="A720" s="50"/>
      <c r="B720" s="50"/>
      <c r="C720" s="50"/>
      <c r="D720" s="50"/>
      <c r="E720" s="50"/>
      <c r="F720" s="50"/>
      <c r="G720" s="50"/>
    </row>
    <row r="721">
      <c r="A721" s="50"/>
      <c r="B721" s="50"/>
      <c r="C721" s="50"/>
      <c r="D721" s="50"/>
      <c r="E721" s="50"/>
      <c r="F721" s="50"/>
      <c r="G721" s="50"/>
    </row>
    <row r="722">
      <c r="A722" s="50"/>
      <c r="B722" s="50"/>
      <c r="C722" s="50"/>
      <c r="D722" s="50"/>
      <c r="E722" s="50"/>
      <c r="F722" s="50"/>
      <c r="G722" s="50"/>
    </row>
    <row r="723">
      <c r="A723" s="50"/>
      <c r="B723" s="50"/>
      <c r="C723" s="50"/>
      <c r="D723" s="50"/>
      <c r="E723" s="50"/>
      <c r="F723" s="50"/>
      <c r="G723" s="50"/>
    </row>
    <row r="724">
      <c r="A724" s="50"/>
      <c r="B724" s="50"/>
      <c r="C724" s="50"/>
      <c r="D724" s="50"/>
      <c r="E724" s="50"/>
      <c r="F724" s="50"/>
      <c r="G724" s="50"/>
    </row>
    <row r="725">
      <c r="A725" s="50"/>
      <c r="B725" s="50"/>
      <c r="C725" s="50"/>
      <c r="D725" s="50"/>
      <c r="E725" s="50"/>
      <c r="F725" s="50"/>
      <c r="G725" s="50"/>
    </row>
    <row r="726">
      <c r="A726" s="50"/>
      <c r="B726" s="50"/>
      <c r="C726" s="50"/>
      <c r="D726" s="50"/>
      <c r="E726" s="50"/>
      <c r="F726" s="50"/>
      <c r="G726" s="50"/>
    </row>
    <row r="727">
      <c r="A727" s="50"/>
      <c r="B727" s="50"/>
      <c r="C727" s="50"/>
      <c r="D727" s="50"/>
      <c r="E727" s="50"/>
      <c r="F727" s="50"/>
      <c r="G727" s="50"/>
    </row>
    <row r="728">
      <c r="A728" s="50"/>
      <c r="B728" s="50"/>
      <c r="C728" s="50"/>
      <c r="D728" s="50"/>
      <c r="E728" s="50"/>
      <c r="F728" s="50"/>
      <c r="G728" s="50"/>
    </row>
    <row r="729">
      <c r="A729" s="50"/>
      <c r="B729" s="50"/>
      <c r="C729" s="50"/>
      <c r="D729" s="50"/>
      <c r="E729" s="50"/>
      <c r="F729" s="50"/>
      <c r="G729" s="50"/>
    </row>
    <row r="730">
      <c r="A730" s="50"/>
      <c r="B730" s="50"/>
      <c r="C730" s="50"/>
      <c r="D730" s="50"/>
      <c r="E730" s="50"/>
      <c r="F730" s="50"/>
      <c r="G730" s="50"/>
    </row>
    <row r="731">
      <c r="A731" s="50"/>
      <c r="B731" s="50"/>
      <c r="C731" s="50"/>
      <c r="D731" s="50"/>
      <c r="E731" s="50"/>
      <c r="F731" s="50"/>
      <c r="G731" s="50"/>
    </row>
    <row r="732">
      <c r="A732" s="50"/>
      <c r="B732" s="50"/>
      <c r="C732" s="50"/>
      <c r="D732" s="50"/>
      <c r="E732" s="50"/>
      <c r="F732" s="50"/>
      <c r="G732" s="50"/>
    </row>
    <row r="733">
      <c r="A733" s="50"/>
      <c r="B733" s="50"/>
      <c r="C733" s="50"/>
      <c r="D733" s="50"/>
      <c r="E733" s="50"/>
      <c r="F733" s="50"/>
      <c r="G733" s="50"/>
    </row>
    <row r="734">
      <c r="A734" s="50"/>
      <c r="B734" s="50"/>
      <c r="C734" s="50"/>
      <c r="D734" s="50"/>
      <c r="E734" s="50"/>
      <c r="F734" s="50"/>
      <c r="G734" s="50"/>
    </row>
    <row r="735">
      <c r="A735" s="50"/>
      <c r="B735" s="50"/>
      <c r="C735" s="50"/>
      <c r="D735" s="50"/>
      <c r="E735" s="50"/>
      <c r="F735" s="50"/>
      <c r="G735" s="50"/>
    </row>
    <row r="736">
      <c r="A736" s="50"/>
      <c r="B736" s="50"/>
      <c r="C736" s="50"/>
      <c r="D736" s="50"/>
      <c r="E736" s="50"/>
      <c r="F736" s="50"/>
      <c r="G736" s="50"/>
    </row>
    <row r="737">
      <c r="A737" s="50"/>
      <c r="B737" s="50"/>
      <c r="C737" s="50"/>
      <c r="D737" s="50"/>
      <c r="E737" s="50"/>
      <c r="F737" s="50"/>
      <c r="G737" s="50"/>
    </row>
    <row r="738">
      <c r="A738" s="50"/>
      <c r="B738" s="50"/>
      <c r="C738" s="50"/>
      <c r="D738" s="50"/>
      <c r="E738" s="50"/>
      <c r="F738" s="50"/>
      <c r="G738" s="50"/>
    </row>
    <row r="739">
      <c r="A739" s="50"/>
      <c r="B739" s="50"/>
      <c r="C739" s="50"/>
      <c r="D739" s="50"/>
      <c r="E739" s="50"/>
      <c r="F739" s="50"/>
      <c r="G739" s="50"/>
    </row>
    <row r="740">
      <c r="A740" s="50"/>
      <c r="B740" s="50"/>
      <c r="C740" s="50"/>
      <c r="D740" s="50"/>
      <c r="E740" s="50"/>
      <c r="F740" s="50"/>
      <c r="G740" s="50"/>
    </row>
    <row r="741">
      <c r="A741" s="50"/>
      <c r="B741" s="50"/>
      <c r="C741" s="50"/>
      <c r="D741" s="50"/>
      <c r="E741" s="50"/>
      <c r="F741" s="50"/>
      <c r="G741" s="50"/>
    </row>
    <row r="742">
      <c r="A742" s="50"/>
      <c r="B742" s="50"/>
      <c r="C742" s="50"/>
      <c r="D742" s="50"/>
      <c r="E742" s="50"/>
      <c r="F742" s="50"/>
      <c r="G742" s="50"/>
    </row>
    <row r="743">
      <c r="A743" s="50"/>
      <c r="B743" s="50"/>
      <c r="C743" s="50"/>
      <c r="D743" s="50"/>
      <c r="E743" s="50"/>
      <c r="F743" s="50"/>
      <c r="G743" s="50"/>
    </row>
    <row r="744">
      <c r="A744" s="50"/>
      <c r="B744" s="50"/>
      <c r="C744" s="50"/>
      <c r="D744" s="50"/>
      <c r="E744" s="50"/>
      <c r="F744" s="50"/>
      <c r="G744" s="50"/>
    </row>
    <row r="745">
      <c r="A745" s="50"/>
      <c r="B745" s="50"/>
      <c r="C745" s="50"/>
      <c r="D745" s="50"/>
      <c r="E745" s="50"/>
      <c r="F745" s="50"/>
      <c r="G745" s="50"/>
    </row>
    <row r="746">
      <c r="A746" s="50"/>
      <c r="B746" s="50"/>
      <c r="C746" s="50"/>
      <c r="D746" s="50"/>
      <c r="E746" s="50"/>
      <c r="F746" s="50"/>
      <c r="G746" s="50"/>
    </row>
    <row r="747">
      <c r="A747" s="50"/>
      <c r="B747" s="50"/>
      <c r="C747" s="50"/>
      <c r="D747" s="50"/>
      <c r="E747" s="50"/>
      <c r="F747" s="50"/>
      <c r="G747" s="50"/>
    </row>
    <row r="748">
      <c r="A748" s="50"/>
      <c r="B748" s="50"/>
      <c r="C748" s="50"/>
      <c r="D748" s="50"/>
      <c r="E748" s="50"/>
      <c r="F748" s="50"/>
      <c r="G748" s="50"/>
    </row>
    <row r="749">
      <c r="A749" s="50"/>
      <c r="B749" s="50"/>
      <c r="C749" s="50"/>
      <c r="D749" s="50"/>
      <c r="E749" s="50"/>
      <c r="F749" s="50"/>
      <c r="G749" s="50"/>
    </row>
    <row r="750">
      <c r="A750" s="50"/>
      <c r="B750" s="50"/>
      <c r="C750" s="50"/>
      <c r="D750" s="50"/>
      <c r="E750" s="50"/>
      <c r="F750" s="50"/>
      <c r="G750" s="50"/>
    </row>
    <row r="751">
      <c r="A751" s="50"/>
      <c r="B751" s="50"/>
      <c r="C751" s="50"/>
      <c r="D751" s="50"/>
      <c r="E751" s="50"/>
      <c r="F751" s="50"/>
      <c r="G751" s="50"/>
    </row>
    <row r="752">
      <c r="A752" s="50"/>
      <c r="B752" s="50"/>
      <c r="C752" s="50"/>
      <c r="D752" s="50"/>
      <c r="E752" s="50"/>
      <c r="F752" s="50"/>
      <c r="G752" s="50"/>
    </row>
    <row r="753">
      <c r="A753" s="50"/>
      <c r="B753" s="50"/>
      <c r="C753" s="50"/>
      <c r="D753" s="50"/>
      <c r="E753" s="50"/>
      <c r="F753" s="50"/>
      <c r="G753" s="50"/>
    </row>
    <row r="754">
      <c r="A754" s="50"/>
      <c r="B754" s="50"/>
      <c r="C754" s="50"/>
      <c r="D754" s="50"/>
      <c r="E754" s="50"/>
      <c r="F754" s="50"/>
      <c r="G754" s="50"/>
    </row>
    <row r="755">
      <c r="A755" s="50"/>
      <c r="B755" s="50"/>
      <c r="C755" s="50"/>
      <c r="D755" s="50"/>
      <c r="E755" s="50"/>
      <c r="F755" s="50"/>
      <c r="G755" s="50"/>
    </row>
    <row r="756">
      <c r="A756" s="50"/>
      <c r="B756" s="50"/>
      <c r="C756" s="50"/>
      <c r="D756" s="50"/>
      <c r="E756" s="50"/>
      <c r="F756" s="50"/>
      <c r="G756" s="50"/>
    </row>
    <row r="757">
      <c r="A757" s="50"/>
      <c r="B757" s="50"/>
      <c r="C757" s="50"/>
      <c r="D757" s="50"/>
      <c r="E757" s="50"/>
      <c r="F757" s="50"/>
      <c r="G757" s="50"/>
    </row>
    <row r="758">
      <c r="A758" s="50"/>
      <c r="B758" s="50"/>
      <c r="C758" s="50"/>
      <c r="D758" s="50"/>
      <c r="E758" s="50"/>
      <c r="F758" s="50"/>
      <c r="G758" s="50"/>
    </row>
    <row r="759">
      <c r="A759" s="50"/>
      <c r="B759" s="50"/>
      <c r="C759" s="50"/>
      <c r="D759" s="50"/>
      <c r="E759" s="50"/>
      <c r="F759" s="50"/>
      <c r="G759" s="50"/>
    </row>
    <row r="760">
      <c r="A760" s="50"/>
      <c r="B760" s="50"/>
      <c r="C760" s="50"/>
      <c r="D760" s="50"/>
      <c r="E760" s="50"/>
      <c r="F760" s="50"/>
      <c r="G760" s="50"/>
    </row>
    <row r="761">
      <c r="A761" s="50"/>
      <c r="B761" s="50"/>
      <c r="C761" s="50"/>
      <c r="D761" s="50"/>
      <c r="E761" s="50"/>
      <c r="F761" s="50"/>
      <c r="G761" s="50"/>
    </row>
    <row r="762">
      <c r="A762" s="50"/>
      <c r="B762" s="50"/>
      <c r="C762" s="50"/>
      <c r="D762" s="50"/>
      <c r="E762" s="50"/>
      <c r="F762" s="50"/>
      <c r="G762" s="50"/>
    </row>
    <row r="763">
      <c r="A763" s="50"/>
      <c r="B763" s="50"/>
      <c r="C763" s="50"/>
      <c r="D763" s="50"/>
      <c r="E763" s="50"/>
      <c r="F763" s="50"/>
      <c r="G763" s="50"/>
    </row>
    <row r="764">
      <c r="A764" s="50"/>
      <c r="B764" s="50"/>
      <c r="C764" s="50"/>
      <c r="D764" s="50"/>
      <c r="E764" s="50"/>
      <c r="F764" s="50"/>
      <c r="G764" s="50"/>
    </row>
    <row r="765">
      <c r="A765" s="50"/>
      <c r="B765" s="50"/>
      <c r="C765" s="50"/>
      <c r="D765" s="50"/>
      <c r="E765" s="50"/>
      <c r="F765" s="50"/>
      <c r="G765" s="50"/>
    </row>
    <row r="766">
      <c r="A766" s="50"/>
      <c r="B766" s="50"/>
      <c r="C766" s="50"/>
      <c r="D766" s="50"/>
      <c r="E766" s="50"/>
      <c r="F766" s="50"/>
      <c r="G766" s="50"/>
    </row>
    <row r="767">
      <c r="A767" s="50"/>
      <c r="B767" s="50"/>
      <c r="C767" s="50"/>
      <c r="D767" s="50"/>
      <c r="E767" s="50"/>
      <c r="F767" s="50"/>
      <c r="G767" s="50"/>
    </row>
    <row r="768">
      <c r="A768" s="50"/>
      <c r="B768" s="50"/>
      <c r="C768" s="50"/>
      <c r="D768" s="50"/>
      <c r="E768" s="50"/>
      <c r="F768" s="50"/>
      <c r="G768" s="50"/>
    </row>
    <row r="769">
      <c r="A769" s="50"/>
      <c r="B769" s="50"/>
      <c r="C769" s="50"/>
      <c r="D769" s="50"/>
      <c r="E769" s="50"/>
      <c r="F769" s="50"/>
      <c r="G769" s="50"/>
    </row>
    <row r="770">
      <c r="A770" s="50"/>
      <c r="B770" s="50"/>
      <c r="C770" s="50"/>
      <c r="D770" s="50"/>
      <c r="E770" s="50"/>
      <c r="F770" s="50"/>
      <c r="G770" s="50"/>
    </row>
    <row r="771">
      <c r="A771" s="50"/>
      <c r="B771" s="50"/>
      <c r="C771" s="50"/>
      <c r="D771" s="50"/>
      <c r="E771" s="50"/>
      <c r="F771" s="50"/>
      <c r="G771" s="50"/>
    </row>
    <row r="772">
      <c r="A772" s="50"/>
      <c r="B772" s="50"/>
      <c r="C772" s="50"/>
      <c r="D772" s="50"/>
      <c r="E772" s="50"/>
      <c r="F772" s="50"/>
      <c r="G772" s="50"/>
    </row>
    <row r="773">
      <c r="A773" s="50"/>
      <c r="B773" s="50"/>
      <c r="C773" s="50"/>
      <c r="D773" s="50"/>
      <c r="E773" s="50"/>
      <c r="F773" s="50"/>
      <c r="G773" s="50"/>
    </row>
    <row r="774">
      <c r="A774" s="50"/>
      <c r="B774" s="50"/>
      <c r="C774" s="50"/>
      <c r="D774" s="50"/>
      <c r="E774" s="50"/>
      <c r="F774" s="50"/>
      <c r="G774" s="50"/>
    </row>
    <row r="775">
      <c r="A775" s="50"/>
      <c r="B775" s="50"/>
      <c r="C775" s="50"/>
      <c r="D775" s="50"/>
      <c r="E775" s="50"/>
      <c r="F775" s="50"/>
      <c r="G775" s="50"/>
    </row>
    <row r="776">
      <c r="A776" s="50"/>
      <c r="B776" s="50"/>
      <c r="C776" s="50"/>
      <c r="D776" s="50"/>
      <c r="E776" s="50"/>
      <c r="F776" s="50"/>
      <c r="G776" s="50"/>
    </row>
    <row r="777">
      <c r="A777" s="50"/>
      <c r="B777" s="50"/>
      <c r="C777" s="50"/>
      <c r="D777" s="50"/>
      <c r="E777" s="50"/>
      <c r="F777" s="50"/>
      <c r="G777" s="50"/>
    </row>
    <row r="778">
      <c r="A778" s="50"/>
      <c r="B778" s="50"/>
      <c r="C778" s="50"/>
      <c r="D778" s="50"/>
      <c r="E778" s="50"/>
      <c r="F778" s="50"/>
      <c r="G778" s="50"/>
    </row>
    <row r="779">
      <c r="A779" s="50"/>
      <c r="B779" s="50"/>
      <c r="C779" s="50"/>
      <c r="D779" s="50"/>
      <c r="E779" s="50"/>
      <c r="F779" s="50"/>
      <c r="G779" s="50"/>
    </row>
    <row r="780">
      <c r="A780" s="50"/>
      <c r="B780" s="50"/>
      <c r="C780" s="50"/>
      <c r="D780" s="50"/>
      <c r="E780" s="50"/>
      <c r="F780" s="50"/>
      <c r="G780" s="50"/>
    </row>
    <row r="781">
      <c r="A781" s="50"/>
      <c r="B781" s="50"/>
      <c r="C781" s="50"/>
      <c r="D781" s="50"/>
      <c r="E781" s="50"/>
      <c r="F781" s="50"/>
      <c r="G781" s="50"/>
    </row>
    <row r="782">
      <c r="A782" s="50"/>
      <c r="B782" s="50"/>
      <c r="C782" s="50"/>
      <c r="D782" s="50"/>
      <c r="E782" s="50"/>
      <c r="F782" s="50"/>
      <c r="G782" s="50"/>
    </row>
    <row r="783">
      <c r="A783" s="50"/>
      <c r="B783" s="50"/>
      <c r="C783" s="50"/>
      <c r="D783" s="50"/>
      <c r="E783" s="50"/>
      <c r="F783" s="50"/>
      <c r="G783" s="50"/>
    </row>
    <row r="784">
      <c r="A784" s="50"/>
      <c r="B784" s="50"/>
      <c r="C784" s="50"/>
      <c r="D784" s="50"/>
      <c r="E784" s="50"/>
      <c r="F784" s="50"/>
      <c r="G784" s="50"/>
    </row>
    <row r="785">
      <c r="A785" s="50"/>
      <c r="B785" s="50"/>
      <c r="C785" s="50"/>
      <c r="D785" s="50"/>
      <c r="E785" s="50"/>
      <c r="F785" s="50"/>
      <c r="G785" s="50"/>
    </row>
    <row r="786">
      <c r="A786" s="50"/>
      <c r="B786" s="50"/>
      <c r="C786" s="50"/>
      <c r="D786" s="50"/>
      <c r="E786" s="50"/>
      <c r="F786" s="50"/>
      <c r="G786" s="50"/>
    </row>
    <row r="787">
      <c r="A787" s="50"/>
      <c r="B787" s="50"/>
      <c r="C787" s="50"/>
      <c r="D787" s="50"/>
      <c r="E787" s="50"/>
      <c r="F787" s="50"/>
      <c r="G787" s="50"/>
    </row>
    <row r="788">
      <c r="A788" s="50"/>
      <c r="B788" s="50"/>
      <c r="C788" s="50"/>
      <c r="D788" s="50"/>
      <c r="E788" s="50"/>
      <c r="F788" s="50"/>
      <c r="G788" s="50"/>
    </row>
    <row r="789">
      <c r="A789" s="50"/>
      <c r="B789" s="50"/>
      <c r="C789" s="50"/>
      <c r="D789" s="50"/>
      <c r="E789" s="50"/>
      <c r="F789" s="50"/>
      <c r="G789" s="50"/>
    </row>
    <row r="790">
      <c r="A790" s="50"/>
      <c r="B790" s="50"/>
      <c r="C790" s="50"/>
      <c r="D790" s="50"/>
      <c r="E790" s="50"/>
      <c r="F790" s="50"/>
      <c r="G790" s="50"/>
    </row>
    <row r="791">
      <c r="A791" s="50"/>
      <c r="B791" s="50"/>
      <c r="C791" s="50"/>
      <c r="D791" s="50"/>
      <c r="E791" s="50"/>
      <c r="F791" s="50"/>
      <c r="G791" s="50"/>
    </row>
    <row r="792">
      <c r="A792" s="50"/>
      <c r="B792" s="50"/>
      <c r="C792" s="50"/>
      <c r="D792" s="50"/>
      <c r="E792" s="50"/>
      <c r="F792" s="50"/>
      <c r="G792" s="50"/>
    </row>
    <row r="793">
      <c r="A793" s="50"/>
      <c r="B793" s="50"/>
      <c r="C793" s="50"/>
      <c r="D793" s="50"/>
      <c r="E793" s="50"/>
      <c r="F793" s="50"/>
      <c r="G793" s="50"/>
    </row>
    <row r="794">
      <c r="A794" s="50"/>
      <c r="B794" s="50"/>
      <c r="C794" s="50"/>
      <c r="D794" s="50"/>
      <c r="E794" s="50"/>
      <c r="F794" s="50"/>
      <c r="G794" s="50"/>
    </row>
    <row r="795">
      <c r="A795" s="50"/>
      <c r="B795" s="50"/>
      <c r="C795" s="50"/>
      <c r="D795" s="50"/>
      <c r="E795" s="50"/>
      <c r="F795" s="50"/>
      <c r="G795" s="50"/>
    </row>
    <row r="796">
      <c r="A796" s="50"/>
      <c r="B796" s="50"/>
      <c r="C796" s="50"/>
      <c r="D796" s="50"/>
      <c r="E796" s="50"/>
      <c r="F796" s="50"/>
      <c r="G796" s="50"/>
    </row>
    <row r="797">
      <c r="A797" s="50"/>
      <c r="B797" s="50"/>
      <c r="C797" s="50"/>
      <c r="D797" s="50"/>
      <c r="E797" s="50"/>
      <c r="F797" s="50"/>
      <c r="G797" s="50"/>
    </row>
    <row r="798">
      <c r="A798" s="50"/>
      <c r="B798" s="50"/>
      <c r="C798" s="50"/>
      <c r="D798" s="50"/>
      <c r="E798" s="50"/>
      <c r="F798" s="50"/>
      <c r="G798" s="50"/>
    </row>
    <row r="799">
      <c r="A799" s="50"/>
      <c r="B799" s="50"/>
      <c r="C799" s="50"/>
      <c r="D799" s="50"/>
      <c r="E799" s="50"/>
      <c r="F799" s="50"/>
      <c r="G799" s="50"/>
    </row>
    <row r="800">
      <c r="A800" s="50"/>
      <c r="B800" s="50"/>
      <c r="C800" s="50"/>
      <c r="D800" s="50"/>
      <c r="E800" s="50"/>
      <c r="F800" s="50"/>
      <c r="G800" s="50"/>
    </row>
    <row r="801">
      <c r="A801" s="50"/>
      <c r="B801" s="50"/>
      <c r="C801" s="50"/>
      <c r="D801" s="50"/>
      <c r="E801" s="50"/>
      <c r="F801" s="50"/>
      <c r="G801" s="50"/>
    </row>
    <row r="802">
      <c r="A802" s="50"/>
      <c r="B802" s="50"/>
      <c r="C802" s="50"/>
      <c r="D802" s="50"/>
      <c r="E802" s="50"/>
      <c r="F802" s="50"/>
      <c r="G802" s="50"/>
    </row>
    <row r="803">
      <c r="A803" s="50"/>
      <c r="B803" s="50"/>
      <c r="C803" s="50"/>
      <c r="D803" s="50"/>
      <c r="E803" s="50"/>
      <c r="F803" s="50"/>
      <c r="G803" s="50"/>
    </row>
    <row r="804">
      <c r="A804" s="50"/>
      <c r="B804" s="50"/>
      <c r="C804" s="50"/>
      <c r="D804" s="50"/>
      <c r="E804" s="50"/>
      <c r="F804" s="50"/>
      <c r="G804" s="50"/>
    </row>
    <row r="805">
      <c r="A805" s="50"/>
      <c r="B805" s="50"/>
      <c r="C805" s="50"/>
      <c r="D805" s="50"/>
      <c r="E805" s="50"/>
      <c r="F805" s="50"/>
      <c r="G805" s="50"/>
    </row>
    <row r="806">
      <c r="A806" s="50"/>
      <c r="B806" s="50"/>
      <c r="C806" s="50"/>
      <c r="D806" s="50"/>
      <c r="E806" s="50"/>
      <c r="F806" s="50"/>
      <c r="G806" s="50"/>
    </row>
    <row r="807">
      <c r="A807" s="50"/>
      <c r="B807" s="50"/>
      <c r="C807" s="50"/>
      <c r="D807" s="50"/>
      <c r="E807" s="50"/>
      <c r="F807" s="50"/>
      <c r="G807" s="50"/>
    </row>
    <row r="808">
      <c r="A808" s="50"/>
      <c r="B808" s="50"/>
      <c r="C808" s="50"/>
      <c r="D808" s="50"/>
      <c r="E808" s="50"/>
      <c r="F808" s="50"/>
      <c r="G808" s="50"/>
    </row>
    <row r="809">
      <c r="A809" s="50"/>
      <c r="B809" s="50"/>
      <c r="C809" s="50"/>
      <c r="D809" s="50"/>
      <c r="E809" s="50"/>
      <c r="F809" s="50"/>
      <c r="G809" s="50"/>
    </row>
    <row r="810">
      <c r="A810" s="50"/>
      <c r="B810" s="50"/>
      <c r="C810" s="50"/>
      <c r="D810" s="50"/>
      <c r="E810" s="50"/>
      <c r="F810" s="50"/>
      <c r="G810" s="50"/>
    </row>
    <row r="811">
      <c r="A811" s="50"/>
      <c r="B811" s="50"/>
      <c r="C811" s="50"/>
      <c r="D811" s="50"/>
      <c r="E811" s="50"/>
      <c r="F811" s="50"/>
      <c r="G811" s="50"/>
    </row>
    <row r="812">
      <c r="A812" s="50"/>
      <c r="B812" s="50"/>
      <c r="C812" s="50"/>
      <c r="D812" s="50"/>
      <c r="E812" s="50"/>
      <c r="F812" s="50"/>
      <c r="G812" s="50"/>
    </row>
    <row r="813">
      <c r="A813" s="50"/>
      <c r="B813" s="50"/>
      <c r="C813" s="50"/>
      <c r="D813" s="50"/>
      <c r="E813" s="50"/>
      <c r="F813" s="50"/>
      <c r="G813" s="50"/>
    </row>
    <row r="814">
      <c r="A814" s="50"/>
      <c r="B814" s="50"/>
      <c r="C814" s="50"/>
      <c r="D814" s="50"/>
      <c r="E814" s="50"/>
      <c r="F814" s="50"/>
      <c r="G814" s="50"/>
    </row>
    <row r="815">
      <c r="A815" s="50"/>
      <c r="B815" s="50"/>
      <c r="C815" s="50"/>
      <c r="D815" s="50"/>
      <c r="E815" s="50"/>
      <c r="F815" s="50"/>
      <c r="G815" s="50"/>
    </row>
    <row r="816">
      <c r="A816" s="50"/>
      <c r="B816" s="50"/>
      <c r="C816" s="50"/>
      <c r="D816" s="50"/>
      <c r="E816" s="50"/>
      <c r="F816" s="50"/>
      <c r="G816" s="50"/>
    </row>
    <row r="817">
      <c r="A817" s="50"/>
      <c r="B817" s="50"/>
      <c r="C817" s="50"/>
      <c r="D817" s="50"/>
      <c r="E817" s="50"/>
      <c r="F817" s="50"/>
      <c r="G817" s="50"/>
    </row>
    <row r="818">
      <c r="A818" s="50"/>
      <c r="B818" s="50"/>
      <c r="C818" s="50"/>
      <c r="D818" s="50"/>
      <c r="E818" s="50"/>
      <c r="F818" s="50"/>
      <c r="G818" s="50"/>
    </row>
    <row r="819">
      <c r="A819" s="50"/>
      <c r="B819" s="50"/>
      <c r="C819" s="50"/>
      <c r="D819" s="50"/>
      <c r="E819" s="50"/>
      <c r="F819" s="50"/>
      <c r="G819" s="50"/>
    </row>
    <row r="820">
      <c r="A820" s="50"/>
      <c r="B820" s="50"/>
      <c r="C820" s="50"/>
      <c r="D820" s="50"/>
      <c r="E820" s="50"/>
      <c r="F820" s="50"/>
      <c r="G820" s="50"/>
    </row>
    <row r="821">
      <c r="A821" s="50"/>
      <c r="B821" s="50"/>
      <c r="C821" s="50"/>
      <c r="D821" s="50"/>
      <c r="E821" s="50"/>
      <c r="F821" s="50"/>
      <c r="G821" s="50"/>
    </row>
    <row r="822">
      <c r="A822" s="50"/>
      <c r="B822" s="50"/>
      <c r="C822" s="50"/>
      <c r="D822" s="50"/>
      <c r="E822" s="50"/>
      <c r="F822" s="50"/>
      <c r="G822" s="50"/>
    </row>
    <row r="823">
      <c r="A823" s="50"/>
      <c r="B823" s="50"/>
      <c r="C823" s="50"/>
      <c r="D823" s="50"/>
      <c r="E823" s="50"/>
      <c r="F823" s="50"/>
      <c r="G823" s="50"/>
    </row>
    <row r="824">
      <c r="A824" s="50"/>
      <c r="B824" s="50"/>
      <c r="C824" s="50"/>
      <c r="D824" s="50"/>
      <c r="E824" s="50"/>
      <c r="F824" s="50"/>
      <c r="G824" s="50"/>
    </row>
    <row r="825">
      <c r="A825" s="50"/>
      <c r="B825" s="50"/>
      <c r="C825" s="50"/>
      <c r="D825" s="50"/>
      <c r="E825" s="50"/>
      <c r="F825" s="50"/>
      <c r="G825" s="50"/>
    </row>
    <row r="826">
      <c r="A826" s="50"/>
      <c r="B826" s="50"/>
      <c r="C826" s="50"/>
      <c r="D826" s="50"/>
      <c r="E826" s="50"/>
      <c r="F826" s="50"/>
      <c r="G826" s="50"/>
    </row>
    <row r="827">
      <c r="A827" s="50"/>
      <c r="B827" s="50"/>
      <c r="C827" s="50"/>
      <c r="D827" s="50"/>
      <c r="E827" s="50"/>
      <c r="F827" s="50"/>
      <c r="G827" s="50"/>
    </row>
    <row r="828">
      <c r="A828" s="50"/>
      <c r="B828" s="50"/>
      <c r="C828" s="50"/>
      <c r="D828" s="50"/>
      <c r="E828" s="50"/>
      <c r="F828" s="50"/>
      <c r="G828" s="50"/>
    </row>
    <row r="829">
      <c r="A829" s="50"/>
      <c r="B829" s="50"/>
      <c r="C829" s="50"/>
      <c r="D829" s="50"/>
      <c r="E829" s="50"/>
      <c r="F829" s="50"/>
      <c r="G829" s="50"/>
    </row>
    <row r="830">
      <c r="A830" s="50"/>
      <c r="B830" s="50"/>
      <c r="C830" s="50"/>
      <c r="D830" s="50"/>
      <c r="E830" s="50"/>
      <c r="F830" s="50"/>
      <c r="G830" s="50"/>
    </row>
    <row r="831">
      <c r="A831" s="50"/>
      <c r="B831" s="50"/>
      <c r="C831" s="50"/>
      <c r="D831" s="50"/>
      <c r="E831" s="50"/>
      <c r="F831" s="50"/>
      <c r="G831" s="50"/>
    </row>
    <row r="832">
      <c r="A832" s="50"/>
      <c r="B832" s="50"/>
      <c r="C832" s="50"/>
      <c r="D832" s="50"/>
      <c r="E832" s="50"/>
      <c r="F832" s="50"/>
      <c r="G832" s="50"/>
    </row>
    <row r="833">
      <c r="A833" s="50"/>
      <c r="B833" s="50"/>
      <c r="C833" s="50"/>
      <c r="D833" s="50"/>
      <c r="E833" s="50"/>
      <c r="F833" s="50"/>
      <c r="G833" s="50"/>
    </row>
    <row r="834">
      <c r="A834" s="50"/>
      <c r="B834" s="50"/>
      <c r="C834" s="50"/>
      <c r="D834" s="50"/>
      <c r="E834" s="50"/>
      <c r="F834" s="50"/>
      <c r="G834" s="50"/>
    </row>
    <row r="835">
      <c r="A835" s="50"/>
      <c r="B835" s="50"/>
      <c r="C835" s="50"/>
      <c r="D835" s="50"/>
      <c r="E835" s="50"/>
      <c r="F835" s="50"/>
      <c r="G835" s="50"/>
    </row>
    <row r="836">
      <c r="A836" s="50"/>
      <c r="B836" s="50"/>
      <c r="C836" s="50"/>
      <c r="D836" s="50"/>
      <c r="E836" s="50"/>
      <c r="F836" s="50"/>
      <c r="G836" s="50"/>
    </row>
    <row r="837">
      <c r="A837" s="50"/>
      <c r="B837" s="50"/>
      <c r="C837" s="50"/>
      <c r="D837" s="50"/>
      <c r="E837" s="50"/>
      <c r="F837" s="50"/>
      <c r="G837" s="50"/>
    </row>
    <row r="838">
      <c r="A838" s="50"/>
      <c r="B838" s="50"/>
      <c r="C838" s="50"/>
      <c r="D838" s="50"/>
      <c r="E838" s="50"/>
      <c r="F838" s="50"/>
      <c r="G838" s="50"/>
    </row>
    <row r="839">
      <c r="A839" s="50"/>
      <c r="B839" s="50"/>
      <c r="C839" s="50"/>
      <c r="D839" s="50"/>
      <c r="E839" s="50"/>
      <c r="F839" s="50"/>
      <c r="G839" s="50"/>
    </row>
    <row r="840">
      <c r="A840" s="50"/>
      <c r="B840" s="50"/>
      <c r="C840" s="50"/>
      <c r="D840" s="50"/>
      <c r="E840" s="50"/>
      <c r="F840" s="50"/>
      <c r="G840" s="50"/>
    </row>
    <row r="841">
      <c r="A841" s="50"/>
      <c r="B841" s="50"/>
      <c r="C841" s="50"/>
      <c r="D841" s="50"/>
      <c r="E841" s="50"/>
      <c r="F841" s="50"/>
      <c r="G841" s="50"/>
    </row>
    <row r="842">
      <c r="A842" s="50"/>
      <c r="B842" s="50"/>
      <c r="C842" s="50"/>
      <c r="D842" s="50"/>
      <c r="E842" s="50"/>
      <c r="F842" s="50"/>
      <c r="G842" s="50"/>
    </row>
    <row r="843">
      <c r="A843" s="50"/>
      <c r="B843" s="50"/>
      <c r="C843" s="50"/>
      <c r="D843" s="50"/>
      <c r="E843" s="50"/>
      <c r="F843" s="50"/>
      <c r="G843" s="50"/>
    </row>
    <row r="844">
      <c r="A844" s="50"/>
      <c r="B844" s="50"/>
      <c r="C844" s="50"/>
      <c r="D844" s="50"/>
      <c r="E844" s="50"/>
      <c r="F844" s="50"/>
      <c r="G844" s="50"/>
    </row>
    <row r="845">
      <c r="A845" s="50"/>
      <c r="B845" s="50"/>
      <c r="C845" s="50"/>
      <c r="D845" s="50"/>
      <c r="E845" s="50"/>
      <c r="F845" s="50"/>
      <c r="G845" s="50"/>
    </row>
    <row r="846">
      <c r="A846" s="50"/>
      <c r="B846" s="50"/>
      <c r="C846" s="50"/>
      <c r="D846" s="50"/>
      <c r="E846" s="50"/>
      <c r="F846" s="50"/>
      <c r="G846" s="50"/>
    </row>
    <row r="847">
      <c r="A847" s="50"/>
      <c r="B847" s="50"/>
      <c r="C847" s="50"/>
      <c r="D847" s="50"/>
      <c r="E847" s="50"/>
      <c r="F847" s="50"/>
      <c r="G847" s="50"/>
    </row>
    <row r="848">
      <c r="A848" s="50"/>
      <c r="B848" s="50"/>
      <c r="C848" s="50"/>
      <c r="D848" s="50"/>
      <c r="E848" s="50"/>
      <c r="F848" s="50"/>
      <c r="G848" s="50"/>
    </row>
    <row r="849">
      <c r="A849" s="50"/>
      <c r="B849" s="50"/>
      <c r="C849" s="50"/>
      <c r="D849" s="50"/>
      <c r="E849" s="50"/>
      <c r="F849" s="50"/>
      <c r="G849" s="50"/>
    </row>
    <row r="850">
      <c r="A850" s="50"/>
      <c r="B850" s="50"/>
      <c r="C850" s="50"/>
      <c r="D850" s="50"/>
      <c r="E850" s="50"/>
      <c r="F850" s="50"/>
      <c r="G850" s="50"/>
    </row>
    <row r="851">
      <c r="A851" s="50"/>
      <c r="B851" s="50"/>
      <c r="C851" s="50"/>
      <c r="D851" s="50"/>
      <c r="E851" s="50"/>
      <c r="F851" s="50"/>
      <c r="G851" s="50"/>
    </row>
    <row r="852">
      <c r="A852" s="50"/>
      <c r="B852" s="50"/>
      <c r="C852" s="50"/>
      <c r="D852" s="50"/>
      <c r="E852" s="50"/>
      <c r="F852" s="50"/>
      <c r="G852" s="50"/>
    </row>
    <row r="853">
      <c r="A853" s="50"/>
      <c r="B853" s="50"/>
      <c r="C853" s="50"/>
      <c r="D853" s="50"/>
      <c r="E853" s="50"/>
      <c r="F853" s="50"/>
      <c r="G853" s="50"/>
    </row>
    <row r="854">
      <c r="A854" s="50"/>
      <c r="B854" s="50"/>
      <c r="C854" s="50"/>
      <c r="D854" s="50"/>
      <c r="E854" s="50"/>
      <c r="F854" s="50"/>
      <c r="G854" s="50"/>
    </row>
    <row r="855">
      <c r="A855" s="50"/>
      <c r="B855" s="50"/>
      <c r="C855" s="50"/>
      <c r="D855" s="50"/>
      <c r="E855" s="50"/>
      <c r="F855" s="50"/>
      <c r="G855" s="50"/>
    </row>
    <row r="856">
      <c r="A856" s="50"/>
      <c r="B856" s="50"/>
      <c r="C856" s="50"/>
      <c r="D856" s="50"/>
      <c r="E856" s="50"/>
      <c r="F856" s="50"/>
      <c r="G856" s="50"/>
    </row>
    <row r="857">
      <c r="A857" s="50"/>
      <c r="B857" s="50"/>
      <c r="C857" s="50"/>
      <c r="D857" s="50"/>
      <c r="E857" s="50"/>
      <c r="F857" s="50"/>
      <c r="G857" s="50"/>
    </row>
    <row r="858">
      <c r="A858" s="50"/>
      <c r="B858" s="50"/>
      <c r="C858" s="50"/>
      <c r="D858" s="50"/>
      <c r="E858" s="50"/>
      <c r="F858" s="50"/>
      <c r="G858" s="50"/>
    </row>
    <row r="859">
      <c r="A859" s="50"/>
      <c r="B859" s="50"/>
      <c r="C859" s="50"/>
      <c r="D859" s="50"/>
      <c r="E859" s="50"/>
      <c r="F859" s="50"/>
      <c r="G859" s="50"/>
    </row>
    <row r="860">
      <c r="A860" s="50"/>
      <c r="B860" s="50"/>
      <c r="C860" s="50"/>
      <c r="D860" s="50"/>
      <c r="E860" s="50"/>
      <c r="F860" s="50"/>
      <c r="G860" s="50"/>
    </row>
    <row r="861">
      <c r="A861" s="50"/>
      <c r="B861" s="50"/>
      <c r="C861" s="50"/>
      <c r="D861" s="50"/>
      <c r="E861" s="50"/>
      <c r="F861" s="50"/>
      <c r="G861" s="50"/>
    </row>
    <row r="862">
      <c r="A862" s="50"/>
      <c r="B862" s="50"/>
      <c r="C862" s="50"/>
      <c r="D862" s="50"/>
      <c r="E862" s="50"/>
      <c r="F862" s="50"/>
      <c r="G862" s="50"/>
    </row>
    <row r="863">
      <c r="A863" s="50"/>
      <c r="B863" s="50"/>
      <c r="C863" s="50"/>
      <c r="D863" s="50"/>
      <c r="E863" s="50"/>
      <c r="F863" s="50"/>
      <c r="G863" s="50"/>
    </row>
    <row r="864">
      <c r="A864" s="50"/>
      <c r="B864" s="50"/>
      <c r="C864" s="50"/>
      <c r="D864" s="50"/>
      <c r="E864" s="50"/>
      <c r="F864" s="50"/>
      <c r="G864" s="50"/>
    </row>
    <row r="865">
      <c r="A865" s="50"/>
      <c r="B865" s="50"/>
      <c r="C865" s="50"/>
      <c r="D865" s="50"/>
      <c r="E865" s="50"/>
      <c r="F865" s="50"/>
      <c r="G865" s="50"/>
    </row>
    <row r="866">
      <c r="A866" s="50"/>
      <c r="B866" s="50"/>
      <c r="C866" s="50"/>
      <c r="D866" s="50"/>
      <c r="E866" s="50"/>
      <c r="F866" s="50"/>
      <c r="G866" s="50"/>
    </row>
    <row r="867">
      <c r="A867" s="50"/>
      <c r="B867" s="50"/>
      <c r="C867" s="50"/>
      <c r="D867" s="50"/>
      <c r="E867" s="50"/>
      <c r="F867" s="50"/>
      <c r="G867" s="50"/>
    </row>
    <row r="868">
      <c r="A868" s="50"/>
      <c r="B868" s="50"/>
      <c r="C868" s="50"/>
      <c r="D868" s="50"/>
      <c r="E868" s="50"/>
      <c r="F868" s="50"/>
      <c r="G868" s="50"/>
    </row>
    <row r="869">
      <c r="A869" s="50"/>
      <c r="B869" s="50"/>
      <c r="C869" s="50"/>
      <c r="D869" s="50"/>
      <c r="E869" s="50"/>
      <c r="F869" s="50"/>
      <c r="G869" s="50"/>
    </row>
    <row r="870">
      <c r="A870" s="50"/>
      <c r="B870" s="50"/>
      <c r="C870" s="50"/>
      <c r="D870" s="50"/>
      <c r="E870" s="50"/>
      <c r="F870" s="50"/>
      <c r="G870" s="50"/>
    </row>
    <row r="871">
      <c r="A871" s="50"/>
      <c r="B871" s="50"/>
      <c r="C871" s="50"/>
      <c r="D871" s="50"/>
      <c r="E871" s="50"/>
      <c r="F871" s="50"/>
      <c r="G871" s="50"/>
    </row>
    <row r="872">
      <c r="A872" s="50"/>
      <c r="B872" s="50"/>
      <c r="C872" s="50"/>
      <c r="D872" s="50"/>
      <c r="E872" s="50"/>
      <c r="F872" s="50"/>
      <c r="G872" s="50"/>
    </row>
    <row r="873">
      <c r="A873" s="50"/>
      <c r="B873" s="50"/>
      <c r="C873" s="50"/>
      <c r="D873" s="50"/>
      <c r="E873" s="50"/>
      <c r="F873" s="50"/>
      <c r="G873" s="50"/>
    </row>
    <row r="874">
      <c r="A874" s="50"/>
      <c r="B874" s="50"/>
      <c r="C874" s="50"/>
      <c r="D874" s="50"/>
      <c r="E874" s="50"/>
      <c r="F874" s="50"/>
      <c r="G874" s="50"/>
    </row>
    <row r="875">
      <c r="A875" s="50"/>
      <c r="B875" s="50"/>
      <c r="C875" s="50"/>
      <c r="D875" s="50"/>
      <c r="E875" s="50"/>
      <c r="F875" s="50"/>
      <c r="G875" s="50"/>
    </row>
    <row r="876">
      <c r="A876" s="50"/>
      <c r="B876" s="50"/>
      <c r="C876" s="50"/>
      <c r="D876" s="50"/>
      <c r="E876" s="50"/>
      <c r="F876" s="50"/>
      <c r="G876" s="50"/>
    </row>
    <row r="877">
      <c r="A877" s="50"/>
      <c r="B877" s="50"/>
      <c r="C877" s="50"/>
      <c r="D877" s="50"/>
      <c r="E877" s="50"/>
      <c r="F877" s="50"/>
      <c r="G877" s="50"/>
    </row>
    <row r="878">
      <c r="A878" s="50"/>
      <c r="B878" s="50"/>
      <c r="C878" s="50"/>
      <c r="D878" s="50"/>
      <c r="E878" s="50"/>
      <c r="F878" s="50"/>
      <c r="G878" s="50"/>
    </row>
    <row r="879">
      <c r="A879" s="50"/>
      <c r="B879" s="50"/>
      <c r="C879" s="50"/>
      <c r="D879" s="50"/>
      <c r="E879" s="50"/>
      <c r="F879" s="50"/>
      <c r="G879" s="50"/>
    </row>
    <row r="880">
      <c r="A880" s="50"/>
      <c r="B880" s="50"/>
      <c r="C880" s="50"/>
      <c r="D880" s="50"/>
      <c r="E880" s="50"/>
      <c r="F880" s="50"/>
      <c r="G880" s="50"/>
    </row>
    <row r="881">
      <c r="A881" s="50"/>
      <c r="B881" s="50"/>
      <c r="C881" s="50"/>
      <c r="D881" s="50"/>
      <c r="E881" s="50"/>
      <c r="F881" s="50"/>
      <c r="G881" s="50"/>
    </row>
    <row r="882">
      <c r="A882" s="50"/>
      <c r="B882" s="50"/>
      <c r="C882" s="50"/>
      <c r="D882" s="50"/>
      <c r="E882" s="50"/>
      <c r="F882" s="50"/>
      <c r="G882" s="50"/>
    </row>
    <row r="883">
      <c r="A883" s="50"/>
      <c r="B883" s="50"/>
      <c r="C883" s="50"/>
      <c r="D883" s="50"/>
      <c r="E883" s="50"/>
      <c r="F883" s="50"/>
      <c r="G883" s="50"/>
    </row>
    <row r="884">
      <c r="A884" s="50"/>
      <c r="B884" s="50"/>
      <c r="C884" s="50"/>
      <c r="D884" s="50"/>
      <c r="E884" s="50"/>
      <c r="F884" s="50"/>
      <c r="G884" s="50"/>
    </row>
    <row r="885">
      <c r="A885" s="50"/>
      <c r="B885" s="50"/>
      <c r="C885" s="50"/>
      <c r="D885" s="50"/>
      <c r="E885" s="50"/>
      <c r="F885" s="50"/>
      <c r="G885" s="50"/>
    </row>
    <row r="886">
      <c r="A886" s="50"/>
      <c r="B886" s="50"/>
      <c r="C886" s="50"/>
      <c r="D886" s="50"/>
      <c r="E886" s="50"/>
      <c r="F886" s="50"/>
      <c r="G886" s="50"/>
    </row>
    <row r="887">
      <c r="A887" s="50"/>
      <c r="B887" s="50"/>
      <c r="C887" s="50"/>
      <c r="D887" s="50"/>
      <c r="E887" s="50"/>
      <c r="F887" s="50"/>
      <c r="G887" s="50"/>
    </row>
    <row r="888">
      <c r="A888" s="50"/>
      <c r="B888" s="50"/>
      <c r="C888" s="50"/>
      <c r="D888" s="50"/>
      <c r="E888" s="50"/>
      <c r="F888" s="50"/>
      <c r="G888" s="50"/>
    </row>
    <row r="889">
      <c r="A889" s="50"/>
      <c r="B889" s="50"/>
      <c r="C889" s="50"/>
      <c r="D889" s="50"/>
      <c r="E889" s="50"/>
      <c r="F889" s="50"/>
      <c r="G889" s="50"/>
    </row>
    <row r="890">
      <c r="A890" s="50"/>
      <c r="B890" s="50"/>
      <c r="C890" s="50"/>
      <c r="D890" s="50"/>
      <c r="E890" s="50"/>
      <c r="F890" s="50"/>
      <c r="G890" s="50"/>
    </row>
    <row r="891">
      <c r="A891" s="50"/>
      <c r="B891" s="50"/>
      <c r="C891" s="50"/>
      <c r="D891" s="50"/>
      <c r="E891" s="50"/>
      <c r="F891" s="50"/>
      <c r="G891" s="50"/>
    </row>
    <row r="892">
      <c r="A892" s="50"/>
      <c r="B892" s="50"/>
      <c r="C892" s="50"/>
      <c r="D892" s="50"/>
      <c r="E892" s="50"/>
      <c r="F892" s="50"/>
      <c r="G892" s="50"/>
    </row>
    <row r="893">
      <c r="A893" s="50"/>
      <c r="B893" s="50"/>
      <c r="C893" s="50"/>
      <c r="D893" s="50"/>
      <c r="E893" s="50"/>
      <c r="F893" s="50"/>
      <c r="G893" s="50"/>
    </row>
    <row r="894">
      <c r="A894" s="50"/>
      <c r="B894" s="50"/>
      <c r="C894" s="50"/>
      <c r="D894" s="50"/>
      <c r="E894" s="50"/>
      <c r="F894" s="50"/>
      <c r="G894" s="50"/>
    </row>
    <row r="895">
      <c r="A895" s="50"/>
      <c r="B895" s="50"/>
      <c r="C895" s="50"/>
      <c r="D895" s="50"/>
      <c r="E895" s="50"/>
      <c r="F895" s="50"/>
      <c r="G895" s="50"/>
    </row>
    <row r="896">
      <c r="A896" s="50"/>
      <c r="B896" s="50"/>
      <c r="C896" s="50"/>
      <c r="D896" s="50"/>
      <c r="E896" s="50"/>
      <c r="F896" s="50"/>
      <c r="G896" s="50"/>
    </row>
    <row r="897">
      <c r="A897" s="50"/>
      <c r="B897" s="50"/>
      <c r="C897" s="50"/>
      <c r="D897" s="50"/>
      <c r="E897" s="50"/>
      <c r="F897" s="50"/>
      <c r="G897" s="50"/>
    </row>
    <row r="898">
      <c r="A898" s="50"/>
      <c r="B898" s="50"/>
      <c r="C898" s="50"/>
      <c r="D898" s="50"/>
      <c r="E898" s="50"/>
      <c r="F898" s="50"/>
      <c r="G898" s="50"/>
    </row>
    <row r="899">
      <c r="A899" s="50"/>
      <c r="B899" s="50"/>
      <c r="C899" s="50"/>
      <c r="D899" s="50"/>
      <c r="E899" s="50"/>
      <c r="F899" s="50"/>
      <c r="G899" s="50"/>
    </row>
    <row r="900">
      <c r="A900" s="50"/>
      <c r="B900" s="50"/>
      <c r="C900" s="50"/>
      <c r="D900" s="50"/>
      <c r="E900" s="50"/>
      <c r="F900" s="50"/>
      <c r="G900" s="50"/>
    </row>
    <row r="901">
      <c r="A901" s="50"/>
      <c r="B901" s="50"/>
      <c r="C901" s="50"/>
      <c r="D901" s="50"/>
      <c r="E901" s="50"/>
      <c r="F901" s="50"/>
      <c r="G901" s="50"/>
    </row>
    <row r="902">
      <c r="A902" s="50"/>
      <c r="B902" s="50"/>
      <c r="C902" s="50"/>
      <c r="D902" s="50"/>
      <c r="E902" s="50"/>
      <c r="F902" s="50"/>
      <c r="G902" s="50"/>
    </row>
    <row r="903">
      <c r="A903" s="50"/>
      <c r="B903" s="50"/>
      <c r="C903" s="50"/>
      <c r="D903" s="50"/>
      <c r="E903" s="50"/>
      <c r="F903" s="50"/>
      <c r="G903" s="50"/>
    </row>
    <row r="904">
      <c r="A904" s="50"/>
      <c r="B904" s="50"/>
      <c r="C904" s="50"/>
      <c r="D904" s="50"/>
      <c r="E904" s="50"/>
      <c r="F904" s="50"/>
      <c r="G904" s="50"/>
    </row>
    <row r="905">
      <c r="A905" s="50"/>
      <c r="B905" s="50"/>
      <c r="C905" s="50"/>
      <c r="D905" s="50"/>
      <c r="E905" s="50"/>
      <c r="F905" s="50"/>
      <c r="G905" s="50"/>
    </row>
    <row r="906">
      <c r="A906" s="50"/>
      <c r="B906" s="50"/>
      <c r="C906" s="50"/>
      <c r="D906" s="50"/>
      <c r="E906" s="50"/>
      <c r="F906" s="50"/>
      <c r="G906" s="50"/>
    </row>
    <row r="907">
      <c r="A907" s="50"/>
      <c r="B907" s="50"/>
      <c r="C907" s="50"/>
      <c r="D907" s="50"/>
      <c r="E907" s="50"/>
      <c r="F907" s="50"/>
      <c r="G907" s="50"/>
    </row>
    <row r="908">
      <c r="A908" s="50"/>
      <c r="B908" s="50"/>
      <c r="C908" s="50"/>
      <c r="D908" s="50"/>
      <c r="E908" s="50"/>
      <c r="F908" s="50"/>
      <c r="G908" s="50"/>
    </row>
    <row r="909">
      <c r="A909" s="50"/>
      <c r="B909" s="50"/>
      <c r="C909" s="50"/>
      <c r="D909" s="50"/>
      <c r="E909" s="50"/>
      <c r="F909" s="50"/>
      <c r="G909" s="50"/>
    </row>
    <row r="910">
      <c r="A910" s="50"/>
      <c r="B910" s="50"/>
      <c r="C910" s="50"/>
      <c r="D910" s="50"/>
      <c r="E910" s="50"/>
      <c r="F910" s="50"/>
      <c r="G910" s="50"/>
    </row>
    <row r="911">
      <c r="A911" s="50"/>
      <c r="B911" s="50"/>
      <c r="C911" s="50"/>
      <c r="D911" s="50"/>
      <c r="E911" s="50"/>
      <c r="F911" s="50"/>
      <c r="G911" s="50"/>
    </row>
    <row r="912">
      <c r="A912" s="50"/>
      <c r="B912" s="50"/>
      <c r="C912" s="50"/>
      <c r="D912" s="50"/>
      <c r="E912" s="50"/>
      <c r="F912" s="50"/>
      <c r="G912" s="50"/>
    </row>
    <row r="913">
      <c r="A913" s="50"/>
      <c r="B913" s="50"/>
      <c r="C913" s="50"/>
      <c r="D913" s="50"/>
      <c r="E913" s="50"/>
      <c r="F913" s="50"/>
      <c r="G913" s="50"/>
    </row>
    <row r="914">
      <c r="A914" s="50"/>
      <c r="B914" s="50"/>
      <c r="C914" s="50"/>
      <c r="D914" s="50"/>
      <c r="E914" s="50"/>
      <c r="F914" s="50"/>
      <c r="G914" s="50"/>
    </row>
    <row r="915">
      <c r="A915" s="50"/>
      <c r="B915" s="50"/>
      <c r="C915" s="50"/>
      <c r="D915" s="50"/>
      <c r="E915" s="50"/>
      <c r="F915" s="50"/>
      <c r="G915" s="50"/>
    </row>
    <row r="916">
      <c r="A916" s="50"/>
      <c r="B916" s="50"/>
      <c r="C916" s="50"/>
      <c r="D916" s="50"/>
      <c r="E916" s="50"/>
      <c r="F916" s="50"/>
      <c r="G916" s="50"/>
    </row>
    <row r="917">
      <c r="A917" s="50"/>
      <c r="B917" s="50"/>
      <c r="C917" s="50"/>
      <c r="D917" s="50"/>
      <c r="E917" s="50"/>
      <c r="F917" s="50"/>
      <c r="G917" s="50"/>
    </row>
    <row r="918">
      <c r="A918" s="50"/>
      <c r="B918" s="50"/>
      <c r="C918" s="50"/>
      <c r="D918" s="50"/>
      <c r="E918" s="50"/>
      <c r="F918" s="50"/>
      <c r="G918" s="50"/>
    </row>
    <row r="919">
      <c r="A919" s="50"/>
      <c r="B919" s="50"/>
      <c r="C919" s="50"/>
      <c r="D919" s="50"/>
      <c r="E919" s="50"/>
      <c r="F919" s="50"/>
      <c r="G919" s="50"/>
    </row>
    <row r="920">
      <c r="A920" s="50"/>
      <c r="B920" s="50"/>
      <c r="C920" s="50"/>
      <c r="D920" s="50"/>
      <c r="E920" s="50"/>
      <c r="F920" s="50"/>
      <c r="G920" s="50"/>
    </row>
    <row r="921">
      <c r="A921" s="50"/>
      <c r="B921" s="50"/>
      <c r="C921" s="50"/>
      <c r="D921" s="50"/>
      <c r="E921" s="50"/>
      <c r="F921" s="50"/>
      <c r="G921" s="50"/>
    </row>
    <row r="922">
      <c r="A922" s="50"/>
      <c r="B922" s="50"/>
      <c r="C922" s="50"/>
      <c r="D922" s="50"/>
      <c r="E922" s="50"/>
      <c r="F922" s="50"/>
      <c r="G922" s="50"/>
    </row>
    <row r="923">
      <c r="A923" s="50"/>
      <c r="B923" s="50"/>
      <c r="C923" s="50"/>
      <c r="D923" s="50"/>
      <c r="E923" s="50"/>
      <c r="F923" s="50"/>
      <c r="G923" s="50"/>
    </row>
    <row r="924">
      <c r="A924" s="50"/>
      <c r="B924" s="50"/>
      <c r="C924" s="50"/>
      <c r="D924" s="50"/>
      <c r="E924" s="50"/>
      <c r="F924" s="50"/>
      <c r="G924" s="50"/>
    </row>
    <row r="925">
      <c r="A925" s="50"/>
      <c r="B925" s="50"/>
      <c r="C925" s="50"/>
      <c r="D925" s="50"/>
      <c r="E925" s="50"/>
      <c r="F925" s="50"/>
      <c r="G925" s="50"/>
    </row>
    <row r="926">
      <c r="A926" s="50"/>
      <c r="B926" s="50"/>
      <c r="C926" s="50"/>
      <c r="D926" s="50"/>
      <c r="E926" s="50"/>
      <c r="F926" s="50"/>
      <c r="G926" s="50"/>
    </row>
    <row r="927">
      <c r="A927" s="50"/>
      <c r="B927" s="50"/>
      <c r="C927" s="50"/>
      <c r="D927" s="50"/>
      <c r="E927" s="50"/>
      <c r="F927" s="50"/>
      <c r="G927" s="50"/>
    </row>
    <row r="928">
      <c r="A928" s="50"/>
      <c r="B928" s="50"/>
      <c r="C928" s="50"/>
      <c r="D928" s="50"/>
      <c r="E928" s="50"/>
      <c r="F928" s="50"/>
      <c r="G928" s="50"/>
    </row>
    <row r="929">
      <c r="A929" s="50"/>
      <c r="B929" s="50"/>
      <c r="C929" s="50"/>
      <c r="D929" s="50"/>
      <c r="E929" s="50"/>
      <c r="F929" s="50"/>
      <c r="G929" s="50"/>
    </row>
    <row r="930">
      <c r="A930" s="50"/>
      <c r="B930" s="50"/>
      <c r="C930" s="50"/>
      <c r="D930" s="50"/>
      <c r="E930" s="50"/>
      <c r="F930" s="50"/>
      <c r="G930" s="50"/>
    </row>
    <row r="931">
      <c r="A931" s="50"/>
      <c r="B931" s="50"/>
      <c r="C931" s="50"/>
      <c r="D931" s="50"/>
      <c r="E931" s="50"/>
      <c r="F931" s="50"/>
      <c r="G931" s="50"/>
    </row>
    <row r="932">
      <c r="A932" s="50"/>
      <c r="B932" s="50"/>
      <c r="C932" s="50"/>
      <c r="D932" s="50"/>
      <c r="E932" s="50"/>
      <c r="F932" s="50"/>
      <c r="G932" s="50"/>
    </row>
    <row r="933">
      <c r="A933" s="50"/>
      <c r="B933" s="50"/>
      <c r="C933" s="50"/>
      <c r="D933" s="50"/>
      <c r="E933" s="50"/>
      <c r="F933" s="50"/>
      <c r="G933" s="50"/>
    </row>
    <row r="934">
      <c r="A934" s="50"/>
      <c r="B934" s="50"/>
      <c r="C934" s="50"/>
      <c r="D934" s="50"/>
      <c r="E934" s="50"/>
      <c r="F934" s="50"/>
      <c r="G934" s="50"/>
    </row>
    <row r="935">
      <c r="A935" s="50"/>
      <c r="B935" s="50"/>
      <c r="C935" s="50"/>
      <c r="D935" s="50"/>
      <c r="E935" s="50"/>
      <c r="F935" s="50"/>
      <c r="G935" s="50"/>
    </row>
    <row r="936">
      <c r="A936" s="50"/>
      <c r="B936" s="50"/>
      <c r="C936" s="50"/>
      <c r="D936" s="50"/>
      <c r="E936" s="50"/>
      <c r="F936" s="50"/>
      <c r="G936" s="50"/>
    </row>
    <row r="937">
      <c r="A937" s="50"/>
      <c r="B937" s="50"/>
      <c r="C937" s="50"/>
      <c r="D937" s="50"/>
      <c r="E937" s="50"/>
      <c r="F937" s="50"/>
      <c r="G937" s="50"/>
    </row>
    <row r="938">
      <c r="A938" s="50"/>
      <c r="B938" s="50"/>
      <c r="C938" s="50"/>
      <c r="D938" s="50"/>
      <c r="E938" s="50"/>
      <c r="F938" s="50"/>
      <c r="G938" s="50"/>
    </row>
    <row r="939">
      <c r="A939" s="50"/>
      <c r="B939" s="50"/>
      <c r="C939" s="50"/>
      <c r="D939" s="50"/>
      <c r="E939" s="50"/>
      <c r="F939" s="50"/>
      <c r="G939" s="50"/>
    </row>
    <row r="940">
      <c r="A940" s="50"/>
      <c r="B940" s="50"/>
      <c r="C940" s="50"/>
      <c r="D940" s="50"/>
      <c r="E940" s="50"/>
      <c r="F940" s="50"/>
      <c r="G940" s="50"/>
    </row>
    <row r="941">
      <c r="A941" s="50"/>
      <c r="B941" s="50"/>
      <c r="C941" s="50"/>
      <c r="D941" s="50"/>
      <c r="E941" s="50"/>
      <c r="F941" s="50"/>
      <c r="G941" s="50"/>
    </row>
    <row r="942">
      <c r="A942" s="50"/>
      <c r="B942" s="50"/>
      <c r="C942" s="50"/>
      <c r="D942" s="50"/>
      <c r="E942" s="50"/>
      <c r="F942" s="50"/>
      <c r="G942" s="50"/>
    </row>
    <row r="943">
      <c r="A943" s="50"/>
      <c r="B943" s="50"/>
      <c r="C943" s="50"/>
      <c r="D943" s="50"/>
      <c r="E943" s="50"/>
      <c r="F943" s="50"/>
      <c r="G943" s="50"/>
    </row>
    <row r="944">
      <c r="A944" s="50"/>
      <c r="B944" s="50"/>
      <c r="C944" s="50"/>
      <c r="D944" s="50"/>
      <c r="E944" s="50"/>
      <c r="F944" s="50"/>
      <c r="G944" s="50"/>
    </row>
    <row r="945">
      <c r="A945" s="50"/>
      <c r="B945" s="50"/>
      <c r="C945" s="50"/>
      <c r="D945" s="50"/>
      <c r="E945" s="50"/>
      <c r="F945" s="50"/>
      <c r="G945" s="50"/>
    </row>
    <row r="946">
      <c r="A946" s="50"/>
      <c r="B946" s="50"/>
      <c r="C946" s="50"/>
      <c r="D946" s="50"/>
      <c r="E946" s="50"/>
      <c r="F946" s="50"/>
      <c r="G946" s="50"/>
    </row>
    <row r="947">
      <c r="A947" s="50"/>
      <c r="B947" s="50"/>
      <c r="C947" s="50"/>
      <c r="D947" s="50"/>
      <c r="E947" s="50"/>
      <c r="F947" s="50"/>
      <c r="G947" s="50"/>
    </row>
    <row r="948">
      <c r="A948" s="50"/>
      <c r="B948" s="50"/>
      <c r="C948" s="50"/>
      <c r="D948" s="50"/>
      <c r="E948" s="50"/>
      <c r="F948" s="50"/>
      <c r="G948" s="50"/>
    </row>
    <row r="949">
      <c r="A949" s="50"/>
      <c r="B949" s="50"/>
      <c r="C949" s="50"/>
      <c r="D949" s="50"/>
      <c r="E949" s="50"/>
      <c r="F949" s="50"/>
      <c r="G949" s="50"/>
    </row>
    <row r="950">
      <c r="A950" s="50"/>
      <c r="B950" s="50"/>
      <c r="C950" s="50"/>
      <c r="D950" s="50"/>
      <c r="E950" s="50"/>
      <c r="F950" s="50"/>
      <c r="G950" s="50"/>
    </row>
    <row r="951">
      <c r="A951" s="50"/>
      <c r="B951" s="50"/>
      <c r="C951" s="50"/>
      <c r="D951" s="50"/>
      <c r="E951" s="50"/>
      <c r="F951" s="50"/>
      <c r="G951" s="50"/>
    </row>
    <row r="952">
      <c r="A952" s="50"/>
      <c r="B952" s="50"/>
      <c r="C952" s="50"/>
      <c r="D952" s="50"/>
      <c r="E952" s="50"/>
      <c r="F952" s="50"/>
      <c r="G952" s="50"/>
    </row>
    <row r="953">
      <c r="A953" s="50"/>
      <c r="B953" s="50"/>
      <c r="C953" s="50"/>
      <c r="D953" s="50"/>
      <c r="E953" s="50"/>
      <c r="F953" s="50"/>
      <c r="G953" s="50"/>
    </row>
    <row r="954">
      <c r="A954" s="50"/>
      <c r="B954" s="50"/>
      <c r="C954" s="50"/>
      <c r="D954" s="50"/>
      <c r="E954" s="50"/>
      <c r="F954" s="50"/>
      <c r="G954" s="50"/>
    </row>
    <row r="955">
      <c r="A955" s="50"/>
      <c r="B955" s="50"/>
      <c r="C955" s="50"/>
      <c r="D955" s="50"/>
      <c r="E955" s="50"/>
      <c r="F955" s="50"/>
      <c r="G955" s="50"/>
    </row>
    <row r="956">
      <c r="A956" s="50"/>
      <c r="B956" s="50"/>
      <c r="C956" s="50"/>
      <c r="D956" s="50"/>
      <c r="E956" s="50"/>
      <c r="F956" s="50"/>
      <c r="G956" s="50"/>
    </row>
    <row r="957">
      <c r="A957" s="50"/>
      <c r="B957" s="50"/>
      <c r="C957" s="50"/>
      <c r="D957" s="50"/>
      <c r="E957" s="50"/>
      <c r="F957" s="50"/>
      <c r="G957" s="50"/>
    </row>
    <row r="958">
      <c r="A958" s="50"/>
      <c r="B958" s="50"/>
      <c r="C958" s="50"/>
      <c r="D958" s="50"/>
      <c r="E958" s="50"/>
      <c r="F958" s="50"/>
      <c r="G958" s="50"/>
    </row>
    <row r="959">
      <c r="A959" s="50"/>
      <c r="B959" s="50"/>
      <c r="C959" s="50"/>
      <c r="D959" s="50"/>
      <c r="E959" s="50"/>
      <c r="F959" s="50"/>
      <c r="G959" s="50"/>
    </row>
    <row r="960">
      <c r="A960" s="50"/>
      <c r="B960" s="50"/>
      <c r="C960" s="50"/>
      <c r="D960" s="50"/>
      <c r="E960" s="50"/>
      <c r="F960" s="50"/>
      <c r="G960" s="50"/>
    </row>
    <row r="961">
      <c r="A961" s="50"/>
      <c r="B961" s="50"/>
      <c r="C961" s="50"/>
      <c r="D961" s="50"/>
      <c r="E961" s="50"/>
      <c r="F961" s="50"/>
      <c r="G961" s="50"/>
    </row>
    <row r="962">
      <c r="A962" s="50"/>
      <c r="B962" s="50"/>
      <c r="C962" s="50"/>
      <c r="D962" s="50"/>
      <c r="E962" s="50"/>
      <c r="F962" s="50"/>
      <c r="G962" s="50"/>
    </row>
    <row r="963">
      <c r="A963" s="50"/>
      <c r="B963" s="50"/>
      <c r="C963" s="50"/>
      <c r="D963" s="50"/>
      <c r="E963" s="50"/>
      <c r="F963" s="50"/>
      <c r="G963" s="50"/>
    </row>
    <row r="964">
      <c r="A964" s="50"/>
      <c r="B964" s="50"/>
      <c r="C964" s="50"/>
      <c r="D964" s="50"/>
      <c r="E964" s="50"/>
      <c r="F964" s="50"/>
      <c r="G964" s="50"/>
    </row>
    <row r="965">
      <c r="A965" s="50"/>
      <c r="B965" s="50"/>
      <c r="C965" s="50"/>
      <c r="D965" s="50"/>
      <c r="E965" s="50"/>
      <c r="F965" s="50"/>
      <c r="G965" s="50"/>
    </row>
    <row r="966">
      <c r="A966" s="50"/>
      <c r="B966" s="50"/>
      <c r="C966" s="50"/>
      <c r="D966" s="50"/>
      <c r="E966" s="50"/>
      <c r="F966" s="50"/>
      <c r="G966" s="50"/>
    </row>
    <row r="967">
      <c r="A967" s="50"/>
      <c r="B967" s="50"/>
      <c r="C967" s="50"/>
      <c r="D967" s="50"/>
      <c r="E967" s="50"/>
      <c r="F967" s="50"/>
      <c r="G967" s="50"/>
    </row>
    <row r="968">
      <c r="A968" s="50"/>
      <c r="B968" s="50"/>
      <c r="C968" s="50"/>
      <c r="D968" s="50"/>
      <c r="E968" s="50"/>
      <c r="F968" s="50"/>
      <c r="G968" s="50"/>
    </row>
    <row r="969">
      <c r="A969" s="50"/>
      <c r="B969" s="50"/>
      <c r="C969" s="50"/>
      <c r="D969" s="50"/>
      <c r="E969" s="50"/>
      <c r="F969" s="50"/>
      <c r="G969" s="50"/>
    </row>
    <row r="970">
      <c r="A970" s="50"/>
      <c r="B970" s="50"/>
      <c r="C970" s="50"/>
      <c r="D970" s="50"/>
      <c r="E970" s="50"/>
      <c r="F970" s="50"/>
      <c r="G970" s="50"/>
    </row>
    <row r="971">
      <c r="A971" s="50"/>
      <c r="B971" s="50"/>
      <c r="C971" s="50"/>
      <c r="D971" s="50"/>
      <c r="E971" s="50"/>
      <c r="F971" s="50"/>
      <c r="G971" s="50"/>
    </row>
    <row r="972">
      <c r="A972" s="50"/>
      <c r="B972" s="50"/>
      <c r="C972" s="50"/>
      <c r="D972" s="50"/>
      <c r="E972" s="50"/>
      <c r="F972" s="50"/>
      <c r="G972" s="50"/>
    </row>
    <row r="973">
      <c r="A973" s="50"/>
      <c r="B973" s="50"/>
      <c r="C973" s="50"/>
      <c r="D973" s="50"/>
      <c r="E973" s="50"/>
      <c r="F973" s="50"/>
      <c r="G973" s="50"/>
    </row>
    <row r="974">
      <c r="A974" s="50"/>
      <c r="B974" s="50"/>
      <c r="C974" s="50"/>
      <c r="D974" s="50"/>
      <c r="E974" s="50"/>
      <c r="F974" s="50"/>
      <c r="G974" s="50"/>
    </row>
    <row r="975">
      <c r="A975" s="50"/>
      <c r="B975" s="50"/>
      <c r="C975" s="50"/>
      <c r="D975" s="50"/>
      <c r="E975" s="50"/>
      <c r="F975" s="50"/>
      <c r="G975" s="50"/>
    </row>
    <row r="976">
      <c r="A976" s="50"/>
      <c r="B976" s="50"/>
      <c r="C976" s="50"/>
      <c r="D976" s="50"/>
      <c r="E976" s="50"/>
      <c r="F976" s="50"/>
      <c r="G976" s="50"/>
    </row>
    <row r="977">
      <c r="A977" s="50"/>
      <c r="B977" s="50"/>
      <c r="C977" s="50"/>
      <c r="D977" s="50"/>
      <c r="E977" s="50"/>
      <c r="F977" s="50"/>
      <c r="G977" s="50"/>
    </row>
    <row r="978">
      <c r="A978" s="50"/>
      <c r="B978" s="50"/>
      <c r="C978" s="50"/>
      <c r="D978" s="50"/>
      <c r="E978" s="50"/>
      <c r="F978" s="50"/>
      <c r="G978" s="50"/>
    </row>
    <row r="979">
      <c r="A979" s="50"/>
      <c r="B979" s="50"/>
      <c r="C979" s="50"/>
      <c r="D979" s="50"/>
      <c r="E979" s="50"/>
      <c r="F979" s="50"/>
      <c r="G979" s="50"/>
    </row>
    <row r="980">
      <c r="A980" s="50"/>
      <c r="B980" s="50"/>
      <c r="C980" s="50"/>
      <c r="D980" s="50"/>
      <c r="E980" s="50"/>
      <c r="F980" s="50"/>
      <c r="G980" s="50"/>
    </row>
    <row r="981">
      <c r="A981" s="50"/>
      <c r="B981" s="50"/>
      <c r="C981" s="50"/>
      <c r="D981" s="50"/>
      <c r="E981" s="50"/>
      <c r="F981" s="50"/>
      <c r="G981" s="50"/>
    </row>
    <row r="982">
      <c r="A982" s="50"/>
      <c r="B982" s="50"/>
      <c r="C982" s="50"/>
      <c r="D982" s="50"/>
      <c r="E982" s="50"/>
      <c r="F982" s="50"/>
      <c r="G982" s="50"/>
    </row>
    <row r="983">
      <c r="A983" s="50"/>
      <c r="B983" s="50"/>
      <c r="C983" s="50"/>
      <c r="D983" s="50"/>
      <c r="E983" s="50"/>
      <c r="F983" s="50"/>
      <c r="G983" s="50"/>
    </row>
    <row r="984">
      <c r="A984" s="50"/>
      <c r="B984" s="50"/>
      <c r="C984" s="50"/>
      <c r="D984" s="50"/>
      <c r="E984" s="50"/>
      <c r="F984" s="50"/>
      <c r="G984" s="50"/>
    </row>
    <row r="985">
      <c r="A985" s="50"/>
      <c r="B985" s="50"/>
      <c r="C985" s="50"/>
      <c r="D985" s="50"/>
      <c r="E985" s="50"/>
      <c r="F985" s="50"/>
      <c r="G985" s="50"/>
    </row>
    <row r="986">
      <c r="A986" s="50"/>
      <c r="B986" s="50"/>
      <c r="C986" s="50"/>
      <c r="D986" s="50"/>
      <c r="E986" s="50"/>
      <c r="F986" s="50"/>
      <c r="G986" s="50"/>
    </row>
    <row r="987">
      <c r="A987" s="50"/>
      <c r="B987" s="50"/>
      <c r="C987" s="50"/>
      <c r="D987" s="50"/>
      <c r="E987" s="50"/>
      <c r="F987" s="50"/>
      <c r="G987" s="50"/>
    </row>
    <row r="988">
      <c r="A988" s="50"/>
      <c r="B988" s="50"/>
      <c r="C988" s="50"/>
      <c r="D988" s="50"/>
      <c r="E988" s="50"/>
      <c r="F988" s="50"/>
      <c r="G988" s="50"/>
    </row>
    <row r="989">
      <c r="A989" s="50"/>
      <c r="B989" s="50"/>
      <c r="C989" s="50"/>
      <c r="D989" s="50"/>
      <c r="E989" s="50"/>
      <c r="F989" s="50"/>
      <c r="G989" s="50"/>
    </row>
    <row r="990">
      <c r="A990" s="50"/>
      <c r="B990" s="50"/>
      <c r="C990" s="50"/>
      <c r="D990" s="50"/>
      <c r="E990" s="50"/>
      <c r="F990" s="50"/>
      <c r="G990" s="50"/>
    </row>
    <row r="991">
      <c r="A991" s="50"/>
      <c r="B991" s="50"/>
      <c r="C991" s="50"/>
      <c r="D991" s="50"/>
      <c r="E991" s="50"/>
      <c r="F991" s="50"/>
      <c r="G991" s="50"/>
    </row>
    <row r="992">
      <c r="A992" s="50"/>
      <c r="B992" s="50"/>
      <c r="C992" s="50"/>
      <c r="D992" s="50"/>
      <c r="E992" s="50"/>
      <c r="F992" s="50"/>
      <c r="G992" s="50"/>
    </row>
    <row r="993">
      <c r="A993" s="50"/>
      <c r="B993" s="50"/>
      <c r="C993" s="50"/>
      <c r="D993" s="50"/>
      <c r="E993" s="50"/>
      <c r="F993" s="50"/>
      <c r="G993" s="50"/>
    </row>
    <row r="994">
      <c r="A994" s="50"/>
      <c r="B994" s="50"/>
      <c r="C994" s="50"/>
      <c r="D994" s="50"/>
      <c r="E994" s="50"/>
      <c r="F994" s="50"/>
      <c r="G994" s="50"/>
    </row>
    <row r="995">
      <c r="A995" s="50"/>
      <c r="B995" s="50"/>
      <c r="C995" s="50"/>
      <c r="D995" s="50"/>
      <c r="E995" s="50"/>
      <c r="F995" s="50"/>
      <c r="G995" s="50"/>
    </row>
    <row r="996">
      <c r="A996" s="50"/>
      <c r="B996" s="50"/>
      <c r="C996" s="50"/>
      <c r="D996" s="50"/>
      <c r="E996" s="50"/>
      <c r="F996" s="50"/>
      <c r="G996" s="50"/>
    </row>
    <row r="997">
      <c r="A997" s="50"/>
      <c r="B997" s="50"/>
      <c r="C997" s="50"/>
      <c r="D997" s="50"/>
      <c r="E997" s="50"/>
      <c r="F997" s="50"/>
      <c r="G997" s="50"/>
    </row>
    <row r="998">
      <c r="A998" s="50"/>
      <c r="B998" s="50"/>
      <c r="C998" s="50"/>
      <c r="D998" s="50"/>
      <c r="E998" s="50"/>
      <c r="F998" s="50"/>
      <c r="G998" s="50"/>
    </row>
    <row r="999">
      <c r="A999" s="50"/>
      <c r="B999" s="50"/>
      <c r="C999" s="50"/>
      <c r="D999" s="50"/>
      <c r="E999" s="50"/>
      <c r="F999" s="50"/>
      <c r="G999" s="50"/>
    </row>
    <row r="1000">
      <c r="A1000" s="50"/>
      <c r="B1000" s="50"/>
      <c r="C1000" s="50"/>
      <c r="D1000" s="50"/>
      <c r="E1000" s="50"/>
      <c r="F1000" s="50"/>
      <c r="G1000" s="50"/>
    </row>
    <row r="1001">
      <c r="A1001" s="50"/>
      <c r="B1001" s="50"/>
      <c r="C1001" s="50"/>
      <c r="D1001" s="50"/>
      <c r="E1001" s="50"/>
      <c r="F1001" s="50"/>
      <c r="G1001" s="50"/>
    </row>
    <row r="1002">
      <c r="A1002" s="50"/>
      <c r="B1002" s="50"/>
      <c r="C1002" s="50"/>
      <c r="D1002" s="50"/>
      <c r="E1002" s="50"/>
      <c r="F1002" s="50"/>
      <c r="G1002" s="50"/>
    </row>
    <row r="1003">
      <c r="A1003" s="50"/>
      <c r="B1003" s="50"/>
      <c r="C1003" s="50"/>
      <c r="D1003" s="50"/>
      <c r="E1003" s="50"/>
      <c r="F1003" s="50"/>
      <c r="G1003" s="50"/>
    </row>
    <row r="1004">
      <c r="A1004" s="50"/>
      <c r="B1004" s="50"/>
      <c r="C1004" s="50"/>
      <c r="D1004" s="50"/>
      <c r="E1004" s="50"/>
      <c r="F1004" s="50"/>
      <c r="G1004" s="50"/>
    </row>
  </sheetData>
  <mergeCells count="2">
    <mergeCell ref="C3:E3"/>
    <mergeCell ref="B6:C6"/>
  </mergeCells>
  <dataValidations>
    <dataValidation type="list" allowBlank="1" sqref="C3">
      <formula1>'INSCRIPTIONS FORM'!$H:$H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7.25"/>
    <col customWidth="1" min="3" max="3" width="19.25"/>
    <col customWidth="1" min="4" max="4" width="11.25"/>
    <col customWidth="1" min="5" max="5" width="5.0"/>
    <col customWidth="1" min="6" max="6" width="18.13"/>
    <col customWidth="1" min="7" max="7" width="52.63"/>
    <col customWidth="1" min="8" max="8" width="7.13"/>
    <col customWidth="1" min="9" max="9" width="19.75"/>
    <col customWidth="1" min="10" max="10" width="14.25"/>
  </cols>
  <sheetData>
    <row r="1">
      <c r="A1" s="162" t="s">
        <v>2</v>
      </c>
      <c r="B1" s="162" t="str">
        <f t="array" ref="B1:B1000">IF(C:C&lt;&gt;"",IF(C:C=C1,"Lieu id","LIEU-"&amp;TEXT(A:A,"000")),)</f>
        <v>Lieu id</v>
      </c>
      <c r="C1" s="162" t="s">
        <v>3305</v>
      </c>
      <c r="D1" s="162" t="s">
        <v>3938</v>
      </c>
      <c r="E1" s="162" t="s">
        <v>3940</v>
      </c>
      <c r="F1" s="162" t="s">
        <v>3941</v>
      </c>
      <c r="G1" s="162" t="s">
        <v>3943</v>
      </c>
      <c r="H1" s="162" t="s">
        <v>3944</v>
      </c>
      <c r="I1" s="162" t="str">
        <f t="array" ref="I1:I1000">IF(B:B&lt;&gt;"",C:C&amp;" ["&amp;B:B&amp;"]",)</f>
        <v>NOM [Lieu id]</v>
      </c>
      <c r="J1" s="162" t="str">
        <f t="array" ref="J1:J1000">IF(B:B&lt;&gt;"",C:C&amp;IF(F:F&lt;&gt;""," ("&amp;F:F&amp;")",),)</f>
        <v>NOM (VILLE)</v>
      </c>
    </row>
    <row r="2">
      <c r="A2" s="162">
        <v>1.0</v>
      </c>
      <c r="B2" s="163" t="s">
        <v>3954</v>
      </c>
      <c r="C2" s="162" t="s">
        <v>3956</v>
      </c>
      <c r="D2" s="162" t="s">
        <v>3957</v>
      </c>
      <c r="E2" s="162"/>
      <c r="F2" s="162"/>
      <c r="G2" s="162" t="s">
        <v>3958</v>
      </c>
      <c r="H2" s="163"/>
      <c r="I2" s="163" t="s">
        <v>54</v>
      </c>
      <c r="J2" s="163" t="s">
        <v>3956</v>
      </c>
    </row>
    <row r="3">
      <c r="A3" s="162">
        <v>2.0</v>
      </c>
      <c r="B3" s="163"/>
      <c r="C3" s="162"/>
      <c r="E3" s="163"/>
      <c r="F3" s="162"/>
      <c r="G3" s="162"/>
      <c r="H3" s="163"/>
      <c r="I3" s="163"/>
      <c r="J3" s="163"/>
    </row>
    <row r="4">
      <c r="A4" s="162">
        <v>3.0</v>
      </c>
      <c r="B4" s="163"/>
      <c r="C4" s="162"/>
      <c r="D4" s="162"/>
      <c r="E4" s="162"/>
      <c r="F4" s="162"/>
      <c r="G4" s="162"/>
      <c r="H4" s="163"/>
      <c r="I4" s="163"/>
      <c r="J4" s="163"/>
    </row>
    <row r="5">
      <c r="A5" s="162">
        <v>4.0</v>
      </c>
      <c r="B5" s="163"/>
      <c r="C5" s="163"/>
      <c r="D5" s="163"/>
      <c r="E5" s="163"/>
      <c r="F5" s="163"/>
      <c r="G5" s="163"/>
      <c r="H5" s="163"/>
      <c r="I5" s="163"/>
      <c r="J5" s="163"/>
    </row>
    <row r="6">
      <c r="A6" s="162">
        <v>5.0</v>
      </c>
      <c r="B6" s="163"/>
      <c r="C6" s="163"/>
      <c r="D6" s="163"/>
      <c r="E6" s="163"/>
      <c r="F6" s="163"/>
      <c r="G6" s="163"/>
      <c r="H6" s="163"/>
      <c r="I6" s="163"/>
      <c r="J6" s="163"/>
    </row>
    <row r="7">
      <c r="A7" s="162">
        <v>6.0</v>
      </c>
      <c r="B7" s="163"/>
      <c r="C7" s="163"/>
      <c r="D7" s="163"/>
      <c r="E7" s="163"/>
      <c r="F7" s="163"/>
      <c r="G7" s="163"/>
      <c r="H7" s="163"/>
      <c r="I7" s="163"/>
      <c r="J7" s="163"/>
    </row>
    <row r="8">
      <c r="A8" s="162">
        <v>7.0</v>
      </c>
      <c r="B8" s="163"/>
      <c r="C8" s="163"/>
      <c r="D8" s="163"/>
      <c r="E8" s="163"/>
      <c r="F8" s="163"/>
      <c r="G8" s="163"/>
      <c r="H8" s="163"/>
      <c r="I8" s="163"/>
      <c r="J8" s="163"/>
    </row>
    <row r="9">
      <c r="A9" s="162">
        <v>8.0</v>
      </c>
      <c r="B9" s="163"/>
      <c r="C9" s="163"/>
      <c r="D9" s="163"/>
      <c r="E9" s="163"/>
      <c r="F9" s="163"/>
      <c r="G9" s="163"/>
      <c r="H9" s="163"/>
      <c r="I9" s="163"/>
      <c r="J9" s="163"/>
    </row>
    <row r="10">
      <c r="A10" s="162">
        <v>9.0</v>
      </c>
      <c r="B10" s="163"/>
      <c r="C10" s="163"/>
      <c r="D10" s="163"/>
      <c r="E10" s="163"/>
      <c r="F10" s="163"/>
      <c r="G10" s="163"/>
      <c r="H10" s="163"/>
      <c r="I10" s="163"/>
      <c r="J10" s="163"/>
    </row>
    <row r="11">
      <c r="A11" s="162">
        <v>10.0</v>
      </c>
      <c r="B11" s="163"/>
      <c r="C11" s="163"/>
      <c r="D11" s="163"/>
      <c r="E11" s="163"/>
      <c r="F11" s="163"/>
      <c r="G11" s="163"/>
      <c r="H11" s="163"/>
      <c r="I11" s="163"/>
      <c r="J11" s="163"/>
    </row>
    <row r="12">
      <c r="A12" s="162">
        <v>11.0</v>
      </c>
      <c r="B12" s="163"/>
      <c r="C12" s="163"/>
      <c r="D12" s="163"/>
      <c r="E12" s="163"/>
      <c r="F12" s="163"/>
      <c r="G12" s="163"/>
      <c r="H12" s="163"/>
      <c r="I12" s="163"/>
      <c r="J12" s="163"/>
    </row>
    <row r="13">
      <c r="A13" s="162">
        <v>12.0</v>
      </c>
      <c r="B13" s="163"/>
      <c r="C13" s="163"/>
      <c r="D13" s="163"/>
      <c r="E13" s="163"/>
      <c r="F13" s="163"/>
      <c r="G13" s="163"/>
      <c r="H13" s="163"/>
      <c r="I13" s="163"/>
      <c r="J13" s="163"/>
    </row>
    <row r="14">
      <c r="A14" s="162">
        <v>13.0</v>
      </c>
      <c r="B14" s="163"/>
      <c r="C14" s="163"/>
      <c r="D14" s="163"/>
      <c r="E14" s="163"/>
      <c r="F14" s="163"/>
      <c r="G14" s="163"/>
      <c r="H14" s="163"/>
      <c r="I14" s="163"/>
      <c r="J14" s="163"/>
    </row>
    <row r="15">
      <c r="A15" s="162">
        <v>14.0</v>
      </c>
      <c r="B15" s="163"/>
      <c r="C15" s="163"/>
      <c r="D15" s="163"/>
      <c r="E15" s="163"/>
      <c r="F15" s="163"/>
      <c r="G15" s="163"/>
      <c r="H15" s="163"/>
      <c r="I15" s="163"/>
      <c r="J15" s="163"/>
    </row>
    <row r="16">
      <c r="A16" s="162">
        <v>15.0</v>
      </c>
      <c r="B16" s="163"/>
      <c r="C16" s="163"/>
      <c r="D16" s="163"/>
      <c r="E16" s="163"/>
      <c r="F16" s="163"/>
      <c r="G16" s="163"/>
      <c r="H16" s="163"/>
      <c r="I16" s="163"/>
      <c r="J16" s="163"/>
    </row>
    <row r="17">
      <c r="A17" s="162">
        <v>16.0</v>
      </c>
      <c r="B17" s="163"/>
      <c r="C17" s="163"/>
      <c r="D17" s="163"/>
      <c r="E17" s="163"/>
      <c r="F17" s="163"/>
      <c r="G17" s="163"/>
      <c r="H17" s="163"/>
      <c r="I17" s="163"/>
      <c r="J17" s="163"/>
    </row>
    <row r="18">
      <c r="A18" s="162">
        <v>17.0</v>
      </c>
      <c r="B18" s="163"/>
      <c r="C18" s="163"/>
      <c r="D18" s="163"/>
      <c r="E18" s="163"/>
      <c r="F18" s="163"/>
      <c r="G18" s="163"/>
      <c r="H18" s="163"/>
      <c r="I18" s="163"/>
      <c r="J18" s="163"/>
    </row>
    <row r="19">
      <c r="A19" s="162">
        <v>18.0</v>
      </c>
      <c r="B19" s="163"/>
      <c r="C19" s="163"/>
      <c r="D19" s="163"/>
      <c r="E19" s="163"/>
      <c r="F19" s="163"/>
      <c r="G19" s="163"/>
      <c r="H19" s="163"/>
      <c r="I19" s="163"/>
      <c r="J19" s="163"/>
    </row>
    <row r="20">
      <c r="A20" s="162">
        <v>19.0</v>
      </c>
      <c r="B20" s="163"/>
      <c r="C20" s="163"/>
      <c r="D20" s="163"/>
      <c r="E20" s="163"/>
      <c r="F20" s="163"/>
      <c r="G20" s="163"/>
      <c r="H20" s="163"/>
      <c r="I20" s="163"/>
      <c r="J20" s="163"/>
    </row>
    <row r="21">
      <c r="A21" s="162">
        <v>20.0</v>
      </c>
      <c r="B21" s="163"/>
      <c r="C21" s="163"/>
      <c r="D21" s="163"/>
      <c r="E21" s="163"/>
      <c r="F21" s="163"/>
      <c r="G21" s="163"/>
      <c r="H21" s="163"/>
      <c r="I21" s="163"/>
      <c r="J21" s="163"/>
    </row>
    <row r="22">
      <c r="A22" s="162">
        <v>21.0</v>
      </c>
      <c r="B22" s="163"/>
      <c r="C22" s="163"/>
      <c r="D22" s="163"/>
      <c r="E22" s="163"/>
      <c r="F22" s="163"/>
      <c r="G22" s="163"/>
      <c r="H22" s="163"/>
      <c r="I22" s="163"/>
      <c r="J22" s="163"/>
    </row>
    <row r="23">
      <c r="A23" s="162">
        <v>22.0</v>
      </c>
      <c r="B23" s="163"/>
      <c r="C23" s="163"/>
      <c r="D23" s="163"/>
      <c r="E23" s="163"/>
      <c r="F23" s="163"/>
      <c r="G23" s="163"/>
      <c r="H23" s="163"/>
      <c r="I23" s="163"/>
      <c r="J23" s="163"/>
    </row>
    <row r="24">
      <c r="A24" s="162">
        <v>23.0</v>
      </c>
      <c r="B24" s="163"/>
      <c r="C24" s="163"/>
      <c r="D24" s="163"/>
      <c r="E24" s="163"/>
      <c r="F24" s="163"/>
      <c r="G24" s="163"/>
      <c r="H24" s="163"/>
      <c r="I24" s="163"/>
      <c r="J24" s="163"/>
    </row>
    <row r="25">
      <c r="A25" s="162">
        <v>24.0</v>
      </c>
      <c r="B25" s="163"/>
      <c r="C25" s="163"/>
      <c r="D25" s="163"/>
      <c r="E25" s="163"/>
      <c r="F25" s="163"/>
      <c r="G25" s="163"/>
      <c r="H25" s="163"/>
      <c r="I25" s="163"/>
      <c r="J25" s="163"/>
    </row>
    <row r="26">
      <c r="A26" s="162">
        <v>25.0</v>
      </c>
      <c r="B26" s="163"/>
      <c r="C26" s="163"/>
      <c r="D26" s="163"/>
      <c r="E26" s="163"/>
      <c r="F26" s="163"/>
      <c r="G26" s="163"/>
      <c r="H26" s="163"/>
      <c r="I26" s="163"/>
      <c r="J26" s="163"/>
    </row>
    <row r="27">
      <c r="A27" s="162">
        <v>26.0</v>
      </c>
      <c r="B27" s="163"/>
      <c r="C27" s="163"/>
      <c r="D27" s="163"/>
      <c r="E27" s="163"/>
      <c r="F27" s="163"/>
      <c r="G27" s="163"/>
      <c r="H27" s="163"/>
      <c r="I27" s="163"/>
      <c r="J27" s="163"/>
    </row>
    <row r="28">
      <c r="A28" s="162">
        <v>27.0</v>
      </c>
      <c r="B28" s="163"/>
      <c r="C28" s="163"/>
      <c r="D28" s="163"/>
      <c r="E28" s="163"/>
      <c r="F28" s="163"/>
      <c r="G28" s="163"/>
      <c r="H28" s="163"/>
      <c r="I28" s="163"/>
      <c r="J28" s="163"/>
    </row>
    <row r="29">
      <c r="A29" s="162">
        <v>28.0</v>
      </c>
      <c r="B29" s="163"/>
      <c r="C29" s="163"/>
      <c r="D29" s="163"/>
      <c r="E29" s="163"/>
      <c r="F29" s="163"/>
      <c r="G29" s="163"/>
      <c r="H29" s="163"/>
      <c r="I29" s="163"/>
      <c r="J29" s="163"/>
    </row>
    <row r="30">
      <c r="A30" s="162">
        <v>29.0</v>
      </c>
      <c r="B30" s="163"/>
      <c r="C30" s="163"/>
      <c r="D30" s="163"/>
      <c r="E30" s="163"/>
      <c r="F30" s="163"/>
      <c r="G30" s="163"/>
      <c r="H30" s="163"/>
      <c r="I30" s="163"/>
      <c r="J30" s="163"/>
    </row>
    <row r="31">
      <c r="A31" s="162">
        <v>30.0</v>
      </c>
      <c r="B31" s="163"/>
      <c r="C31" s="163"/>
      <c r="D31" s="163"/>
      <c r="E31" s="163"/>
      <c r="F31" s="163"/>
      <c r="G31" s="163"/>
      <c r="H31" s="163"/>
      <c r="I31" s="163"/>
      <c r="J31" s="163"/>
    </row>
    <row r="32">
      <c r="A32" s="162">
        <v>31.0</v>
      </c>
      <c r="B32" s="163"/>
      <c r="C32" s="163"/>
      <c r="D32" s="163"/>
      <c r="E32" s="163"/>
      <c r="F32" s="163"/>
      <c r="G32" s="163"/>
      <c r="H32" s="163"/>
      <c r="I32" s="163"/>
      <c r="J32" s="163"/>
    </row>
    <row r="33">
      <c r="A33" s="162">
        <v>32.0</v>
      </c>
      <c r="B33" s="163"/>
      <c r="C33" s="163"/>
      <c r="D33" s="163"/>
      <c r="E33" s="163"/>
      <c r="F33" s="163"/>
      <c r="G33" s="163"/>
      <c r="H33" s="163"/>
      <c r="I33" s="163"/>
      <c r="J33" s="163"/>
    </row>
    <row r="34">
      <c r="A34" s="162">
        <v>33.0</v>
      </c>
      <c r="B34" s="163"/>
      <c r="C34" s="163"/>
      <c r="D34" s="163"/>
      <c r="E34" s="163"/>
      <c r="F34" s="163"/>
      <c r="G34" s="163"/>
      <c r="H34" s="163"/>
      <c r="I34" s="163"/>
      <c r="J34" s="163"/>
    </row>
    <row r="35">
      <c r="A35" s="163"/>
      <c r="B35" s="163"/>
      <c r="C35" s="163"/>
      <c r="D35" s="163"/>
      <c r="E35" s="163"/>
      <c r="F35" s="163"/>
      <c r="G35" s="163"/>
      <c r="H35" s="163"/>
      <c r="I35" s="163"/>
      <c r="J35" s="163"/>
    </row>
    <row r="36">
      <c r="A36" s="163"/>
      <c r="B36" s="163"/>
      <c r="C36" s="163"/>
      <c r="D36" s="163"/>
      <c r="E36" s="163"/>
      <c r="F36" s="163"/>
      <c r="G36" s="163"/>
      <c r="H36" s="163"/>
      <c r="I36" s="163"/>
      <c r="J36" s="163"/>
    </row>
    <row r="37">
      <c r="A37" s="163"/>
      <c r="B37" s="163"/>
      <c r="C37" s="163"/>
      <c r="D37" s="163"/>
      <c r="E37" s="163"/>
      <c r="F37" s="163"/>
      <c r="G37" s="163"/>
      <c r="H37" s="163"/>
      <c r="I37" s="163"/>
      <c r="J37" s="163"/>
    </row>
    <row r="38">
      <c r="A38" s="163"/>
      <c r="B38" s="163"/>
      <c r="C38" s="163"/>
      <c r="D38" s="163"/>
      <c r="E38" s="163"/>
      <c r="F38" s="163"/>
      <c r="G38" s="163"/>
      <c r="H38" s="163"/>
      <c r="I38" s="163"/>
      <c r="J38" s="163"/>
    </row>
    <row r="39">
      <c r="A39" s="163"/>
      <c r="B39" s="163"/>
      <c r="C39" s="163"/>
      <c r="D39" s="163"/>
      <c r="E39" s="163"/>
      <c r="F39" s="163"/>
      <c r="G39" s="163"/>
      <c r="H39" s="163"/>
      <c r="I39" s="163"/>
      <c r="J39" s="163"/>
    </row>
    <row r="40">
      <c r="A40" s="163"/>
      <c r="B40" s="163"/>
      <c r="C40" s="163"/>
      <c r="D40" s="163"/>
      <c r="E40" s="163"/>
      <c r="F40" s="163"/>
      <c r="G40" s="163"/>
      <c r="H40" s="163"/>
      <c r="I40" s="163"/>
      <c r="J40" s="163"/>
    </row>
    <row r="41">
      <c r="A41" s="163"/>
      <c r="B41" s="163"/>
      <c r="C41" s="163"/>
      <c r="D41" s="163"/>
      <c r="E41" s="163"/>
      <c r="F41" s="163"/>
      <c r="G41" s="163"/>
      <c r="H41" s="163"/>
      <c r="I41" s="163"/>
      <c r="J41" s="163"/>
    </row>
    <row r="42">
      <c r="A42" s="163"/>
      <c r="B42" s="163"/>
      <c r="C42" s="163"/>
      <c r="D42" s="163"/>
      <c r="E42" s="163"/>
      <c r="F42" s="163"/>
      <c r="G42" s="163"/>
      <c r="H42" s="163"/>
      <c r="I42" s="163"/>
      <c r="J42" s="163"/>
    </row>
    <row r="43">
      <c r="A43" s="163"/>
      <c r="B43" s="163"/>
      <c r="C43" s="163"/>
      <c r="D43" s="163"/>
      <c r="E43" s="163"/>
      <c r="F43" s="163"/>
      <c r="G43" s="163"/>
      <c r="H43" s="163"/>
      <c r="I43" s="163"/>
      <c r="J43" s="163"/>
    </row>
    <row r="44">
      <c r="A44" s="163"/>
      <c r="B44" s="163"/>
      <c r="C44" s="163"/>
      <c r="D44" s="163"/>
      <c r="E44" s="163"/>
      <c r="F44" s="163"/>
      <c r="G44" s="163"/>
      <c r="H44" s="163"/>
      <c r="I44" s="163"/>
      <c r="J44" s="163"/>
    </row>
    <row r="45">
      <c r="A45" s="163"/>
      <c r="B45" s="163"/>
      <c r="C45" s="163"/>
      <c r="D45" s="163"/>
      <c r="E45" s="163"/>
      <c r="F45" s="163"/>
      <c r="G45" s="163"/>
      <c r="H45" s="163"/>
      <c r="I45" s="163"/>
      <c r="J45" s="163"/>
    </row>
    <row r="46">
      <c r="A46" s="163"/>
      <c r="B46" s="163"/>
      <c r="C46" s="163"/>
      <c r="D46" s="163"/>
      <c r="E46" s="163"/>
      <c r="F46" s="163"/>
      <c r="G46" s="163"/>
      <c r="H46" s="163"/>
      <c r="I46" s="163"/>
      <c r="J46" s="163"/>
    </row>
    <row r="47">
      <c r="A47" s="163"/>
      <c r="B47" s="163"/>
      <c r="C47" s="163"/>
      <c r="D47" s="163"/>
      <c r="E47" s="163"/>
      <c r="F47" s="163"/>
      <c r="G47" s="163"/>
      <c r="H47" s="163"/>
      <c r="I47" s="163"/>
      <c r="J47" s="163"/>
    </row>
    <row r="48">
      <c r="A48" s="163"/>
      <c r="B48" s="163"/>
      <c r="C48" s="163"/>
      <c r="D48" s="163"/>
      <c r="E48" s="163"/>
      <c r="F48" s="163"/>
      <c r="G48" s="163"/>
      <c r="H48" s="163"/>
      <c r="I48" s="163"/>
      <c r="J48" s="163"/>
    </row>
    <row r="49">
      <c r="A49" s="163"/>
      <c r="B49" s="163"/>
      <c r="C49" s="163"/>
      <c r="D49" s="163"/>
      <c r="E49" s="163"/>
      <c r="F49" s="163"/>
      <c r="G49" s="163"/>
      <c r="H49" s="163"/>
      <c r="I49" s="163"/>
      <c r="J49" s="163"/>
    </row>
    <row r="50">
      <c r="A50" s="163"/>
      <c r="B50" s="163"/>
      <c r="C50" s="163"/>
      <c r="D50" s="163"/>
      <c r="E50" s="163"/>
      <c r="F50" s="163"/>
      <c r="G50" s="163"/>
      <c r="H50" s="163"/>
      <c r="I50" s="163"/>
      <c r="J50" s="163"/>
    </row>
    <row r="51">
      <c r="A51" s="163"/>
      <c r="B51" s="163"/>
      <c r="C51" s="163"/>
      <c r="D51" s="163"/>
      <c r="E51" s="163"/>
      <c r="F51" s="163"/>
      <c r="G51" s="163"/>
      <c r="H51" s="163"/>
      <c r="I51" s="163"/>
      <c r="J51" s="163"/>
    </row>
    <row r="52">
      <c r="A52" s="163"/>
      <c r="B52" s="163"/>
      <c r="C52" s="163"/>
      <c r="D52" s="163"/>
      <c r="E52" s="163"/>
      <c r="F52" s="163"/>
      <c r="G52" s="163"/>
      <c r="H52" s="163"/>
      <c r="I52" s="163"/>
      <c r="J52" s="163"/>
    </row>
    <row r="53">
      <c r="A53" s="163"/>
      <c r="B53" s="163"/>
      <c r="C53" s="163"/>
      <c r="D53" s="163"/>
      <c r="E53" s="163"/>
      <c r="F53" s="163"/>
      <c r="G53" s="163"/>
      <c r="H53" s="163"/>
      <c r="I53" s="163"/>
      <c r="J53" s="163"/>
    </row>
    <row r="54">
      <c r="A54" s="163"/>
      <c r="B54" s="163"/>
      <c r="C54" s="163"/>
      <c r="D54" s="163"/>
      <c r="E54" s="163"/>
      <c r="F54" s="163"/>
      <c r="G54" s="163"/>
      <c r="H54" s="163"/>
      <c r="I54" s="163"/>
      <c r="J54" s="163"/>
    </row>
    <row r="55">
      <c r="A55" s="163"/>
      <c r="B55" s="163"/>
      <c r="C55" s="163"/>
      <c r="D55" s="163"/>
      <c r="E55" s="163"/>
      <c r="F55" s="163"/>
      <c r="G55" s="163"/>
      <c r="H55" s="163"/>
      <c r="I55" s="163"/>
      <c r="J55" s="163"/>
    </row>
    <row r="56">
      <c r="A56" s="163"/>
      <c r="B56" s="163"/>
      <c r="C56" s="163"/>
      <c r="D56" s="163"/>
      <c r="E56" s="163"/>
      <c r="F56" s="163"/>
      <c r="G56" s="163"/>
      <c r="H56" s="163"/>
      <c r="I56" s="163"/>
      <c r="J56" s="163"/>
    </row>
    <row r="57">
      <c r="A57" s="163"/>
      <c r="B57" s="163"/>
      <c r="C57" s="163"/>
      <c r="D57" s="163"/>
      <c r="E57" s="163"/>
      <c r="F57" s="163"/>
      <c r="G57" s="163"/>
      <c r="H57" s="163"/>
      <c r="I57" s="163"/>
      <c r="J57" s="163"/>
    </row>
    <row r="58">
      <c r="A58" s="163"/>
      <c r="B58" s="163"/>
      <c r="C58" s="163"/>
      <c r="D58" s="163"/>
      <c r="E58" s="163"/>
      <c r="F58" s="163"/>
      <c r="G58" s="163"/>
      <c r="H58" s="163"/>
      <c r="I58" s="163"/>
      <c r="J58" s="163"/>
    </row>
    <row r="59">
      <c r="A59" s="163"/>
      <c r="B59" s="163"/>
      <c r="C59" s="163"/>
      <c r="D59" s="163"/>
      <c r="E59" s="163"/>
      <c r="F59" s="163"/>
      <c r="G59" s="163"/>
      <c r="H59" s="163"/>
      <c r="I59" s="163"/>
      <c r="J59" s="163"/>
    </row>
    <row r="60">
      <c r="A60" s="163"/>
      <c r="B60" s="163"/>
      <c r="C60" s="163"/>
      <c r="D60" s="163"/>
      <c r="E60" s="163"/>
      <c r="F60" s="163"/>
      <c r="G60" s="163"/>
      <c r="H60" s="163"/>
      <c r="I60" s="163"/>
      <c r="J60" s="163"/>
    </row>
    <row r="61">
      <c r="A61" s="163"/>
      <c r="B61" s="163"/>
      <c r="C61" s="163"/>
      <c r="D61" s="163"/>
      <c r="E61" s="163"/>
      <c r="F61" s="163"/>
      <c r="G61" s="163"/>
      <c r="H61" s="163"/>
      <c r="I61" s="163"/>
      <c r="J61" s="163"/>
    </row>
    <row r="62">
      <c r="A62" s="163"/>
      <c r="B62" s="163"/>
      <c r="C62" s="163"/>
      <c r="D62" s="163"/>
      <c r="E62" s="163"/>
      <c r="F62" s="163"/>
      <c r="G62" s="163"/>
      <c r="H62" s="163"/>
      <c r="I62" s="163"/>
      <c r="J62" s="163"/>
    </row>
    <row r="63">
      <c r="A63" s="163"/>
      <c r="B63" s="163"/>
      <c r="C63" s="163"/>
      <c r="D63" s="163"/>
      <c r="E63" s="163"/>
      <c r="F63" s="163"/>
      <c r="G63" s="163"/>
      <c r="H63" s="163"/>
      <c r="I63" s="163"/>
      <c r="J63" s="163"/>
    </row>
    <row r="64">
      <c r="A64" s="163"/>
      <c r="B64" s="163"/>
      <c r="C64" s="163"/>
      <c r="D64" s="163"/>
      <c r="E64" s="163"/>
      <c r="F64" s="163"/>
      <c r="G64" s="163"/>
      <c r="H64" s="163"/>
      <c r="I64" s="163"/>
      <c r="J64" s="163"/>
    </row>
    <row r="65">
      <c r="A65" s="163"/>
      <c r="B65" s="163"/>
      <c r="C65" s="163"/>
      <c r="D65" s="163"/>
      <c r="E65" s="163"/>
      <c r="F65" s="163"/>
      <c r="G65" s="163"/>
      <c r="H65" s="163"/>
      <c r="I65" s="163"/>
      <c r="J65" s="163"/>
    </row>
    <row r="66">
      <c r="A66" s="163"/>
      <c r="B66" s="163"/>
      <c r="C66" s="163"/>
      <c r="D66" s="163"/>
      <c r="E66" s="163"/>
      <c r="F66" s="163"/>
      <c r="G66" s="163"/>
      <c r="H66" s="163"/>
      <c r="I66" s="163"/>
      <c r="J66" s="163"/>
    </row>
    <row r="67">
      <c r="A67" s="163"/>
      <c r="B67" s="163"/>
      <c r="C67" s="163"/>
      <c r="D67" s="163"/>
      <c r="E67" s="163"/>
      <c r="F67" s="163"/>
      <c r="G67" s="163"/>
      <c r="H67" s="163"/>
      <c r="I67" s="163"/>
      <c r="J67" s="163"/>
    </row>
    <row r="68">
      <c r="A68" s="163"/>
      <c r="B68" s="163"/>
      <c r="C68" s="163"/>
      <c r="D68" s="163"/>
      <c r="E68" s="163"/>
      <c r="F68" s="163"/>
      <c r="G68" s="163"/>
      <c r="H68" s="163"/>
      <c r="I68" s="163"/>
      <c r="J68" s="163"/>
    </row>
    <row r="69">
      <c r="A69" s="163"/>
      <c r="B69" s="163"/>
      <c r="C69" s="163"/>
      <c r="D69" s="163"/>
      <c r="E69" s="163"/>
      <c r="F69" s="163"/>
      <c r="G69" s="163"/>
      <c r="H69" s="163"/>
      <c r="I69" s="163"/>
      <c r="J69" s="163"/>
    </row>
    <row r="70">
      <c r="A70" s="163"/>
      <c r="B70" s="163"/>
      <c r="C70" s="163"/>
      <c r="D70" s="163"/>
      <c r="E70" s="163"/>
      <c r="F70" s="163"/>
      <c r="G70" s="163"/>
      <c r="H70" s="163"/>
      <c r="I70" s="163"/>
      <c r="J70" s="163"/>
    </row>
    <row r="71">
      <c r="A71" s="163"/>
      <c r="B71" s="163"/>
      <c r="C71" s="163"/>
      <c r="D71" s="163"/>
      <c r="E71" s="163"/>
      <c r="F71" s="163"/>
      <c r="G71" s="163"/>
      <c r="H71" s="163"/>
      <c r="I71" s="163"/>
      <c r="J71" s="163"/>
    </row>
    <row r="72">
      <c r="A72" s="163"/>
      <c r="B72" s="163"/>
      <c r="C72" s="163"/>
      <c r="D72" s="163"/>
      <c r="E72" s="163"/>
      <c r="F72" s="163"/>
      <c r="G72" s="163"/>
      <c r="H72" s="163"/>
      <c r="I72" s="163"/>
      <c r="J72" s="163"/>
    </row>
    <row r="73">
      <c r="A73" s="163"/>
      <c r="B73" s="163"/>
      <c r="C73" s="163"/>
      <c r="D73" s="163"/>
      <c r="E73" s="163"/>
      <c r="F73" s="163"/>
      <c r="G73" s="163"/>
      <c r="H73" s="163"/>
      <c r="I73" s="163"/>
      <c r="J73" s="163"/>
    </row>
    <row r="74">
      <c r="A74" s="163"/>
      <c r="B74" s="163"/>
      <c r="C74" s="163"/>
      <c r="D74" s="163"/>
      <c r="E74" s="163"/>
      <c r="F74" s="163"/>
      <c r="G74" s="163"/>
      <c r="H74" s="163"/>
      <c r="I74" s="163"/>
      <c r="J74" s="163"/>
    </row>
    <row r="75">
      <c r="A75" s="163"/>
      <c r="B75" s="163"/>
      <c r="C75" s="163"/>
      <c r="D75" s="163"/>
      <c r="E75" s="163"/>
      <c r="F75" s="163"/>
      <c r="G75" s="163"/>
      <c r="H75" s="163"/>
      <c r="I75" s="163"/>
      <c r="J75" s="163"/>
    </row>
    <row r="76">
      <c r="A76" s="163"/>
      <c r="B76" s="163"/>
      <c r="C76" s="163"/>
      <c r="D76" s="163"/>
      <c r="E76" s="163"/>
      <c r="F76" s="163"/>
      <c r="G76" s="163"/>
      <c r="H76" s="163"/>
      <c r="I76" s="163"/>
      <c r="J76" s="163"/>
    </row>
    <row r="77">
      <c r="A77" s="163"/>
      <c r="B77" s="163"/>
      <c r="C77" s="163"/>
      <c r="D77" s="163"/>
      <c r="E77" s="163"/>
      <c r="F77" s="163"/>
      <c r="G77" s="163"/>
      <c r="H77" s="163"/>
      <c r="I77" s="163"/>
      <c r="J77" s="163"/>
    </row>
    <row r="78">
      <c r="A78" s="163"/>
      <c r="B78" s="163"/>
      <c r="C78" s="163"/>
      <c r="D78" s="163"/>
      <c r="E78" s="163"/>
      <c r="F78" s="163"/>
      <c r="G78" s="163"/>
      <c r="H78" s="163"/>
      <c r="I78" s="163"/>
      <c r="J78" s="163"/>
    </row>
    <row r="79">
      <c r="A79" s="163"/>
      <c r="B79" s="163"/>
      <c r="C79" s="163"/>
      <c r="D79" s="163"/>
      <c r="E79" s="163"/>
      <c r="F79" s="163"/>
      <c r="G79" s="163"/>
      <c r="H79" s="163"/>
      <c r="I79" s="163"/>
      <c r="J79" s="163"/>
    </row>
    <row r="80">
      <c r="A80" s="163"/>
      <c r="B80" s="163"/>
      <c r="C80" s="163"/>
      <c r="D80" s="163"/>
      <c r="E80" s="163"/>
      <c r="F80" s="163"/>
      <c r="G80" s="163"/>
      <c r="H80" s="163"/>
      <c r="I80" s="163"/>
      <c r="J80" s="163"/>
    </row>
    <row r="81">
      <c r="A81" s="163"/>
      <c r="B81" s="163"/>
      <c r="C81" s="163"/>
      <c r="D81" s="163"/>
      <c r="E81" s="163"/>
      <c r="F81" s="163"/>
      <c r="G81" s="163"/>
      <c r="H81" s="163"/>
      <c r="I81" s="163"/>
      <c r="J81" s="163"/>
    </row>
    <row r="82">
      <c r="A82" s="163"/>
      <c r="B82" s="163"/>
      <c r="C82" s="163"/>
      <c r="D82" s="163"/>
      <c r="E82" s="163"/>
      <c r="F82" s="163"/>
      <c r="G82" s="163"/>
      <c r="H82" s="163"/>
      <c r="I82" s="163"/>
      <c r="J82" s="163"/>
    </row>
    <row r="83">
      <c r="A83" s="163"/>
      <c r="B83" s="163"/>
      <c r="C83" s="163"/>
      <c r="D83" s="163"/>
      <c r="E83" s="163"/>
      <c r="F83" s="163"/>
      <c r="G83" s="163"/>
      <c r="H83" s="163"/>
      <c r="I83" s="163"/>
      <c r="J83" s="163"/>
    </row>
    <row r="84">
      <c r="A84" s="163"/>
      <c r="B84" s="163"/>
      <c r="C84" s="163"/>
      <c r="D84" s="163"/>
      <c r="E84" s="163"/>
      <c r="F84" s="163"/>
      <c r="G84" s="163"/>
      <c r="H84" s="163"/>
      <c r="I84" s="163"/>
      <c r="J84" s="163"/>
    </row>
    <row r="85">
      <c r="A85" s="163"/>
      <c r="B85" s="163"/>
      <c r="C85" s="163"/>
      <c r="D85" s="163"/>
      <c r="E85" s="163"/>
      <c r="F85" s="163"/>
      <c r="G85" s="163"/>
      <c r="H85" s="163"/>
      <c r="I85" s="163"/>
      <c r="J85" s="163"/>
    </row>
    <row r="86">
      <c r="A86" s="163"/>
      <c r="B86" s="163"/>
      <c r="C86" s="163"/>
      <c r="D86" s="163"/>
      <c r="E86" s="163"/>
      <c r="F86" s="163"/>
      <c r="G86" s="163"/>
      <c r="H86" s="163"/>
      <c r="I86" s="163"/>
      <c r="J86" s="163"/>
    </row>
    <row r="87">
      <c r="A87" s="163"/>
      <c r="B87" s="163"/>
      <c r="C87" s="163"/>
      <c r="D87" s="163"/>
      <c r="E87" s="163"/>
      <c r="F87" s="163"/>
      <c r="G87" s="163"/>
      <c r="H87" s="163"/>
      <c r="I87" s="163"/>
      <c r="J87" s="163"/>
    </row>
    <row r="88">
      <c r="A88" s="163"/>
      <c r="B88" s="163"/>
      <c r="C88" s="163"/>
      <c r="D88" s="163"/>
      <c r="E88" s="163"/>
      <c r="F88" s="163"/>
      <c r="G88" s="163"/>
      <c r="H88" s="163"/>
      <c r="I88" s="163"/>
      <c r="J88" s="163"/>
    </row>
    <row r="89">
      <c r="A89" s="163"/>
      <c r="B89" s="163"/>
      <c r="C89" s="163"/>
      <c r="D89" s="163"/>
      <c r="E89" s="163"/>
      <c r="F89" s="163"/>
      <c r="G89" s="163"/>
      <c r="H89" s="163"/>
      <c r="I89" s="163"/>
      <c r="J89" s="163"/>
    </row>
    <row r="90">
      <c r="A90" s="163"/>
      <c r="B90" s="163"/>
      <c r="C90" s="163"/>
      <c r="D90" s="163"/>
      <c r="E90" s="163"/>
      <c r="F90" s="163"/>
      <c r="G90" s="163"/>
      <c r="H90" s="163"/>
      <c r="I90" s="163"/>
      <c r="J90" s="163"/>
    </row>
    <row r="91">
      <c r="A91" s="163"/>
      <c r="B91" s="163"/>
      <c r="C91" s="163"/>
      <c r="D91" s="163"/>
      <c r="E91" s="163"/>
      <c r="F91" s="163"/>
      <c r="G91" s="163"/>
      <c r="H91" s="163"/>
      <c r="I91" s="163"/>
      <c r="J91" s="163"/>
    </row>
    <row r="92">
      <c r="A92" s="163"/>
      <c r="B92" s="163"/>
      <c r="C92" s="163"/>
      <c r="D92" s="163"/>
      <c r="E92" s="163"/>
      <c r="F92" s="163"/>
      <c r="G92" s="163"/>
      <c r="H92" s="163"/>
      <c r="I92" s="163"/>
      <c r="J92" s="163"/>
    </row>
    <row r="93">
      <c r="A93" s="163"/>
      <c r="B93" s="163"/>
      <c r="C93" s="163"/>
      <c r="D93" s="163"/>
      <c r="E93" s="163"/>
      <c r="F93" s="163"/>
      <c r="G93" s="163"/>
      <c r="H93" s="163"/>
      <c r="I93" s="163"/>
      <c r="J93" s="163"/>
    </row>
    <row r="94">
      <c r="A94" s="163"/>
      <c r="B94" s="163"/>
      <c r="C94" s="163"/>
      <c r="D94" s="163"/>
      <c r="E94" s="163"/>
      <c r="F94" s="163"/>
      <c r="G94" s="163"/>
      <c r="H94" s="163"/>
      <c r="I94" s="163"/>
      <c r="J94" s="163"/>
    </row>
    <row r="95">
      <c r="A95" s="163"/>
      <c r="B95" s="163"/>
      <c r="C95" s="163"/>
      <c r="D95" s="163"/>
      <c r="E95" s="163"/>
      <c r="F95" s="163"/>
      <c r="G95" s="163"/>
      <c r="H95" s="163"/>
      <c r="I95" s="163"/>
      <c r="J95" s="163"/>
    </row>
    <row r="96">
      <c r="A96" s="163"/>
      <c r="B96" s="163"/>
      <c r="C96" s="163"/>
      <c r="D96" s="163"/>
      <c r="E96" s="163"/>
      <c r="F96" s="163"/>
      <c r="G96" s="163"/>
      <c r="H96" s="163"/>
      <c r="I96" s="163"/>
      <c r="J96" s="163"/>
    </row>
    <row r="97">
      <c r="A97" s="163"/>
      <c r="B97" s="163"/>
      <c r="C97" s="163"/>
      <c r="D97" s="163"/>
      <c r="E97" s="163"/>
      <c r="F97" s="163"/>
      <c r="G97" s="163"/>
      <c r="H97" s="163"/>
      <c r="I97" s="163"/>
      <c r="J97" s="163"/>
    </row>
    <row r="98">
      <c r="A98" s="163"/>
      <c r="B98" s="163"/>
      <c r="C98" s="163"/>
      <c r="D98" s="163"/>
      <c r="E98" s="163"/>
      <c r="F98" s="163"/>
      <c r="G98" s="163"/>
      <c r="H98" s="163"/>
      <c r="I98" s="163"/>
      <c r="J98" s="163"/>
    </row>
    <row r="99">
      <c r="A99" s="163"/>
      <c r="B99" s="163"/>
      <c r="C99" s="163"/>
      <c r="D99" s="163"/>
      <c r="E99" s="163"/>
      <c r="F99" s="163"/>
      <c r="G99" s="163"/>
      <c r="H99" s="163"/>
      <c r="I99" s="163"/>
      <c r="J99" s="163"/>
    </row>
    <row r="100">
      <c r="A100" s="163"/>
      <c r="B100" s="163"/>
      <c r="C100" s="163"/>
      <c r="D100" s="163"/>
      <c r="E100" s="163"/>
      <c r="F100" s="163"/>
      <c r="G100" s="163"/>
      <c r="H100" s="163"/>
      <c r="I100" s="163"/>
      <c r="J100" s="163"/>
    </row>
    <row r="101">
      <c r="A101" s="163"/>
      <c r="B101" s="163"/>
      <c r="C101" s="163"/>
      <c r="D101" s="163"/>
      <c r="E101" s="163"/>
      <c r="F101" s="163"/>
      <c r="G101" s="163"/>
      <c r="H101" s="163"/>
      <c r="I101" s="163"/>
      <c r="J101" s="163"/>
    </row>
    <row r="102">
      <c r="A102" s="163"/>
      <c r="B102" s="163"/>
      <c r="C102" s="163"/>
      <c r="D102" s="163"/>
      <c r="E102" s="163"/>
      <c r="F102" s="163"/>
      <c r="G102" s="163"/>
      <c r="H102" s="163"/>
      <c r="I102" s="163"/>
      <c r="J102" s="163"/>
    </row>
    <row r="103">
      <c r="A103" s="163"/>
      <c r="B103" s="163"/>
      <c r="C103" s="163"/>
      <c r="D103" s="163"/>
      <c r="E103" s="163"/>
      <c r="F103" s="163"/>
      <c r="G103" s="163"/>
      <c r="H103" s="163"/>
      <c r="I103" s="163"/>
      <c r="J103" s="163"/>
    </row>
    <row r="104">
      <c r="A104" s="163"/>
      <c r="B104" s="163"/>
      <c r="C104" s="163"/>
      <c r="D104" s="163"/>
      <c r="E104" s="163"/>
      <c r="F104" s="163"/>
      <c r="G104" s="163"/>
      <c r="H104" s="163"/>
      <c r="I104" s="163"/>
      <c r="J104" s="163"/>
    </row>
    <row r="105">
      <c r="A105" s="163"/>
      <c r="B105" s="163"/>
      <c r="C105" s="163"/>
      <c r="D105" s="163"/>
      <c r="E105" s="163"/>
      <c r="F105" s="163"/>
      <c r="G105" s="163"/>
      <c r="H105" s="163"/>
      <c r="I105" s="163"/>
      <c r="J105" s="163"/>
    </row>
    <row r="106">
      <c r="A106" s="163"/>
      <c r="B106" s="163"/>
      <c r="C106" s="163"/>
      <c r="D106" s="163"/>
      <c r="E106" s="163"/>
      <c r="F106" s="163"/>
      <c r="G106" s="163"/>
      <c r="H106" s="163"/>
      <c r="I106" s="163"/>
      <c r="J106" s="163"/>
    </row>
    <row r="107">
      <c r="A107" s="163"/>
      <c r="B107" s="163"/>
      <c r="C107" s="163"/>
      <c r="D107" s="163"/>
      <c r="E107" s="163"/>
      <c r="F107" s="163"/>
      <c r="G107" s="163"/>
      <c r="H107" s="163"/>
      <c r="I107" s="163"/>
      <c r="J107" s="163"/>
    </row>
    <row r="108">
      <c r="A108" s="163"/>
      <c r="B108" s="163"/>
      <c r="C108" s="163"/>
      <c r="D108" s="163"/>
      <c r="E108" s="163"/>
      <c r="F108" s="163"/>
      <c r="G108" s="163"/>
      <c r="H108" s="163"/>
      <c r="I108" s="163"/>
      <c r="J108" s="163"/>
    </row>
    <row r="109">
      <c r="A109" s="163"/>
      <c r="B109" s="163"/>
      <c r="C109" s="163"/>
      <c r="D109" s="163"/>
      <c r="E109" s="163"/>
      <c r="F109" s="163"/>
      <c r="G109" s="163"/>
      <c r="H109" s="163"/>
      <c r="I109" s="163"/>
      <c r="J109" s="163"/>
    </row>
    <row r="110">
      <c r="A110" s="163"/>
      <c r="B110" s="163"/>
      <c r="C110" s="163"/>
      <c r="D110" s="163"/>
      <c r="E110" s="163"/>
      <c r="F110" s="163"/>
      <c r="G110" s="163"/>
      <c r="H110" s="163"/>
      <c r="I110" s="163"/>
      <c r="J110" s="163"/>
    </row>
    <row r="111">
      <c r="A111" s="163"/>
      <c r="B111" s="163"/>
      <c r="C111" s="163"/>
      <c r="D111" s="163"/>
      <c r="E111" s="163"/>
      <c r="F111" s="163"/>
      <c r="G111" s="163"/>
      <c r="H111" s="163"/>
      <c r="I111" s="163"/>
      <c r="J111" s="163"/>
    </row>
    <row r="112">
      <c r="A112" s="163"/>
      <c r="B112" s="163"/>
      <c r="C112" s="163"/>
      <c r="D112" s="163"/>
      <c r="E112" s="163"/>
      <c r="F112" s="163"/>
      <c r="G112" s="163"/>
      <c r="H112" s="163"/>
      <c r="I112" s="163"/>
      <c r="J112" s="163"/>
    </row>
    <row r="113">
      <c r="A113" s="163"/>
      <c r="B113" s="163"/>
      <c r="C113" s="163"/>
      <c r="D113" s="163"/>
      <c r="E113" s="163"/>
      <c r="F113" s="163"/>
      <c r="G113" s="163"/>
      <c r="H113" s="163"/>
      <c r="I113" s="163"/>
      <c r="J113" s="163"/>
    </row>
    <row r="114">
      <c r="A114" s="163"/>
      <c r="B114" s="163"/>
      <c r="C114" s="163"/>
      <c r="D114" s="163"/>
      <c r="E114" s="163"/>
      <c r="F114" s="163"/>
      <c r="G114" s="163"/>
      <c r="H114" s="163"/>
      <c r="I114" s="163"/>
      <c r="J114" s="163"/>
    </row>
    <row r="115">
      <c r="A115" s="163"/>
      <c r="B115" s="163"/>
      <c r="C115" s="163"/>
      <c r="D115" s="163"/>
      <c r="E115" s="163"/>
      <c r="F115" s="163"/>
      <c r="G115" s="163"/>
      <c r="H115" s="163"/>
      <c r="I115" s="163"/>
      <c r="J115" s="163"/>
    </row>
    <row r="116">
      <c r="A116" s="163"/>
      <c r="B116" s="163"/>
      <c r="C116" s="163"/>
      <c r="D116" s="163"/>
      <c r="E116" s="163"/>
      <c r="F116" s="163"/>
      <c r="G116" s="163"/>
      <c r="H116" s="163"/>
      <c r="I116" s="163"/>
      <c r="J116" s="163"/>
    </row>
    <row r="117">
      <c r="A117" s="163"/>
      <c r="B117" s="163"/>
      <c r="C117" s="163"/>
      <c r="D117" s="163"/>
      <c r="E117" s="163"/>
      <c r="F117" s="163"/>
      <c r="G117" s="163"/>
      <c r="H117" s="163"/>
      <c r="I117" s="163"/>
      <c r="J117" s="163"/>
    </row>
    <row r="118">
      <c r="A118" s="163"/>
      <c r="B118" s="163"/>
      <c r="C118" s="163"/>
      <c r="D118" s="163"/>
      <c r="E118" s="163"/>
      <c r="F118" s="163"/>
      <c r="G118" s="163"/>
      <c r="H118" s="163"/>
      <c r="I118" s="163"/>
      <c r="J118" s="163"/>
    </row>
    <row r="119">
      <c r="A119" s="163"/>
      <c r="B119" s="163"/>
      <c r="C119" s="163"/>
      <c r="D119" s="163"/>
      <c r="E119" s="163"/>
      <c r="F119" s="163"/>
      <c r="G119" s="163"/>
      <c r="H119" s="163"/>
      <c r="I119" s="163"/>
      <c r="J119" s="163"/>
    </row>
    <row r="120">
      <c r="A120" s="163"/>
      <c r="B120" s="163"/>
      <c r="C120" s="163"/>
      <c r="D120" s="163"/>
      <c r="E120" s="163"/>
      <c r="F120" s="163"/>
      <c r="G120" s="163"/>
      <c r="H120" s="163"/>
      <c r="I120" s="163"/>
      <c r="J120" s="163"/>
    </row>
    <row r="121">
      <c r="A121" s="163"/>
      <c r="B121" s="163"/>
      <c r="C121" s="163"/>
      <c r="D121" s="163"/>
      <c r="E121" s="163"/>
      <c r="F121" s="163"/>
      <c r="G121" s="163"/>
      <c r="H121" s="163"/>
      <c r="I121" s="163"/>
      <c r="J121" s="163"/>
    </row>
    <row r="122">
      <c r="A122" s="163"/>
      <c r="B122" s="163"/>
      <c r="C122" s="163"/>
      <c r="D122" s="163"/>
      <c r="E122" s="163"/>
      <c r="F122" s="163"/>
      <c r="G122" s="163"/>
      <c r="H122" s="163"/>
      <c r="I122" s="163"/>
      <c r="J122" s="163"/>
    </row>
    <row r="123">
      <c r="A123" s="163"/>
      <c r="B123" s="163"/>
      <c r="C123" s="163"/>
      <c r="D123" s="163"/>
      <c r="E123" s="163"/>
      <c r="F123" s="163"/>
      <c r="G123" s="163"/>
      <c r="H123" s="163"/>
      <c r="I123" s="163"/>
      <c r="J123" s="163"/>
    </row>
    <row r="124">
      <c r="A124" s="163"/>
      <c r="B124" s="163"/>
      <c r="C124" s="163"/>
      <c r="D124" s="163"/>
      <c r="E124" s="163"/>
      <c r="F124" s="163"/>
      <c r="G124" s="163"/>
      <c r="H124" s="163"/>
      <c r="I124" s="163"/>
      <c r="J124" s="163"/>
    </row>
    <row r="125">
      <c r="A125" s="163"/>
      <c r="B125" s="163"/>
      <c r="C125" s="163"/>
      <c r="D125" s="163"/>
      <c r="E125" s="163"/>
      <c r="F125" s="163"/>
      <c r="G125" s="163"/>
      <c r="H125" s="163"/>
      <c r="I125" s="163"/>
      <c r="J125" s="163"/>
    </row>
    <row r="126">
      <c r="A126" s="163"/>
      <c r="B126" s="163"/>
      <c r="C126" s="163"/>
      <c r="D126" s="163"/>
      <c r="E126" s="163"/>
      <c r="F126" s="163"/>
      <c r="G126" s="163"/>
      <c r="H126" s="163"/>
      <c r="I126" s="163"/>
      <c r="J126" s="163"/>
    </row>
    <row r="127">
      <c r="A127" s="163"/>
      <c r="B127" s="163"/>
      <c r="C127" s="163"/>
      <c r="D127" s="163"/>
      <c r="E127" s="163"/>
      <c r="F127" s="163"/>
      <c r="G127" s="163"/>
      <c r="H127" s="163"/>
      <c r="I127" s="163"/>
      <c r="J127" s="163"/>
    </row>
    <row r="128">
      <c r="A128" s="163"/>
      <c r="B128" s="163"/>
      <c r="C128" s="163"/>
      <c r="D128" s="163"/>
      <c r="E128" s="163"/>
      <c r="F128" s="163"/>
      <c r="G128" s="163"/>
      <c r="H128" s="163"/>
      <c r="I128" s="163"/>
      <c r="J128" s="163"/>
    </row>
    <row r="129">
      <c r="A129" s="163"/>
      <c r="B129" s="163"/>
      <c r="C129" s="163"/>
      <c r="D129" s="163"/>
      <c r="E129" s="163"/>
      <c r="F129" s="163"/>
      <c r="G129" s="163"/>
      <c r="H129" s="163"/>
      <c r="I129" s="163"/>
      <c r="J129" s="163"/>
    </row>
    <row r="130">
      <c r="A130" s="163"/>
      <c r="B130" s="163"/>
      <c r="C130" s="163"/>
      <c r="D130" s="163"/>
      <c r="E130" s="163"/>
      <c r="F130" s="163"/>
      <c r="G130" s="163"/>
      <c r="H130" s="163"/>
      <c r="I130" s="163"/>
      <c r="J130" s="163"/>
    </row>
    <row r="131">
      <c r="A131" s="163"/>
      <c r="B131" s="163"/>
      <c r="C131" s="163"/>
      <c r="D131" s="163"/>
      <c r="E131" s="163"/>
      <c r="F131" s="163"/>
      <c r="G131" s="163"/>
      <c r="H131" s="163"/>
      <c r="I131" s="163"/>
      <c r="J131" s="163"/>
    </row>
    <row r="132">
      <c r="A132" s="163"/>
      <c r="B132" s="163"/>
      <c r="C132" s="163"/>
      <c r="D132" s="163"/>
      <c r="E132" s="163"/>
      <c r="F132" s="163"/>
      <c r="G132" s="163"/>
      <c r="H132" s="163"/>
      <c r="I132" s="163"/>
      <c r="J132" s="163"/>
    </row>
    <row r="133">
      <c r="A133" s="163"/>
      <c r="B133" s="163"/>
      <c r="C133" s="163"/>
      <c r="D133" s="163"/>
      <c r="E133" s="163"/>
      <c r="F133" s="163"/>
      <c r="G133" s="163"/>
      <c r="H133" s="163"/>
      <c r="I133" s="163"/>
      <c r="J133" s="163"/>
    </row>
    <row r="134">
      <c r="A134" s="163"/>
      <c r="B134" s="163"/>
      <c r="C134" s="163"/>
      <c r="D134" s="163"/>
      <c r="E134" s="163"/>
      <c r="F134" s="163"/>
      <c r="G134" s="163"/>
      <c r="H134" s="163"/>
      <c r="I134" s="163"/>
      <c r="J134" s="163"/>
    </row>
    <row r="135">
      <c r="A135" s="163"/>
      <c r="B135" s="163"/>
      <c r="C135" s="163"/>
      <c r="D135" s="163"/>
      <c r="E135" s="163"/>
      <c r="F135" s="163"/>
      <c r="G135" s="163"/>
      <c r="H135" s="163"/>
      <c r="I135" s="163"/>
      <c r="J135" s="163"/>
    </row>
    <row r="136">
      <c r="A136" s="163"/>
      <c r="B136" s="163"/>
      <c r="C136" s="163"/>
      <c r="D136" s="163"/>
      <c r="E136" s="163"/>
      <c r="F136" s="163"/>
      <c r="G136" s="163"/>
      <c r="H136" s="163"/>
      <c r="I136" s="163"/>
      <c r="J136" s="163"/>
    </row>
    <row r="137">
      <c r="A137" s="163"/>
      <c r="B137" s="163"/>
      <c r="C137" s="163"/>
      <c r="D137" s="163"/>
      <c r="E137" s="163"/>
      <c r="F137" s="163"/>
      <c r="G137" s="163"/>
      <c r="H137" s="163"/>
      <c r="I137" s="163"/>
      <c r="J137" s="163"/>
    </row>
    <row r="138">
      <c r="A138" s="163"/>
      <c r="B138" s="163"/>
      <c r="C138" s="163"/>
      <c r="D138" s="163"/>
      <c r="E138" s="163"/>
      <c r="F138" s="163"/>
      <c r="G138" s="163"/>
      <c r="H138" s="163"/>
      <c r="I138" s="163"/>
      <c r="J138" s="163"/>
    </row>
    <row r="139">
      <c r="A139" s="163"/>
      <c r="B139" s="163"/>
      <c r="C139" s="163"/>
      <c r="D139" s="163"/>
      <c r="E139" s="163"/>
      <c r="F139" s="163"/>
      <c r="G139" s="163"/>
      <c r="H139" s="163"/>
      <c r="I139" s="163"/>
      <c r="J139" s="163"/>
    </row>
    <row r="140">
      <c r="A140" s="163"/>
      <c r="B140" s="163"/>
      <c r="C140" s="163"/>
      <c r="D140" s="163"/>
      <c r="E140" s="163"/>
      <c r="F140" s="163"/>
      <c r="G140" s="163"/>
      <c r="H140" s="163"/>
      <c r="I140" s="163"/>
      <c r="J140" s="163"/>
    </row>
    <row r="141">
      <c r="A141" s="163"/>
      <c r="B141" s="163"/>
      <c r="C141" s="163"/>
      <c r="D141" s="163"/>
      <c r="E141" s="163"/>
      <c r="F141" s="163"/>
      <c r="G141" s="163"/>
      <c r="H141" s="163"/>
      <c r="I141" s="163"/>
      <c r="J141" s="163"/>
    </row>
    <row r="142">
      <c r="A142" s="163"/>
      <c r="B142" s="163"/>
      <c r="C142" s="163"/>
      <c r="D142" s="163"/>
      <c r="E142" s="163"/>
      <c r="F142" s="163"/>
      <c r="G142" s="163"/>
      <c r="H142" s="163"/>
      <c r="I142" s="163"/>
      <c r="J142" s="163"/>
    </row>
    <row r="143">
      <c r="A143" s="163"/>
      <c r="B143" s="163"/>
      <c r="C143" s="163"/>
      <c r="D143" s="163"/>
      <c r="E143" s="163"/>
      <c r="F143" s="163"/>
      <c r="G143" s="163"/>
      <c r="H143" s="163"/>
      <c r="I143" s="163"/>
      <c r="J143" s="163"/>
    </row>
    <row r="144">
      <c r="A144" s="163"/>
      <c r="B144" s="163"/>
      <c r="C144" s="163"/>
      <c r="D144" s="163"/>
      <c r="E144" s="163"/>
      <c r="F144" s="163"/>
      <c r="G144" s="163"/>
      <c r="H144" s="163"/>
      <c r="I144" s="163"/>
      <c r="J144" s="163"/>
    </row>
    <row r="145">
      <c r="A145" s="163"/>
      <c r="B145" s="163"/>
      <c r="C145" s="163"/>
      <c r="D145" s="163"/>
      <c r="E145" s="163"/>
      <c r="F145" s="163"/>
      <c r="G145" s="163"/>
      <c r="H145" s="163"/>
      <c r="I145" s="163"/>
      <c r="J145" s="163"/>
    </row>
    <row r="146">
      <c r="A146" s="163"/>
      <c r="B146" s="163"/>
      <c r="C146" s="163"/>
      <c r="D146" s="163"/>
      <c r="E146" s="163"/>
      <c r="F146" s="163"/>
      <c r="G146" s="163"/>
      <c r="H146" s="163"/>
      <c r="I146" s="163"/>
      <c r="J146" s="163"/>
    </row>
    <row r="147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</row>
    <row r="148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</row>
    <row r="149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</row>
    <row r="150">
      <c r="A150" s="163"/>
      <c r="B150" s="163"/>
      <c r="C150" s="163"/>
      <c r="D150" s="163"/>
      <c r="E150" s="163"/>
      <c r="F150" s="163"/>
      <c r="G150" s="163"/>
      <c r="H150" s="163"/>
      <c r="I150" s="163"/>
      <c r="J150" s="163"/>
    </row>
    <row r="151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</row>
    <row r="152">
      <c r="A152" s="163"/>
      <c r="B152" s="163"/>
      <c r="C152" s="163"/>
      <c r="D152" s="163"/>
      <c r="E152" s="163"/>
      <c r="F152" s="163"/>
      <c r="G152" s="163"/>
      <c r="H152" s="163"/>
      <c r="I152" s="163"/>
      <c r="J152" s="163"/>
    </row>
    <row r="153">
      <c r="A153" s="163"/>
      <c r="B153" s="163"/>
      <c r="C153" s="163"/>
      <c r="D153" s="163"/>
      <c r="E153" s="163"/>
      <c r="F153" s="163"/>
      <c r="G153" s="163"/>
      <c r="H153" s="163"/>
      <c r="I153" s="163"/>
      <c r="J153" s="163"/>
    </row>
    <row r="154">
      <c r="A154" s="163"/>
      <c r="B154" s="163"/>
      <c r="C154" s="163"/>
      <c r="D154" s="163"/>
      <c r="E154" s="163"/>
      <c r="F154" s="163"/>
      <c r="G154" s="163"/>
      <c r="H154" s="163"/>
      <c r="I154" s="163"/>
      <c r="J154" s="163"/>
    </row>
    <row r="155">
      <c r="A155" s="163"/>
      <c r="B155" s="163"/>
      <c r="C155" s="163"/>
      <c r="D155" s="163"/>
      <c r="E155" s="163"/>
      <c r="F155" s="163"/>
      <c r="G155" s="163"/>
      <c r="H155" s="163"/>
      <c r="I155" s="163"/>
      <c r="J155" s="163"/>
    </row>
    <row r="156">
      <c r="A156" s="163"/>
      <c r="B156" s="163"/>
      <c r="C156" s="163"/>
      <c r="D156" s="163"/>
      <c r="E156" s="163"/>
      <c r="F156" s="163"/>
      <c r="G156" s="163"/>
      <c r="H156" s="163"/>
      <c r="I156" s="163"/>
      <c r="J156" s="163"/>
    </row>
    <row r="157">
      <c r="A157" s="163"/>
      <c r="B157" s="163"/>
      <c r="C157" s="163"/>
      <c r="D157" s="163"/>
      <c r="E157" s="163"/>
      <c r="F157" s="163"/>
      <c r="G157" s="163"/>
      <c r="H157" s="163"/>
      <c r="I157" s="163"/>
      <c r="J157" s="163"/>
    </row>
    <row r="158">
      <c r="A158" s="163"/>
      <c r="B158" s="163"/>
      <c r="C158" s="163"/>
      <c r="D158" s="163"/>
      <c r="E158" s="163"/>
      <c r="F158" s="163"/>
      <c r="G158" s="163"/>
      <c r="H158" s="163"/>
      <c r="I158" s="163"/>
      <c r="J158" s="163"/>
    </row>
    <row r="159">
      <c r="A159" s="163"/>
      <c r="B159" s="163"/>
      <c r="C159" s="163"/>
      <c r="D159" s="163"/>
      <c r="E159" s="163"/>
      <c r="F159" s="163"/>
      <c r="G159" s="163"/>
      <c r="H159" s="163"/>
      <c r="I159" s="163"/>
      <c r="J159" s="163"/>
    </row>
    <row r="160">
      <c r="A160" s="163"/>
      <c r="B160" s="163"/>
      <c r="C160" s="163"/>
      <c r="D160" s="163"/>
      <c r="E160" s="163"/>
      <c r="F160" s="163"/>
      <c r="G160" s="163"/>
      <c r="H160" s="163"/>
      <c r="I160" s="163"/>
      <c r="J160" s="163"/>
    </row>
    <row r="161">
      <c r="A161" s="163"/>
      <c r="B161" s="163"/>
      <c r="C161" s="163"/>
      <c r="D161" s="163"/>
      <c r="E161" s="163"/>
      <c r="F161" s="163"/>
      <c r="G161" s="163"/>
      <c r="H161" s="163"/>
      <c r="I161" s="163"/>
      <c r="J161" s="163"/>
    </row>
    <row r="162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</row>
    <row r="163">
      <c r="A163" s="163"/>
      <c r="B163" s="163"/>
      <c r="C163" s="163"/>
      <c r="D163" s="163"/>
      <c r="E163" s="163"/>
      <c r="F163" s="163"/>
      <c r="G163" s="163"/>
      <c r="H163" s="163"/>
      <c r="I163" s="163"/>
      <c r="J163" s="163"/>
    </row>
    <row r="164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</row>
    <row r="165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</row>
    <row r="166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</row>
    <row r="167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</row>
    <row r="168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</row>
    <row r="169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</row>
    <row r="170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</row>
    <row r="171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</row>
    <row r="172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</row>
    <row r="173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</row>
    <row r="174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</row>
    <row r="175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</row>
    <row r="176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</row>
    <row r="177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</row>
    <row r="178">
      <c r="A178" s="163"/>
      <c r="B178" s="163"/>
      <c r="C178" s="163"/>
      <c r="D178" s="163"/>
      <c r="E178" s="163"/>
      <c r="F178" s="163"/>
      <c r="G178" s="163"/>
      <c r="H178" s="163"/>
      <c r="I178" s="163"/>
      <c r="J178" s="163"/>
    </row>
    <row r="179">
      <c r="A179" s="163"/>
      <c r="B179" s="163"/>
      <c r="C179" s="163"/>
      <c r="D179" s="163"/>
      <c r="E179" s="163"/>
      <c r="F179" s="163"/>
      <c r="G179" s="163"/>
      <c r="H179" s="163"/>
      <c r="I179" s="163"/>
      <c r="J179" s="163"/>
    </row>
    <row r="180">
      <c r="A180" s="163"/>
      <c r="B180" s="163"/>
      <c r="C180" s="163"/>
      <c r="D180" s="163"/>
      <c r="E180" s="163"/>
      <c r="F180" s="163"/>
      <c r="G180" s="163"/>
      <c r="H180" s="163"/>
      <c r="I180" s="163"/>
      <c r="J180" s="163"/>
    </row>
    <row r="181">
      <c r="A181" s="163"/>
      <c r="B181" s="163"/>
      <c r="C181" s="163"/>
      <c r="D181" s="163"/>
      <c r="E181" s="163"/>
      <c r="F181" s="163"/>
      <c r="G181" s="163"/>
      <c r="H181" s="163"/>
      <c r="I181" s="163"/>
      <c r="J181" s="163"/>
    </row>
    <row r="182">
      <c r="A182" s="163"/>
      <c r="B182" s="163"/>
      <c r="C182" s="163"/>
      <c r="D182" s="163"/>
      <c r="E182" s="163"/>
      <c r="F182" s="163"/>
      <c r="G182" s="163"/>
      <c r="H182" s="163"/>
      <c r="I182" s="163"/>
      <c r="J182" s="163"/>
    </row>
    <row r="183">
      <c r="A183" s="163"/>
      <c r="B183" s="163"/>
      <c r="C183" s="163"/>
      <c r="D183" s="163"/>
      <c r="E183" s="163"/>
      <c r="F183" s="163"/>
      <c r="G183" s="163"/>
      <c r="H183" s="163"/>
      <c r="I183" s="163"/>
      <c r="J183" s="163"/>
    </row>
    <row r="184">
      <c r="A184" s="163"/>
      <c r="B184" s="163"/>
      <c r="C184" s="163"/>
      <c r="D184" s="163"/>
      <c r="E184" s="163"/>
      <c r="F184" s="163"/>
      <c r="G184" s="163"/>
      <c r="H184" s="163"/>
      <c r="I184" s="163"/>
      <c r="J184" s="163"/>
    </row>
    <row r="185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</row>
    <row r="186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</row>
    <row r="187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</row>
    <row r="188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</row>
    <row r="189">
      <c r="A189" s="163"/>
      <c r="B189" s="163"/>
      <c r="C189" s="163"/>
      <c r="D189" s="163"/>
      <c r="E189" s="163"/>
      <c r="F189" s="163"/>
      <c r="G189" s="163"/>
      <c r="H189" s="163"/>
      <c r="I189" s="163"/>
      <c r="J189" s="163"/>
    </row>
    <row r="190">
      <c r="A190" s="163"/>
      <c r="B190" s="163"/>
      <c r="C190" s="163"/>
      <c r="D190" s="163"/>
      <c r="E190" s="163"/>
      <c r="F190" s="163"/>
      <c r="G190" s="163"/>
      <c r="H190" s="163"/>
      <c r="I190" s="163"/>
      <c r="J190" s="163"/>
    </row>
    <row r="191">
      <c r="A191" s="163"/>
      <c r="B191" s="163"/>
      <c r="C191" s="163"/>
      <c r="D191" s="163"/>
      <c r="E191" s="163"/>
      <c r="F191" s="163"/>
      <c r="G191" s="163"/>
      <c r="H191" s="163"/>
      <c r="I191" s="163"/>
      <c r="J191" s="163"/>
    </row>
    <row r="192">
      <c r="A192" s="163"/>
      <c r="B192" s="163"/>
      <c r="C192" s="163"/>
      <c r="D192" s="163"/>
      <c r="E192" s="163"/>
      <c r="F192" s="163"/>
      <c r="G192" s="163"/>
      <c r="H192" s="163"/>
      <c r="I192" s="163"/>
      <c r="J192" s="163"/>
    </row>
    <row r="193">
      <c r="A193" s="163"/>
      <c r="B193" s="163"/>
      <c r="C193" s="163"/>
      <c r="D193" s="163"/>
      <c r="E193" s="163"/>
      <c r="F193" s="163"/>
      <c r="G193" s="163"/>
      <c r="H193" s="163"/>
      <c r="I193" s="163"/>
      <c r="J193" s="163"/>
    </row>
    <row r="194">
      <c r="A194" s="163"/>
      <c r="B194" s="163"/>
      <c r="C194" s="163"/>
      <c r="D194" s="163"/>
      <c r="E194" s="163"/>
      <c r="F194" s="163"/>
      <c r="G194" s="163"/>
      <c r="H194" s="163"/>
      <c r="I194" s="163"/>
      <c r="J194" s="163"/>
    </row>
    <row r="195">
      <c r="A195" s="163"/>
      <c r="B195" s="163"/>
      <c r="C195" s="163"/>
      <c r="D195" s="163"/>
      <c r="E195" s="163"/>
      <c r="F195" s="163"/>
      <c r="G195" s="163"/>
      <c r="H195" s="163"/>
      <c r="I195" s="163"/>
      <c r="J195" s="163"/>
    </row>
    <row r="196">
      <c r="A196" s="163"/>
      <c r="B196" s="163"/>
      <c r="C196" s="163"/>
      <c r="D196" s="163"/>
      <c r="E196" s="163"/>
      <c r="F196" s="163"/>
      <c r="G196" s="163"/>
      <c r="H196" s="163"/>
      <c r="I196" s="163"/>
      <c r="J196" s="163"/>
    </row>
    <row r="197">
      <c r="A197" s="163"/>
      <c r="B197" s="163"/>
      <c r="C197" s="163"/>
      <c r="D197" s="163"/>
      <c r="E197" s="163"/>
      <c r="F197" s="163"/>
      <c r="G197" s="163"/>
      <c r="H197" s="163"/>
      <c r="I197" s="163"/>
      <c r="J197" s="163"/>
    </row>
    <row r="198">
      <c r="A198" s="163"/>
      <c r="B198" s="163"/>
      <c r="C198" s="163"/>
      <c r="D198" s="163"/>
      <c r="E198" s="163"/>
      <c r="F198" s="163"/>
      <c r="G198" s="163"/>
      <c r="H198" s="163"/>
      <c r="I198" s="163"/>
      <c r="J198" s="163"/>
    </row>
    <row r="199">
      <c r="A199" s="163"/>
      <c r="B199" s="163"/>
      <c r="C199" s="163"/>
      <c r="D199" s="163"/>
      <c r="E199" s="163"/>
      <c r="F199" s="163"/>
      <c r="G199" s="163"/>
      <c r="H199" s="163"/>
      <c r="I199" s="163"/>
      <c r="J199" s="163"/>
    </row>
    <row r="200">
      <c r="A200" s="163"/>
      <c r="B200" s="163"/>
      <c r="C200" s="163"/>
      <c r="D200" s="163"/>
      <c r="E200" s="163"/>
      <c r="F200" s="163"/>
      <c r="G200" s="163"/>
      <c r="H200" s="163"/>
      <c r="I200" s="163"/>
      <c r="J200" s="163"/>
    </row>
    <row r="201">
      <c r="A201" s="163"/>
      <c r="B201" s="163"/>
      <c r="C201" s="163"/>
      <c r="D201" s="163"/>
      <c r="E201" s="163"/>
      <c r="F201" s="163"/>
      <c r="G201" s="163"/>
      <c r="H201" s="163"/>
      <c r="I201" s="163"/>
      <c r="J201" s="163"/>
    </row>
    <row r="202">
      <c r="A202" s="163"/>
      <c r="B202" s="163"/>
      <c r="C202" s="163"/>
      <c r="D202" s="163"/>
      <c r="E202" s="163"/>
      <c r="F202" s="163"/>
      <c r="G202" s="163"/>
      <c r="H202" s="163"/>
      <c r="I202" s="163"/>
      <c r="J202" s="163"/>
    </row>
    <row r="203">
      <c r="A203" s="163"/>
      <c r="B203" s="163"/>
      <c r="C203" s="163"/>
      <c r="D203" s="163"/>
      <c r="E203" s="163"/>
      <c r="F203" s="163"/>
      <c r="G203" s="163"/>
      <c r="H203" s="163"/>
      <c r="I203" s="163"/>
      <c r="J203" s="163"/>
    </row>
    <row r="204">
      <c r="A204" s="163"/>
      <c r="B204" s="163"/>
      <c r="C204" s="163"/>
      <c r="D204" s="163"/>
      <c r="E204" s="163"/>
      <c r="F204" s="163"/>
      <c r="G204" s="163"/>
      <c r="H204" s="163"/>
      <c r="I204" s="163"/>
      <c r="J204" s="163"/>
    </row>
    <row r="205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</row>
    <row r="206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</row>
    <row r="207">
      <c r="A207" s="163"/>
      <c r="B207" s="163"/>
      <c r="C207" s="163"/>
      <c r="D207" s="163"/>
      <c r="E207" s="163"/>
      <c r="F207" s="163"/>
      <c r="G207" s="163"/>
      <c r="H207" s="163"/>
      <c r="I207" s="163"/>
      <c r="J207" s="163"/>
    </row>
    <row r="208">
      <c r="A208" s="163"/>
      <c r="B208" s="163"/>
      <c r="C208" s="163"/>
      <c r="D208" s="163"/>
      <c r="E208" s="163"/>
      <c r="F208" s="163"/>
      <c r="G208" s="163"/>
      <c r="H208" s="163"/>
      <c r="I208" s="163"/>
      <c r="J208" s="163"/>
    </row>
    <row r="209">
      <c r="A209" s="163"/>
      <c r="B209" s="163"/>
      <c r="C209" s="163"/>
      <c r="D209" s="163"/>
      <c r="E209" s="163"/>
      <c r="F209" s="163"/>
      <c r="G209" s="163"/>
      <c r="H209" s="163"/>
      <c r="I209" s="163"/>
      <c r="J209" s="163"/>
    </row>
    <row r="210">
      <c r="A210" s="163"/>
      <c r="B210" s="163"/>
      <c r="C210" s="163"/>
      <c r="D210" s="163"/>
      <c r="E210" s="163"/>
      <c r="F210" s="163"/>
      <c r="G210" s="163"/>
      <c r="H210" s="163"/>
      <c r="I210" s="163"/>
      <c r="J210" s="163"/>
    </row>
    <row r="211">
      <c r="A211" s="163"/>
      <c r="B211" s="163"/>
      <c r="C211" s="163"/>
      <c r="D211" s="163"/>
      <c r="E211" s="163"/>
      <c r="F211" s="163"/>
      <c r="G211" s="163"/>
      <c r="H211" s="163"/>
      <c r="I211" s="163"/>
      <c r="J211" s="163"/>
    </row>
    <row r="212">
      <c r="A212" s="163"/>
      <c r="B212" s="163"/>
      <c r="C212" s="163"/>
      <c r="D212" s="163"/>
      <c r="E212" s="163"/>
      <c r="F212" s="163"/>
      <c r="G212" s="163"/>
      <c r="H212" s="163"/>
      <c r="I212" s="163"/>
      <c r="J212" s="163"/>
    </row>
    <row r="213">
      <c r="A213" s="163"/>
      <c r="B213" s="163"/>
      <c r="C213" s="163"/>
      <c r="D213" s="163"/>
      <c r="E213" s="163"/>
      <c r="F213" s="163"/>
      <c r="G213" s="163"/>
      <c r="H213" s="163"/>
      <c r="I213" s="163"/>
      <c r="J213" s="163"/>
    </row>
    <row r="214">
      <c r="A214" s="163"/>
      <c r="B214" s="163"/>
      <c r="C214" s="163"/>
      <c r="D214" s="163"/>
      <c r="E214" s="163"/>
      <c r="F214" s="163"/>
      <c r="G214" s="163"/>
      <c r="H214" s="163"/>
      <c r="I214" s="163"/>
      <c r="J214" s="163"/>
    </row>
    <row r="215">
      <c r="A215" s="163"/>
      <c r="B215" s="163"/>
      <c r="C215" s="163"/>
      <c r="D215" s="163"/>
      <c r="E215" s="163"/>
      <c r="F215" s="163"/>
      <c r="G215" s="163"/>
      <c r="H215" s="163"/>
      <c r="I215" s="163"/>
      <c r="J215" s="163"/>
    </row>
    <row r="216">
      <c r="A216" s="163"/>
      <c r="B216" s="163"/>
      <c r="C216" s="163"/>
      <c r="D216" s="163"/>
      <c r="E216" s="163"/>
      <c r="F216" s="163"/>
      <c r="G216" s="163"/>
      <c r="H216" s="163"/>
      <c r="I216" s="163"/>
      <c r="J216" s="163"/>
    </row>
    <row r="217">
      <c r="A217" s="163"/>
      <c r="B217" s="163"/>
      <c r="C217" s="163"/>
      <c r="D217" s="163"/>
      <c r="E217" s="163"/>
      <c r="F217" s="163"/>
      <c r="G217" s="163"/>
      <c r="H217" s="163"/>
      <c r="I217" s="163"/>
      <c r="J217" s="163"/>
    </row>
    <row r="218">
      <c r="A218" s="163"/>
      <c r="B218" s="163"/>
      <c r="C218" s="163"/>
      <c r="D218" s="163"/>
      <c r="E218" s="163"/>
      <c r="F218" s="163"/>
      <c r="G218" s="163"/>
      <c r="H218" s="163"/>
      <c r="I218" s="163"/>
      <c r="J218" s="163"/>
    </row>
    <row r="219">
      <c r="A219" s="163"/>
      <c r="B219" s="163"/>
      <c r="C219" s="163"/>
      <c r="D219" s="163"/>
      <c r="E219" s="163"/>
      <c r="F219" s="163"/>
      <c r="G219" s="163"/>
      <c r="H219" s="163"/>
      <c r="I219" s="163"/>
      <c r="J219" s="163"/>
    </row>
    <row r="220">
      <c r="A220" s="163"/>
      <c r="B220" s="163"/>
      <c r="C220" s="163"/>
      <c r="D220" s="163"/>
      <c r="E220" s="163"/>
      <c r="F220" s="163"/>
      <c r="G220" s="163"/>
      <c r="H220" s="163"/>
      <c r="I220" s="163"/>
      <c r="J220" s="163"/>
    </row>
    <row r="221">
      <c r="A221" s="163"/>
      <c r="B221" s="163"/>
      <c r="C221" s="163"/>
      <c r="D221" s="163"/>
      <c r="E221" s="163"/>
      <c r="F221" s="163"/>
      <c r="G221" s="163"/>
      <c r="H221" s="163"/>
      <c r="I221" s="163"/>
      <c r="J221" s="163"/>
    </row>
    <row r="222">
      <c r="A222" s="163"/>
      <c r="B222" s="163"/>
      <c r="C222" s="163"/>
      <c r="D222" s="163"/>
      <c r="E222" s="163"/>
      <c r="F222" s="163"/>
      <c r="G222" s="163"/>
      <c r="H222" s="163"/>
      <c r="I222" s="163"/>
      <c r="J222" s="163"/>
    </row>
    <row r="223">
      <c r="A223" s="163"/>
      <c r="B223" s="163"/>
      <c r="C223" s="163"/>
      <c r="D223" s="163"/>
      <c r="E223" s="163"/>
      <c r="F223" s="163"/>
      <c r="G223" s="163"/>
      <c r="H223" s="163"/>
      <c r="I223" s="163"/>
      <c r="J223" s="163"/>
    </row>
    <row r="224">
      <c r="A224" s="163"/>
      <c r="B224" s="163"/>
      <c r="C224" s="163"/>
      <c r="D224" s="163"/>
      <c r="E224" s="163"/>
      <c r="F224" s="163"/>
      <c r="G224" s="163"/>
      <c r="H224" s="163"/>
      <c r="I224" s="163"/>
      <c r="J224" s="163"/>
    </row>
    <row r="225">
      <c r="A225" s="163"/>
      <c r="B225" s="163"/>
      <c r="C225" s="163"/>
      <c r="D225" s="163"/>
      <c r="E225" s="163"/>
      <c r="F225" s="163"/>
      <c r="G225" s="163"/>
      <c r="H225" s="163"/>
      <c r="I225" s="163"/>
      <c r="J225" s="163"/>
    </row>
    <row r="226">
      <c r="A226" s="163"/>
      <c r="B226" s="163"/>
      <c r="C226" s="163"/>
      <c r="D226" s="163"/>
      <c r="E226" s="163"/>
      <c r="F226" s="163"/>
      <c r="G226" s="163"/>
      <c r="H226" s="163"/>
      <c r="I226" s="163"/>
      <c r="J226" s="163"/>
    </row>
    <row r="227">
      <c r="A227" s="163"/>
      <c r="B227" s="163"/>
      <c r="C227" s="163"/>
      <c r="D227" s="163"/>
      <c r="E227" s="163"/>
      <c r="F227" s="163"/>
      <c r="G227" s="163"/>
      <c r="H227" s="163"/>
      <c r="I227" s="163"/>
      <c r="J227" s="163"/>
    </row>
    <row r="228">
      <c r="A228" s="163"/>
      <c r="B228" s="163"/>
      <c r="C228" s="163"/>
      <c r="D228" s="163"/>
      <c r="E228" s="163"/>
      <c r="F228" s="163"/>
      <c r="G228" s="163"/>
      <c r="H228" s="163"/>
      <c r="I228" s="163"/>
      <c r="J228" s="163"/>
    </row>
    <row r="229">
      <c r="A229" s="163"/>
      <c r="B229" s="163"/>
      <c r="C229" s="163"/>
      <c r="D229" s="163"/>
      <c r="E229" s="163"/>
      <c r="F229" s="163"/>
      <c r="G229" s="163"/>
      <c r="H229" s="163"/>
      <c r="I229" s="163"/>
      <c r="J229" s="163"/>
    </row>
    <row r="230">
      <c r="A230" s="163"/>
      <c r="B230" s="163"/>
      <c r="C230" s="163"/>
      <c r="D230" s="163"/>
      <c r="E230" s="163"/>
      <c r="F230" s="163"/>
      <c r="G230" s="163"/>
      <c r="H230" s="163"/>
      <c r="I230" s="163"/>
      <c r="J230" s="163"/>
    </row>
    <row r="231">
      <c r="A231" s="163"/>
      <c r="B231" s="163"/>
      <c r="C231" s="163"/>
      <c r="D231" s="163"/>
      <c r="E231" s="163"/>
      <c r="F231" s="163"/>
      <c r="G231" s="163"/>
      <c r="H231" s="163"/>
      <c r="I231" s="163"/>
      <c r="J231" s="163"/>
    </row>
    <row r="232">
      <c r="A232" s="163"/>
      <c r="B232" s="163"/>
      <c r="C232" s="163"/>
      <c r="D232" s="163"/>
      <c r="E232" s="163"/>
      <c r="F232" s="163"/>
      <c r="G232" s="163"/>
      <c r="H232" s="163"/>
      <c r="I232" s="163"/>
      <c r="J232" s="163"/>
    </row>
    <row r="233">
      <c r="A233" s="163"/>
      <c r="B233" s="163"/>
      <c r="C233" s="163"/>
      <c r="D233" s="163"/>
      <c r="E233" s="163"/>
      <c r="F233" s="163"/>
      <c r="G233" s="163"/>
      <c r="H233" s="163"/>
      <c r="I233" s="163"/>
      <c r="J233" s="163"/>
    </row>
    <row r="234">
      <c r="A234" s="163"/>
      <c r="B234" s="163"/>
      <c r="C234" s="163"/>
      <c r="D234" s="163"/>
      <c r="E234" s="163"/>
      <c r="F234" s="163"/>
      <c r="G234" s="163"/>
      <c r="H234" s="163"/>
      <c r="I234" s="163"/>
      <c r="J234" s="163"/>
    </row>
    <row r="235">
      <c r="A235" s="163"/>
      <c r="B235" s="163"/>
      <c r="C235" s="163"/>
      <c r="D235" s="163"/>
      <c r="E235" s="163"/>
      <c r="F235" s="163"/>
      <c r="G235" s="163"/>
      <c r="H235" s="163"/>
      <c r="I235" s="163"/>
      <c r="J235" s="163"/>
    </row>
    <row r="236">
      <c r="A236" s="163"/>
      <c r="B236" s="163"/>
      <c r="C236" s="163"/>
      <c r="D236" s="163"/>
      <c r="E236" s="163"/>
      <c r="F236" s="163"/>
      <c r="G236" s="163"/>
      <c r="H236" s="163"/>
      <c r="I236" s="163"/>
      <c r="J236" s="163"/>
    </row>
    <row r="237">
      <c r="A237" s="163"/>
      <c r="B237" s="163"/>
      <c r="C237" s="163"/>
      <c r="D237" s="163"/>
      <c r="E237" s="163"/>
      <c r="F237" s="163"/>
      <c r="G237" s="163"/>
      <c r="H237" s="163"/>
      <c r="I237" s="163"/>
      <c r="J237" s="163"/>
    </row>
    <row r="238">
      <c r="A238" s="163"/>
      <c r="B238" s="163"/>
      <c r="C238" s="163"/>
      <c r="D238" s="163"/>
      <c r="E238" s="163"/>
      <c r="F238" s="163"/>
      <c r="G238" s="163"/>
      <c r="H238" s="163"/>
      <c r="I238" s="163"/>
      <c r="J238" s="163"/>
    </row>
    <row r="239">
      <c r="A239" s="163"/>
      <c r="B239" s="163"/>
      <c r="C239" s="163"/>
      <c r="D239" s="163"/>
      <c r="E239" s="163"/>
      <c r="F239" s="163"/>
      <c r="G239" s="163"/>
      <c r="H239" s="163"/>
      <c r="I239" s="163"/>
      <c r="J239" s="163"/>
    </row>
    <row r="240">
      <c r="A240" s="163"/>
      <c r="B240" s="163"/>
      <c r="C240" s="163"/>
      <c r="D240" s="163"/>
      <c r="E240" s="163"/>
      <c r="F240" s="163"/>
      <c r="G240" s="163"/>
      <c r="H240" s="163"/>
      <c r="I240" s="163"/>
      <c r="J240" s="163"/>
    </row>
    <row r="241">
      <c r="A241" s="163"/>
      <c r="B241" s="163"/>
      <c r="C241" s="163"/>
      <c r="D241" s="163"/>
      <c r="E241" s="163"/>
      <c r="F241" s="163"/>
      <c r="G241" s="163"/>
      <c r="H241" s="163"/>
      <c r="I241" s="163"/>
      <c r="J241" s="163"/>
    </row>
    <row r="242">
      <c r="A242" s="163"/>
      <c r="B242" s="163"/>
      <c r="C242" s="163"/>
      <c r="D242" s="163"/>
      <c r="E242" s="163"/>
      <c r="F242" s="163"/>
      <c r="G242" s="163"/>
      <c r="H242" s="163"/>
      <c r="I242" s="163"/>
      <c r="J242" s="163"/>
    </row>
    <row r="243">
      <c r="A243" s="163"/>
      <c r="B243" s="163"/>
      <c r="C243" s="163"/>
      <c r="D243" s="163"/>
      <c r="E243" s="163"/>
      <c r="F243" s="163"/>
      <c r="G243" s="163"/>
      <c r="H243" s="163"/>
      <c r="I243" s="163"/>
      <c r="J243" s="163"/>
    </row>
    <row r="244">
      <c r="A244" s="163"/>
      <c r="B244" s="163"/>
      <c r="C244" s="163"/>
      <c r="D244" s="163"/>
      <c r="E244" s="163"/>
      <c r="F244" s="163"/>
      <c r="G244" s="163"/>
      <c r="H244" s="163"/>
      <c r="I244" s="163"/>
      <c r="J244" s="163"/>
    </row>
    <row r="245">
      <c r="A245" s="163"/>
      <c r="B245" s="163"/>
      <c r="C245" s="163"/>
      <c r="D245" s="163"/>
      <c r="E245" s="163"/>
      <c r="F245" s="163"/>
      <c r="G245" s="163"/>
      <c r="H245" s="163"/>
      <c r="I245" s="163"/>
      <c r="J245" s="163"/>
    </row>
    <row r="246">
      <c r="A246" s="163"/>
      <c r="B246" s="163"/>
      <c r="C246" s="163"/>
      <c r="D246" s="163"/>
      <c r="E246" s="163"/>
      <c r="F246" s="163"/>
      <c r="G246" s="163"/>
      <c r="H246" s="163"/>
      <c r="I246" s="163"/>
      <c r="J246" s="163"/>
    </row>
    <row r="247">
      <c r="A247" s="163"/>
      <c r="B247" s="163"/>
      <c r="C247" s="163"/>
      <c r="D247" s="163"/>
      <c r="E247" s="163"/>
      <c r="F247" s="163"/>
      <c r="G247" s="163"/>
      <c r="H247" s="163"/>
      <c r="I247" s="163"/>
      <c r="J247" s="163"/>
    </row>
    <row r="248">
      <c r="A248" s="163"/>
      <c r="B248" s="163"/>
      <c r="C248" s="163"/>
      <c r="D248" s="163"/>
      <c r="E248" s="163"/>
      <c r="F248" s="163"/>
      <c r="G248" s="163"/>
      <c r="H248" s="163"/>
      <c r="I248" s="163"/>
      <c r="J248" s="163"/>
    </row>
    <row r="249">
      <c r="A249" s="163"/>
      <c r="B249" s="163"/>
      <c r="C249" s="163"/>
      <c r="D249" s="163"/>
      <c r="E249" s="163"/>
      <c r="F249" s="163"/>
      <c r="G249" s="163"/>
      <c r="H249" s="163"/>
      <c r="I249" s="163"/>
      <c r="J249" s="163"/>
    </row>
    <row r="250">
      <c r="A250" s="163"/>
      <c r="B250" s="163"/>
      <c r="C250" s="163"/>
      <c r="D250" s="163"/>
      <c r="E250" s="163"/>
      <c r="F250" s="163"/>
      <c r="G250" s="163"/>
      <c r="H250" s="163"/>
      <c r="I250" s="163"/>
      <c r="J250" s="163"/>
    </row>
    <row r="251">
      <c r="A251" s="163"/>
      <c r="B251" s="163"/>
      <c r="C251" s="163"/>
      <c r="D251" s="163"/>
      <c r="E251" s="163"/>
      <c r="F251" s="163"/>
      <c r="G251" s="163"/>
      <c r="H251" s="163"/>
      <c r="I251" s="163"/>
      <c r="J251" s="163"/>
    </row>
    <row r="252">
      <c r="A252" s="163"/>
      <c r="B252" s="163"/>
      <c r="C252" s="163"/>
      <c r="D252" s="163"/>
      <c r="E252" s="163"/>
      <c r="F252" s="163"/>
      <c r="G252" s="163"/>
      <c r="H252" s="163"/>
      <c r="I252" s="163"/>
      <c r="J252" s="163"/>
    </row>
    <row r="253">
      <c r="A253" s="163"/>
      <c r="B253" s="163"/>
      <c r="C253" s="163"/>
      <c r="D253" s="163"/>
      <c r="E253" s="163"/>
      <c r="F253" s="163"/>
      <c r="G253" s="163"/>
      <c r="H253" s="163"/>
      <c r="I253" s="163"/>
      <c r="J253" s="163"/>
    </row>
    <row r="254">
      <c r="A254" s="163"/>
      <c r="B254" s="163"/>
      <c r="C254" s="163"/>
      <c r="D254" s="163"/>
      <c r="E254" s="163"/>
      <c r="F254" s="163"/>
      <c r="G254" s="163"/>
      <c r="H254" s="163"/>
      <c r="I254" s="163"/>
      <c r="J254" s="163"/>
    </row>
    <row r="255">
      <c r="A255" s="163"/>
      <c r="B255" s="163"/>
      <c r="C255" s="163"/>
      <c r="D255" s="163"/>
      <c r="E255" s="163"/>
      <c r="F255" s="163"/>
      <c r="G255" s="163"/>
      <c r="H255" s="163"/>
      <c r="I255" s="163"/>
      <c r="J255" s="163"/>
    </row>
    <row r="256">
      <c r="A256" s="163"/>
      <c r="B256" s="163"/>
      <c r="C256" s="163"/>
      <c r="D256" s="163"/>
      <c r="E256" s="163"/>
      <c r="F256" s="163"/>
      <c r="G256" s="163"/>
      <c r="H256" s="163"/>
      <c r="I256" s="163"/>
      <c r="J256" s="163"/>
    </row>
    <row r="257">
      <c r="A257" s="163"/>
      <c r="B257" s="163"/>
      <c r="C257" s="163"/>
      <c r="D257" s="163"/>
      <c r="E257" s="163"/>
      <c r="F257" s="163"/>
      <c r="G257" s="163"/>
      <c r="H257" s="163"/>
      <c r="I257" s="163"/>
      <c r="J257" s="163"/>
    </row>
    <row r="258">
      <c r="A258" s="163"/>
      <c r="B258" s="163"/>
      <c r="C258" s="163"/>
      <c r="D258" s="163"/>
      <c r="E258" s="163"/>
      <c r="F258" s="163"/>
      <c r="G258" s="163"/>
      <c r="H258" s="163"/>
      <c r="I258" s="163"/>
      <c r="J258" s="163"/>
    </row>
    <row r="259">
      <c r="A259" s="163"/>
      <c r="B259" s="163"/>
      <c r="C259" s="163"/>
      <c r="D259" s="163"/>
      <c r="E259" s="163"/>
      <c r="F259" s="163"/>
      <c r="G259" s="163"/>
      <c r="H259" s="163"/>
      <c r="I259" s="163"/>
      <c r="J259" s="163"/>
    </row>
    <row r="260">
      <c r="A260" s="163"/>
      <c r="B260" s="163"/>
      <c r="C260" s="163"/>
      <c r="D260" s="163"/>
      <c r="E260" s="163"/>
      <c r="F260" s="163"/>
      <c r="G260" s="163"/>
      <c r="H260" s="163"/>
      <c r="I260" s="163"/>
      <c r="J260" s="163"/>
    </row>
    <row r="261">
      <c r="A261" s="163"/>
      <c r="B261" s="163"/>
      <c r="C261" s="163"/>
      <c r="D261" s="163"/>
      <c r="E261" s="163"/>
      <c r="F261" s="163"/>
      <c r="G261" s="163"/>
      <c r="H261" s="163"/>
      <c r="I261" s="163"/>
      <c r="J261" s="163"/>
    </row>
    <row r="262">
      <c r="A262" s="163"/>
      <c r="B262" s="163"/>
      <c r="C262" s="163"/>
      <c r="D262" s="163"/>
      <c r="E262" s="163"/>
      <c r="F262" s="163"/>
      <c r="G262" s="163"/>
      <c r="H262" s="163"/>
      <c r="I262" s="163"/>
      <c r="J262" s="163"/>
    </row>
    <row r="263">
      <c r="A263" s="163"/>
      <c r="B263" s="163"/>
      <c r="C263" s="163"/>
      <c r="D263" s="163"/>
      <c r="E263" s="163"/>
      <c r="F263" s="163"/>
      <c r="G263" s="163"/>
      <c r="H263" s="163"/>
      <c r="I263" s="163"/>
      <c r="J263" s="163"/>
    </row>
    <row r="264">
      <c r="A264" s="163"/>
      <c r="B264" s="163"/>
      <c r="C264" s="163"/>
      <c r="D264" s="163"/>
      <c r="E264" s="163"/>
      <c r="F264" s="163"/>
      <c r="G264" s="163"/>
      <c r="H264" s="163"/>
      <c r="I264" s="163"/>
      <c r="J264" s="163"/>
    </row>
    <row r="265">
      <c r="A265" s="163"/>
      <c r="B265" s="163"/>
      <c r="C265" s="163"/>
      <c r="D265" s="163"/>
      <c r="E265" s="163"/>
      <c r="F265" s="163"/>
      <c r="G265" s="163"/>
      <c r="H265" s="163"/>
      <c r="I265" s="163"/>
      <c r="J265" s="163"/>
    </row>
    <row r="266">
      <c r="A266" s="163"/>
      <c r="B266" s="163"/>
      <c r="C266" s="163"/>
      <c r="D266" s="163"/>
      <c r="E266" s="163"/>
      <c r="F266" s="163"/>
      <c r="G266" s="163"/>
      <c r="H266" s="163"/>
      <c r="I266" s="163"/>
      <c r="J266" s="163"/>
    </row>
    <row r="267">
      <c r="A267" s="163"/>
      <c r="B267" s="163"/>
      <c r="C267" s="163"/>
      <c r="D267" s="163"/>
      <c r="E267" s="163"/>
      <c r="F267" s="163"/>
      <c r="G267" s="163"/>
      <c r="H267" s="163"/>
      <c r="I267" s="163"/>
      <c r="J267" s="163"/>
    </row>
    <row r="268">
      <c r="A268" s="163"/>
      <c r="B268" s="163"/>
      <c r="C268" s="163"/>
      <c r="D268" s="163"/>
      <c r="E268" s="163"/>
      <c r="F268" s="163"/>
      <c r="G268" s="163"/>
      <c r="H268" s="163"/>
      <c r="I268" s="163"/>
      <c r="J268" s="163"/>
    </row>
    <row r="269">
      <c r="A269" s="163"/>
      <c r="B269" s="163"/>
      <c r="C269" s="163"/>
      <c r="D269" s="163"/>
      <c r="E269" s="163"/>
      <c r="F269" s="163"/>
      <c r="G269" s="163"/>
      <c r="H269" s="163"/>
      <c r="I269" s="163"/>
      <c r="J269" s="163"/>
    </row>
    <row r="270">
      <c r="A270" s="163"/>
      <c r="B270" s="163"/>
      <c r="C270" s="163"/>
      <c r="D270" s="163"/>
      <c r="E270" s="163"/>
      <c r="F270" s="163"/>
      <c r="G270" s="163"/>
      <c r="H270" s="163"/>
      <c r="I270" s="163"/>
      <c r="J270" s="163"/>
    </row>
    <row r="271">
      <c r="A271" s="163"/>
      <c r="B271" s="163"/>
      <c r="C271" s="163"/>
      <c r="D271" s="163"/>
      <c r="E271" s="163"/>
      <c r="F271" s="163"/>
      <c r="G271" s="163"/>
      <c r="H271" s="163"/>
      <c r="I271" s="163"/>
      <c r="J271" s="163"/>
    </row>
    <row r="272">
      <c r="A272" s="163"/>
      <c r="B272" s="163"/>
      <c r="C272" s="163"/>
      <c r="D272" s="163"/>
      <c r="E272" s="163"/>
      <c r="F272" s="163"/>
      <c r="G272" s="163"/>
      <c r="H272" s="163"/>
      <c r="I272" s="163"/>
      <c r="J272" s="163"/>
    </row>
    <row r="273">
      <c r="A273" s="163"/>
      <c r="B273" s="163"/>
      <c r="C273" s="163"/>
      <c r="D273" s="163"/>
      <c r="E273" s="163"/>
      <c r="F273" s="163"/>
      <c r="G273" s="163"/>
      <c r="H273" s="163"/>
      <c r="I273" s="163"/>
      <c r="J273" s="163"/>
    </row>
    <row r="274">
      <c r="A274" s="163"/>
      <c r="B274" s="163"/>
      <c r="C274" s="163"/>
      <c r="D274" s="163"/>
      <c r="E274" s="163"/>
      <c r="F274" s="163"/>
      <c r="G274" s="163"/>
      <c r="H274" s="163"/>
      <c r="I274" s="163"/>
      <c r="J274" s="163"/>
    </row>
    <row r="275">
      <c r="A275" s="163"/>
      <c r="B275" s="163"/>
      <c r="C275" s="163"/>
      <c r="D275" s="163"/>
      <c r="E275" s="163"/>
      <c r="F275" s="163"/>
      <c r="G275" s="163"/>
      <c r="H275" s="163"/>
      <c r="I275" s="163"/>
      <c r="J275" s="163"/>
    </row>
    <row r="276">
      <c r="A276" s="163"/>
      <c r="B276" s="163"/>
      <c r="C276" s="163"/>
      <c r="D276" s="163"/>
      <c r="E276" s="163"/>
      <c r="F276" s="163"/>
      <c r="G276" s="163"/>
      <c r="H276" s="163"/>
      <c r="I276" s="163"/>
      <c r="J276" s="163"/>
    </row>
    <row r="277">
      <c r="A277" s="163"/>
      <c r="B277" s="163"/>
      <c r="C277" s="163"/>
      <c r="D277" s="163"/>
      <c r="E277" s="163"/>
      <c r="F277" s="163"/>
      <c r="G277" s="163"/>
      <c r="H277" s="163"/>
      <c r="I277" s="163"/>
      <c r="J277" s="163"/>
    </row>
    <row r="278">
      <c r="A278" s="163"/>
      <c r="B278" s="163"/>
      <c r="C278" s="163"/>
      <c r="D278" s="163"/>
      <c r="E278" s="163"/>
      <c r="F278" s="163"/>
      <c r="G278" s="163"/>
      <c r="H278" s="163"/>
      <c r="I278" s="163"/>
      <c r="J278" s="163"/>
    </row>
    <row r="279">
      <c r="A279" s="163"/>
      <c r="B279" s="163"/>
      <c r="C279" s="163"/>
      <c r="D279" s="163"/>
      <c r="E279" s="163"/>
      <c r="F279" s="163"/>
      <c r="G279" s="163"/>
      <c r="H279" s="163"/>
      <c r="I279" s="163"/>
      <c r="J279" s="163"/>
    </row>
    <row r="280">
      <c r="A280" s="163"/>
      <c r="B280" s="163"/>
      <c r="C280" s="163"/>
      <c r="D280" s="163"/>
      <c r="E280" s="163"/>
      <c r="F280" s="163"/>
      <c r="G280" s="163"/>
      <c r="H280" s="163"/>
      <c r="I280" s="163"/>
      <c r="J280" s="163"/>
    </row>
    <row r="281">
      <c r="A281" s="163"/>
      <c r="B281" s="163"/>
      <c r="C281" s="163"/>
      <c r="D281" s="163"/>
      <c r="E281" s="163"/>
      <c r="F281" s="163"/>
      <c r="G281" s="163"/>
      <c r="H281" s="163"/>
      <c r="I281" s="163"/>
      <c r="J281" s="163"/>
    </row>
    <row r="282">
      <c r="A282" s="163"/>
      <c r="B282" s="163"/>
      <c r="C282" s="163"/>
      <c r="D282" s="163"/>
      <c r="E282" s="163"/>
      <c r="F282" s="163"/>
      <c r="G282" s="163"/>
      <c r="H282" s="163"/>
      <c r="I282" s="163"/>
      <c r="J282" s="163"/>
    </row>
    <row r="283">
      <c r="A283" s="163"/>
      <c r="B283" s="163"/>
      <c r="C283" s="163"/>
      <c r="D283" s="163"/>
      <c r="E283" s="163"/>
      <c r="F283" s="163"/>
      <c r="G283" s="163"/>
      <c r="H283" s="163"/>
      <c r="I283" s="163"/>
      <c r="J283" s="163"/>
    </row>
    <row r="284">
      <c r="A284" s="163"/>
      <c r="B284" s="163"/>
      <c r="C284" s="163"/>
      <c r="D284" s="163"/>
      <c r="E284" s="163"/>
      <c r="F284" s="163"/>
      <c r="G284" s="163"/>
      <c r="H284" s="163"/>
      <c r="I284" s="163"/>
      <c r="J284" s="163"/>
    </row>
    <row r="285">
      <c r="A285" s="163"/>
      <c r="B285" s="163"/>
      <c r="C285" s="163"/>
      <c r="D285" s="163"/>
      <c r="E285" s="163"/>
      <c r="F285" s="163"/>
      <c r="G285" s="163"/>
      <c r="H285" s="163"/>
      <c r="I285" s="163"/>
      <c r="J285" s="163"/>
    </row>
    <row r="286">
      <c r="A286" s="163"/>
      <c r="B286" s="163"/>
      <c r="C286" s="163"/>
      <c r="D286" s="163"/>
      <c r="E286" s="163"/>
      <c r="F286" s="163"/>
      <c r="G286" s="163"/>
      <c r="H286" s="163"/>
      <c r="I286" s="163"/>
      <c r="J286" s="163"/>
    </row>
    <row r="287">
      <c r="A287" s="163"/>
      <c r="B287" s="163"/>
      <c r="C287" s="163"/>
      <c r="D287" s="163"/>
      <c r="E287" s="163"/>
      <c r="F287" s="163"/>
      <c r="G287" s="163"/>
      <c r="H287" s="163"/>
      <c r="I287" s="163"/>
      <c r="J287" s="163"/>
    </row>
    <row r="288">
      <c r="A288" s="163"/>
      <c r="B288" s="163"/>
      <c r="C288" s="163"/>
      <c r="D288" s="163"/>
      <c r="E288" s="163"/>
      <c r="F288" s="163"/>
      <c r="G288" s="163"/>
      <c r="H288" s="163"/>
      <c r="I288" s="163"/>
      <c r="J288" s="163"/>
    </row>
    <row r="289">
      <c r="A289" s="163"/>
      <c r="B289" s="163"/>
      <c r="C289" s="163"/>
      <c r="D289" s="163"/>
      <c r="E289" s="163"/>
      <c r="F289" s="163"/>
      <c r="G289" s="163"/>
      <c r="H289" s="163"/>
      <c r="I289" s="163"/>
      <c r="J289" s="163"/>
    </row>
    <row r="290">
      <c r="A290" s="163"/>
      <c r="B290" s="163"/>
      <c r="C290" s="163"/>
      <c r="D290" s="163"/>
      <c r="E290" s="163"/>
      <c r="F290" s="163"/>
      <c r="G290" s="163"/>
      <c r="H290" s="163"/>
      <c r="I290" s="163"/>
      <c r="J290" s="163"/>
    </row>
    <row r="291">
      <c r="A291" s="163"/>
      <c r="B291" s="163"/>
      <c r="C291" s="163"/>
      <c r="D291" s="163"/>
      <c r="E291" s="163"/>
      <c r="F291" s="163"/>
      <c r="G291" s="163"/>
      <c r="H291" s="163"/>
      <c r="I291" s="163"/>
      <c r="J291" s="163"/>
    </row>
    <row r="292">
      <c r="A292" s="163"/>
      <c r="B292" s="163"/>
      <c r="C292" s="163"/>
      <c r="D292" s="163"/>
      <c r="E292" s="163"/>
      <c r="F292" s="163"/>
      <c r="G292" s="163"/>
      <c r="H292" s="163"/>
      <c r="I292" s="163"/>
      <c r="J292" s="163"/>
    </row>
    <row r="293">
      <c r="A293" s="163"/>
      <c r="B293" s="163"/>
      <c r="C293" s="163"/>
      <c r="D293" s="163"/>
      <c r="E293" s="163"/>
      <c r="F293" s="163"/>
      <c r="G293" s="163"/>
      <c r="H293" s="163"/>
      <c r="I293" s="163"/>
      <c r="J293" s="163"/>
    </row>
    <row r="294">
      <c r="A294" s="163"/>
      <c r="B294" s="163"/>
      <c r="C294" s="163"/>
      <c r="D294" s="163"/>
      <c r="E294" s="163"/>
      <c r="F294" s="163"/>
      <c r="G294" s="163"/>
      <c r="H294" s="163"/>
      <c r="I294" s="163"/>
      <c r="J294" s="163"/>
    </row>
    <row r="295">
      <c r="A295" s="163"/>
      <c r="B295" s="163"/>
      <c r="C295" s="163"/>
      <c r="D295" s="163"/>
      <c r="E295" s="163"/>
      <c r="F295" s="163"/>
      <c r="G295" s="163"/>
      <c r="H295" s="163"/>
      <c r="I295" s="163"/>
      <c r="J295" s="163"/>
    </row>
    <row r="296">
      <c r="A296" s="163"/>
      <c r="B296" s="163"/>
      <c r="C296" s="163"/>
      <c r="D296" s="163"/>
      <c r="E296" s="163"/>
      <c r="F296" s="163"/>
      <c r="G296" s="163"/>
      <c r="H296" s="163"/>
      <c r="I296" s="163"/>
      <c r="J296" s="163"/>
    </row>
    <row r="297">
      <c r="A297" s="163"/>
      <c r="B297" s="163"/>
      <c r="C297" s="163"/>
      <c r="D297" s="163"/>
      <c r="E297" s="163"/>
      <c r="F297" s="163"/>
      <c r="G297" s="163"/>
      <c r="H297" s="163"/>
      <c r="I297" s="163"/>
      <c r="J297" s="163"/>
    </row>
    <row r="298">
      <c r="A298" s="163"/>
      <c r="B298" s="163"/>
      <c r="C298" s="163"/>
      <c r="D298" s="163"/>
      <c r="E298" s="163"/>
      <c r="F298" s="163"/>
      <c r="G298" s="163"/>
      <c r="H298" s="163"/>
      <c r="I298" s="163"/>
      <c r="J298" s="163"/>
    </row>
    <row r="299">
      <c r="A299" s="163"/>
      <c r="B299" s="163"/>
      <c r="C299" s="163"/>
      <c r="D299" s="163"/>
      <c r="E299" s="163"/>
      <c r="F299" s="163"/>
      <c r="G299" s="163"/>
      <c r="H299" s="163"/>
      <c r="I299" s="163"/>
      <c r="J299" s="163"/>
    </row>
    <row r="300">
      <c r="A300" s="163"/>
      <c r="B300" s="163"/>
      <c r="C300" s="163"/>
      <c r="D300" s="163"/>
      <c r="E300" s="163"/>
      <c r="F300" s="163"/>
      <c r="G300" s="163"/>
      <c r="H300" s="163"/>
      <c r="I300" s="163"/>
      <c r="J300" s="163"/>
    </row>
    <row r="301">
      <c r="A301" s="163"/>
      <c r="B301" s="163"/>
      <c r="C301" s="163"/>
      <c r="D301" s="163"/>
      <c r="E301" s="163"/>
      <c r="F301" s="163"/>
      <c r="G301" s="163"/>
      <c r="H301" s="163"/>
      <c r="I301" s="163"/>
      <c r="J301" s="163"/>
    </row>
    <row r="302">
      <c r="A302" s="163"/>
      <c r="B302" s="163"/>
      <c r="C302" s="163"/>
      <c r="D302" s="163"/>
      <c r="E302" s="163"/>
      <c r="F302" s="163"/>
      <c r="G302" s="163"/>
      <c r="H302" s="163"/>
      <c r="I302" s="163"/>
      <c r="J302" s="163"/>
    </row>
    <row r="303">
      <c r="A303" s="163"/>
      <c r="B303" s="163"/>
      <c r="C303" s="163"/>
      <c r="D303" s="163"/>
      <c r="E303" s="163"/>
      <c r="F303" s="163"/>
      <c r="G303" s="163"/>
      <c r="H303" s="163"/>
      <c r="I303" s="163"/>
      <c r="J303" s="163"/>
    </row>
    <row r="304">
      <c r="A304" s="163"/>
      <c r="B304" s="163"/>
      <c r="C304" s="163"/>
      <c r="D304" s="163"/>
      <c r="E304" s="163"/>
      <c r="F304" s="163"/>
      <c r="G304" s="163"/>
      <c r="H304" s="163"/>
      <c r="I304" s="163"/>
      <c r="J304" s="163"/>
    </row>
    <row r="305">
      <c r="A305" s="163"/>
      <c r="B305" s="163"/>
      <c r="C305" s="163"/>
      <c r="D305" s="163"/>
      <c r="E305" s="163"/>
      <c r="F305" s="163"/>
      <c r="G305" s="163"/>
      <c r="H305" s="163"/>
      <c r="I305" s="163"/>
      <c r="J305" s="163"/>
    </row>
    <row r="306">
      <c r="A306" s="163"/>
      <c r="B306" s="163"/>
      <c r="C306" s="163"/>
      <c r="D306" s="163"/>
      <c r="E306" s="163"/>
      <c r="F306" s="163"/>
      <c r="G306" s="163"/>
      <c r="H306" s="163"/>
      <c r="I306" s="163"/>
      <c r="J306" s="163"/>
    </row>
    <row r="307">
      <c r="A307" s="163"/>
      <c r="B307" s="163"/>
      <c r="C307" s="163"/>
      <c r="D307" s="163"/>
      <c r="E307" s="163"/>
      <c r="F307" s="163"/>
      <c r="G307" s="163"/>
      <c r="H307" s="163"/>
      <c r="I307" s="163"/>
      <c r="J307" s="163"/>
    </row>
    <row r="308">
      <c r="A308" s="163"/>
      <c r="B308" s="163"/>
      <c r="C308" s="163"/>
      <c r="D308" s="163"/>
      <c r="E308" s="163"/>
      <c r="F308" s="163"/>
      <c r="G308" s="163"/>
      <c r="H308" s="163"/>
      <c r="I308" s="163"/>
      <c r="J308" s="163"/>
    </row>
    <row r="309">
      <c r="A309" s="163"/>
      <c r="B309" s="163"/>
      <c r="C309" s="163"/>
      <c r="D309" s="163"/>
      <c r="E309" s="163"/>
      <c r="F309" s="163"/>
      <c r="G309" s="163"/>
      <c r="H309" s="163"/>
      <c r="I309" s="163"/>
      <c r="J309" s="163"/>
    </row>
    <row r="310">
      <c r="A310" s="163"/>
      <c r="B310" s="163"/>
      <c r="C310" s="163"/>
      <c r="D310" s="163"/>
      <c r="E310" s="163"/>
      <c r="F310" s="163"/>
      <c r="G310" s="163"/>
      <c r="H310" s="163"/>
      <c r="I310" s="163"/>
      <c r="J310" s="163"/>
    </row>
    <row r="311">
      <c r="A311" s="163"/>
      <c r="B311" s="163"/>
      <c r="C311" s="163"/>
      <c r="D311" s="163"/>
      <c r="E311" s="163"/>
      <c r="F311" s="163"/>
      <c r="G311" s="163"/>
      <c r="H311" s="163"/>
      <c r="I311" s="163"/>
      <c r="J311" s="163"/>
    </row>
    <row r="312">
      <c r="A312" s="163"/>
      <c r="B312" s="163"/>
      <c r="C312" s="163"/>
      <c r="D312" s="163"/>
      <c r="E312" s="163"/>
      <c r="F312" s="163"/>
      <c r="G312" s="163"/>
      <c r="H312" s="163"/>
      <c r="I312" s="163"/>
      <c r="J312" s="163"/>
    </row>
    <row r="313">
      <c r="A313" s="163"/>
      <c r="B313" s="163"/>
      <c r="C313" s="163"/>
      <c r="D313" s="163"/>
      <c r="E313" s="163"/>
      <c r="F313" s="163"/>
      <c r="G313" s="163"/>
      <c r="H313" s="163"/>
      <c r="I313" s="163"/>
      <c r="J313" s="163"/>
    </row>
    <row r="314">
      <c r="A314" s="163"/>
      <c r="B314" s="163"/>
      <c r="C314" s="163"/>
      <c r="D314" s="163"/>
      <c r="E314" s="163"/>
      <c r="F314" s="163"/>
      <c r="G314" s="163"/>
      <c r="H314" s="163"/>
      <c r="I314" s="163"/>
      <c r="J314" s="163"/>
    </row>
    <row r="315">
      <c r="A315" s="163"/>
      <c r="B315" s="163"/>
      <c r="C315" s="163"/>
      <c r="D315" s="163"/>
      <c r="E315" s="163"/>
      <c r="F315" s="163"/>
      <c r="G315" s="163"/>
      <c r="H315" s="163"/>
      <c r="I315" s="163"/>
      <c r="J315" s="163"/>
    </row>
    <row r="316">
      <c r="A316" s="163"/>
      <c r="B316" s="163"/>
      <c r="C316" s="163"/>
      <c r="D316" s="163"/>
      <c r="E316" s="163"/>
      <c r="F316" s="163"/>
      <c r="G316" s="163"/>
      <c r="H316" s="163"/>
      <c r="I316" s="163"/>
      <c r="J316" s="163"/>
    </row>
    <row r="317">
      <c r="A317" s="163"/>
      <c r="B317" s="163"/>
      <c r="C317" s="163"/>
      <c r="D317" s="163"/>
      <c r="E317" s="163"/>
      <c r="F317" s="163"/>
      <c r="G317" s="163"/>
      <c r="H317" s="163"/>
      <c r="I317" s="163"/>
      <c r="J317" s="163"/>
    </row>
    <row r="318">
      <c r="A318" s="163"/>
      <c r="B318" s="163"/>
      <c r="C318" s="163"/>
      <c r="D318" s="163"/>
      <c r="E318" s="163"/>
      <c r="F318" s="163"/>
      <c r="G318" s="163"/>
      <c r="H318" s="163"/>
      <c r="I318" s="163"/>
      <c r="J318" s="163"/>
    </row>
    <row r="319">
      <c r="A319" s="163"/>
      <c r="B319" s="163"/>
      <c r="C319" s="163"/>
      <c r="D319" s="163"/>
      <c r="E319" s="163"/>
      <c r="F319" s="163"/>
      <c r="G319" s="163"/>
      <c r="H319" s="163"/>
      <c r="I319" s="163"/>
      <c r="J319" s="163"/>
    </row>
    <row r="320">
      <c r="A320" s="163"/>
      <c r="B320" s="163"/>
      <c r="C320" s="163"/>
      <c r="D320" s="163"/>
      <c r="E320" s="163"/>
      <c r="F320" s="163"/>
      <c r="G320" s="163"/>
      <c r="H320" s="163"/>
      <c r="I320" s="163"/>
      <c r="J320" s="163"/>
    </row>
    <row r="321">
      <c r="A321" s="163"/>
      <c r="B321" s="163"/>
      <c r="C321" s="163"/>
      <c r="D321" s="163"/>
      <c r="E321" s="163"/>
      <c r="F321" s="163"/>
      <c r="G321" s="163"/>
      <c r="H321" s="163"/>
      <c r="I321" s="163"/>
      <c r="J321" s="163"/>
    </row>
    <row r="322">
      <c r="A322" s="163"/>
      <c r="B322" s="163"/>
      <c r="C322" s="163"/>
      <c r="D322" s="163"/>
      <c r="E322" s="163"/>
      <c r="F322" s="163"/>
      <c r="G322" s="163"/>
      <c r="H322" s="163"/>
      <c r="I322" s="163"/>
      <c r="J322" s="163"/>
    </row>
    <row r="323">
      <c r="A323" s="163"/>
      <c r="B323" s="163"/>
      <c r="C323" s="163"/>
      <c r="D323" s="163"/>
      <c r="E323" s="163"/>
      <c r="F323" s="163"/>
      <c r="G323" s="163"/>
      <c r="H323" s="163"/>
      <c r="I323" s="163"/>
      <c r="J323" s="163"/>
    </row>
    <row r="324">
      <c r="A324" s="163"/>
      <c r="B324" s="163"/>
      <c r="C324" s="163"/>
      <c r="D324" s="163"/>
      <c r="E324" s="163"/>
      <c r="F324" s="163"/>
      <c r="G324" s="163"/>
      <c r="H324" s="163"/>
      <c r="I324" s="163"/>
      <c r="J324" s="163"/>
    </row>
    <row r="325">
      <c r="A325" s="163"/>
      <c r="B325" s="163"/>
      <c r="C325" s="163"/>
      <c r="D325" s="163"/>
      <c r="E325" s="163"/>
      <c r="F325" s="163"/>
      <c r="G325" s="163"/>
      <c r="H325" s="163"/>
      <c r="I325" s="163"/>
      <c r="J325" s="163"/>
    </row>
    <row r="326">
      <c r="A326" s="163"/>
      <c r="B326" s="163"/>
      <c r="C326" s="163"/>
      <c r="D326" s="163"/>
      <c r="E326" s="163"/>
      <c r="F326" s="163"/>
      <c r="G326" s="163"/>
      <c r="H326" s="163"/>
      <c r="I326" s="163"/>
      <c r="J326" s="163"/>
    </row>
    <row r="327">
      <c r="A327" s="163"/>
      <c r="B327" s="163"/>
      <c r="C327" s="163"/>
      <c r="D327" s="163"/>
      <c r="E327" s="163"/>
      <c r="F327" s="163"/>
      <c r="G327" s="163"/>
      <c r="H327" s="163"/>
      <c r="I327" s="163"/>
      <c r="J327" s="163"/>
    </row>
    <row r="328">
      <c r="A328" s="163"/>
      <c r="B328" s="163"/>
      <c r="C328" s="163"/>
      <c r="D328" s="163"/>
      <c r="E328" s="163"/>
      <c r="F328" s="163"/>
      <c r="G328" s="163"/>
      <c r="H328" s="163"/>
      <c r="I328" s="163"/>
      <c r="J328" s="163"/>
    </row>
    <row r="329">
      <c r="A329" s="163"/>
      <c r="B329" s="163"/>
      <c r="C329" s="163"/>
      <c r="D329" s="163"/>
      <c r="E329" s="163"/>
      <c r="F329" s="163"/>
      <c r="G329" s="163"/>
      <c r="H329" s="163"/>
      <c r="I329" s="163"/>
      <c r="J329" s="163"/>
    </row>
    <row r="330">
      <c r="A330" s="163"/>
      <c r="B330" s="163"/>
      <c r="C330" s="163"/>
      <c r="D330" s="163"/>
      <c r="E330" s="163"/>
      <c r="F330" s="163"/>
      <c r="G330" s="163"/>
      <c r="H330" s="163"/>
      <c r="I330" s="163"/>
      <c r="J330" s="163"/>
    </row>
    <row r="331">
      <c r="A331" s="163"/>
      <c r="B331" s="163"/>
      <c r="C331" s="163"/>
      <c r="D331" s="163"/>
      <c r="E331" s="163"/>
      <c r="F331" s="163"/>
      <c r="G331" s="163"/>
      <c r="H331" s="163"/>
      <c r="I331" s="163"/>
      <c r="J331" s="163"/>
    </row>
    <row r="332">
      <c r="A332" s="163"/>
      <c r="B332" s="163"/>
      <c r="C332" s="163"/>
      <c r="D332" s="163"/>
      <c r="E332" s="163"/>
      <c r="F332" s="163"/>
      <c r="G332" s="163"/>
      <c r="H332" s="163"/>
      <c r="I332" s="163"/>
      <c r="J332" s="163"/>
    </row>
    <row r="333">
      <c r="A333" s="163"/>
      <c r="B333" s="163"/>
      <c r="C333" s="163"/>
      <c r="D333" s="163"/>
      <c r="E333" s="163"/>
      <c r="F333" s="163"/>
      <c r="G333" s="163"/>
      <c r="H333" s="163"/>
      <c r="I333" s="163"/>
      <c r="J333" s="163"/>
    </row>
    <row r="334">
      <c r="A334" s="163"/>
      <c r="B334" s="163"/>
      <c r="C334" s="163"/>
      <c r="D334" s="163"/>
      <c r="E334" s="163"/>
      <c r="F334" s="163"/>
      <c r="G334" s="163"/>
      <c r="H334" s="163"/>
      <c r="I334" s="163"/>
      <c r="J334" s="163"/>
    </row>
    <row r="335">
      <c r="A335" s="163"/>
      <c r="B335" s="163"/>
      <c r="C335" s="163"/>
      <c r="D335" s="163"/>
      <c r="E335" s="163"/>
      <c r="F335" s="163"/>
      <c r="G335" s="163"/>
      <c r="H335" s="163"/>
      <c r="I335" s="163"/>
      <c r="J335" s="163"/>
    </row>
    <row r="336">
      <c r="A336" s="163"/>
      <c r="B336" s="163"/>
      <c r="C336" s="163"/>
      <c r="D336" s="163"/>
      <c r="E336" s="163"/>
      <c r="F336" s="163"/>
      <c r="G336" s="163"/>
      <c r="H336" s="163"/>
      <c r="I336" s="163"/>
      <c r="J336" s="163"/>
    </row>
    <row r="337">
      <c r="A337" s="163"/>
      <c r="B337" s="163"/>
      <c r="C337" s="163"/>
      <c r="D337" s="163"/>
      <c r="E337" s="163"/>
      <c r="F337" s="163"/>
      <c r="G337" s="163"/>
      <c r="H337" s="163"/>
      <c r="I337" s="163"/>
      <c r="J337" s="163"/>
    </row>
    <row r="338">
      <c r="A338" s="163"/>
      <c r="B338" s="163"/>
      <c r="C338" s="163"/>
      <c r="D338" s="163"/>
      <c r="E338" s="163"/>
      <c r="F338" s="163"/>
      <c r="G338" s="163"/>
      <c r="H338" s="163"/>
      <c r="I338" s="163"/>
      <c r="J338" s="163"/>
    </row>
    <row r="339">
      <c r="A339" s="163"/>
      <c r="B339" s="163"/>
      <c r="C339" s="163"/>
      <c r="D339" s="163"/>
      <c r="E339" s="163"/>
      <c r="F339" s="163"/>
      <c r="G339" s="163"/>
      <c r="H339" s="163"/>
      <c r="I339" s="163"/>
      <c r="J339" s="163"/>
    </row>
    <row r="340">
      <c r="A340" s="163"/>
      <c r="B340" s="163"/>
      <c r="C340" s="163"/>
      <c r="D340" s="163"/>
      <c r="E340" s="163"/>
      <c r="F340" s="163"/>
      <c r="G340" s="163"/>
      <c r="H340" s="163"/>
      <c r="I340" s="163"/>
      <c r="J340" s="163"/>
    </row>
    <row r="341">
      <c r="A341" s="163"/>
      <c r="B341" s="163"/>
      <c r="C341" s="163"/>
      <c r="D341" s="163"/>
      <c r="E341" s="163"/>
      <c r="F341" s="163"/>
      <c r="G341" s="163"/>
      <c r="H341" s="163"/>
      <c r="I341" s="163"/>
      <c r="J341" s="163"/>
    </row>
    <row r="342">
      <c r="A342" s="163"/>
      <c r="B342" s="163"/>
      <c r="C342" s="163"/>
      <c r="D342" s="163"/>
      <c r="E342" s="163"/>
      <c r="F342" s="163"/>
      <c r="G342" s="163"/>
      <c r="H342" s="163"/>
      <c r="I342" s="163"/>
      <c r="J342" s="163"/>
    </row>
    <row r="343">
      <c r="A343" s="163"/>
      <c r="B343" s="163"/>
      <c r="C343" s="163"/>
      <c r="D343" s="163"/>
      <c r="E343" s="163"/>
      <c r="F343" s="163"/>
      <c r="G343" s="163"/>
      <c r="H343" s="163"/>
      <c r="I343" s="163"/>
      <c r="J343" s="163"/>
    </row>
    <row r="344">
      <c r="A344" s="163"/>
      <c r="B344" s="163"/>
      <c r="C344" s="163"/>
      <c r="D344" s="163"/>
      <c r="E344" s="163"/>
      <c r="F344" s="163"/>
      <c r="G344" s="163"/>
      <c r="H344" s="163"/>
      <c r="I344" s="163"/>
      <c r="J344" s="163"/>
    </row>
    <row r="345">
      <c r="A345" s="163"/>
      <c r="B345" s="163"/>
      <c r="C345" s="163"/>
      <c r="D345" s="163"/>
      <c r="E345" s="163"/>
      <c r="F345" s="163"/>
      <c r="G345" s="163"/>
      <c r="H345" s="163"/>
      <c r="I345" s="163"/>
      <c r="J345" s="163"/>
    </row>
    <row r="346">
      <c r="A346" s="163"/>
      <c r="B346" s="163"/>
      <c r="C346" s="163"/>
      <c r="D346" s="163"/>
      <c r="E346" s="163"/>
      <c r="F346" s="163"/>
      <c r="G346" s="163"/>
      <c r="H346" s="163"/>
      <c r="I346" s="163"/>
      <c r="J346" s="163"/>
    </row>
    <row r="347">
      <c r="A347" s="163"/>
      <c r="B347" s="163"/>
      <c r="C347" s="163"/>
      <c r="D347" s="163"/>
      <c r="E347" s="163"/>
      <c r="F347" s="163"/>
      <c r="G347" s="163"/>
      <c r="H347" s="163"/>
      <c r="I347" s="163"/>
      <c r="J347" s="163"/>
    </row>
    <row r="348">
      <c r="A348" s="163"/>
      <c r="B348" s="163"/>
      <c r="C348" s="163"/>
      <c r="D348" s="163"/>
      <c r="E348" s="163"/>
      <c r="F348" s="163"/>
      <c r="G348" s="163"/>
      <c r="H348" s="163"/>
      <c r="I348" s="163"/>
      <c r="J348" s="163"/>
    </row>
    <row r="349">
      <c r="A349" s="163"/>
      <c r="B349" s="163"/>
      <c r="C349" s="163"/>
      <c r="D349" s="163"/>
      <c r="E349" s="163"/>
      <c r="F349" s="163"/>
      <c r="G349" s="163"/>
      <c r="H349" s="163"/>
      <c r="I349" s="163"/>
      <c r="J349" s="163"/>
    </row>
    <row r="350">
      <c r="A350" s="163"/>
      <c r="B350" s="163"/>
      <c r="C350" s="163"/>
      <c r="D350" s="163"/>
      <c r="E350" s="163"/>
      <c r="F350" s="163"/>
      <c r="G350" s="163"/>
      <c r="H350" s="163"/>
      <c r="I350" s="163"/>
      <c r="J350" s="163"/>
    </row>
    <row r="351">
      <c r="A351" s="163"/>
      <c r="B351" s="163"/>
      <c r="C351" s="163"/>
      <c r="D351" s="163"/>
      <c r="E351" s="163"/>
      <c r="F351" s="163"/>
      <c r="G351" s="163"/>
      <c r="H351" s="163"/>
      <c r="I351" s="163"/>
      <c r="J351" s="163"/>
    </row>
    <row r="352">
      <c r="A352" s="163"/>
      <c r="B352" s="163"/>
      <c r="C352" s="163"/>
      <c r="D352" s="163"/>
      <c r="E352" s="163"/>
      <c r="F352" s="163"/>
      <c r="G352" s="163"/>
      <c r="H352" s="163"/>
      <c r="I352" s="163"/>
      <c r="J352" s="163"/>
    </row>
    <row r="353">
      <c r="A353" s="163"/>
      <c r="B353" s="163"/>
      <c r="C353" s="163"/>
      <c r="D353" s="163"/>
      <c r="E353" s="163"/>
      <c r="F353" s="163"/>
      <c r="G353" s="163"/>
      <c r="H353" s="163"/>
      <c r="I353" s="163"/>
      <c r="J353" s="163"/>
    </row>
    <row r="354">
      <c r="A354" s="163"/>
      <c r="B354" s="163"/>
      <c r="C354" s="163"/>
      <c r="D354" s="163"/>
      <c r="E354" s="163"/>
      <c r="F354" s="163"/>
      <c r="G354" s="163"/>
      <c r="H354" s="163"/>
      <c r="I354" s="163"/>
      <c r="J354" s="163"/>
    </row>
    <row r="355">
      <c r="A355" s="163"/>
      <c r="B355" s="163"/>
      <c r="C355" s="163"/>
      <c r="D355" s="163"/>
      <c r="E355" s="163"/>
      <c r="F355" s="163"/>
      <c r="G355" s="163"/>
      <c r="H355" s="163"/>
      <c r="I355" s="163"/>
      <c r="J355" s="163"/>
    </row>
    <row r="356">
      <c r="A356" s="163"/>
      <c r="B356" s="163"/>
      <c r="C356" s="163"/>
      <c r="D356" s="163"/>
      <c r="E356" s="163"/>
      <c r="F356" s="163"/>
      <c r="G356" s="163"/>
      <c r="H356" s="163"/>
      <c r="I356" s="163"/>
      <c r="J356" s="163"/>
    </row>
    <row r="357">
      <c r="A357" s="163"/>
      <c r="B357" s="163"/>
      <c r="C357" s="163"/>
      <c r="D357" s="163"/>
      <c r="E357" s="163"/>
      <c r="F357" s="163"/>
      <c r="G357" s="163"/>
      <c r="H357" s="163"/>
      <c r="I357" s="163"/>
      <c r="J357" s="163"/>
    </row>
    <row r="358">
      <c r="A358" s="163"/>
      <c r="B358" s="163"/>
      <c r="C358" s="163"/>
      <c r="D358" s="163"/>
      <c r="E358" s="163"/>
      <c r="F358" s="163"/>
      <c r="G358" s="163"/>
      <c r="H358" s="163"/>
      <c r="I358" s="163"/>
      <c r="J358" s="163"/>
    </row>
    <row r="359">
      <c r="A359" s="163"/>
      <c r="B359" s="163"/>
      <c r="C359" s="163"/>
      <c r="D359" s="163"/>
      <c r="E359" s="163"/>
      <c r="F359" s="163"/>
      <c r="G359" s="163"/>
      <c r="H359" s="163"/>
      <c r="I359" s="163"/>
      <c r="J359" s="163"/>
    </row>
    <row r="360">
      <c r="A360" s="163"/>
      <c r="B360" s="163"/>
      <c r="C360" s="163"/>
      <c r="D360" s="163"/>
      <c r="E360" s="163"/>
      <c r="F360" s="163"/>
      <c r="G360" s="163"/>
      <c r="H360" s="163"/>
      <c r="I360" s="163"/>
      <c r="J360" s="163"/>
    </row>
    <row r="361">
      <c r="A361" s="163"/>
      <c r="B361" s="163"/>
      <c r="C361" s="163"/>
      <c r="D361" s="163"/>
      <c r="E361" s="163"/>
      <c r="F361" s="163"/>
      <c r="G361" s="163"/>
      <c r="H361" s="163"/>
      <c r="I361" s="163"/>
      <c r="J361" s="163"/>
    </row>
    <row r="362">
      <c r="A362" s="163"/>
      <c r="B362" s="163"/>
      <c r="C362" s="163"/>
      <c r="D362" s="163"/>
      <c r="E362" s="163"/>
      <c r="F362" s="163"/>
      <c r="G362" s="163"/>
      <c r="H362" s="163"/>
      <c r="I362" s="163"/>
      <c r="J362" s="163"/>
    </row>
    <row r="363">
      <c r="A363" s="163"/>
      <c r="B363" s="163"/>
      <c r="C363" s="163"/>
      <c r="D363" s="163"/>
      <c r="E363" s="163"/>
      <c r="F363" s="163"/>
      <c r="G363" s="163"/>
      <c r="H363" s="163"/>
      <c r="I363" s="163"/>
      <c r="J363" s="163"/>
    </row>
    <row r="364">
      <c r="A364" s="163"/>
      <c r="B364" s="163"/>
      <c r="C364" s="163"/>
      <c r="D364" s="163"/>
      <c r="E364" s="163"/>
      <c r="F364" s="163"/>
      <c r="G364" s="163"/>
      <c r="H364" s="163"/>
      <c r="I364" s="163"/>
      <c r="J364" s="163"/>
    </row>
    <row r="365">
      <c r="A365" s="163"/>
      <c r="B365" s="163"/>
      <c r="C365" s="163"/>
      <c r="D365" s="163"/>
      <c r="E365" s="163"/>
      <c r="F365" s="163"/>
      <c r="G365" s="163"/>
      <c r="H365" s="163"/>
      <c r="I365" s="163"/>
      <c r="J365" s="163"/>
    </row>
    <row r="366">
      <c r="A366" s="163"/>
      <c r="B366" s="163"/>
      <c r="C366" s="163"/>
      <c r="D366" s="163"/>
      <c r="E366" s="163"/>
      <c r="F366" s="163"/>
      <c r="G366" s="163"/>
      <c r="H366" s="163"/>
      <c r="I366" s="163"/>
      <c r="J366" s="163"/>
    </row>
    <row r="367">
      <c r="A367" s="163"/>
      <c r="B367" s="163"/>
      <c r="C367" s="163"/>
      <c r="D367" s="163"/>
      <c r="E367" s="163"/>
      <c r="F367" s="163"/>
      <c r="G367" s="163"/>
      <c r="H367" s="163"/>
      <c r="I367" s="163"/>
      <c r="J367" s="163"/>
    </row>
    <row r="368">
      <c r="A368" s="163"/>
      <c r="B368" s="163"/>
      <c r="C368" s="163"/>
      <c r="D368" s="163"/>
      <c r="E368" s="163"/>
      <c r="F368" s="163"/>
      <c r="G368" s="163"/>
      <c r="H368" s="163"/>
      <c r="I368" s="163"/>
      <c r="J368" s="163"/>
    </row>
    <row r="369">
      <c r="A369" s="163"/>
      <c r="B369" s="163"/>
      <c r="C369" s="163"/>
      <c r="D369" s="163"/>
      <c r="E369" s="163"/>
      <c r="F369" s="163"/>
      <c r="G369" s="163"/>
      <c r="H369" s="163"/>
      <c r="I369" s="163"/>
      <c r="J369" s="163"/>
    </row>
    <row r="370">
      <c r="A370" s="163"/>
      <c r="B370" s="163"/>
      <c r="C370" s="163"/>
      <c r="D370" s="163"/>
      <c r="E370" s="163"/>
      <c r="F370" s="163"/>
      <c r="G370" s="163"/>
      <c r="H370" s="163"/>
      <c r="I370" s="163"/>
      <c r="J370" s="163"/>
    </row>
    <row r="371">
      <c r="A371" s="163"/>
      <c r="B371" s="163"/>
      <c r="C371" s="163"/>
      <c r="D371" s="163"/>
      <c r="E371" s="163"/>
      <c r="F371" s="163"/>
      <c r="G371" s="163"/>
      <c r="H371" s="163"/>
      <c r="I371" s="163"/>
      <c r="J371" s="163"/>
    </row>
    <row r="372">
      <c r="A372" s="163"/>
      <c r="B372" s="163"/>
      <c r="C372" s="163"/>
      <c r="D372" s="163"/>
      <c r="E372" s="163"/>
      <c r="F372" s="163"/>
      <c r="G372" s="163"/>
      <c r="H372" s="163"/>
      <c r="I372" s="163"/>
      <c r="J372" s="163"/>
    </row>
    <row r="373">
      <c r="A373" s="163"/>
      <c r="B373" s="163"/>
      <c r="C373" s="163"/>
      <c r="D373" s="163"/>
      <c r="E373" s="163"/>
      <c r="F373" s="163"/>
      <c r="G373" s="163"/>
      <c r="H373" s="163"/>
      <c r="I373" s="163"/>
      <c r="J373" s="163"/>
    </row>
    <row r="374">
      <c r="A374" s="163"/>
      <c r="B374" s="163"/>
      <c r="C374" s="163"/>
      <c r="D374" s="163"/>
      <c r="E374" s="163"/>
      <c r="F374" s="163"/>
      <c r="G374" s="163"/>
      <c r="H374" s="163"/>
      <c r="I374" s="163"/>
      <c r="J374" s="163"/>
    </row>
    <row r="375">
      <c r="A375" s="163"/>
      <c r="B375" s="163"/>
      <c r="C375" s="163"/>
      <c r="D375" s="163"/>
      <c r="E375" s="163"/>
      <c r="F375" s="163"/>
      <c r="G375" s="163"/>
      <c r="H375" s="163"/>
      <c r="I375" s="163"/>
      <c r="J375" s="163"/>
    </row>
    <row r="376">
      <c r="A376" s="163"/>
      <c r="B376" s="163"/>
      <c r="C376" s="163"/>
      <c r="D376" s="163"/>
      <c r="E376" s="163"/>
      <c r="F376" s="163"/>
      <c r="G376" s="163"/>
      <c r="H376" s="163"/>
      <c r="I376" s="163"/>
      <c r="J376" s="163"/>
    </row>
    <row r="377">
      <c r="A377" s="163"/>
      <c r="B377" s="163"/>
      <c r="C377" s="163"/>
      <c r="D377" s="163"/>
      <c r="E377" s="163"/>
      <c r="F377" s="163"/>
      <c r="G377" s="163"/>
      <c r="H377" s="163"/>
      <c r="I377" s="163"/>
      <c r="J377" s="163"/>
    </row>
    <row r="378">
      <c r="A378" s="163"/>
      <c r="B378" s="163"/>
      <c r="C378" s="163"/>
      <c r="D378" s="163"/>
      <c r="E378" s="163"/>
      <c r="F378" s="163"/>
      <c r="G378" s="163"/>
      <c r="H378" s="163"/>
      <c r="I378" s="163"/>
      <c r="J378" s="163"/>
    </row>
    <row r="379">
      <c r="A379" s="163"/>
      <c r="B379" s="163"/>
      <c r="C379" s="163"/>
      <c r="D379" s="163"/>
      <c r="E379" s="163"/>
      <c r="F379" s="163"/>
      <c r="G379" s="163"/>
      <c r="H379" s="163"/>
      <c r="I379" s="163"/>
      <c r="J379" s="163"/>
    </row>
    <row r="380">
      <c r="A380" s="163"/>
      <c r="B380" s="163"/>
      <c r="C380" s="163"/>
      <c r="D380" s="163"/>
      <c r="E380" s="163"/>
      <c r="F380" s="163"/>
      <c r="G380" s="163"/>
      <c r="H380" s="163"/>
      <c r="I380" s="163"/>
      <c r="J380" s="163"/>
    </row>
    <row r="381">
      <c r="A381" s="163"/>
      <c r="B381" s="163"/>
      <c r="C381" s="163"/>
      <c r="D381" s="163"/>
      <c r="E381" s="163"/>
      <c r="F381" s="163"/>
      <c r="G381" s="163"/>
      <c r="H381" s="163"/>
      <c r="I381" s="163"/>
      <c r="J381" s="163"/>
    </row>
    <row r="382">
      <c r="A382" s="163"/>
      <c r="B382" s="163"/>
      <c r="C382" s="163"/>
      <c r="D382" s="163"/>
      <c r="E382" s="163"/>
      <c r="F382" s="163"/>
      <c r="G382" s="163"/>
      <c r="H382" s="163"/>
      <c r="I382" s="163"/>
      <c r="J382" s="163"/>
    </row>
    <row r="383">
      <c r="A383" s="163"/>
      <c r="B383" s="163"/>
      <c r="C383" s="163"/>
      <c r="D383" s="163"/>
      <c r="E383" s="163"/>
      <c r="F383" s="163"/>
      <c r="G383" s="163"/>
      <c r="H383" s="163"/>
      <c r="I383" s="163"/>
      <c r="J383" s="163"/>
    </row>
    <row r="384">
      <c r="A384" s="163"/>
      <c r="B384" s="163"/>
      <c r="C384" s="163"/>
      <c r="D384" s="163"/>
      <c r="E384" s="163"/>
      <c r="F384" s="163"/>
      <c r="G384" s="163"/>
      <c r="H384" s="163"/>
      <c r="I384" s="163"/>
      <c r="J384" s="163"/>
    </row>
    <row r="385">
      <c r="A385" s="163"/>
      <c r="B385" s="163"/>
      <c r="C385" s="163"/>
      <c r="D385" s="163"/>
      <c r="E385" s="163"/>
      <c r="F385" s="163"/>
      <c r="G385" s="163"/>
      <c r="H385" s="163"/>
      <c r="I385" s="163"/>
      <c r="J385" s="163"/>
    </row>
    <row r="386">
      <c r="A386" s="163"/>
      <c r="B386" s="163"/>
      <c r="C386" s="163"/>
      <c r="D386" s="163"/>
      <c r="E386" s="163"/>
      <c r="F386" s="163"/>
      <c r="G386" s="163"/>
      <c r="H386" s="163"/>
      <c r="I386" s="163"/>
      <c r="J386" s="163"/>
    </row>
    <row r="387">
      <c r="A387" s="163"/>
      <c r="B387" s="163"/>
      <c r="C387" s="163"/>
      <c r="D387" s="163"/>
      <c r="E387" s="163"/>
      <c r="F387" s="163"/>
      <c r="G387" s="163"/>
      <c r="H387" s="163"/>
      <c r="I387" s="163"/>
      <c r="J387" s="163"/>
    </row>
    <row r="388">
      <c r="A388" s="163"/>
      <c r="B388" s="163"/>
      <c r="C388" s="163"/>
      <c r="D388" s="163"/>
      <c r="E388" s="163"/>
      <c r="F388" s="163"/>
      <c r="G388" s="163"/>
      <c r="H388" s="163"/>
      <c r="I388" s="163"/>
      <c r="J388" s="163"/>
    </row>
    <row r="389">
      <c r="A389" s="163"/>
      <c r="B389" s="163"/>
      <c r="C389" s="163"/>
      <c r="D389" s="163"/>
      <c r="E389" s="163"/>
      <c r="F389" s="163"/>
      <c r="G389" s="163"/>
      <c r="H389" s="163"/>
      <c r="I389" s="163"/>
      <c r="J389" s="163"/>
    </row>
    <row r="390">
      <c r="A390" s="163"/>
      <c r="B390" s="163"/>
      <c r="C390" s="163"/>
      <c r="D390" s="163"/>
      <c r="E390" s="163"/>
      <c r="F390" s="163"/>
      <c r="G390" s="163"/>
      <c r="H390" s="163"/>
      <c r="I390" s="163"/>
      <c r="J390" s="163"/>
    </row>
    <row r="391">
      <c r="A391" s="163"/>
      <c r="B391" s="163"/>
      <c r="C391" s="163"/>
      <c r="D391" s="163"/>
      <c r="E391" s="163"/>
      <c r="F391" s="163"/>
      <c r="G391" s="163"/>
      <c r="H391" s="163"/>
      <c r="I391" s="163"/>
      <c r="J391" s="163"/>
    </row>
    <row r="392">
      <c r="A392" s="163"/>
      <c r="B392" s="163"/>
      <c r="C392" s="163"/>
      <c r="D392" s="163"/>
      <c r="E392" s="163"/>
      <c r="F392" s="163"/>
      <c r="G392" s="163"/>
      <c r="H392" s="163"/>
      <c r="I392" s="163"/>
      <c r="J392" s="163"/>
    </row>
    <row r="393">
      <c r="A393" s="163"/>
      <c r="B393" s="163"/>
      <c r="C393" s="163"/>
      <c r="D393" s="163"/>
      <c r="E393" s="163"/>
      <c r="F393" s="163"/>
      <c r="G393" s="163"/>
      <c r="H393" s="163"/>
      <c r="I393" s="163"/>
      <c r="J393" s="163"/>
    </row>
    <row r="394">
      <c r="A394" s="163"/>
      <c r="B394" s="163"/>
      <c r="C394" s="163"/>
      <c r="D394" s="163"/>
      <c r="E394" s="163"/>
      <c r="F394" s="163"/>
      <c r="G394" s="163"/>
      <c r="H394" s="163"/>
      <c r="I394" s="163"/>
      <c r="J394" s="163"/>
    </row>
    <row r="395">
      <c r="A395" s="163"/>
      <c r="B395" s="163"/>
      <c r="C395" s="163"/>
      <c r="D395" s="163"/>
      <c r="E395" s="163"/>
      <c r="F395" s="163"/>
      <c r="G395" s="163"/>
      <c r="H395" s="163"/>
      <c r="I395" s="163"/>
      <c r="J395" s="163"/>
    </row>
    <row r="396">
      <c r="A396" s="163"/>
      <c r="B396" s="163"/>
      <c r="C396" s="163"/>
      <c r="D396" s="163"/>
      <c r="E396" s="163"/>
      <c r="F396" s="163"/>
      <c r="G396" s="163"/>
      <c r="H396" s="163"/>
      <c r="I396" s="163"/>
      <c r="J396" s="163"/>
    </row>
    <row r="397">
      <c r="A397" s="163"/>
      <c r="B397" s="163"/>
      <c r="C397" s="163"/>
      <c r="D397" s="163"/>
      <c r="E397" s="163"/>
      <c r="F397" s="163"/>
      <c r="G397" s="163"/>
      <c r="H397" s="163"/>
      <c r="I397" s="163"/>
      <c r="J397" s="163"/>
    </row>
    <row r="398">
      <c r="A398" s="163"/>
      <c r="B398" s="163"/>
      <c r="C398" s="163"/>
      <c r="D398" s="163"/>
      <c r="E398" s="163"/>
      <c r="F398" s="163"/>
      <c r="G398" s="163"/>
      <c r="H398" s="163"/>
      <c r="I398" s="163"/>
      <c r="J398" s="163"/>
    </row>
    <row r="399">
      <c r="A399" s="163"/>
      <c r="B399" s="163"/>
      <c r="C399" s="163"/>
      <c r="D399" s="163"/>
      <c r="E399" s="163"/>
      <c r="F399" s="163"/>
      <c r="G399" s="163"/>
      <c r="H399" s="163"/>
      <c r="I399" s="163"/>
      <c r="J399" s="163"/>
    </row>
    <row r="400">
      <c r="A400" s="163"/>
      <c r="B400" s="163"/>
      <c r="C400" s="163"/>
      <c r="D400" s="163"/>
      <c r="E400" s="163"/>
      <c r="F400" s="163"/>
      <c r="G400" s="163"/>
      <c r="H400" s="163"/>
      <c r="I400" s="163"/>
      <c r="J400" s="163"/>
    </row>
    <row r="401">
      <c r="A401" s="163"/>
      <c r="B401" s="163"/>
      <c r="C401" s="163"/>
      <c r="D401" s="163"/>
      <c r="E401" s="163"/>
      <c r="F401" s="163"/>
      <c r="G401" s="163"/>
      <c r="H401" s="163"/>
      <c r="I401" s="163"/>
      <c r="J401" s="163"/>
    </row>
    <row r="402">
      <c r="A402" s="163"/>
      <c r="B402" s="163"/>
      <c r="C402" s="163"/>
      <c r="D402" s="163"/>
      <c r="E402" s="163"/>
      <c r="F402" s="163"/>
      <c r="G402" s="163"/>
      <c r="H402" s="163"/>
      <c r="I402" s="163"/>
      <c r="J402" s="163"/>
    </row>
    <row r="403">
      <c r="A403" s="163"/>
      <c r="B403" s="163"/>
      <c r="C403" s="163"/>
      <c r="D403" s="163"/>
      <c r="E403" s="163"/>
      <c r="F403" s="163"/>
      <c r="G403" s="163"/>
      <c r="H403" s="163"/>
      <c r="I403" s="163"/>
      <c r="J403" s="163"/>
    </row>
    <row r="404">
      <c r="A404" s="163"/>
      <c r="B404" s="163"/>
      <c r="C404" s="163"/>
      <c r="D404" s="163"/>
      <c r="E404" s="163"/>
      <c r="F404" s="163"/>
      <c r="G404" s="163"/>
      <c r="H404" s="163"/>
      <c r="I404" s="163"/>
      <c r="J404" s="163"/>
    </row>
    <row r="405">
      <c r="A405" s="163"/>
      <c r="B405" s="163"/>
      <c r="C405" s="163"/>
      <c r="D405" s="163"/>
      <c r="E405" s="163"/>
      <c r="F405" s="163"/>
      <c r="G405" s="163"/>
      <c r="H405" s="163"/>
      <c r="I405" s="163"/>
      <c r="J405" s="163"/>
    </row>
    <row r="406">
      <c r="A406" s="163"/>
      <c r="B406" s="163"/>
      <c r="C406" s="163"/>
      <c r="D406" s="163"/>
      <c r="E406" s="163"/>
      <c r="F406" s="163"/>
      <c r="G406" s="163"/>
      <c r="H406" s="163"/>
      <c r="I406" s="163"/>
      <c r="J406" s="163"/>
    </row>
    <row r="407">
      <c r="A407" s="163"/>
      <c r="B407" s="163"/>
      <c r="C407" s="163"/>
      <c r="D407" s="163"/>
      <c r="E407" s="163"/>
      <c r="F407" s="163"/>
      <c r="G407" s="163"/>
      <c r="H407" s="163"/>
      <c r="I407" s="163"/>
      <c r="J407" s="163"/>
    </row>
    <row r="408">
      <c r="A408" s="163"/>
      <c r="B408" s="163"/>
      <c r="C408" s="163"/>
      <c r="D408" s="163"/>
      <c r="E408" s="163"/>
      <c r="F408" s="163"/>
      <c r="G408" s="163"/>
      <c r="H408" s="163"/>
      <c r="I408" s="163"/>
      <c r="J408" s="163"/>
    </row>
    <row r="409">
      <c r="A409" s="163"/>
      <c r="B409" s="163"/>
      <c r="C409" s="163"/>
      <c r="D409" s="163"/>
      <c r="E409" s="163"/>
      <c r="F409" s="163"/>
      <c r="G409" s="163"/>
      <c r="H409" s="163"/>
      <c r="I409" s="163"/>
      <c r="J409" s="163"/>
    </row>
    <row r="410">
      <c r="A410" s="163"/>
      <c r="B410" s="163"/>
      <c r="C410" s="163"/>
      <c r="D410" s="163"/>
      <c r="E410" s="163"/>
      <c r="F410" s="163"/>
      <c r="G410" s="163"/>
      <c r="H410" s="163"/>
      <c r="I410" s="163"/>
      <c r="J410" s="163"/>
    </row>
    <row r="411">
      <c r="A411" s="163"/>
      <c r="B411" s="163"/>
      <c r="C411" s="163"/>
      <c r="D411" s="163"/>
      <c r="E411" s="163"/>
      <c r="F411" s="163"/>
      <c r="G411" s="163"/>
      <c r="H411" s="163"/>
      <c r="I411" s="163"/>
      <c r="J411" s="163"/>
    </row>
    <row r="412">
      <c r="A412" s="163"/>
      <c r="B412" s="163"/>
      <c r="C412" s="163"/>
      <c r="D412" s="163"/>
      <c r="E412" s="163"/>
      <c r="F412" s="163"/>
      <c r="G412" s="163"/>
      <c r="H412" s="163"/>
      <c r="I412" s="163"/>
      <c r="J412" s="163"/>
    </row>
    <row r="413">
      <c r="A413" s="163"/>
      <c r="B413" s="163"/>
      <c r="C413" s="163"/>
      <c r="D413" s="163"/>
      <c r="E413" s="163"/>
      <c r="F413" s="163"/>
      <c r="G413" s="163"/>
      <c r="H413" s="163"/>
      <c r="I413" s="163"/>
      <c r="J413" s="163"/>
    </row>
    <row r="414">
      <c r="A414" s="163"/>
      <c r="B414" s="163"/>
      <c r="C414" s="163"/>
      <c r="D414" s="163"/>
      <c r="E414" s="163"/>
      <c r="F414" s="163"/>
      <c r="G414" s="163"/>
      <c r="H414" s="163"/>
      <c r="I414" s="163"/>
      <c r="J414" s="163"/>
    </row>
    <row r="415">
      <c r="A415" s="163"/>
      <c r="B415" s="163"/>
      <c r="C415" s="163"/>
      <c r="D415" s="163"/>
      <c r="E415" s="163"/>
      <c r="F415" s="163"/>
      <c r="G415" s="163"/>
      <c r="H415" s="163"/>
      <c r="I415" s="163"/>
      <c r="J415" s="163"/>
    </row>
    <row r="416">
      <c r="A416" s="163"/>
      <c r="B416" s="163"/>
      <c r="C416" s="163"/>
      <c r="D416" s="163"/>
      <c r="E416" s="163"/>
      <c r="F416" s="163"/>
      <c r="G416" s="163"/>
      <c r="H416" s="163"/>
      <c r="I416" s="163"/>
      <c r="J416" s="163"/>
    </row>
    <row r="417">
      <c r="A417" s="163"/>
      <c r="B417" s="163"/>
      <c r="C417" s="163"/>
      <c r="D417" s="163"/>
      <c r="E417" s="163"/>
      <c r="F417" s="163"/>
      <c r="G417" s="163"/>
      <c r="H417" s="163"/>
      <c r="I417" s="163"/>
      <c r="J417" s="163"/>
    </row>
    <row r="418">
      <c r="A418" s="163"/>
      <c r="B418" s="163"/>
      <c r="C418" s="163"/>
      <c r="D418" s="163"/>
      <c r="E418" s="163"/>
      <c r="F418" s="163"/>
      <c r="G418" s="163"/>
      <c r="H418" s="163"/>
      <c r="I418" s="163"/>
      <c r="J418" s="163"/>
    </row>
    <row r="419">
      <c r="A419" s="163"/>
      <c r="B419" s="163"/>
      <c r="C419" s="163"/>
      <c r="D419" s="163"/>
      <c r="E419" s="163"/>
      <c r="F419" s="163"/>
      <c r="G419" s="163"/>
      <c r="H419" s="163"/>
      <c r="I419" s="163"/>
      <c r="J419" s="163"/>
    </row>
    <row r="420">
      <c r="A420" s="163"/>
      <c r="B420" s="163"/>
      <c r="C420" s="163"/>
      <c r="D420" s="163"/>
      <c r="E420" s="163"/>
      <c r="F420" s="163"/>
      <c r="G420" s="163"/>
      <c r="H420" s="163"/>
      <c r="I420" s="163"/>
      <c r="J420" s="163"/>
    </row>
    <row r="421">
      <c r="A421" s="163"/>
      <c r="B421" s="163"/>
      <c r="C421" s="163"/>
      <c r="D421" s="163"/>
      <c r="E421" s="163"/>
      <c r="F421" s="163"/>
      <c r="G421" s="163"/>
      <c r="H421" s="163"/>
      <c r="I421" s="163"/>
      <c r="J421" s="163"/>
    </row>
    <row r="422">
      <c r="A422" s="163"/>
      <c r="B422" s="163"/>
      <c r="C422" s="163"/>
      <c r="D422" s="163"/>
      <c r="E422" s="163"/>
      <c r="F422" s="163"/>
      <c r="G422" s="163"/>
      <c r="H422" s="163"/>
      <c r="I422" s="163"/>
      <c r="J422" s="163"/>
    </row>
    <row r="423">
      <c r="A423" s="163"/>
      <c r="B423" s="163"/>
      <c r="C423" s="163"/>
      <c r="D423" s="163"/>
      <c r="E423" s="163"/>
      <c r="F423" s="163"/>
      <c r="G423" s="163"/>
      <c r="H423" s="163"/>
      <c r="I423" s="163"/>
      <c r="J423" s="163"/>
    </row>
    <row r="424">
      <c r="A424" s="163"/>
      <c r="B424" s="163"/>
      <c r="C424" s="163"/>
      <c r="D424" s="163"/>
      <c r="E424" s="163"/>
      <c r="F424" s="163"/>
      <c r="G424" s="163"/>
      <c r="H424" s="163"/>
      <c r="I424" s="163"/>
      <c r="J424" s="163"/>
    </row>
    <row r="425">
      <c r="A425" s="163"/>
      <c r="B425" s="163"/>
      <c r="C425" s="163"/>
      <c r="D425" s="163"/>
      <c r="E425" s="163"/>
      <c r="F425" s="163"/>
      <c r="G425" s="163"/>
      <c r="H425" s="163"/>
      <c r="I425" s="163"/>
      <c r="J425" s="163"/>
    </row>
    <row r="426">
      <c r="A426" s="163"/>
      <c r="B426" s="163"/>
      <c r="C426" s="163"/>
      <c r="D426" s="163"/>
      <c r="E426" s="163"/>
      <c r="F426" s="163"/>
      <c r="G426" s="163"/>
      <c r="H426" s="163"/>
      <c r="I426" s="163"/>
      <c r="J426" s="163"/>
    </row>
    <row r="427">
      <c r="A427" s="163"/>
      <c r="B427" s="163"/>
      <c r="C427" s="163"/>
      <c r="D427" s="163"/>
      <c r="E427" s="163"/>
      <c r="F427" s="163"/>
      <c r="G427" s="163"/>
      <c r="H427" s="163"/>
      <c r="I427" s="163"/>
      <c r="J427" s="163"/>
    </row>
    <row r="428">
      <c r="A428" s="163"/>
      <c r="B428" s="163"/>
      <c r="C428" s="163"/>
      <c r="D428" s="163"/>
      <c r="E428" s="163"/>
      <c r="F428" s="163"/>
      <c r="G428" s="163"/>
      <c r="H428" s="163"/>
      <c r="I428" s="163"/>
      <c r="J428" s="163"/>
    </row>
    <row r="429">
      <c r="A429" s="163"/>
      <c r="B429" s="163"/>
      <c r="C429" s="163"/>
      <c r="D429" s="163"/>
      <c r="E429" s="163"/>
      <c r="F429" s="163"/>
      <c r="G429" s="163"/>
      <c r="H429" s="163"/>
      <c r="I429" s="163"/>
      <c r="J429" s="163"/>
    </row>
    <row r="430">
      <c r="A430" s="163"/>
      <c r="B430" s="163"/>
      <c r="C430" s="163"/>
      <c r="D430" s="163"/>
      <c r="E430" s="163"/>
      <c r="F430" s="163"/>
      <c r="G430" s="163"/>
      <c r="H430" s="163"/>
      <c r="I430" s="163"/>
      <c r="J430" s="163"/>
    </row>
    <row r="431">
      <c r="A431" s="163"/>
      <c r="B431" s="163"/>
      <c r="C431" s="163"/>
      <c r="D431" s="163"/>
      <c r="E431" s="163"/>
      <c r="F431" s="163"/>
      <c r="G431" s="163"/>
      <c r="H431" s="163"/>
      <c r="I431" s="163"/>
      <c r="J431" s="163"/>
    </row>
    <row r="432">
      <c r="A432" s="163"/>
      <c r="B432" s="163"/>
      <c r="C432" s="163"/>
      <c r="D432" s="163"/>
      <c r="E432" s="163"/>
      <c r="F432" s="163"/>
      <c r="G432" s="163"/>
      <c r="H432" s="163"/>
      <c r="I432" s="163"/>
      <c r="J432" s="163"/>
    </row>
    <row r="433">
      <c r="A433" s="163"/>
      <c r="B433" s="163"/>
      <c r="C433" s="163"/>
      <c r="D433" s="163"/>
      <c r="E433" s="163"/>
      <c r="F433" s="163"/>
      <c r="G433" s="163"/>
      <c r="H433" s="163"/>
      <c r="I433" s="163"/>
      <c r="J433" s="163"/>
    </row>
    <row r="434">
      <c r="A434" s="163"/>
      <c r="B434" s="163"/>
      <c r="C434" s="163"/>
      <c r="D434" s="163"/>
      <c r="E434" s="163"/>
      <c r="F434" s="163"/>
      <c r="G434" s="163"/>
      <c r="H434" s="163"/>
      <c r="I434" s="163"/>
      <c r="J434" s="163"/>
    </row>
    <row r="435">
      <c r="A435" s="163"/>
      <c r="B435" s="163"/>
      <c r="C435" s="163"/>
      <c r="D435" s="163"/>
      <c r="E435" s="163"/>
      <c r="F435" s="163"/>
      <c r="G435" s="163"/>
      <c r="H435" s="163"/>
      <c r="I435" s="163"/>
      <c r="J435" s="163"/>
    </row>
    <row r="436">
      <c r="A436" s="163"/>
      <c r="B436" s="163"/>
      <c r="C436" s="163"/>
      <c r="D436" s="163"/>
      <c r="E436" s="163"/>
      <c r="F436" s="163"/>
      <c r="G436" s="163"/>
      <c r="H436" s="163"/>
      <c r="I436" s="163"/>
      <c r="J436" s="163"/>
    </row>
    <row r="437">
      <c r="A437" s="163"/>
      <c r="B437" s="163"/>
      <c r="C437" s="163"/>
      <c r="D437" s="163"/>
      <c r="E437" s="163"/>
      <c r="F437" s="163"/>
      <c r="G437" s="163"/>
      <c r="H437" s="163"/>
      <c r="I437" s="163"/>
      <c r="J437" s="163"/>
    </row>
    <row r="438">
      <c r="A438" s="163"/>
      <c r="B438" s="163"/>
      <c r="C438" s="163"/>
      <c r="D438" s="163"/>
      <c r="E438" s="163"/>
      <c r="F438" s="163"/>
      <c r="G438" s="163"/>
      <c r="H438" s="163"/>
      <c r="I438" s="163"/>
      <c r="J438" s="163"/>
    </row>
    <row r="439">
      <c r="A439" s="163"/>
      <c r="B439" s="163"/>
      <c r="C439" s="163"/>
      <c r="D439" s="163"/>
      <c r="E439" s="163"/>
      <c r="F439" s="163"/>
      <c r="G439" s="163"/>
      <c r="H439" s="163"/>
      <c r="I439" s="163"/>
      <c r="J439" s="163"/>
    </row>
    <row r="440">
      <c r="A440" s="163"/>
      <c r="B440" s="163"/>
      <c r="C440" s="163"/>
      <c r="D440" s="163"/>
      <c r="E440" s="163"/>
      <c r="F440" s="163"/>
      <c r="G440" s="163"/>
      <c r="H440" s="163"/>
      <c r="I440" s="163"/>
      <c r="J440" s="163"/>
    </row>
    <row r="441">
      <c r="A441" s="163"/>
      <c r="B441" s="163"/>
      <c r="C441" s="163"/>
      <c r="D441" s="163"/>
      <c r="E441" s="163"/>
      <c r="F441" s="163"/>
      <c r="G441" s="163"/>
      <c r="H441" s="163"/>
      <c r="I441" s="163"/>
      <c r="J441" s="163"/>
    </row>
    <row r="442">
      <c r="A442" s="163"/>
      <c r="B442" s="163"/>
      <c r="C442" s="163"/>
      <c r="D442" s="163"/>
      <c r="E442" s="163"/>
      <c r="F442" s="163"/>
      <c r="G442" s="163"/>
      <c r="H442" s="163"/>
      <c r="I442" s="163"/>
      <c r="J442" s="163"/>
    </row>
    <row r="443">
      <c r="A443" s="163"/>
      <c r="B443" s="163"/>
      <c r="C443" s="163"/>
      <c r="D443" s="163"/>
      <c r="E443" s="163"/>
      <c r="F443" s="163"/>
      <c r="G443" s="163"/>
      <c r="H443" s="163"/>
      <c r="I443" s="163"/>
      <c r="J443" s="163"/>
    </row>
    <row r="444">
      <c r="A444" s="163"/>
      <c r="B444" s="163"/>
      <c r="C444" s="163"/>
      <c r="D444" s="163"/>
      <c r="E444" s="163"/>
      <c r="F444" s="163"/>
      <c r="G444" s="163"/>
      <c r="H444" s="163"/>
      <c r="I444" s="163"/>
      <c r="J444" s="163"/>
    </row>
    <row r="445">
      <c r="A445" s="163"/>
      <c r="B445" s="163"/>
      <c r="C445" s="163"/>
      <c r="D445" s="163"/>
      <c r="E445" s="163"/>
      <c r="F445" s="163"/>
      <c r="G445" s="163"/>
      <c r="H445" s="163"/>
      <c r="I445" s="163"/>
      <c r="J445" s="163"/>
    </row>
    <row r="446">
      <c r="A446" s="163"/>
      <c r="B446" s="163"/>
      <c r="C446" s="163"/>
      <c r="D446" s="163"/>
      <c r="E446" s="163"/>
      <c r="F446" s="163"/>
      <c r="G446" s="163"/>
      <c r="H446" s="163"/>
      <c r="I446" s="163"/>
      <c r="J446" s="163"/>
    </row>
    <row r="447">
      <c r="A447" s="163"/>
      <c r="B447" s="163"/>
      <c r="C447" s="163"/>
      <c r="D447" s="163"/>
      <c r="E447" s="163"/>
      <c r="F447" s="163"/>
      <c r="G447" s="163"/>
      <c r="H447" s="163"/>
      <c r="I447" s="163"/>
      <c r="J447" s="163"/>
    </row>
    <row r="448">
      <c r="A448" s="163"/>
      <c r="B448" s="163"/>
      <c r="C448" s="163"/>
      <c r="D448" s="163"/>
      <c r="E448" s="163"/>
      <c r="F448" s="163"/>
      <c r="G448" s="163"/>
      <c r="H448" s="163"/>
      <c r="I448" s="163"/>
      <c r="J448" s="163"/>
    </row>
    <row r="449">
      <c r="A449" s="163"/>
      <c r="B449" s="163"/>
      <c r="C449" s="163"/>
      <c r="D449" s="163"/>
      <c r="E449" s="163"/>
      <c r="F449" s="163"/>
      <c r="G449" s="163"/>
      <c r="H449" s="163"/>
      <c r="I449" s="163"/>
      <c r="J449" s="163"/>
    </row>
    <row r="450">
      <c r="A450" s="163"/>
      <c r="B450" s="163"/>
      <c r="C450" s="163"/>
      <c r="D450" s="163"/>
      <c r="E450" s="163"/>
      <c r="F450" s="163"/>
      <c r="G450" s="163"/>
      <c r="H450" s="163"/>
      <c r="I450" s="163"/>
      <c r="J450" s="163"/>
    </row>
    <row r="451">
      <c r="A451" s="163"/>
      <c r="B451" s="163"/>
      <c r="C451" s="163"/>
      <c r="D451" s="163"/>
      <c r="E451" s="163"/>
      <c r="F451" s="163"/>
      <c r="G451" s="163"/>
      <c r="H451" s="163"/>
      <c r="I451" s="163"/>
      <c r="J451" s="163"/>
    </row>
    <row r="452">
      <c r="A452" s="163"/>
      <c r="B452" s="163"/>
      <c r="C452" s="163"/>
      <c r="D452" s="163"/>
      <c r="E452" s="163"/>
      <c r="F452" s="163"/>
      <c r="G452" s="163"/>
      <c r="H452" s="163"/>
      <c r="I452" s="163"/>
      <c r="J452" s="163"/>
    </row>
    <row r="453">
      <c r="A453" s="163"/>
      <c r="B453" s="163"/>
      <c r="C453" s="163"/>
      <c r="D453" s="163"/>
      <c r="E453" s="163"/>
      <c r="F453" s="163"/>
      <c r="G453" s="163"/>
      <c r="H453" s="163"/>
      <c r="I453" s="163"/>
      <c r="J453" s="163"/>
    </row>
    <row r="454">
      <c r="A454" s="163"/>
      <c r="B454" s="163"/>
      <c r="C454" s="163"/>
      <c r="D454" s="163"/>
      <c r="E454" s="163"/>
      <c r="F454" s="163"/>
      <c r="G454" s="163"/>
      <c r="H454" s="163"/>
      <c r="I454" s="163"/>
      <c r="J454" s="163"/>
    </row>
    <row r="455">
      <c r="A455" s="163"/>
      <c r="B455" s="163"/>
      <c r="C455" s="163"/>
      <c r="D455" s="163"/>
      <c r="E455" s="163"/>
      <c r="F455" s="163"/>
      <c r="G455" s="163"/>
      <c r="H455" s="163"/>
      <c r="I455" s="163"/>
      <c r="J455" s="163"/>
    </row>
    <row r="456">
      <c r="A456" s="163"/>
      <c r="B456" s="163"/>
      <c r="C456" s="163"/>
      <c r="D456" s="163"/>
      <c r="E456" s="163"/>
      <c r="F456" s="163"/>
      <c r="G456" s="163"/>
      <c r="H456" s="163"/>
      <c r="I456" s="163"/>
      <c r="J456" s="163"/>
    </row>
    <row r="457">
      <c r="A457" s="163"/>
      <c r="B457" s="163"/>
      <c r="C457" s="163"/>
      <c r="D457" s="163"/>
      <c r="E457" s="163"/>
      <c r="F457" s="163"/>
      <c r="G457" s="163"/>
      <c r="H457" s="163"/>
      <c r="I457" s="163"/>
      <c r="J457" s="163"/>
    </row>
    <row r="458">
      <c r="A458" s="163"/>
      <c r="B458" s="163"/>
      <c r="C458" s="163"/>
      <c r="D458" s="163"/>
      <c r="E458" s="163"/>
      <c r="F458" s="163"/>
      <c r="G458" s="163"/>
      <c r="H458" s="163"/>
      <c r="I458" s="163"/>
      <c r="J458" s="163"/>
    </row>
    <row r="459">
      <c r="A459" s="163"/>
      <c r="B459" s="163"/>
      <c r="C459" s="163"/>
      <c r="D459" s="163"/>
      <c r="E459" s="163"/>
      <c r="F459" s="163"/>
      <c r="G459" s="163"/>
      <c r="H459" s="163"/>
      <c r="I459" s="163"/>
      <c r="J459" s="163"/>
    </row>
    <row r="460">
      <c r="A460" s="163"/>
      <c r="B460" s="163"/>
      <c r="C460" s="163"/>
      <c r="D460" s="163"/>
      <c r="E460" s="163"/>
      <c r="F460" s="163"/>
      <c r="G460" s="163"/>
      <c r="H460" s="163"/>
      <c r="I460" s="163"/>
      <c r="J460" s="163"/>
    </row>
    <row r="461">
      <c r="A461" s="163"/>
      <c r="B461" s="163"/>
      <c r="C461" s="163"/>
      <c r="D461" s="163"/>
      <c r="E461" s="163"/>
      <c r="F461" s="163"/>
      <c r="G461" s="163"/>
      <c r="H461" s="163"/>
      <c r="I461" s="163"/>
      <c r="J461" s="163"/>
    </row>
    <row r="462">
      <c r="A462" s="163"/>
      <c r="B462" s="163"/>
      <c r="C462" s="163"/>
      <c r="D462" s="163"/>
      <c r="E462" s="163"/>
      <c r="F462" s="163"/>
      <c r="G462" s="163"/>
      <c r="H462" s="163"/>
      <c r="I462" s="163"/>
      <c r="J462" s="163"/>
    </row>
    <row r="463">
      <c r="A463" s="163"/>
      <c r="B463" s="163"/>
      <c r="C463" s="163"/>
      <c r="D463" s="163"/>
      <c r="E463" s="163"/>
      <c r="F463" s="163"/>
      <c r="G463" s="163"/>
      <c r="H463" s="163"/>
      <c r="I463" s="163"/>
      <c r="J463" s="163"/>
    </row>
    <row r="464">
      <c r="A464" s="163"/>
      <c r="B464" s="163"/>
      <c r="C464" s="163"/>
      <c r="D464" s="163"/>
      <c r="E464" s="163"/>
      <c r="F464" s="163"/>
      <c r="G464" s="163"/>
      <c r="H464" s="163"/>
      <c r="I464" s="163"/>
      <c r="J464" s="163"/>
    </row>
    <row r="465">
      <c r="A465" s="163"/>
      <c r="B465" s="163"/>
      <c r="C465" s="163"/>
      <c r="D465" s="163"/>
      <c r="E465" s="163"/>
      <c r="F465" s="163"/>
      <c r="G465" s="163"/>
      <c r="H465" s="163"/>
      <c r="I465" s="163"/>
      <c r="J465" s="163"/>
    </row>
    <row r="466">
      <c r="A466" s="163"/>
      <c r="B466" s="163"/>
      <c r="C466" s="163"/>
      <c r="D466" s="163"/>
      <c r="E466" s="163"/>
      <c r="F466" s="163"/>
      <c r="G466" s="163"/>
      <c r="H466" s="163"/>
      <c r="I466" s="163"/>
      <c r="J466" s="163"/>
    </row>
    <row r="467">
      <c r="A467" s="163"/>
      <c r="B467" s="163"/>
      <c r="C467" s="163"/>
      <c r="D467" s="163"/>
      <c r="E467" s="163"/>
      <c r="F467" s="163"/>
      <c r="G467" s="163"/>
      <c r="H467" s="163"/>
      <c r="I467" s="163"/>
      <c r="J467" s="163"/>
    </row>
    <row r="468">
      <c r="A468" s="163"/>
      <c r="B468" s="163"/>
      <c r="C468" s="163"/>
      <c r="D468" s="163"/>
      <c r="E468" s="163"/>
      <c r="F468" s="163"/>
      <c r="G468" s="163"/>
      <c r="H468" s="163"/>
      <c r="I468" s="163"/>
      <c r="J468" s="163"/>
    </row>
    <row r="469">
      <c r="A469" s="163"/>
      <c r="B469" s="163"/>
      <c r="C469" s="163"/>
      <c r="D469" s="163"/>
      <c r="E469" s="163"/>
      <c r="F469" s="163"/>
      <c r="G469" s="163"/>
      <c r="H469" s="163"/>
      <c r="I469" s="163"/>
      <c r="J469" s="163"/>
    </row>
    <row r="470">
      <c r="A470" s="163"/>
      <c r="B470" s="163"/>
      <c r="C470" s="163"/>
      <c r="D470" s="163"/>
      <c r="E470" s="163"/>
      <c r="F470" s="163"/>
      <c r="G470" s="163"/>
      <c r="H470" s="163"/>
      <c r="I470" s="163"/>
      <c r="J470" s="163"/>
    </row>
    <row r="471">
      <c r="A471" s="163"/>
      <c r="B471" s="163"/>
      <c r="C471" s="163"/>
      <c r="D471" s="163"/>
      <c r="E471" s="163"/>
      <c r="F471" s="163"/>
      <c r="G471" s="163"/>
      <c r="H471" s="163"/>
      <c r="I471" s="163"/>
      <c r="J471" s="163"/>
    </row>
    <row r="472">
      <c r="A472" s="163"/>
      <c r="B472" s="163"/>
      <c r="C472" s="163"/>
      <c r="D472" s="163"/>
      <c r="E472" s="163"/>
      <c r="F472" s="163"/>
      <c r="G472" s="163"/>
      <c r="H472" s="163"/>
      <c r="I472" s="163"/>
      <c r="J472" s="163"/>
    </row>
    <row r="473">
      <c r="A473" s="163"/>
      <c r="B473" s="163"/>
      <c r="C473" s="163"/>
      <c r="D473" s="163"/>
      <c r="E473" s="163"/>
      <c r="F473" s="163"/>
      <c r="G473" s="163"/>
      <c r="H473" s="163"/>
      <c r="I473" s="163"/>
      <c r="J473" s="163"/>
    </row>
    <row r="474">
      <c r="A474" s="163"/>
      <c r="B474" s="163"/>
      <c r="C474" s="163"/>
      <c r="D474" s="163"/>
      <c r="E474" s="163"/>
      <c r="F474" s="163"/>
      <c r="G474" s="163"/>
      <c r="H474" s="163"/>
      <c r="I474" s="163"/>
      <c r="J474" s="163"/>
    </row>
    <row r="475">
      <c r="A475" s="163"/>
      <c r="B475" s="163"/>
      <c r="C475" s="163"/>
      <c r="D475" s="163"/>
      <c r="E475" s="163"/>
      <c r="F475" s="163"/>
      <c r="G475" s="163"/>
      <c r="H475" s="163"/>
      <c r="I475" s="163"/>
      <c r="J475" s="163"/>
    </row>
    <row r="476">
      <c r="A476" s="163"/>
      <c r="B476" s="163"/>
      <c r="C476" s="163"/>
      <c r="D476" s="163"/>
      <c r="E476" s="163"/>
      <c r="F476" s="163"/>
      <c r="G476" s="163"/>
      <c r="H476" s="163"/>
      <c r="I476" s="163"/>
      <c r="J476" s="163"/>
    </row>
    <row r="477">
      <c r="A477" s="163"/>
      <c r="B477" s="163"/>
      <c r="C477" s="163"/>
      <c r="D477" s="163"/>
      <c r="E477" s="163"/>
      <c r="F477" s="163"/>
      <c r="G477" s="163"/>
      <c r="H477" s="163"/>
      <c r="I477" s="163"/>
      <c r="J477" s="163"/>
    </row>
    <row r="478">
      <c r="A478" s="163"/>
      <c r="B478" s="163"/>
      <c r="C478" s="163"/>
      <c r="D478" s="163"/>
      <c r="E478" s="163"/>
      <c r="F478" s="163"/>
      <c r="G478" s="163"/>
      <c r="H478" s="163"/>
      <c r="I478" s="163"/>
      <c r="J478" s="163"/>
    </row>
    <row r="479">
      <c r="A479" s="163"/>
      <c r="B479" s="163"/>
      <c r="C479" s="163"/>
      <c r="D479" s="163"/>
      <c r="E479" s="163"/>
      <c r="F479" s="163"/>
      <c r="G479" s="163"/>
      <c r="H479" s="163"/>
      <c r="I479" s="163"/>
      <c r="J479" s="163"/>
    </row>
    <row r="480">
      <c r="A480" s="163"/>
      <c r="B480" s="163"/>
      <c r="C480" s="163"/>
      <c r="D480" s="163"/>
      <c r="E480" s="163"/>
      <c r="F480" s="163"/>
      <c r="G480" s="163"/>
      <c r="H480" s="163"/>
      <c r="I480" s="163"/>
      <c r="J480" s="163"/>
    </row>
    <row r="481">
      <c r="A481" s="163"/>
      <c r="B481" s="163"/>
      <c r="C481" s="163"/>
      <c r="D481" s="163"/>
      <c r="E481" s="163"/>
      <c r="F481" s="163"/>
      <c r="G481" s="163"/>
      <c r="H481" s="163"/>
      <c r="I481" s="163"/>
      <c r="J481" s="163"/>
    </row>
    <row r="482">
      <c r="A482" s="163"/>
      <c r="B482" s="163"/>
      <c r="C482" s="163"/>
      <c r="D482" s="163"/>
      <c r="E482" s="163"/>
      <c r="F482" s="163"/>
      <c r="G482" s="163"/>
      <c r="H482" s="163"/>
      <c r="I482" s="163"/>
      <c r="J482" s="163"/>
    </row>
    <row r="483">
      <c r="A483" s="163"/>
      <c r="B483" s="163"/>
      <c r="C483" s="163"/>
      <c r="D483" s="163"/>
      <c r="E483" s="163"/>
      <c r="F483" s="163"/>
      <c r="G483" s="163"/>
      <c r="H483" s="163"/>
      <c r="I483" s="163"/>
      <c r="J483" s="163"/>
    </row>
    <row r="484">
      <c r="A484" s="163"/>
      <c r="B484" s="163"/>
      <c r="C484" s="163"/>
      <c r="D484" s="163"/>
      <c r="E484" s="163"/>
      <c r="F484" s="163"/>
      <c r="G484" s="163"/>
      <c r="H484" s="163"/>
      <c r="I484" s="163"/>
      <c r="J484" s="163"/>
    </row>
    <row r="485">
      <c r="A485" s="163"/>
      <c r="B485" s="163"/>
      <c r="C485" s="163"/>
      <c r="D485" s="163"/>
      <c r="E485" s="163"/>
      <c r="F485" s="163"/>
      <c r="G485" s="163"/>
      <c r="H485" s="163"/>
      <c r="I485" s="163"/>
      <c r="J485" s="163"/>
    </row>
    <row r="486">
      <c r="A486" s="163"/>
      <c r="B486" s="163"/>
      <c r="C486" s="163"/>
      <c r="D486" s="163"/>
      <c r="E486" s="163"/>
      <c r="F486" s="163"/>
      <c r="G486" s="163"/>
      <c r="H486" s="163"/>
      <c r="I486" s="163"/>
      <c r="J486" s="163"/>
    </row>
    <row r="487">
      <c r="A487" s="163"/>
      <c r="B487" s="163"/>
      <c r="C487" s="163"/>
      <c r="D487" s="163"/>
      <c r="E487" s="163"/>
      <c r="F487" s="163"/>
      <c r="G487" s="163"/>
      <c r="H487" s="163"/>
      <c r="I487" s="163"/>
      <c r="J487" s="163"/>
    </row>
    <row r="488">
      <c r="A488" s="163"/>
      <c r="B488" s="163"/>
      <c r="C488" s="163"/>
      <c r="D488" s="163"/>
      <c r="E488" s="163"/>
      <c r="F488" s="163"/>
      <c r="G488" s="163"/>
      <c r="H488" s="163"/>
      <c r="I488" s="163"/>
      <c r="J488" s="163"/>
    </row>
    <row r="489">
      <c r="A489" s="163"/>
      <c r="B489" s="163"/>
      <c r="C489" s="163"/>
      <c r="D489" s="163"/>
      <c r="E489" s="163"/>
      <c r="F489" s="163"/>
      <c r="G489" s="163"/>
      <c r="H489" s="163"/>
      <c r="I489" s="163"/>
      <c r="J489" s="163"/>
    </row>
    <row r="490">
      <c r="A490" s="163"/>
      <c r="B490" s="163"/>
      <c r="C490" s="163"/>
      <c r="D490" s="163"/>
      <c r="E490" s="163"/>
      <c r="F490" s="163"/>
      <c r="G490" s="163"/>
      <c r="H490" s="163"/>
      <c r="I490" s="163"/>
      <c r="J490" s="163"/>
    </row>
    <row r="491">
      <c r="A491" s="163"/>
      <c r="B491" s="163"/>
      <c r="C491" s="163"/>
      <c r="D491" s="163"/>
      <c r="E491" s="163"/>
      <c r="F491" s="163"/>
      <c r="G491" s="163"/>
      <c r="H491" s="163"/>
      <c r="I491" s="163"/>
      <c r="J491" s="163"/>
    </row>
    <row r="492">
      <c r="A492" s="163"/>
      <c r="B492" s="163"/>
      <c r="C492" s="163"/>
      <c r="D492" s="163"/>
      <c r="E492" s="163"/>
      <c r="F492" s="163"/>
      <c r="G492" s="163"/>
      <c r="H492" s="163"/>
      <c r="I492" s="163"/>
      <c r="J492" s="163"/>
    </row>
    <row r="493">
      <c r="A493" s="163"/>
      <c r="B493" s="163"/>
      <c r="C493" s="163"/>
      <c r="D493" s="163"/>
      <c r="E493" s="163"/>
      <c r="F493" s="163"/>
      <c r="G493" s="163"/>
      <c r="H493" s="163"/>
      <c r="I493" s="163"/>
      <c r="J493" s="163"/>
    </row>
    <row r="494">
      <c r="A494" s="163"/>
      <c r="B494" s="163"/>
      <c r="C494" s="163"/>
      <c r="D494" s="163"/>
      <c r="E494" s="163"/>
      <c r="F494" s="163"/>
      <c r="G494" s="163"/>
      <c r="H494" s="163"/>
      <c r="I494" s="163"/>
      <c r="J494" s="163"/>
    </row>
    <row r="495">
      <c r="A495" s="163"/>
      <c r="B495" s="163"/>
      <c r="C495" s="163"/>
      <c r="D495" s="163"/>
      <c r="E495" s="163"/>
      <c r="F495" s="163"/>
      <c r="G495" s="163"/>
      <c r="H495" s="163"/>
      <c r="I495" s="163"/>
      <c r="J495" s="163"/>
    </row>
    <row r="496">
      <c r="A496" s="163"/>
      <c r="B496" s="163"/>
      <c r="C496" s="163"/>
      <c r="D496" s="163"/>
      <c r="E496" s="163"/>
      <c r="F496" s="163"/>
      <c r="G496" s="163"/>
      <c r="H496" s="163"/>
      <c r="I496" s="163"/>
      <c r="J496" s="163"/>
    </row>
    <row r="497">
      <c r="A497" s="163"/>
      <c r="B497" s="163"/>
      <c r="C497" s="163"/>
      <c r="D497" s="163"/>
      <c r="E497" s="163"/>
      <c r="F497" s="163"/>
      <c r="G497" s="163"/>
      <c r="H497" s="163"/>
      <c r="I497" s="163"/>
      <c r="J497" s="163"/>
    </row>
    <row r="498">
      <c r="A498" s="163"/>
      <c r="B498" s="163"/>
      <c r="C498" s="163"/>
      <c r="D498" s="163"/>
      <c r="E498" s="163"/>
      <c r="F498" s="163"/>
      <c r="G498" s="163"/>
      <c r="H498" s="163"/>
      <c r="I498" s="163"/>
      <c r="J498" s="163"/>
    </row>
    <row r="499">
      <c r="A499" s="163"/>
      <c r="B499" s="163"/>
      <c r="C499" s="163"/>
      <c r="D499" s="163"/>
      <c r="E499" s="163"/>
      <c r="F499" s="163"/>
      <c r="G499" s="163"/>
      <c r="H499" s="163"/>
      <c r="I499" s="163"/>
      <c r="J499" s="163"/>
    </row>
    <row r="500">
      <c r="A500" s="163"/>
      <c r="B500" s="163"/>
      <c r="C500" s="163"/>
      <c r="D500" s="163"/>
      <c r="E500" s="163"/>
      <c r="F500" s="163"/>
      <c r="G500" s="163"/>
      <c r="H500" s="163"/>
      <c r="I500" s="163"/>
      <c r="J500" s="163"/>
    </row>
    <row r="501">
      <c r="A501" s="163"/>
      <c r="B501" s="163"/>
      <c r="C501" s="163"/>
      <c r="D501" s="163"/>
      <c r="E501" s="163"/>
      <c r="F501" s="163"/>
      <c r="G501" s="163"/>
      <c r="H501" s="163"/>
      <c r="I501" s="163"/>
      <c r="J501" s="163"/>
    </row>
    <row r="502">
      <c r="A502" s="163"/>
      <c r="B502" s="163"/>
      <c r="C502" s="163"/>
      <c r="D502" s="163"/>
      <c r="E502" s="163"/>
      <c r="F502" s="163"/>
      <c r="G502" s="163"/>
      <c r="H502" s="163"/>
      <c r="I502" s="163"/>
      <c r="J502" s="163"/>
    </row>
    <row r="503">
      <c r="A503" s="163"/>
      <c r="B503" s="163"/>
      <c r="C503" s="163"/>
      <c r="D503" s="163"/>
      <c r="E503" s="163"/>
      <c r="F503" s="163"/>
      <c r="G503" s="163"/>
      <c r="H503" s="163"/>
      <c r="I503" s="163"/>
      <c r="J503" s="163"/>
    </row>
    <row r="504">
      <c r="A504" s="163"/>
      <c r="B504" s="163"/>
      <c r="C504" s="163"/>
      <c r="D504" s="163"/>
      <c r="E504" s="163"/>
      <c r="F504" s="163"/>
      <c r="G504" s="163"/>
      <c r="H504" s="163"/>
      <c r="I504" s="163"/>
      <c r="J504" s="163"/>
    </row>
    <row r="505">
      <c r="A505" s="163"/>
      <c r="B505" s="163"/>
      <c r="C505" s="163"/>
      <c r="D505" s="163"/>
      <c r="E505" s="163"/>
      <c r="F505" s="163"/>
      <c r="G505" s="163"/>
      <c r="H505" s="163"/>
      <c r="I505" s="163"/>
      <c r="J505" s="163"/>
    </row>
    <row r="506">
      <c r="A506" s="163"/>
      <c r="B506" s="163"/>
      <c r="C506" s="163"/>
      <c r="D506" s="163"/>
      <c r="E506" s="163"/>
      <c r="F506" s="163"/>
      <c r="G506" s="163"/>
      <c r="H506" s="163"/>
      <c r="I506" s="163"/>
      <c r="J506" s="163"/>
    </row>
    <row r="507">
      <c r="A507" s="163"/>
      <c r="B507" s="163"/>
      <c r="C507" s="163"/>
      <c r="D507" s="163"/>
      <c r="E507" s="163"/>
      <c r="F507" s="163"/>
      <c r="G507" s="163"/>
      <c r="H507" s="163"/>
      <c r="I507" s="163"/>
      <c r="J507" s="163"/>
    </row>
    <row r="508">
      <c r="A508" s="163"/>
      <c r="B508" s="163"/>
      <c r="C508" s="163"/>
      <c r="D508" s="163"/>
      <c r="E508" s="163"/>
      <c r="F508" s="163"/>
      <c r="G508" s="163"/>
      <c r="H508" s="163"/>
      <c r="I508" s="163"/>
      <c r="J508" s="163"/>
    </row>
    <row r="509">
      <c r="A509" s="163"/>
      <c r="B509" s="163"/>
      <c r="C509" s="163"/>
      <c r="D509" s="163"/>
      <c r="E509" s="163"/>
      <c r="F509" s="163"/>
      <c r="G509" s="163"/>
      <c r="H509" s="163"/>
      <c r="I509" s="163"/>
      <c r="J509" s="163"/>
    </row>
    <row r="510">
      <c r="A510" s="163"/>
      <c r="B510" s="163"/>
      <c r="C510" s="163"/>
      <c r="D510" s="163"/>
      <c r="E510" s="163"/>
      <c r="F510" s="163"/>
      <c r="G510" s="163"/>
      <c r="H510" s="163"/>
      <c r="I510" s="163"/>
      <c r="J510" s="163"/>
    </row>
    <row r="511">
      <c r="A511" s="163"/>
      <c r="B511" s="163"/>
      <c r="C511" s="163"/>
      <c r="D511" s="163"/>
      <c r="E511" s="163"/>
      <c r="F511" s="163"/>
      <c r="G511" s="163"/>
      <c r="H511" s="163"/>
      <c r="I511" s="163"/>
      <c r="J511" s="163"/>
    </row>
    <row r="512">
      <c r="A512" s="163"/>
      <c r="B512" s="163"/>
      <c r="C512" s="163"/>
      <c r="D512" s="163"/>
      <c r="E512" s="163"/>
      <c r="F512" s="163"/>
      <c r="G512" s="163"/>
      <c r="H512" s="163"/>
      <c r="I512" s="163"/>
      <c r="J512" s="163"/>
    </row>
    <row r="513">
      <c r="A513" s="163"/>
      <c r="B513" s="163"/>
      <c r="C513" s="163"/>
      <c r="D513" s="163"/>
      <c r="E513" s="163"/>
      <c r="F513" s="163"/>
      <c r="G513" s="163"/>
      <c r="H513" s="163"/>
      <c r="I513" s="163"/>
      <c r="J513" s="163"/>
    </row>
    <row r="514">
      <c r="A514" s="163"/>
      <c r="B514" s="163"/>
      <c r="C514" s="163"/>
      <c r="D514" s="163"/>
      <c r="E514" s="163"/>
      <c r="F514" s="163"/>
      <c r="G514" s="163"/>
      <c r="H514" s="163"/>
      <c r="I514" s="163"/>
      <c r="J514" s="163"/>
    </row>
    <row r="515">
      <c r="A515" s="163"/>
      <c r="B515" s="163"/>
      <c r="C515" s="163"/>
      <c r="D515" s="163"/>
      <c r="E515" s="163"/>
      <c r="F515" s="163"/>
      <c r="G515" s="163"/>
      <c r="H515" s="163"/>
      <c r="I515" s="163"/>
      <c r="J515" s="163"/>
    </row>
    <row r="516">
      <c r="A516" s="163"/>
      <c r="B516" s="163"/>
      <c r="C516" s="163"/>
      <c r="D516" s="163"/>
      <c r="E516" s="163"/>
      <c r="F516" s="163"/>
      <c r="G516" s="163"/>
      <c r="H516" s="163"/>
      <c r="I516" s="163"/>
      <c r="J516" s="163"/>
    </row>
    <row r="517">
      <c r="A517" s="163"/>
      <c r="B517" s="163"/>
      <c r="C517" s="163"/>
      <c r="D517" s="163"/>
      <c r="E517" s="163"/>
      <c r="F517" s="163"/>
      <c r="G517" s="163"/>
      <c r="H517" s="163"/>
      <c r="I517" s="163"/>
      <c r="J517" s="163"/>
    </row>
    <row r="518">
      <c r="A518" s="163"/>
      <c r="B518" s="163"/>
      <c r="C518" s="163"/>
      <c r="D518" s="163"/>
      <c r="E518" s="163"/>
      <c r="F518" s="163"/>
      <c r="G518" s="163"/>
      <c r="H518" s="163"/>
      <c r="I518" s="163"/>
      <c r="J518" s="163"/>
    </row>
    <row r="519">
      <c r="A519" s="163"/>
      <c r="B519" s="163"/>
      <c r="C519" s="163"/>
      <c r="D519" s="163"/>
      <c r="E519" s="163"/>
      <c r="F519" s="163"/>
      <c r="G519" s="163"/>
      <c r="H519" s="163"/>
      <c r="I519" s="163"/>
      <c r="J519" s="163"/>
    </row>
    <row r="520">
      <c r="A520" s="163"/>
      <c r="B520" s="163"/>
      <c r="C520" s="163"/>
      <c r="D520" s="163"/>
      <c r="E520" s="163"/>
      <c r="F520" s="163"/>
      <c r="G520" s="163"/>
      <c r="H520" s="163"/>
      <c r="I520" s="163"/>
      <c r="J520" s="163"/>
    </row>
    <row r="521">
      <c r="A521" s="163"/>
      <c r="B521" s="163"/>
      <c r="C521" s="163"/>
      <c r="D521" s="163"/>
      <c r="E521" s="163"/>
      <c r="F521" s="163"/>
      <c r="G521" s="163"/>
      <c r="H521" s="163"/>
      <c r="I521" s="163"/>
      <c r="J521" s="163"/>
    </row>
    <row r="522">
      <c r="A522" s="163"/>
      <c r="B522" s="163"/>
      <c r="C522" s="163"/>
      <c r="D522" s="163"/>
      <c r="E522" s="163"/>
      <c r="F522" s="163"/>
      <c r="G522" s="163"/>
      <c r="H522" s="163"/>
      <c r="I522" s="163"/>
      <c r="J522" s="163"/>
    </row>
    <row r="523">
      <c r="A523" s="163"/>
      <c r="B523" s="163"/>
      <c r="C523" s="163"/>
      <c r="D523" s="163"/>
      <c r="E523" s="163"/>
      <c r="F523" s="163"/>
      <c r="G523" s="163"/>
      <c r="H523" s="163"/>
      <c r="I523" s="163"/>
      <c r="J523" s="163"/>
    </row>
    <row r="524">
      <c r="A524" s="163"/>
      <c r="B524" s="163"/>
      <c r="C524" s="163"/>
      <c r="D524" s="163"/>
      <c r="E524" s="163"/>
      <c r="F524" s="163"/>
      <c r="G524" s="163"/>
      <c r="H524" s="163"/>
      <c r="I524" s="163"/>
      <c r="J524" s="163"/>
    </row>
    <row r="525">
      <c r="A525" s="163"/>
      <c r="B525" s="163"/>
      <c r="C525" s="163"/>
      <c r="D525" s="163"/>
      <c r="E525" s="163"/>
      <c r="F525" s="163"/>
      <c r="G525" s="163"/>
      <c r="H525" s="163"/>
      <c r="I525" s="163"/>
      <c r="J525" s="163"/>
    </row>
    <row r="526">
      <c r="A526" s="163"/>
      <c r="B526" s="163"/>
      <c r="C526" s="163"/>
      <c r="D526" s="163"/>
      <c r="E526" s="163"/>
      <c r="F526" s="163"/>
      <c r="G526" s="163"/>
      <c r="H526" s="163"/>
      <c r="I526" s="163"/>
      <c r="J526" s="163"/>
    </row>
    <row r="527">
      <c r="A527" s="163"/>
      <c r="B527" s="163"/>
      <c r="C527" s="163"/>
      <c r="D527" s="163"/>
      <c r="E527" s="163"/>
      <c r="F527" s="163"/>
      <c r="G527" s="163"/>
      <c r="H527" s="163"/>
      <c r="I527" s="163"/>
      <c r="J527" s="163"/>
    </row>
    <row r="528">
      <c r="A528" s="163"/>
      <c r="B528" s="163"/>
      <c r="C528" s="163"/>
      <c r="D528" s="163"/>
      <c r="E528" s="163"/>
      <c r="F528" s="163"/>
      <c r="G528" s="163"/>
      <c r="H528" s="163"/>
      <c r="I528" s="163"/>
      <c r="J528" s="163"/>
    </row>
    <row r="529">
      <c r="A529" s="163"/>
      <c r="B529" s="163"/>
      <c r="C529" s="163"/>
      <c r="D529" s="163"/>
      <c r="E529" s="163"/>
      <c r="F529" s="163"/>
      <c r="G529" s="163"/>
      <c r="H529" s="163"/>
      <c r="I529" s="163"/>
      <c r="J529" s="163"/>
    </row>
    <row r="530">
      <c r="A530" s="163"/>
      <c r="B530" s="163"/>
      <c r="C530" s="163"/>
      <c r="D530" s="163"/>
      <c r="E530" s="163"/>
      <c r="F530" s="163"/>
      <c r="G530" s="163"/>
      <c r="H530" s="163"/>
      <c r="I530" s="163"/>
      <c r="J530" s="163"/>
    </row>
    <row r="531">
      <c r="A531" s="163"/>
      <c r="B531" s="163"/>
      <c r="C531" s="163"/>
      <c r="D531" s="163"/>
      <c r="E531" s="163"/>
      <c r="F531" s="163"/>
      <c r="G531" s="163"/>
      <c r="H531" s="163"/>
      <c r="I531" s="163"/>
      <c r="J531" s="163"/>
    </row>
    <row r="532">
      <c r="A532" s="163"/>
      <c r="B532" s="163"/>
      <c r="C532" s="163"/>
      <c r="D532" s="163"/>
      <c r="E532" s="163"/>
      <c r="F532" s="163"/>
      <c r="G532" s="163"/>
      <c r="H532" s="163"/>
      <c r="I532" s="163"/>
      <c r="J532" s="163"/>
    </row>
    <row r="533">
      <c r="A533" s="163"/>
      <c r="B533" s="163"/>
      <c r="C533" s="163"/>
      <c r="D533" s="163"/>
      <c r="E533" s="163"/>
      <c r="F533" s="163"/>
      <c r="G533" s="163"/>
      <c r="H533" s="163"/>
      <c r="I533" s="163"/>
      <c r="J533" s="163"/>
    </row>
    <row r="534">
      <c r="A534" s="163"/>
      <c r="B534" s="163"/>
      <c r="C534" s="163"/>
      <c r="D534" s="163"/>
      <c r="E534" s="163"/>
      <c r="F534" s="163"/>
      <c r="G534" s="163"/>
      <c r="H534" s="163"/>
      <c r="I534" s="163"/>
      <c r="J534" s="163"/>
    </row>
    <row r="535">
      <c r="A535" s="163"/>
      <c r="B535" s="163"/>
      <c r="C535" s="163"/>
      <c r="D535" s="163"/>
      <c r="E535" s="163"/>
      <c r="F535" s="163"/>
      <c r="G535" s="163"/>
      <c r="H535" s="163"/>
      <c r="I535" s="163"/>
      <c r="J535" s="163"/>
    </row>
    <row r="536">
      <c r="A536" s="163"/>
      <c r="B536" s="163"/>
      <c r="C536" s="163"/>
      <c r="D536" s="163"/>
      <c r="E536" s="163"/>
      <c r="F536" s="163"/>
      <c r="G536" s="163"/>
      <c r="H536" s="163"/>
      <c r="I536" s="163"/>
      <c r="J536" s="163"/>
    </row>
    <row r="537">
      <c r="A537" s="163"/>
      <c r="B537" s="163"/>
      <c r="C537" s="163"/>
      <c r="D537" s="163"/>
      <c r="E537" s="163"/>
      <c r="F537" s="163"/>
      <c r="G537" s="163"/>
      <c r="H537" s="163"/>
      <c r="I537" s="163"/>
      <c r="J537" s="163"/>
    </row>
    <row r="538">
      <c r="A538" s="163"/>
      <c r="B538" s="163"/>
      <c r="C538" s="163"/>
      <c r="D538" s="163"/>
      <c r="E538" s="163"/>
      <c r="F538" s="163"/>
      <c r="G538" s="163"/>
      <c r="H538" s="163"/>
      <c r="I538" s="163"/>
      <c r="J538" s="163"/>
    </row>
    <row r="539">
      <c r="A539" s="163"/>
      <c r="B539" s="163"/>
      <c r="C539" s="163"/>
      <c r="D539" s="163"/>
      <c r="E539" s="163"/>
      <c r="F539" s="163"/>
      <c r="G539" s="163"/>
      <c r="H539" s="163"/>
      <c r="I539" s="163"/>
      <c r="J539" s="163"/>
    </row>
    <row r="540">
      <c r="A540" s="163"/>
      <c r="B540" s="163"/>
      <c r="C540" s="163"/>
      <c r="D540" s="163"/>
      <c r="E540" s="163"/>
      <c r="F540" s="163"/>
      <c r="G540" s="163"/>
      <c r="H540" s="163"/>
      <c r="I540" s="163"/>
      <c r="J540" s="163"/>
    </row>
    <row r="541">
      <c r="A541" s="163"/>
      <c r="B541" s="163"/>
      <c r="C541" s="163"/>
      <c r="D541" s="163"/>
      <c r="E541" s="163"/>
      <c r="F541" s="163"/>
      <c r="G541" s="163"/>
      <c r="H541" s="163"/>
      <c r="I541" s="163"/>
      <c r="J541" s="163"/>
    </row>
    <row r="542">
      <c r="A542" s="163"/>
      <c r="B542" s="163"/>
      <c r="C542" s="163"/>
      <c r="D542" s="163"/>
      <c r="E542" s="163"/>
      <c r="F542" s="163"/>
      <c r="G542" s="163"/>
      <c r="H542" s="163"/>
      <c r="I542" s="163"/>
      <c r="J542" s="163"/>
    </row>
    <row r="543">
      <c r="A543" s="163"/>
      <c r="B543" s="163"/>
      <c r="C543" s="163"/>
      <c r="D543" s="163"/>
      <c r="E543" s="163"/>
      <c r="F543" s="163"/>
      <c r="G543" s="163"/>
      <c r="H543" s="163"/>
      <c r="I543" s="163"/>
      <c r="J543" s="163"/>
    </row>
    <row r="544">
      <c r="A544" s="163"/>
      <c r="B544" s="163"/>
      <c r="C544" s="163"/>
      <c r="D544" s="163"/>
      <c r="E544" s="163"/>
      <c r="F544" s="163"/>
      <c r="G544" s="163"/>
      <c r="H544" s="163"/>
      <c r="I544" s="163"/>
      <c r="J544" s="163"/>
    </row>
    <row r="545">
      <c r="A545" s="163"/>
      <c r="B545" s="163"/>
      <c r="C545" s="163"/>
      <c r="D545" s="163"/>
      <c r="E545" s="163"/>
      <c r="F545" s="163"/>
      <c r="G545" s="163"/>
      <c r="H545" s="163"/>
      <c r="I545" s="163"/>
      <c r="J545" s="163"/>
    </row>
    <row r="546">
      <c r="A546" s="163"/>
      <c r="B546" s="163"/>
      <c r="C546" s="163"/>
      <c r="D546" s="163"/>
      <c r="E546" s="163"/>
      <c r="F546" s="163"/>
      <c r="G546" s="163"/>
      <c r="H546" s="163"/>
      <c r="I546" s="163"/>
      <c r="J546" s="163"/>
    </row>
    <row r="547">
      <c r="A547" s="163"/>
      <c r="B547" s="163"/>
      <c r="C547" s="163"/>
      <c r="D547" s="163"/>
      <c r="E547" s="163"/>
      <c r="F547" s="163"/>
      <c r="G547" s="163"/>
      <c r="H547" s="163"/>
      <c r="I547" s="163"/>
      <c r="J547" s="163"/>
    </row>
    <row r="548">
      <c r="A548" s="163"/>
      <c r="B548" s="163"/>
      <c r="C548" s="163"/>
      <c r="D548" s="163"/>
      <c r="E548" s="163"/>
      <c r="F548" s="163"/>
      <c r="G548" s="163"/>
      <c r="H548" s="163"/>
      <c r="I548" s="163"/>
      <c r="J548" s="163"/>
    </row>
    <row r="549">
      <c r="A549" s="163"/>
      <c r="B549" s="163"/>
      <c r="C549" s="163"/>
      <c r="D549" s="163"/>
      <c r="E549" s="163"/>
      <c r="F549" s="163"/>
      <c r="G549" s="163"/>
      <c r="H549" s="163"/>
      <c r="I549" s="163"/>
      <c r="J549" s="163"/>
    </row>
    <row r="550">
      <c r="A550" s="163"/>
      <c r="B550" s="163"/>
      <c r="C550" s="163"/>
      <c r="D550" s="163"/>
      <c r="E550" s="163"/>
      <c r="F550" s="163"/>
      <c r="G550" s="163"/>
      <c r="H550" s="163"/>
      <c r="I550" s="163"/>
      <c r="J550" s="163"/>
    </row>
    <row r="551">
      <c r="A551" s="163"/>
      <c r="B551" s="163"/>
      <c r="C551" s="163"/>
      <c r="D551" s="163"/>
      <c r="E551" s="163"/>
      <c r="F551" s="163"/>
      <c r="G551" s="163"/>
      <c r="H551" s="163"/>
      <c r="I551" s="163"/>
      <c r="J551" s="163"/>
    </row>
    <row r="552">
      <c r="A552" s="163"/>
      <c r="B552" s="163"/>
      <c r="C552" s="163"/>
      <c r="D552" s="163"/>
      <c r="E552" s="163"/>
      <c r="F552" s="163"/>
      <c r="G552" s="163"/>
      <c r="H552" s="163"/>
      <c r="I552" s="163"/>
      <c r="J552" s="163"/>
    </row>
    <row r="553">
      <c r="A553" s="163"/>
      <c r="B553" s="163"/>
      <c r="C553" s="163"/>
      <c r="D553" s="163"/>
      <c r="E553" s="163"/>
      <c r="F553" s="163"/>
      <c r="G553" s="163"/>
      <c r="H553" s="163"/>
      <c r="I553" s="163"/>
      <c r="J553" s="163"/>
    </row>
    <row r="554">
      <c r="A554" s="163"/>
      <c r="B554" s="163"/>
      <c r="C554" s="163"/>
      <c r="D554" s="163"/>
      <c r="E554" s="163"/>
      <c r="F554" s="163"/>
      <c r="G554" s="163"/>
      <c r="H554" s="163"/>
      <c r="I554" s="163"/>
      <c r="J554" s="163"/>
    </row>
    <row r="555">
      <c r="A555" s="163"/>
      <c r="B555" s="163"/>
      <c r="C555" s="163"/>
      <c r="D555" s="163"/>
      <c r="E555" s="163"/>
      <c r="F555" s="163"/>
      <c r="G555" s="163"/>
      <c r="H555" s="163"/>
      <c r="I555" s="163"/>
      <c r="J555" s="163"/>
    </row>
    <row r="556">
      <c r="A556" s="163"/>
      <c r="B556" s="163"/>
      <c r="C556" s="163"/>
      <c r="D556" s="163"/>
      <c r="E556" s="163"/>
      <c r="F556" s="163"/>
      <c r="G556" s="163"/>
      <c r="H556" s="163"/>
      <c r="I556" s="163"/>
      <c r="J556" s="163"/>
    </row>
    <row r="557">
      <c r="A557" s="163"/>
      <c r="B557" s="163"/>
      <c r="C557" s="163"/>
      <c r="D557" s="163"/>
      <c r="E557" s="163"/>
      <c r="F557" s="163"/>
      <c r="G557" s="163"/>
      <c r="H557" s="163"/>
      <c r="I557" s="163"/>
      <c r="J557" s="163"/>
    </row>
    <row r="558">
      <c r="A558" s="163"/>
      <c r="B558" s="163"/>
      <c r="C558" s="163"/>
      <c r="D558" s="163"/>
      <c r="E558" s="163"/>
      <c r="F558" s="163"/>
      <c r="G558" s="163"/>
      <c r="H558" s="163"/>
      <c r="I558" s="163"/>
      <c r="J558" s="163"/>
    </row>
    <row r="559">
      <c r="A559" s="163"/>
      <c r="B559" s="163"/>
      <c r="C559" s="163"/>
      <c r="D559" s="163"/>
      <c r="E559" s="163"/>
      <c r="F559" s="163"/>
      <c r="G559" s="163"/>
      <c r="H559" s="163"/>
      <c r="I559" s="163"/>
      <c r="J559" s="163"/>
    </row>
    <row r="560">
      <c r="A560" s="163"/>
      <c r="B560" s="163"/>
      <c r="C560" s="163"/>
      <c r="D560" s="163"/>
      <c r="E560" s="163"/>
      <c r="F560" s="163"/>
      <c r="G560" s="163"/>
      <c r="H560" s="163"/>
      <c r="I560" s="163"/>
      <c r="J560" s="163"/>
    </row>
    <row r="561">
      <c r="A561" s="163"/>
      <c r="B561" s="163"/>
      <c r="C561" s="163"/>
      <c r="D561" s="163"/>
      <c r="E561" s="163"/>
      <c r="F561" s="163"/>
      <c r="G561" s="163"/>
      <c r="H561" s="163"/>
      <c r="I561" s="163"/>
      <c r="J561" s="163"/>
    </row>
    <row r="562">
      <c r="A562" s="163"/>
      <c r="B562" s="163"/>
      <c r="C562" s="163"/>
      <c r="D562" s="163"/>
      <c r="E562" s="163"/>
      <c r="F562" s="163"/>
      <c r="G562" s="163"/>
      <c r="H562" s="163"/>
      <c r="I562" s="163"/>
      <c r="J562" s="163"/>
    </row>
    <row r="563">
      <c r="A563" s="163"/>
      <c r="B563" s="163"/>
      <c r="C563" s="163"/>
      <c r="D563" s="163"/>
      <c r="E563" s="163"/>
      <c r="F563" s="163"/>
      <c r="G563" s="163"/>
      <c r="H563" s="163"/>
      <c r="I563" s="163"/>
      <c r="J563" s="163"/>
    </row>
    <row r="564">
      <c r="A564" s="163"/>
      <c r="B564" s="163"/>
      <c r="C564" s="163"/>
      <c r="D564" s="163"/>
      <c r="E564" s="163"/>
      <c r="F564" s="163"/>
      <c r="G564" s="163"/>
      <c r="H564" s="163"/>
      <c r="I564" s="163"/>
      <c r="J564" s="163"/>
    </row>
    <row r="565">
      <c r="A565" s="163"/>
      <c r="B565" s="163"/>
      <c r="C565" s="163"/>
      <c r="D565" s="163"/>
      <c r="E565" s="163"/>
      <c r="F565" s="163"/>
      <c r="G565" s="163"/>
      <c r="H565" s="163"/>
      <c r="I565" s="163"/>
      <c r="J565" s="163"/>
    </row>
    <row r="566">
      <c r="A566" s="163"/>
      <c r="B566" s="163"/>
      <c r="C566" s="163"/>
      <c r="D566" s="163"/>
      <c r="E566" s="163"/>
      <c r="F566" s="163"/>
      <c r="G566" s="163"/>
      <c r="H566" s="163"/>
      <c r="I566" s="163"/>
      <c r="J566" s="163"/>
    </row>
    <row r="567">
      <c r="A567" s="163"/>
      <c r="B567" s="163"/>
      <c r="C567" s="163"/>
      <c r="D567" s="163"/>
      <c r="E567" s="163"/>
      <c r="F567" s="163"/>
      <c r="G567" s="163"/>
      <c r="H567" s="163"/>
      <c r="I567" s="163"/>
      <c r="J567" s="163"/>
    </row>
    <row r="568">
      <c r="A568" s="163"/>
      <c r="B568" s="163"/>
      <c r="C568" s="163"/>
      <c r="D568" s="163"/>
      <c r="E568" s="163"/>
      <c r="F568" s="163"/>
      <c r="G568" s="163"/>
      <c r="H568" s="163"/>
      <c r="I568" s="163"/>
      <c r="J568" s="163"/>
    </row>
    <row r="569">
      <c r="A569" s="163"/>
      <c r="B569" s="163"/>
      <c r="C569" s="163"/>
      <c r="D569" s="163"/>
      <c r="E569" s="163"/>
      <c r="F569" s="163"/>
      <c r="G569" s="163"/>
      <c r="H569" s="163"/>
      <c r="I569" s="163"/>
      <c r="J569" s="163"/>
    </row>
    <row r="570">
      <c r="A570" s="163"/>
      <c r="B570" s="163"/>
      <c r="C570" s="163"/>
      <c r="D570" s="163"/>
      <c r="E570" s="163"/>
      <c r="F570" s="163"/>
      <c r="G570" s="163"/>
      <c r="H570" s="163"/>
      <c r="I570" s="163"/>
      <c r="J570" s="163"/>
    </row>
    <row r="571">
      <c r="A571" s="163"/>
      <c r="B571" s="163"/>
      <c r="C571" s="163"/>
      <c r="D571" s="163"/>
      <c r="E571" s="163"/>
      <c r="F571" s="163"/>
      <c r="G571" s="163"/>
      <c r="H571" s="163"/>
      <c r="I571" s="163"/>
      <c r="J571" s="163"/>
    </row>
    <row r="572">
      <c r="A572" s="163"/>
      <c r="B572" s="163"/>
      <c r="C572" s="163"/>
      <c r="D572" s="163"/>
      <c r="E572" s="163"/>
      <c r="F572" s="163"/>
      <c r="G572" s="163"/>
      <c r="H572" s="163"/>
      <c r="I572" s="163"/>
      <c r="J572" s="163"/>
    </row>
    <row r="573">
      <c r="A573" s="163"/>
      <c r="B573" s="163"/>
      <c r="C573" s="163"/>
      <c r="D573" s="163"/>
      <c r="E573" s="163"/>
      <c r="F573" s="163"/>
      <c r="G573" s="163"/>
      <c r="H573" s="163"/>
      <c r="I573" s="163"/>
      <c r="J573" s="163"/>
    </row>
    <row r="574">
      <c r="A574" s="163"/>
      <c r="B574" s="163"/>
      <c r="C574" s="163"/>
      <c r="D574" s="163"/>
      <c r="E574" s="163"/>
      <c r="F574" s="163"/>
      <c r="G574" s="163"/>
      <c r="H574" s="163"/>
      <c r="I574" s="163"/>
      <c r="J574" s="163"/>
    </row>
    <row r="575">
      <c r="A575" s="163"/>
      <c r="B575" s="163"/>
      <c r="C575" s="163"/>
      <c r="D575" s="163"/>
      <c r="E575" s="163"/>
      <c r="F575" s="163"/>
      <c r="G575" s="163"/>
      <c r="H575" s="163"/>
      <c r="I575" s="163"/>
      <c r="J575" s="163"/>
    </row>
    <row r="576">
      <c r="A576" s="163"/>
      <c r="B576" s="163"/>
      <c r="C576" s="163"/>
      <c r="D576" s="163"/>
      <c r="E576" s="163"/>
      <c r="F576" s="163"/>
      <c r="G576" s="163"/>
      <c r="H576" s="163"/>
      <c r="I576" s="163"/>
      <c r="J576" s="163"/>
    </row>
    <row r="577">
      <c r="A577" s="163"/>
      <c r="B577" s="163"/>
      <c r="C577" s="163"/>
      <c r="D577" s="163"/>
      <c r="E577" s="163"/>
      <c r="F577" s="163"/>
      <c r="G577" s="163"/>
      <c r="H577" s="163"/>
      <c r="I577" s="163"/>
      <c r="J577" s="163"/>
    </row>
    <row r="578">
      <c r="A578" s="163"/>
      <c r="B578" s="163"/>
      <c r="C578" s="163"/>
      <c r="D578" s="163"/>
      <c r="E578" s="163"/>
      <c r="F578" s="163"/>
      <c r="G578" s="163"/>
      <c r="H578" s="163"/>
      <c r="I578" s="163"/>
      <c r="J578" s="163"/>
    </row>
    <row r="579">
      <c r="A579" s="163"/>
      <c r="B579" s="163"/>
      <c r="C579" s="163"/>
      <c r="D579" s="163"/>
      <c r="E579" s="163"/>
      <c r="F579" s="163"/>
      <c r="G579" s="163"/>
      <c r="H579" s="163"/>
      <c r="I579" s="163"/>
      <c r="J579" s="163"/>
    </row>
    <row r="580">
      <c r="A580" s="163"/>
      <c r="B580" s="163"/>
      <c r="C580" s="163"/>
      <c r="D580" s="163"/>
      <c r="E580" s="163"/>
      <c r="F580" s="163"/>
      <c r="G580" s="163"/>
      <c r="H580" s="163"/>
      <c r="I580" s="163"/>
      <c r="J580" s="163"/>
    </row>
    <row r="581">
      <c r="A581" s="163"/>
      <c r="B581" s="163"/>
      <c r="C581" s="163"/>
      <c r="D581" s="163"/>
      <c r="E581" s="163"/>
      <c r="F581" s="163"/>
      <c r="G581" s="163"/>
      <c r="H581" s="163"/>
      <c r="I581" s="163"/>
      <c r="J581" s="163"/>
    </row>
    <row r="582">
      <c r="A582" s="163"/>
      <c r="B582" s="163"/>
      <c r="C582" s="163"/>
      <c r="D582" s="163"/>
      <c r="E582" s="163"/>
      <c r="F582" s="163"/>
      <c r="G582" s="163"/>
      <c r="H582" s="163"/>
      <c r="I582" s="163"/>
      <c r="J582" s="163"/>
    </row>
    <row r="583">
      <c r="A583" s="163"/>
      <c r="B583" s="163"/>
      <c r="C583" s="163"/>
      <c r="D583" s="163"/>
      <c r="E583" s="163"/>
      <c r="F583" s="163"/>
      <c r="G583" s="163"/>
      <c r="H583" s="163"/>
      <c r="I583" s="163"/>
      <c r="J583" s="163"/>
    </row>
    <row r="584">
      <c r="A584" s="163"/>
      <c r="B584" s="163"/>
      <c r="C584" s="163"/>
      <c r="D584" s="163"/>
      <c r="E584" s="163"/>
      <c r="F584" s="163"/>
      <c r="G584" s="163"/>
      <c r="H584" s="163"/>
      <c r="I584" s="163"/>
      <c r="J584" s="163"/>
    </row>
    <row r="585">
      <c r="A585" s="163"/>
      <c r="B585" s="163"/>
      <c r="C585" s="163"/>
      <c r="D585" s="163"/>
      <c r="E585" s="163"/>
      <c r="F585" s="163"/>
      <c r="G585" s="163"/>
      <c r="H585" s="163"/>
      <c r="I585" s="163"/>
      <c r="J585" s="163"/>
    </row>
    <row r="586">
      <c r="A586" s="163"/>
      <c r="B586" s="163"/>
      <c r="C586" s="163"/>
      <c r="D586" s="163"/>
      <c r="E586" s="163"/>
      <c r="F586" s="163"/>
      <c r="G586" s="163"/>
      <c r="H586" s="163"/>
      <c r="I586" s="163"/>
      <c r="J586" s="163"/>
    </row>
    <row r="587">
      <c r="A587" s="163"/>
      <c r="B587" s="163"/>
      <c r="C587" s="163"/>
      <c r="D587" s="163"/>
      <c r="E587" s="163"/>
      <c r="F587" s="163"/>
      <c r="G587" s="163"/>
      <c r="H587" s="163"/>
      <c r="I587" s="163"/>
      <c r="J587" s="163"/>
    </row>
    <row r="588">
      <c r="A588" s="163"/>
      <c r="B588" s="163"/>
      <c r="C588" s="163"/>
      <c r="D588" s="163"/>
      <c r="E588" s="163"/>
      <c r="F588" s="163"/>
      <c r="G588" s="163"/>
      <c r="H588" s="163"/>
      <c r="I588" s="163"/>
      <c r="J588" s="163"/>
    </row>
    <row r="589">
      <c r="A589" s="163"/>
      <c r="B589" s="163"/>
      <c r="C589" s="163"/>
      <c r="D589" s="163"/>
      <c r="E589" s="163"/>
      <c r="F589" s="163"/>
      <c r="G589" s="163"/>
      <c r="H589" s="163"/>
      <c r="I589" s="163"/>
      <c r="J589" s="163"/>
    </row>
    <row r="590">
      <c r="A590" s="163"/>
      <c r="B590" s="163"/>
      <c r="C590" s="163"/>
      <c r="D590" s="163"/>
      <c r="E590" s="163"/>
      <c r="F590" s="163"/>
      <c r="G590" s="163"/>
      <c r="H590" s="163"/>
      <c r="I590" s="163"/>
      <c r="J590" s="163"/>
    </row>
    <row r="591">
      <c r="A591" s="163"/>
      <c r="B591" s="163"/>
      <c r="C591" s="163"/>
      <c r="D591" s="163"/>
      <c r="E591" s="163"/>
      <c r="F591" s="163"/>
      <c r="G591" s="163"/>
      <c r="H591" s="163"/>
      <c r="I591" s="163"/>
      <c r="J591" s="163"/>
    </row>
    <row r="592">
      <c r="A592" s="163"/>
      <c r="B592" s="163"/>
      <c r="C592" s="163"/>
      <c r="D592" s="163"/>
      <c r="E592" s="163"/>
      <c r="F592" s="163"/>
      <c r="G592" s="163"/>
      <c r="H592" s="163"/>
      <c r="I592" s="163"/>
      <c r="J592" s="163"/>
    </row>
    <row r="593">
      <c r="A593" s="163"/>
      <c r="B593" s="163"/>
      <c r="C593" s="163"/>
      <c r="D593" s="163"/>
      <c r="E593" s="163"/>
      <c r="F593" s="163"/>
      <c r="G593" s="163"/>
      <c r="H593" s="163"/>
      <c r="I593" s="163"/>
      <c r="J593" s="163"/>
    </row>
    <row r="594">
      <c r="A594" s="163"/>
      <c r="B594" s="163"/>
      <c r="C594" s="163"/>
      <c r="D594" s="163"/>
      <c r="E594" s="163"/>
      <c r="F594" s="163"/>
      <c r="G594" s="163"/>
      <c r="H594" s="163"/>
      <c r="I594" s="163"/>
      <c r="J594" s="163"/>
    </row>
    <row r="595">
      <c r="A595" s="163"/>
      <c r="B595" s="163"/>
      <c r="C595" s="163"/>
      <c r="D595" s="163"/>
      <c r="E595" s="163"/>
      <c r="F595" s="163"/>
      <c r="G595" s="163"/>
      <c r="H595" s="163"/>
      <c r="I595" s="163"/>
      <c r="J595" s="163"/>
    </row>
    <row r="596">
      <c r="A596" s="163"/>
      <c r="B596" s="163"/>
      <c r="C596" s="163"/>
      <c r="D596" s="163"/>
      <c r="E596" s="163"/>
      <c r="F596" s="163"/>
      <c r="G596" s="163"/>
      <c r="H596" s="163"/>
      <c r="I596" s="163"/>
      <c r="J596" s="163"/>
    </row>
    <row r="597">
      <c r="A597" s="163"/>
      <c r="B597" s="163"/>
      <c r="C597" s="163"/>
      <c r="D597" s="163"/>
      <c r="E597" s="163"/>
      <c r="F597" s="163"/>
      <c r="G597" s="163"/>
      <c r="H597" s="163"/>
      <c r="I597" s="163"/>
      <c r="J597" s="163"/>
    </row>
    <row r="598">
      <c r="A598" s="163"/>
      <c r="B598" s="163"/>
      <c r="C598" s="163"/>
      <c r="D598" s="163"/>
      <c r="E598" s="163"/>
      <c r="F598" s="163"/>
      <c r="G598" s="163"/>
      <c r="H598" s="163"/>
      <c r="I598" s="163"/>
      <c r="J598" s="163"/>
    </row>
    <row r="599">
      <c r="A599" s="163"/>
      <c r="B599" s="163"/>
      <c r="C599" s="163"/>
      <c r="D599" s="163"/>
      <c r="E599" s="163"/>
      <c r="F599" s="163"/>
      <c r="G599" s="163"/>
      <c r="H599" s="163"/>
      <c r="I599" s="163"/>
      <c r="J599" s="163"/>
    </row>
    <row r="600">
      <c r="A600" s="163"/>
      <c r="B600" s="163"/>
      <c r="C600" s="163"/>
      <c r="D600" s="163"/>
      <c r="E600" s="163"/>
      <c r="F600" s="163"/>
      <c r="G600" s="163"/>
      <c r="H600" s="163"/>
      <c r="I600" s="163"/>
      <c r="J600" s="163"/>
    </row>
    <row r="601">
      <c r="A601" s="163"/>
      <c r="B601" s="163"/>
      <c r="C601" s="163"/>
      <c r="D601" s="163"/>
      <c r="E601" s="163"/>
      <c r="F601" s="163"/>
      <c r="G601" s="163"/>
      <c r="H601" s="163"/>
      <c r="I601" s="163"/>
      <c r="J601" s="163"/>
    </row>
    <row r="602">
      <c r="A602" s="163"/>
      <c r="B602" s="163"/>
      <c r="C602" s="163"/>
      <c r="D602" s="163"/>
      <c r="E602" s="163"/>
      <c r="F602" s="163"/>
      <c r="G602" s="163"/>
      <c r="H602" s="163"/>
      <c r="I602" s="163"/>
      <c r="J602" s="163"/>
    </row>
    <row r="603">
      <c r="A603" s="163"/>
      <c r="B603" s="163"/>
      <c r="C603" s="163"/>
      <c r="D603" s="163"/>
      <c r="E603" s="163"/>
      <c r="F603" s="163"/>
      <c r="G603" s="163"/>
      <c r="H603" s="163"/>
      <c r="I603" s="163"/>
      <c r="J603" s="163"/>
    </row>
    <row r="604">
      <c r="A604" s="163"/>
      <c r="B604" s="163"/>
      <c r="C604" s="163"/>
      <c r="D604" s="163"/>
      <c r="E604" s="163"/>
      <c r="F604" s="163"/>
      <c r="G604" s="163"/>
      <c r="H604" s="163"/>
      <c r="I604" s="163"/>
      <c r="J604" s="163"/>
    </row>
    <row r="605">
      <c r="A605" s="163"/>
      <c r="B605" s="163"/>
      <c r="C605" s="163"/>
      <c r="D605" s="163"/>
      <c r="E605" s="163"/>
      <c r="F605" s="163"/>
      <c r="G605" s="163"/>
      <c r="H605" s="163"/>
      <c r="I605" s="163"/>
      <c r="J605" s="163"/>
    </row>
    <row r="606">
      <c r="A606" s="163"/>
      <c r="B606" s="163"/>
      <c r="C606" s="163"/>
      <c r="D606" s="163"/>
      <c r="E606" s="163"/>
      <c r="F606" s="163"/>
      <c r="G606" s="163"/>
      <c r="H606" s="163"/>
      <c r="I606" s="163"/>
      <c r="J606" s="163"/>
    </row>
    <row r="607">
      <c r="A607" s="163"/>
      <c r="B607" s="163"/>
      <c r="C607" s="163"/>
      <c r="D607" s="163"/>
      <c r="E607" s="163"/>
      <c r="F607" s="163"/>
      <c r="G607" s="163"/>
      <c r="H607" s="163"/>
      <c r="I607" s="163"/>
      <c r="J607" s="163"/>
    </row>
    <row r="608">
      <c r="A608" s="163"/>
      <c r="B608" s="163"/>
      <c r="C608" s="163"/>
      <c r="D608" s="163"/>
      <c r="E608" s="163"/>
      <c r="F608" s="163"/>
      <c r="G608" s="163"/>
      <c r="H608" s="163"/>
      <c r="I608" s="163"/>
      <c r="J608" s="163"/>
    </row>
    <row r="609">
      <c r="A609" s="163"/>
      <c r="B609" s="163"/>
      <c r="C609" s="163"/>
      <c r="D609" s="163"/>
      <c r="E609" s="163"/>
      <c r="F609" s="163"/>
      <c r="G609" s="163"/>
      <c r="H609" s="163"/>
      <c r="I609" s="163"/>
      <c r="J609" s="163"/>
    </row>
    <row r="610">
      <c r="A610" s="163"/>
      <c r="B610" s="163"/>
      <c r="C610" s="163"/>
      <c r="D610" s="163"/>
      <c r="E610" s="163"/>
      <c r="F610" s="163"/>
      <c r="G610" s="163"/>
      <c r="H610" s="163"/>
      <c r="I610" s="163"/>
      <c r="J610" s="163"/>
    </row>
    <row r="611">
      <c r="A611" s="163"/>
      <c r="B611" s="163"/>
      <c r="C611" s="163"/>
      <c r="D611" s="163"/>
      <c r="E611" s="163"/>
      <c r="F611" s="163"/>
      <c r="G611" s="163"/>
      <c r="H611" s="163"/>
      <c r="I611" s="163"/>
      <c r="J611" s="163"/>
    </row>
    <row r="612">
      <c r="A612" s="163"/>
      <c r="B612" s="163"/>
      <c r="C612" s="163"/>
      <c r="D612" s="163"/>
      <c r="E612" s="163"/>
      <c r="F612" s="163"/>
      <c r="G612" s="163"/>
      <c r="H612" s="163"/>
      <c r="I612" s="163"/>
      <c r="J612" s="163"/>
    </row>
    <row r="613">
      <c r="A613" s="163"/>
      <c r="B613" s="163"/>
      <c r="C613" s="163"/>
      <c r="D613" s="163"/>
      <c r="E613" s="163"/>
      <c r="F613" s="163"/>
      <c r="G613" s="163"/>
      <c r="H613" s="163"/>
      <c r="I613" s="163"/>
      <c r="J613" s="163"/>
    </row>
    <row r="614">
      <c r="A614" s="163"/>
      <c r="B614" s="163"/>
      <c r="C614" s="163"/>
      <c r="D614" s="163"/>
      <c r="E614" s="163"/>
      <c r="F614" s="163"/>
      <c r="G614" s="163"/>
      <c r="H614" s="163"/>
      <c r="I614" s="163"/>
      <c r="J614" s="163"/>
    </row>
    <row r="615">
      <c r="A615" s="163"/>
      <c r="B615" s="163"/>
      <c r="C615" s="163"/>
      <c r="D615" s="163"/>
      <c r="E615" s="163"/>
      <c r="F615" s="163"/>
      <c r="G615" s="163"/>
      <c r="H615" s="163"/>
      <c r="I615" s="163"/>
      <c r="J615" s="163"/>
    </row>
    <row r="616">
      <c r="A616" s="163"/>
      <c r="B616" s="163"/>
      <c r="C616" s="163"/>
      <c r="D616" s="163"/>
      <c r="E616" s="163"/>
      <c r="F616" s="163"/>
      <c r="G616" s="163"/>
      <c r="H616" s="163"/>
      <c r="I616" s="163"/>
      <c r="J616" s="163"/>
    </row>
    <row r="617">
      <c r="A617" s="163"/>
      <c r="B617" s="163"/>
      <c r="C617" s="163"/>
      <c r="D617" s="163"/>
      <c r="E617" s="163"/>
      <c r="F617" s="163"/>
      <c r="G617" s="163"/>
      <c r="H617" s="163"/>
      <c r="I617" s="163"/>
      <c r="J617" s="163"/>
    </row>
    <row r="618">
      <c r="A618" s="163"/>
      <c r="B618" s="163"/>
      <c r="C618" s="163"/>
      <c r="D618" s="163"/>
      <c r="E618" s="163"/>
      <c r="F618" s="163"/>
      <c r="G618" s="163"/>
      <c r="H618" s="163"/>
      <c r="I618" s="163"/>
      <c r="J618" s="163"/>
    </row>
    <row r="619">
      <c r="A619" s="163"/>
      <c r="B619" s="163"/>
      <c r="C619" s="163"/>
      <c r="D619" s="163"/>
      <c r="E619" s="163"/>
      <c r="F619" s="163"/>
      <c r="G619" s="163"/>
      <c r="H619" s="163"/>
      <c r="I619" s="163"/>
      <c r="J619" s="163"/>
    </row>
    <row r="620">
      <c r="A620" s="163"/>
      <c r="B620" s="163"/>
      <c r="C620" s="163"/>
      <c r="D620" s="163"/>
      <c r="E620" s="163"/>
      <c r="F620" s="163"/>
      <c r="G620" s="163"/>
      <c r="H620" s="163"/>
      <c r="I620" s="163"/>
      <c r="J620" s="163"/>
    </row>
    <row r="621">
      <c r="A621" s="163"/>
      <c r="B621" s="163"/>
      <c r="C621" s="163"/>
      <c r="D621" s="163"/>
      <c r="E621" s="163"/>
      <c r="F621" s="163"/>
      <c r="G621" s="163"/>
      <c r="H621" s="163"/>
      <c r="I621" s="163"/>
      <c r="J621" s="163"/>
    </row>
    <row r="622">
      <c r="A622" s="163"/>
      <c r="B622" s="163"/>
      <c r="C622" s="163"/>
      <c r="D622" s="163"/>
      <c r="E622" s="163"/>
      <c r="F622" s="163"/>
      <c r="G622" s="163"/>
      <c r="H622" s="163"/>
      <c r="I622" s="163"/>
      <c r="J622" s="163"/>
    </row>
    <row r="623">
      <c r="A623" s="163"/>
      <c r="B623" s="163"/>
      <c r="C623" s="163"/>
      <c r="D623" s="163"/>
      <c r="E623" s="163"/>
      <c r="F623" s="163"/>
      <c r="G623" s="163"/>
      <c r="H623" s="163"/>
      <c r="I623" s="163"/>
      <c r="J623" s="163"/>
    </row>
    <row r="624">
      <c r="A624" s="163"/>
      <c r="B624" s="163"/>
      <c r="C624" s="163"/>
      <c r="D624" s="163"/>
      <c r="E624" s="163"/>
      <c r="F624" s="163"/>
      <c r="G624" s="163"/>
      <c r="H624" s="163"/>
      <c r="I624" s="163"/>
      <c r="J624" s="163"/>
    </row>
    <row r="625">
      <c r="A625" s="163"/>
      <c r="B625" s="163"/>
      <c r="C625" s="163"/>
      <c r="D625" s="163"/>
      <c r="E625" s="163"/>
      <c r="F625" s="163"/>
      <c r="G625" s="163"/>
      <c r="H625" s="163"/>
      <c r="I625" s="163"/>
      <c r="J625" s="163"/>
    </row>
    <row r="626">
      <c r="A626" s="163"/>
      <c r="B626" s="163"/>
      <c r="C626" s="163"/>
      <c r="D626" s="163"/>
      <c r="E626" s="163"/>
      <c r="F626" s="163"/>
      <c r="G626" s="163"/>
      <c r="H626" s="163"/>
      <c r="I626" s="163"/>
      <c r="J626" s="163"/>
    </row>
    <row r="627">
      <c r="A627" s="163"/>
      <c r="B627" s="163"/>
      <c r="C627" s="163"/>
      <c r="D627" s="163"/>
      <c r="E627" s="163"/>
      <c r="F627" s="163"/>
      <c r="G627" s="163"/>
      <c r="H627" s="163"/>
      <c r="I627" s="163"/>
      <c r="J627" s="163"/>
    </row>
    <row r="628">
      <c r="A628" s="163"/>
      <c r="B628" s="163"/>
      <c r="C628" s="163"/>
      <c r="D628" s="163"/>
      <c r="E628" s="163"/>
      <c r="F628" s="163"/>
      <c r="G628" s="163"/>
      <c r="H628" s="163"/>
      <c r="I628" s="163"/>
      <c r="J628" s="163"/>
    </row>
    <row r="629">
      <c r="A629" s="163"/>
      <c r="B629" s="163"/>
      <c r="C629" s="163"/>
      <c r="D629" s="163"/>
      <c r="E629" s="163"/>
      <c r="F629" s="163"/>
      <c r="G629" s="163"/>
      <c r="H629" s="163"/>
      <c r="I629" s="163"/>
      <c r="J629" s="163"/>
    </row>
    <row r="630">
      <c r="A630" s="163"/>
      <c r="B630" s="163"/>
      <c r="C630" s="163"/>
      <c r="D630" s="163"/>
      <c r="E630" s="163"/>
      <c r="F630" s="163"/>
      <c r="G630" s="163"/>
      <c r="H630" s="163"/>
      <c r="I630" s="163"/>
      <c r="J630" s="163"/>
    </row>
    <row r="631">
      <c r="A631" s="163"/>
      <c r="B631" s="163"/>
      <c r="C631" s="163"/>
      <c r="D631" s="163"/>
      <c r="E631" s="163"/>
      <c r="F631" s="163"/>
      <c r="G631" s="163"/>
      <c r="H631" s="163"/>
      <c r="I631" s="163"/>
      <c r="J631" s="163"/>
    </row>
    <row r="632">
      <c r="A632" s="163"/>
      <c r="B632" s="163"/>
      <c r="C632" s="163"/>
      <c r="D632" s="163"/>
      <c r="E632" s="163"/>
      <c r="F632" s="163"/>
      <c r="G632" s="163"/>
      <c r="H632" s="163"/>
      <c r="I632" s="163"/>
      <c r="J632" s="163"/>
    </row>
    <row r="633">
      <c r="A633" s="163"/>
      <c r="B633" s="163"/>
      <c r="C633" s="163"/>
      <c r="D633" s="163"/>
      <c r="E633" s="163"/>
      <c r="F633" s="163"/>
      <c r="G633" s="163"/>
      <c r="H633" s="163"/>
      <c r="I633" s="163"/>
      <c r="J633" s="163"/>
    </row>
    <row r="634">
      <c r="A634" s="163"/>
      <c r="B634" s="163"/>
      <c r="C634" s="163"/>
      <c r="D634" s="163"/>
      <c r="E634" s="163"/>
      <c r="F634" s="163"/>
      <c r="G634" s="163"/>
      <c r="H634" s="163"/>
      <c r="I634" s="163"/>
      <c r="J634" s="163"/>
    </row>
    <row r="635">
      <c r="A635" s="163"/>
      <c r="B635" s="163"/>
      <c r="C635" s="163"/>
      <c r="D635" s="163"/>
      <c r="E635" s="163"/>
      <c r="F635" s="163"/>
      <c r="G635" s="163"/>
      <c r="H635" s="163"/>
      <c r="I635" s="163"/>
      <c r="J635" s="163"/>
    </row>
    <row r="636">
      <c r="A636" s="163"/>
      <c r="B636" s="163"/>
      <c r="C636" s="163"/>
      <c r="D636" s="163"/>
      <c r="E636" s="163"/>
      <c r="F636" s="163"/>
      <c r="G636" s="163"/>
      <c r="H636" s="163"/>
      <c r="I636" s="163"/>
      <c r="J636" s="163"/>
    </row>
    <row r="637">
      <c r="A637" s="163"/>
      <c r="B637" s="163"/>
      <c r="C637" s="163"/>
      <c r="D637" s="163"/>
      <c r="E637" s="163"/>
      <c r="F637" s="163"/>
      <c r="G637" s="163"/>
      <c r="H637" s="163"/>
      <c r="I637" s="163"/>
      <c r="J637" s="163"/>
    </row>
    <row r="638">
      <c r="A638" s="163"/>
      <c r="B638" s="163"/>
      <c r="C638" s="163"/>
      <c r="D638" s="163"/>
      <c r="E638" s="163"/>
      <c r="F638" s="163"/>
      <c r="G638" s="163"/>
      <c r="H638" s="163"/>
      <c r="I638" s="163"/>
      <c r="J638" s="163"/>
    </row>
    <row r="639">
      <c r="A639" s="163"/>
      <c r="B639" s="163"/>
      <c r="C639" s="163"/>
      <c r="D639" s="163"/>
      <c r="E639" s="163"/>
      <c r="F639" s="163"/>
      <c r="G639" s="163"/>
      <c r="H639" s="163"/>
      <c r="I639" s="163"/>
      <c r="J639" s="163"/>
    </row>
    <row r="640">
      <c r="A640" s="163"/>
      <c r="B640" s="163"/>
      <c r="C640" s="163"/>
      <c r="D640" s="163"/>
      <c r="E640" s="163"/>
      <c r="F640" s="163"/>
      <c r="G640" s="163"/>
      <c r="H640" s="163"/>
      <c r="I640" s="163"/>
      <c r="J640" s="163"/>
    </row>
    <row r="641">
      <c r="A641" s="163"/>
      <c r="B641" s="163"/>
      <c r="C641" s="163"/>
      <c r="D641" s="163"/>
      <c r="E641" s="163"/>
      <c r="F641" s="163"/>
      <c r="G641" s="163"/>
      <c r="H641" s="163"/>
      <c r="I641" s="163"/>
      <c r="J641" s="163"/>
    </row>
    <row r="642">
      <c r="A642" s="163"/>
      <c r="B642" s="163"/>
      <c r="C642" s="163"/>
      <c r="D642" s="163"/>
      <c r="E642" s="163"/>
      <c r="F642" s="163"/>
      <c r="G642" s="163"/>
      <c r="H642" s="163"/>
      <c r="I642" s="163"/>
      <c r="J642" s="163"/>
    </row>
    <row r="643">
      <c r="A643" s="163"/>
      <c r="B643" s="163"/>
      <c r="C643" s="163"/>
      <c r="D643" s="163"/>
      <c r="E643" s="163"/>
      <c r="F643" s="163"/>
      <c r="G643" s="163"/>
      <c r="H643" s="163"/>
      <c r="I643" s="163"/>
      <c r="J643" s="163"/>
    </row>
    <row r="644">
      <c r="A644" s="163"/>
      <c r="B644" s="163"/>
      <c r="C644" s="163"/>
      <c r="D644" s="163"/>
      <c r="E644" s="163"/>
      <c r="F644" s="163"/>
      <c r="G644" s="163"/>
      <c r="H644" s="163"/>
      <c r="I644" s="163"/>
      <c r="J644" s="163"/>
    </row>
    <row r="645">
      <c r="A645" s="163"/>
      <c r="B645" s="163"/>
      <c r="C645" s="163"/>
      <c r="D645" s="163"/>
      <c r="E645" s="163"/>
      <c r="F645" s="163"/>
      <c r="G645" s="163"/>
      <c r="H645" s="163"/>
      <c r="I645" s="163"/>
      <c r="J645" s="163"/>
    </row>
    <row r="646">
      <c r="A646" s="163"/>
      <c r="B646" s="163"/>
      <c r="C646" s="163"/>
      <c r="D646" s="163"/>
      <c r="E646" s="163"/>
      <c r="F646" s="163"/>
      <c r="G646" s="163"/>
      <c r="H646" s="163"/>
      <c r="I646" s="163"/>
      <c r="J646" s="163"/>
    </row>
    <row r="647">
      <c r="A647" s="163"/>
      <c r="B647" s="163"/>
      <c r="C647" s="163"/>
      <c r="D647" s="163"/>
      <c r="E647" s="163"/>
      <c r="F647" s="163"/>
      <c r="G647" s="163"/>
      <c r="H647" s="163"/>
      <c r="I647" s="163"/>
      <c r="J647" s="163"/>
    </row>
    <row r="648">
      <c r="A648" s="163"/>
      <c r="B648" s="163"/>
      <c r="C648" s="163"/>
      <c r="D648" s="163"/>
      <c r="E648" s="163"/>
      <c r="F648" s="163"/>
      <c r="G648" s="163"/>
      <c r="H648" s="163"/>
      <c r="I648" s="163"/>
      <c r="J648" s="163"/>
    </row>
    <row r="649">
      <c r="A649" s="163"/>
      <c r="B649" s="163"/>
      <c r="C649" s="163"/>
      <c r="D649" s="163"/>
      <c r="E649" s="163"/>
      <c r="F649" s="163"/>
      <c r="G649" s="163"/>
      <c r="H649" s="163"/>
      <c r="I649" s="163"/>
      <c r="J649" s="163"/>
    </row>
    <row r="650">
      <c r="A650" s="163"/>
      <c r="B650" s="163"/>
      <c r="C650" s="163"/>
      <c r="D650" s="163"/>
      <c r="E650" s="163"/>
      <c r="F650" s="163"/>
      <c r="G650" s="163"/>
      <c r="H650" s="163"/>
      <c r="I650" s="163"/>
      <c r="J650" s="163"/>
    </row>
    <row r="651">
      <c r="A651" s="163"/>
      <c r="B651" s="163"/>
      <c r="C651" s="163"/>
      <c r="D651" s="163"/>
      <c r="E651" s="163"/>
      <c r="F651" s="163"/>
      <c r="G651" s="163"/>
      <c r="H651" s="163"/>
      <c r="I651" s="163"/>
      <c r="J651" s="163"/>
    </row>
    <row r="652">
      <c r="A652" s="163"/>
      <c r="B652" s="163"/>
      <c r="C652" s="163"/>
      <c r="D652" s="163"/>
      <c r="E652" s="163"/>
      <c r="F652" s="163"/>
      <c r="G652" s="163"/>
      <c r="H652" s="163"/>
      <c r="I652" s="163"/>
      <c r="J652" s="163"/>
    </row>
    <row r="653">
      <c r="A653" s="163"/>
      <c r="B653" s="163"/>
      <c r="C653" s="163"/>
      <c r="D653" s="163"/>
      <c r="E653" s="163"/>
      <c r="F653" s="163"/>
      <c r="G653" s="163"/>
      <c r="H653" s="163"/>
      <c r="I653" s="163"/>
      <c r="J653" s="163"/>
    </row>
    <row r="654">
      <c r="A654" s="163"/>
      <c r="B654" s="163"/>
      <c r="C654" s="163"/>
      <c r="D654" s="163"/>
      <c r="E654" s="163"/>
      <c r="F654" s="163"/>
      <c r="G654" s="163"/>
      <c r="H654" s="163"/>
      <c r="I654" s="163"/>
      <c r="J654" s="163"/>
    </row>
    <row r="655">
      <c r="A655" s="163"/>
      <c r="B655" s="163"/>
      <c r="C655" s="163"/>
      <c r="D655" s="163"/>
      <c r="E655" s="163"/>
      <c r="F655" s="163"/>
      <c r="G655" s="163"/>
      <c r="H655" s="163"/>
      <c r="I655" s="163"/>
      <c r="J655" s="163"/>
    </row>
    <row r="656">
      <c r="A656" s="163"/>
      <c r="B656" s="163"/>
      <c r="C656" s="163"/>
      <c r="D656" s="163"/>
      <c r="E656" s="163"/>
      <c r="F656" s="163"/>
      <c r="G656" s="163"/>
      <c r="H656" s="163"/>
      <c r="I656" s="163"/>
      <c r="J656" s="163"/>
    </row>
    <row r="657">
      <c r="A657" s="163"/>
      <c r="B657" s="163"/>
      <c r="C657" s="163"/>
      <c r="D657" s="163"/>
      <c r="E657" s="163"/>
      <c r="F657" s="163"/>
      <c r="G657" s="163"/>
      <c r="H657" s="163"/>
      <c r="I657" s="163"/>
      <c r="J657" s="163"/>
    </row>
    <row r="658">
      <c r="A658" s="163"/>
      <c r="B658" s="163"/>
      <c r="C658" s="163"/>
      <c r="D658" s="163"/>
      <c r="E658" s="163"/>
      <c r="F658" s="163"/>
      <c r="G658" s="163"/>
      <c r="H658" s="163"/>
      <c r="I658" s="163"/>
      <c r="J658" s="163"/>
    </row>
    <row r="659">
      <c r="A659" s="163"/>
      <c r="B659" s="163"/>
      <c r="C659" s="163"/>
      <c r="D659" s="163"/>
      <c r="E659" s="163"/>
      <c r="F659" s="163"/>
      <c r="G659" s="163"/>
      <c r="H659" s="163"/>
      <c r="I659" s="163"/>
      <c r="J659" s="163"/>
    </row>
    <row r="660">
      <c r="A660" s="163"/>
      <c r="B660" s="163"/>
      <c r="C660" s="163"/>
      <c r="D660" s="163"/>
      <c r="E660" s="163"/>
      <c r="F660" s="163"/>
      <c r="G660" s="163"/>
      <c r="H660" s="163"/>
      <c r="I660" s="163"/>
      <c r="J660" s="163"/>
    </row>
    <row r="661">
      <c r="A661" s="163"/>
      <c r="B661" s="163"/>
      <c r="C661" s="163"/>
      <c r="D661" s="163"/>
      <c r="E661" s="163"/>
      <c r="F661" s="163"/>
      <c r="G661" s="163"/>
      <c r="H661" s="163"/>
      <c r="I661" s="163"/>
      <c r="J661" s="163"/>
    </row>
    <row r="662">
      <c r="A662" s="163"/>
      <c r="B662" s="163"/>
      <c r="C662" s="163"/>
      <c r="D662" s="163"/>
      <c r="E662" s="163"/>
      <c r="F662" s="163"/>
      <c r="G662" s="163"/>
      <c r="H662" s="163"/>
      <c r="I662" s="163"/>
      <c r="J662" s="163"/>
    </row>
    <row r="663">
      <c r="A663" s="163"/>
      <c r="B663" s="163"/>
      <c r="C663" s="163"/>
      <c r="D663" s="163"/>
      <c r="E663" s="163"/>
      <c r="F663" s="163"/>
      <c r="G663" s="163"/>
      <c r="H663" s="163"/>
      <c r="I663" s="163"/>
      <c r="J663" s="163"/>
    </row>
    <row r="664">
      <c r="A664" s="163"/>
      <c r="B664" s="163"/>
      <c r="C664" s="163"/>
      <c r="D664" s="163"/>
      <c r="E664" s="163"/>
      <c r="F664" s="163"/>
      <c r="G664" s="163"/>
      <c r="H664" s="163"/>
      <c r="I664" s="163"/>
      <c r="J664" s="163"/>
    </row>
    <row r="665">
      <c r="A665" s="163"/>
      <c r="B665" s="163"/>
      <c r="C665" s="163"/>
      <c r="D665" s="163"/>
      <c r="E665" s="163"/>
      <c r="F665" s="163"/>
      <c r="G665" s="163"/>
      <c r="H665" s="163"/>
      <c r="I665" s="163"/>
      <c r="J665" s="163"/>
    </row>
    <row r="666">
      <c r="A666" s="163"/>
      <c r="B666" s="163"/>
      <c r="C666" s="163"/>
      <c r="D666" s="163"/>
      <c r="E666" s="163"/>
      <c r="F666" s="163"/>
      <c r="G666" s="163"/>
      <c r="H666" s="163"/>
      <c r="I666" s="163"/>
      <c r="J666" s="163"/>
    </row>
    <row r="667">
      <c r="A667" s="163"/>
      <c r="B667" s="163"/>
      <c r="C667" s="163"/>
      <c r="D667" s="163"/>
      <c r="E667" s="163"/>
      <c r="F667" s="163"/>
      <c r="G667" s="163"/>
      <c r="H667" s="163"/>
      <c r="I667" s="163"/>
      <c r="J667" s="163"/>
    </row>
    <row r="668">
      <c r="A668" s="163"/>
      <c r="B668" s="163"/>
      <c r="C668" s="163"/>
      <c r="D668" s="163"/>
      <c r="E668" s="163"/>
      <c r="F668" s="163"/>
      <c r="G668" s="163"/>
      <c r="H668" s="163"/>
      <c r="I668" s="163"/>
      <c r="J668" s="163"/>
    </row>
    <row r="669">
      <c r="A669" s="163"/>
      <c r="B669" s="163"/>
      <c r="C669" s="163"/>
      <c r="D669" s="163"/>
      <c r="E669" s="163"/>
      <c r="F669" s="163"/>
      <c r="G669" s="163"/>
      <c r="H669" s="163"/>
      <c r="I669" s="163"/>
      <c r="J669" s="163"/>
    </row>
    <row r="670">
      <c r="A670" s="163"/>
      <c r="B670" s="163"/>
      <c r="C670" s="163"/>
      <c r="D670" s="163"/>
      <c r="E670" s="163"/>
      <c r="F670" s="163"/>
      <c r="G670" s="163"/>
      <c r="H670" s="163"/>
      <c r="I670" s="163"/>
      <c r="J670" s="163"/>
    </row>
    <row r="671">
      <c r="A671" s="163"/>
      <c r="B671" s="163"/>
      <c r="C671" s="163"/>
      <c r="D671" s="163"/>
      <c r="E671" s="163"/>
      <c r="F671" s="163"/>
      <c r="G671" s="163"/>
      <c r="H671" s="163"/>
      <c r="I671" s="163"/>
      <c r="J671" s="163"/>
    </row>
    <row r="672">
      <c r="A672" s="163"/>
      <c r="B672" s="163"/>
      <c r="C672" s="163"/>
      <c r="D672" s="163"/>
      <c r="E672" s="163"/>
      <c r="F672" s="163"/>
      <c r="G672" s="163"/>
      <c r="H672" s="163"/>
      <c r="I672" s="163"/>
      <c r="J672" s="163"/>
    </row>
    <row r="673">
      <c r="A673" s="163"/>
      <c r="B673" s="163"/>
      <c r="C673" s="163"/>
      <c r="D673" s="163"/>
      <c r="E673" s="163"/>
      <c r="F673" s="163"/>
      <c r="G673" s="163"/>
      <c r="H673" s="163"/>
      <c r="I673" s="163"/>
      <c r="J673" s="163"/>
    </row>
    <row r="674">
      <c r="A674" s="163"/>
      <c r="B674" s="163"/>
      <c r="C674" s="163"/>
      <c r="D674" s="163"/>
      <c r="E674" s="163"/>
      <c r="F674" s="163"/>
      <c r="G674" s="163"/>
      <c r="H674" s="163"/>
      <c r="I674" s="163"/>
      <c r="J674" s="163"/>
    </row>
    <row r="675">
      <c r="A675" s="163"/>
      <c r="B675" s="163"/>
      <c r="C675" s="163"/>
      <c r="D675" s="163"/>
      <c r="E675" s="163"/>
      <c r="F675" s="163"/>
      <c r="G675" s="163"/>
      <c r="H675" s="163"/>
      <c r="I675" s="163"/>
      <c r="J675" s="163"/>
    </row>
    <row r="676">
      <c r="A676" s="163"/>
      <c r="B676" s="163"/>
      <c r="C676" s="163"/>
      <c r="D676" s="163"/>
      <c r="E676" s="163"/>
      <c r="F676" s="163"/>
      <c r="G676" s="163"/>
      <c r="H676" s="163"/>
      <c r="I676" s="163"/>
      <c r="J676" s="163"/>
    </row>
    <row r="677">
      <c r="A677" s="163"/>
      <c r="B677" s="163"/>
      <c r="C677" s="163"/>
      <c r="D677" s="163"/>
      <c r="E677" s="163"/>
      <c r="F677" s="163"/>
      <c r="G677" s="163"/>
      <c r="H677" s="163"/>
      <c r="I677" s="163"/>
      <c r="J677" s="163"/>
    </row>
    <row r="678">
      <c r="A678" s="163"/>
      <c r="B678" s="163"/>
      <c r="C678" s="163"/>
      <c r="D678" s="163"/>
      <c r="E678" s="163"/>
      <c r="F678" s="163"/>
      <c r="G678" s="163"/>
      <c r="H678" s="163"/>
      <c r="I678" s="163"/>
      <c r="J678" s="163"/>
    </row>
    <row r="679">
      <c r="A679" s="163"/>
      <c r="B679" s="163"/>
      <c r="C679" s="163"/>
      <c r="D679" s="163"/>
      <c r="E679" s="163"/>
      <c r="F679" s="163"/>
      <c r="G679" s="163"/>
      <c r="H679" s="163"/>
      <c r="I679" s="163"/>
      <c r="J679" s="163"/>
    </row>
    <row r="680">
      <c r="A680" s="163"/>
      <c r="B680" s="163"/>
      <c r="C680" s="163"/>
      <c r="D680" s="163"/>
      <c r="E680" s="163"/>
      <c r="F680" s="163"/>
      <c r="G680" s="163"/>
      <c r="H680" s="163"/>
      <c r="I680" s="163"/>
      <c r="J680" s="163"/>
    </row>
    <row r="681">
      <c r="A681" s="163"/>
      <c r="B681" s="163"/>
      <c r="C681" s="163"/>
      <c r="D681" s="163"/>
      <c r="E681" s="163"/>
      <c r="F681" s="163"/>
      <c r="G681" s="163"/>
      <c r="H681" s="163"/>
      <c r="I681" s="163"/>
      <c r="J681" s="163"/>
    </row>
    <row r="682">
      <c r="A682" s="163"/>
      <c r="B682" s="163"/>
      <c r="C682" s="163"/>
      <c r="D682" s="163"/>
      <c r="E682" s="163"/>
      <c r="F682" s="163"/>
      <c r="G682" s="163"/>
      <c r="H682" s="163"/>
      <c r="I682" s="163"/>
      <c r="J682" s="163"/>
    </row>
    <row r="683">
      <c r="A683" s="163"/>
      <c r="B683" s="163"/>
      <c r="C683" s="163"/>
      <c r="D683" s="163"/>
      <c r="E683" s="163"/>
      <c r="F683" s="163"/>
      <c r="G683" s="163"/>
      <c r="H683" s="163"/>
      <c r="I683" s="163"/>
      <c r="J683" s="163"/>
    </row>
    <row r="684">
      <c r="A684" s="163"/>
      <c r="B684" s="163"/>
      <c r="C684" s="163"/>
      <c r="D684" s="163"/>
      <c r="E684" s="163"/>
      <c r="F684" s="163"/>
      <c r="G684" s="163"/>
      <c r="H684" s="163"/>
      <c r="I684" s="163"/>
      <c r="J684" s="163"/>
    </row>
    <row r="685">
      <c r="A685" s="163"/>
      <c r="B685" s="163"/>
      <c r="C685" s="163"/>
      <c r="D685" s="163"/>
      <c r="E685" s="163"/>
      <c r="F685" s="163"/>
      <c r="G685" s="163"/>
      <c r="H685" s="163"/>
      <c r="I685" s="163"/>
      <c r="J685" s="163"/>
    </row>
    <row r="686">
      <c r="A686" s="163"/>
      <c r="B686" s="163"/>
      <c r="C686" s="163"/>
      <c r="D686" s="163"/>
      <c r="E686" s="163"/>
      <c r="F686" s="163"/>
      <c r="G686" s="163"/>
      <c r="H686" s="163"/>
      <c r="I686" s="163"/>
      <c r="J686" s="163"/>
    </row>
    <row r="687">
      <c r="A687" s="163"/>
      <c r="B687" s="163"/>
      <c r="C687" s="163"/>
      <c r="D687" s="163"/>
      <c r="E687" s="163"/>
      <c r="F687" s="163"/>
      <c r="G687" s="163"/>
      <c r="H687" s="163"/>
      <c r="I687" s="163"/>
      <c r="J687" s="163"/>
    </row>
    <row r="688">
      <c r="A688" s="163"/>
      <c r="B688" s="163"/>
      <c r="C688" s="163"/>
      <c r="D688" s="163"/>
      <c r="E688" s="163"/>
      <c r="F688" s="163"/>
      <c r="G688" s="163"/>
      <c r="H688" s="163"/>
      <c r="I688" s="163"/>
      <c r="J688" s="163"/>
    </row>
    <row r="689">
      <c r="A689" s="163"/>
      <c r="B689" s="163"/>
      <c r="C689" s="163"/>
      <c r="D689" s="163"/>
      <c r="E689" s="163"/>
      <c r="F689" s="163"/>
      <c r="G689" s="163"/>
      <c r="H689" s="163"/>
      <c r="I689" s="163"/>
      <c r="J689" s="163"/>
    </row>
    <row r="690">
      <c r="A690" s="163"/>
      <c r="B690" s="163"/>
      <c r="C690" s="163"/>
      <c r="D690" s="163"/>
      <c r="E690" s="163"/>
      <c r="F690" s="163"/>
      <c r="G690" s="163"/>
      <c r="H690" s="163"/>
      <c r="I690" s="163"/>
      <c r="J690" s="163"/>
    </row>
    <row r="691">
      <c r="A691" s="163"/>
      <c r="B691" s="163"/>
      <c r="C691" s="163"/>
      <c r="D691" s="163"/>
      <c r="E691" s="163"/>
      <c r="F691" s="163"/>
      <c r="G691" s="163"/>
      <c r="H691" s="163"/>
      <c r="I691" s="163"/>
      <c r="J691" s="163"/>
    </row>
    <row r="692">
      <c r="A692" s="163"/>
      <c r="B692" s="163"/>
      <c r="C692" s="163"/>
      <c r="D692" s="163"/>
      <c r="E692" s="163"/>
      <c r="F692" s="163"/>
      <c r="G692" s="163"/>
      <c r="H692" s="163"/>
      <c r="I692" s="163"/>
      <c r="J692" s="163"/>
    </row>
    <row r="693">
      <c r="A693" s="163"/>
      <c r="B693" s="163"/>
      <c r="C693" s="163"/>
      <c r="D693" s="163"/>
      <c r="E693" s="163"/>
      <c r="F693" s="163"/>
      <c r="G693" s="163"/>
      <c r="H693" s="163"/>
      <c r="I693" s="163"/>
      <c r="J693" s="163"/>
    </row>
    <row r="694">
      <c r="A694" s="163"/>
      <c r="B694" s="163"/>
      <c r="C694" s="163"/>
      <c r="D694" s="163"/>
      <c r="E694" s="163"/>
      <c r="F694" s="163"/>
      <c r="G694" s="163"/>
      <c r="H694" s="163"/>
      <c r="I694" s="163"/>
      <c r="J694" s="163"/>
    </row>
    <row r="695">
      <c r="A695" s="163"/>
      <c r="B695" s="163"/>
      <c r="C695" s="163"/>
      <c r="D695" s="163"/>
      <c r="E695" s="163"/>
      <c r="F695" s="163"/>
      <c r="G695" s="163"/>
      <c r="H695" s="163"/>
      <c r="I695" s="163"/>
      <c r="J695" s="163"/>
    </row>
    <row r="696">
      <c r="A696" s="163"/>
      <c r="B696" s="163"/>
      <c r="C696" s="163"/>
      <c r="D696" s="163"/>
      <c r="E696" s="163"/>
      <c r="F696" s="163"/>
      <c r="G696" s="163"/>
      <c r="H696" s="163"/>
      <c r="I696" s="163"/>
      <c r="J696" s="163"/>
    </row>
    <row r="697">
      <c r="A697" s="163"/>
      <c r="B697" s="163"/>
      <c r="C697" s="163"/>
      <c r="D697" s="163"/>
      <c r="E697" s="163"/>
      <c r="F697" s="163"/>
      <c r="G697" s="163"/>
      <c r="H697" s="163"/>
      <c r="I697" s="163"/>
      <c r="J697" s="163"/>
    </row>
    <row r="698">
      <c r="A698" s="163"/>
      <c r="B698" s="163"/>
      <c r="C698" s="163"/>
      <c r="D698" s="163"/>
      <c r="E698" s="163"/>
      <c r="F698" s="163"/>
      <c r="G698" s="163"/>
      <c r="H698" s="163"/>
      <c r="I698" s="163"/>
      <c r="J698" s="163"/>
    </row>
    <row r="699">
      <c r="A699" s="163"/>
      <c r="B699" s="163"/>
      <c r="C699" s="163"/>
      <c r="D699" s="163"/>
      <c r="E699" s="163"/>
      <c r="F699" s="163"/>
      <c r="G699" s="163"/>
      <c r="H699" s="163"/>
      <c r="I699" s="163"/>
      <c r="J699" s="163"/>
    </row>
    <row r="700">
      <c r="A700" s="163"/>
      <c r="B700" s="163"/>
      <c r="C700" s="163"/>
      <c r="D700" s="163"/>
      <c r="E700" s="163"/>
      <c r="F700" s="163"/>
      <c r="G700" s="163"/>
      <c r="H700" s="163"/>
      <c r="I700" s="163"/>
      <c r="J700" s="163"/>
    </row>
    <row r="701">
      <c r="A701" s="163"/>
      <c r="B701" s="163"/>
      <c r="C701" s="163"/>
      <c r="D701" s="163"/>
      <c r="E701" s="163"/>
      <c r="F701" s="163"/>
      <c r="G701" s="163"/>
      <c r="H701" s="163"/>
      <c r="I701" s="163"/>
      <c r="J701" s="163"/>
    </row>
    <row r="702">
      <c r="A702" s="163"/>
      <c r="B702" s="163"/>
      <c r="C702" s="163"/>
      <c r="D702" s="163"/>
      <c r="E702" s="163"/>
      <c r="F702" s="163"/>
      <c r="G702" s="163"/>
      <c r="H702" s="163"/>
      <c r="I702" s="163"/>
      <c r="J702" s="163"/>
    </row>
    <row r="703">
      <c r="A703" s="163"/>
      <c r="B703" s="163"/>
      <c r="C703" s="163"/>
      <c r="D703" s="163"/>
      <c r="E703" s="163"/>
      <c r="F703" s="163"/>
      <c r="G703" s="163"/>
      <c r="H703" s="163"/>
      <c r="I703" s="163"/>
      <c r="J703" s="163"/>
    </row>
    <row r="704">
      <c r="A704" s="163"/>
      <c r="B704" s="163"/>
      <c r="C704" s="163"/>
      <c r="D704" s="163"/>
      <c r="E704" s="163"/>
      <c r="F704" s="163"/>
      <c r="G704" s="163"/>
      <c r="H704" s="163"/>
      <c r="I704" s="163"/>
      <c r="J704" s="163"/>
    </row>
    <row r="705">
      <c r="A705" s="163"/>
      <c r="B705" s="163"/>
      <c r="C705" s="163"/>
      <c r="D705" s="163"/>
      <c r="E705" s="163"/>
      <c r="F705" s="163"/>
      <c r="G705" s="163"/>
      <c r="H705" s="163"/>
      <c r="I705" s="163"/>
      <c r="J705" s="163"/>
    </row>
    <row r="706">
      <c r="A706" s="163"/>
      <c r="B706" s="163"/>
      <c r="C706" s="163"/>
      <c r="D706" s="163"/>
      <c r="E706" s="163"/>
      <c r="F706" s="163"/>
      <c r="G706" s="163"/>
      <c r="H706" s="163"/>
      <c r="I706" s="163"/>
      <c r="J706" s="163"/>
    </row>
    <row r="707">
      <c r="A707" s="163"/>
      <c r="B707" s="163"/>
      <c r="C707" s="163"/>
      <c r="D707" s="163"/>
      <c r="E707" s="163"/>
      <c r="F707" s="163"/>
      <c r="G707" s="163"/>
      <c r="H707" s="163"/>
      <c r="I707" s="163"/>
      <c r="J707" s="163"/>
    </row>
    <row r="708">
      <c r="A708" s="163"/>
      <c r="B708" s="163"/>
      <c r="C708" s="163"/>
      <c r="D708" s="163"/>
      <c r="E708" s="163"/>
      <c r="F708" s="163"/>
      <c r="G708" s="163"/>
      <c r="H708" s="163"/>
      <c r="I708" s="163"/>
      <c r="J708" s="163"/>
    </row>
    <row r="709">
      <c r="A709" s="163"/>
      <c r="B709" s="163"/>
      <c r="C709" s="163"/>
      <c r="D709" s="163"/>
      <c r="E709" s="163"/>
      <c r="F709" s="163"/>
      <c r="G709" s="163"/>
      <c r="H709" s="163"/>
      <c r="I709" s="163"/>
      <c r="J709" s="163"/>
    </row>
    <row r="710">
      <c r="A710" s="163"/>
      <c r="B710" s="163"/>
      <c r="C710" s="163"/>
      <c r="D710" s="163"/>
      <c r="E710" s="163"/>
      <c r="F710" s="163"/>
      <c r="G710" s="163"/>
      <c r="H710" s="163"/>
      <c r="I710" s="163"/>
      <c r="J710" s="163"/>
    </row>
    <row r="711">
      <c r="A711" s="163"/>
      <c r="B711" s="163"/>
      <c r="C711" s="163"/>
      <c r="D711" s="163"/>
      <c r="E711" s="163"/>
      <c r="F711" s="163"/>
      <c r="G711" s="163"/>
      <c r="H711" s="163"/>
      <c r="I711" s="163"/>
      <c r="J711" s="163"/>
    </row>
    <row r="712">
      <c r="A712" s="163"/>
      <c r="B712" s="163"/>
      <c r="C712" s="163"/>
      <c r="D712" s="163"/>
      <c r="E712" s="163"/>
      <c r="F712" s="163"/>
      <c r="G712" s="163"/>
      <c r="H712" s="163"/>
      <c r="I712" s="163"/>
      <c r="J712" s="163"/>
    </row>
    <row r="713">
      <c r="A713" s="163"/>
      <c r="B713" s="163"/>
      <c r="C713" s="163"/>
      <c r="D713" s="163"/>
      <c r="E713" s="163"/>
      <c r="F713" s="163"/>
      <c r="G713" s="163"/>
      <c r="H713" s="163"/>
      <c r="I713" s="163"/>
      <c r="J713" s="163"/>
    </row>
    <row r="714">
      <c r="A714" s="163"/>
      <c r="B714" s="163"/>
      <c r="C714" s="163"/>
      <c r="D714" s="163"/>
      <c r="E714" s="163"/>
      <c r="F714" s="163"/>
      <c r="G714" s="163"/>
      <c r="H714" s="163"/>
      <c r="I714" s="163"/>
      <c r="J714" s="163"/>
    </row>
    <row r="715">
      <c r="A715" s="163"/>
      <c r="B715" s="163"/>
      <c r="C715" s="163"/>
      <c r="D715" s="163"/>
      <c r="E715" s="163"/>
      <c r="F715" s="163"/>
      <c r="G715" s="163"/>
      <c r="H715" s="163"/>
      <c r="I715" s="163"/>
      <c r="J715" s="163"/>
    </row>
    <row r="716">
      <c r="A716" s="163"/>
      <c r="B716" s="163"/>
      <c r="C716" s="163"/>
      <c r="D716" s="163"/>
      <c r="E716" s="163"/>
      <c r="F716" s="163"/>
      <c r="G716" s="163"/>
      <c r="H716" s="163"/>
      <c r="I716" s="163"/>
      <c r="J716" s="163"/>
    </row>
    <row r="717">
      <c r="A717" s="163"/>
      <c r="B717" s="163"/>
      <c r="C717" s="163"/>
      <c r="D717" s="163"/>
      <c r="E717" s="163"/>
      <c r="F717" s="163"/>
      <c r="G717" s="163"/>
      <c r="H717" s="163"/>
      <c r="I717" s="163"/>
      <c r="J717" s="163"/>
    </row>
    <row r="718">
      <c r="A718" s="163"/>
      <c r="B718" s="163"/>
      <c r="C718" s="163"/>
      <c r="D718" s="163"/>
      <c r="E718" s="163"/>
      <c r="F718" s="163"/>
      <c r="G718" s="163"/>
      <c r="H718" s="163"/>
      <c r="I718" s="163"/>
      <c r="J718" s="163"/>
    </row>
    <row r="719">
      <c r="A719" s="163"/>
      <c r="B719" s="163"/>
      <c r="C719" s="163"/>
      <c r="D719" s="163"/>
      <c r="E719" s="163"/>
      <c r="F719" s="163"/>
      <c r="G719" s="163"/>
      <c r="H719" s="163"/>
      <c r="I719" s="163"/>
      <c r="J719" s="163"/>
    </row>
    <row r="720">
      <c r="A720" s="163"/>
      <c r="B720" s="163"/>
      <c r="C720" s="163"/>
      <c r="D720" s="163"/>
      <c r="E720" s="163"/>
      <c r="F720" s="163"/>
      <c r="G720" s="163"/>
      <c r="H720" s="163"/>
      <c r="I720" s="163"/>
      <c r="J720" s="163"/>
    </row>
    <row r="721">
      <c r="A721" s="163"/>
      <c r="B721" s="163"/>
      <c r="C721" s="163"/>
      <c r="D721" s="163"/>
      <c r="E721" s="163"/>
      <c r="F721" s="163"/>
      <c r="G721" s="163"/>
      <c r="H721" s="163"/>
      <c r="I721" s="163"/>
      <c r="J721" s="163"/>
    </row>
    <row r="722">
      <c r="A722" s="163"/>
      <c r="B722" s="163"/>
      <c r="C722" s="163"/>
      <c r="D722" s="163"/>
      <c r="E722" s="163"/>
      <c r="F722" s="163"/>
      <c r="G722" s="163"/>
      <c r="H722" s="163"/>
      <c r="I722" s="163"/>
      <c r="J722" s="163"/>
    </row>
    <row r="723">
      <c r="A723" s="163"/>
      <c r="B723" s="163"/>
      <c r="C723" s="163"/>
      <c r="D723" s="163"/>
      <c r="E723" s="163"/>
      <c r="F723" s="163"/>
      <c r="G723" s="163"/>
      <c r="H723" s="163"/>
      <c r="I723" s="163"/>
      <c r="J723" s="163"/>
    </row>
    <row r="724">
      <c r="A724" s="163"/>
      <c r="B724" s="163"/>
      <c r="C724" s="163"/>
      <c r="D724" s="163"/>
      <c r="E724" s="163"/>
      <c r="F724" s="163"/>
      <c r="G724" s="163"/>
      <c r="H724" s="163"/>
      <c r="I724" s="163"/>
      <c r="J724" s="163"/>
    </row>
    <row r="725">
      <c r="A725" s="163"/>
      <c r="B725" s="163"/>
      <c r="C725" s="163"/>
      <c r="D725" s="163"/>
      <c r="E725" s="163"/>
      <c r="F725" s="163"/>
      <c r="G725" s="163"/>
      <c r="H725" s="163"/>
      <c r="I725" s="163"/>
      <c r="J725" s="163"/>
    </row>
    <row r="726">
      <c r="A726" s="163"/>
      <c r="B726" s="163"/>
      <c r="C726" s="163"/>
      <c r="D726" s="163"/>
      <c r="E726" s="163"/>
      <c r="F726" s="163"/>
      <c r="G726" s="163"/>
      <c r="H726" s="163"/>
      <c r="I726" s="163"/>
      <c r="J726" s="163"/>
    </row>
    <row r="727">
      <c r="A727" s="163"/>
      <c r="B727" s="163"/>
      <c r="C727" s="163"/>
      <c r="D727" s="163"/>
      <c r="E727" s="163"/>
      <c r="F727" s="163"/>
      <c r="G727" s="163"/>
      <c r="H727" s="163"/>
      <c r="I727" s="163"/>
      <c r="J727" s="163"/>
    </row>
    <row r="728">
      <c r="A728" s="163"/>
      <c r="B728" s="163"/>
      <c r="C728" s="163"/>
      <c r="D728" s="163"/>
      <c r="E728" s="163"/>
      <c r="F728" s="163"/>
      <c r="G728" s="163"/>
      <c r="H728" s="163"/>
      <c r="I728" s="163"/>
      <c r="J728" s="163"/>
    </row>
    <row r="729">
      <c r="A729" s="163"/>
      <c r="B729" s="163"/>
      <c r="C729" s="163"/>
      <c r="D729" s="163"/>
      <c r="E729" s="163"/>
      <c r="F729" s="163"/>
      <c r="G729" s="163"/>
      <c r="H729" s="163"/>
      <c r="I729" s="163"/>
      <c r="J729" s="163"/>
    </row>
    <row r="730">
      <c r="A730" s="163"/>
      <c r="B730" s="163"/>
      <c r="C730" s="163"/>
      <c r="D730" s="163"/>
      <c r="E730" s="163"/>
      <c r="F730" s="163"/>
      <c r="G730" s="163"/>
      <c r="H730" s="163"/>
      <c r="I730" s="163"/>
      <c r="J730" s="163"/>
    </row>
    <row r="731">
      <c r="A731" s="163"/>
      <c r="B731" s="163"/>
      <c r="C731" s="163"/>
      <c r="D731" s="163"/>
      <c r="E731" s="163"/>
      <c r="F731" s="163"/>
      <c r="G731" s="163"/>
      <c r="H731" s="163"/>
      <c r="I731" s="163"/>
      <c r="J731" s="163"/>
    </row>
    <row r="732">
      <c r="A732" s="163"/>
      <c r="B732" s="163"/>
      <c r="C732" s="163"/>
      <c r="D732" s="163"/>
      <c r="E732" s="163"/>
      <c r="F732" s="163"/>
      <c r="G732" s="163"/>
      <c r="H732" s="163"/>
      <c r="I732" s="163"/>
      <c r="J732" s="163"/>
    </row>
    <row r="733">
      <c r="A733" s="163"/>
      <c r="B733" s="163"/>
      <c r="C733" s="163"/>
      <c r="D733" s="163"/>
      <c r="E733" s="163"/>
      <c r="F733" s="163"/>
      <c r="G733" s="163"/>
      <c r="H733" s="163"/>
      <c r="I733" s="163"/>
      <c r="J733" s="163"/>
    </row>
    <row r="734">
      <c r="A734" s="163"/>
      <c r="B734" s="163"/>
      <c r="C734" s="163"/>
      <c r="D734" s="163"/>
      <c r="E734" s="163"/>
      <c r="F734" s="163"/>
      <c r="G734" s="163"/>
      <c r="H734" s="163"/>
      <c r="I734" s="163"/>
      <c r="J734" s="163"/>
    </row>
    <row r="735">
      <c r="A735" s="163"/>
      <c r="B735" s="163"/>
      <c r="C735" s="163"/>
      <c r="D735" s="163"/>
      <c r="E735" s="163"/>
      <c r="F735" s="163"/>
      <c r="G735" s="163"/>
      <c r="H735" s="163"/>
      <c r="I735" s="163"/>
      <c r="J735" s="163"/>
    </row>
    <row r="736">
      <c r="A736" s="163"/>
      <c r="B736" s="163"/>
      <c r="C736" s="163"/>
      <c r="D736" s="163"/>
      <c r="E736" s="163"/>
      <c r="F736" s="163"/>
      <c r="G736" s="163"/>
      <c r="H736" s="163"/>
      <c r="I736" s="163"/>
      <c r="J736" s="163"/>
    </row>
    <row r="737">
      <c r="A737" s="163"/>
      <c r="B737" s="163"/>
      <c r="C737" s="163"/>
      <c r="D737" s="163"/>
      <c r="E737" s="163"/>
      <c r="F737" s="163"/>
      <c r="G737" s="163"/>
      <c r="H737" s="163"/>
      <c r="I737" s="163"/>
      <c r="J737" s="163"/>
    </row>
    <row r="738">
      <c r="A738" s="163"/>
      <c r="B738" s="163"/>
      <c r="C738" s="163"/>
      <c r="D738" s="163"/>
      <c r="E738" s="163"/>
      <c r="F738" s="163"/>
      <c r="G738" s="163"/>
      <c r="H738" s="163"/>
      <c r="I738" s="163"/>
      <c r="J738" s="163"/>
    </row>
    <row r="739">
      <c r="A739" s="163"/>
      <c r="B739" s="163"/>
      <c r="C739" s="163"/>
      <c r="D739" s="163"/>
      <c r="E739" s="163"/>
      <c r="F739" s="163"/>
      <c r="G739" s="163"/>
      <c r="H739" s="163"/>
      <c r="I739" s="163"/>
      <c r="J739" s="163"/>
    </row>
    <row r="740">
      <c r="A740" s="163"/>
      <c r="B740" s="163"/>
      <c r="C740" s="163"/>
      <c r="D740" s="163"/>
      <c r="E740" s="163"/>
      <c r="F740" s="163"/>
      <c r="G740" s="163"/>
      <c r="H740" s="163"/>
      <c r="I740" s="163"/>
      <c r="J740" s="163"/>
    </row>
    <row r="741">
      <c r="A741" s="163"/>
      <c r="B741" s="163"/>
      <c r="C741" s="163"/>
      <c r="D741" s="163"/>
      <c r="E741" s="163"/>
      <c r="F741" s="163"/>
      <c r="G741" s="163"/>
      <c r="H741" s="163"/>
      <c r="I741" s="163"/>
      <c r="J741" s="163"/>
    </row>
    <row r="742">
      <c r="A742" s="163"/>
      <c r="B742" s="163"/>
      <c r="C742" s="163"/>
      <c r="D742" s="163"/>
      <c r="E742" s="163"/>
      <c r="F742" s="163"/>
      <c r="G742" s="163"/>
      <c r="H742" s="163"/>
      <c r="I742" s="163"/>
      <c r="J742" s="163"/>
    </row>
    <row r="743">
      <c r="A743" s="163"/>
      <c r="B743" s="163"/>
      <c r="C743" s="163"/>
      <c r="D743" s="163"/>
      <c r="E743" s="163"/>
      <c r="F743" s="163"/>
      <c r="G743" s="163"/>
      <c r="H743" s="163"/>
      <c r="I743" s="163"/>
      <c r="J743" s="163"/>
    </row>
    <row r="744">
      <c r="A744" s="163"/>
      <c r="B744" s="163"/>
      <c r="C744" s="163"/>
      <c r="D744" s="163"/>
      <c r="E744" s="163"/>
      <c r="F744" s="163"/>
      <c r="G744" s="163"/>
      <c r="H744" s="163"/>
      <c r="I744" s="163"/>
      <c r="J744" s="163"/>
    </row>
    <row r="745">
      <c r="A745" s="163"/>
      <c r="B745" s="163"/>
      <c r="C745" s="163"/>
      <c r="D745" s="163"/>
      <c r="E745" s="163"/>
      <c r="F745" s="163"/>
      <c r="G745" s="163"/>
      <c r="H745" s="163"/>
      <c r="I745" s="163"/>
      <c r="J745" s="163"/>
    </row>
    <row r="746">
      <c r="A746" s="163"/>
      <c r="B746" s="163"/>
      <c r="C746" s="163"/>
      <c r="D746" s="163"/>
      <c r="E746" s="163"/>
      <c r="F746" s="163"/>
      <c r="G746" s="163"/>
      <c r="H746" s="163"/>
      <c r="I746" s="163"/>
      <c r="J746" s="163"/>
    </row>
    <row r="747">
      <c r="A747" s="163"/>
      <c r="B747" s="163"/>
      <c r="C747" s="163"/>
      <c r="D747" s="163"/>
      <c r="E747" s="163"/>
      <c r="F747" s="163"/>
      <c r="G747" s="163"/>
      <c r="H747" s="163"/>
      <c r="I747" s="163"/>
      <c r="J747" s="163"/>
    </row>
    <row r="748">
      <c r="A748" s="163"/>
      <c r="B748" s="163"/>
      <c r="C748" s="163"/>
      <c r="D748" s="163"/>
      <c r="E748" s="163"/>
      <c r="F748" s="163"/>
      <c r="G748" s="163"/>
      <c r="H748" s="163"/>
      <c r="I748" s="163"/>
      <c r="J748" s="163"/>
    </row>
    <row r="749">
      <c r="A749" s="163"/>
      <c r="B749" s="163"/>
      <c r="C749" s="163"/>
      <c r="D749" s="163"/>
      <c r="E749" s="163"/>
      <c r="F749" s="163"/>
      <c r="G749" s="163"/>
      <c r="H749" s="163"/>
      <c r="I749" s="163"/>
      <c r="J749" s="163"/>
    </row>
    <row r="750">
      <c r="A750" s="163"/>
      <c r="B750" s="163"/>
      <c r="C750" s="163"/>
      <c r="D750" s="163"/>
      <c r="E750" s="163"/>
      <c r="F750" s="163"/>
      <c r="G750" s="163"/>
      <c r="H750" s="163"/>
      <c r="I750" s="163"/>
      <c r="J750" s="163"/>
    </row>
    <row r="751">
      <c r="A751" s="163"/>
      <c r="B751" s="163"/>
      <c r="C751" s="163"/>
      <c r="D751" s="163"/>
      <c r="E751" s="163"/>
      <c r="F751" s="163"/>
      <c r="G751" s="163"/>
      <c r="H751" s="163"/>
      <c r="I751" s="163"/>
      <c r="J751" s="163"/>
    </row>
    <row r="752">
      <c r="A752" s="163"/>
      <c r="B752" s="163"/>
      <c r="C752" s="163"/>
      <c r="D752" s="163"/>
      <c r="E752" s="163"/>
      <c r="F752" s="163"/>
      <c r="G752" s="163"/>
      <c r="H752" s="163"/>
      <c r="I752" s="163"/>
      <c r="J752" s="163"/>
    </row>
    <row r="753">
      <c r="A753" s="163"/>
      <c r="B753" s="163"/>
      <c r="C753" s="163"/>
      <c r="D753" s="163"/>
      <c r="E753" s="163"/>
      <c r="F753" s="163"/>
      <c r="G753" s="163"/>
      <c r="H753" s="163"/>
      <c r="I753" s="163"/>
      <c r="J753" s="163"/>
    </row>
    <row r="754">
      <c r="A754" s="163"/>
      <c r="B754" s="163"/>
      <c r="C754" s="163"/>
      <c r="D754" s="163"/>
      <c r="E754" s="163"/>
      <c r="F754" s="163"/>
      <c r="G754" s="163"/>
      <c r="H754" s="163"/>
      <c r="I754" s="163"/>
      <c r="J754" s="163"/>
    </row>
    <row r="755">
      <c r="A755" s="163"/>
      <c r="B755" s="163"/>
      <c r="C755" s="163"/>
      <c r="D755" s="163"/>
      <c r="E755" s="163"/>
      <c r="F755" s="163"/>
      <c r="G755" s="163"/>
      <c r="H755" s="163"/>
      <c r="I755" s="163"/>
      <c r="J755" s="163"/>
    </row>
    <row r="756">
      <c r="A756" s="163"/>
      <c r="B756" s="163"/>
      <c r="C756" s="163"/>
      <c r="D756" s="163"/>
      <c r="E756" s="163"/>
      <c r="F756" s="163"/>
      <c r="G756" s="163"/>
      <c r="H756" s="163"/>
      <c r="I756" s="163"/>
      <c r="J756" s="163"/>
    </row>
    <row r="757">
      <c r="A757" s="163"/>
      <c r="B757" s="163"/>
      <c r="C757" s="163"/>
      <c r="D757" s="163"/>
      <c r="E757" s="163"/>
      <c r="F757" s="163"/>
      <c r="G757" s="163"/>
      <c r="H757" s="163"/>
      <c r="I757" s="163"/>
      <c r="J757" s="163"/>
    </row>
    <row r="758">
      <c r="A758" s="163"/>
      <c r="B758" s="163"/>
      <c r="C758" s="163"/>
      <c r="D758" s="163"/>
      <c r="E758" s="163"/>
      <c r="F758" s="163"/>
      <c r="G758" s="163"/>
      <c r="H758" s="163"/>
      <c r="I758" s="163"/>
      <c r="J758" s="163"/>
    </row>
    <row r="759">
      <c r="A759" s="163"/>
      <c r="B759" s="163"/>
      <c r="C759" s="163"/>
      <c r="D759" s="163"/>
      <c r="E759" s="163"/>
      <c r="F759" s="163"/>
      <c r="G759" s="163"/>
      <c r="H759" s="163"/>
      <c r="I759" s="163"/>
      <c r="J759" s="163"/>
    </row>
    <row r="760">
      <c r="A760" s="163"/>
      <c r="B760" s="163"/>
      <c r="C760" s="163"/>
      <c r="D760" s="163"/>
      <c r="E760" s="163"/>
      <c r="F760" s="163"/>
      <c r="G760" s="163"/>
      <c r="H760" s="163"/>
      <c r="I760" s="163"/>
      <c r="J760" s="163"/>
    </row>
    <row r="761">
      <c r="A761" s="163"/>
      <c r="B761" s="163"/>
      <c r="C761" s="163"/>
      <c r="D761" s="163"/>
      <c r="E761" s="163"/>
      <c r="F761" s="163"/>
      <c r="G761" s="163"/>
      <c r="H761" s="163"/>
      <c r="I761" s="163"/>
      <c r="J761" s="163"/>
    </row>
    <row r="762">
      <c r="A762" s="163"/>
      <c r="B762" s="163"/>
      <c r="C762" s="163"/>
      <c r="D762" s="163"/>
      <c r="E762" s="163"/>
      <c r="F762" s="163"/>
      <c r="G762" s="163"/>
      <c r="H762" s="163"/>
      <c r="I762" s="163"/>
      <c r="J762" s="163"/>
    </row>
    <row r="763">
      <c r="A763" s="163"/>
      <c r="B763" s="163"/>
      <c r="C763" s="163"/>
      <c r="D763" s="163"/>
      <c r="E763" s="163"/>
      <c r="F763" s="163"/>
      <c r="G763" s="163"/>
      <c r="H763" s="163"/>
      <c r="I763" s="163"/>
      <c r="J763" s="163"/>
    </row>
    <row r="764">
      <c r="A764" s="163"/>
      <c r="B764" s="163"/>
      <c r="C764" s="163"/>
      <c r="D764" s="163"/>
      <c r="E764" s="163"/>
      <c r="F764" s="163"/>
      <c r="G764" s="163"/>
      <c r="H764" s="163"/>
      <c r="I764" s="163"/>
      <c r="J764" s="163"/>
    </row>
    <row r="765">
      <c r="A765" s="163"/>
      <c r="B765" s="163"/>
      <c r="C765" s="163"/>
      <c r="D765" s="163"/>
      <c r="E765" s="163"/>
      <c r="F765" s="163"/>
      <c r="G765" s="163"/>
      <c r="H765" s="163"/>
      <c r="I765" s="163"/>
      <c r="J765" s="163"/>
    </row>
    <row r="766">
      <c r="A766" s="163"/>
      <c r="B766" s="163"/>
      <c r="C766" s="163"/>
      <c r="D766" s="163"/>
      <c r="E766" s="163"/>
      <c r="F766" s="163"/>
      <c r="G766" s="163"/>
      <c r="H766" s="163"/>
      <c r="I766" s="163"/>
      <c r="J766" s="163"/>
    </row>
    <row r="767">
      <c r="A767" s="163"/>
      <c r="B767" s="163"/>
      <c r="C767" s="163"/>
      <c r="D767" s="163"/>
      <c r="E767" s="163"/>
      <c r="F767" s="163"/>
      <c r="G767" s="163"/>
      <c r="H767" s="163"/>
      <c r="I767" s="163"/>
      <c r="J767" s="163"/>
    </row>
    <row r="768">
      <c r="A768" s="163"/>
      <c r="B768" s="163"/>
      <c r="C768" s="163"/>
      <c r="D768" s="163"/>
      <c r="E768" s="163"/>
      <c r="F768" s="163"/>
      <c r="G768" s="163"/>
      <c r="H768" s="163"/>
      <c r="I768" s="163"/>
      <c r="J768" s="163"/>
    </row>
    <row r="769">
      <c r="A769" s="163"/>
      <c r="B769" s="163"/>
      <c r="C769" s="163"/>
      <c r="D769" s="163"/>
      <c r="E769" s="163"/>
      <c r="F769" s="163"/>
      <c r="G769" s="163"/>
      <c r="H769" s="163"/>
      <c r="I769" s="163"/>
      <c r="J769" s="163"/>
    </row>
    <row r="770">
      <c r="A770" s="163"/>
      <c r="B770" s="163"/>
      <c r="C770" s="163"/>
      <c r="D770" s="163"/>
      <c r="E770" s="163"/>
      <c r="F770" s="163"/>
      <c r="G770" s="163"/>
      <c r="H770" s="163"/>
      <c r="I770" s="163"/>
      <c r="J770" s="163"/>
    </row>
    <row r="771">
      <c r="A771" s="163"/>
      <c r="B771" s="163"/>
      <c r="C771" s="163"/>
      <c r="D771" s="163"/>
      <c r="E771" s="163"/>
      <c r="F771" s="163"/>
      <c r="G771" s="163"/>
      <c r="H771" s="163"/>
      <c r="I771" s="163"/>
      <c r="J771" s="163"/>
    </row>
    <row r="772">
      <c r="A772" s="163"/>
      <c r="B772" s="163"/>
      <c r="C772" s="163"/>
      <c r="D772" s="163"/>
      <c r="E772" s="163"/>
      <c r="F772" s="163"/>
      <c r="G772" s="163"/>
      <c r="H772" s="163"/>
      <c r="I772" s="163"/>
      <c r="J772" s="163"/>
    </row>
    <row r="773">
      <c r="A773" s="163"/>
      <c r="B773" s="163"/>
      <c r="C773" s="163"/>
      <c r="D773" s="163"/>
      <c r="E773" s="163"/>
      <c r="F773" s="163"/>
      <c r="G773" s="163"/>
      <c r="H773" s="163"/>
      <c r="I773" s="163"/>
      <c r="J773" s="163"/>
    </row>
    <row r="774">
      <c r="A774" s="163"/>
      <c r="B774" s="163"/>
      <c r="C774" s="163"/>
      <c r="D774" s="163"/>
      <c r="E774" s="163"/>
      <c r="F774" s="163"/>
      <c r="G774" s="163"/>
      <c r="H774" s="163"/>
      <c r="I774" s="163"/>
      <c r="J774" s="163"/>
    </row>
    <row r="775">
      <c r="A775" s="163"/>
      <c r="B775" s="163"/>
      <c r="C775" s="163"/>
      <c r="D775" s="163"/>
      <c r="E775" s="163"/>
      <c r="F775" s="163"/>
      <c r="G775" s="163"/>
      <c r="H775" s="163"/>
      <c r="I775" s="163"/>
      <c r="J775" s="163"/>
    </row>
    <row r="776">
      <c r="A776" s="163"/>
      <c r="B776" s="163"/>
      <c r="C776" s="163"/>
      <c r="D776" s="163"/>
      <c r="E776" s="163"/>
      <c r="F776" s="163"/>
      <c r="G776" s="163"/>
      <c r="H776" s="163"/>
      <c r="I776" s="163"/>
      <c r="J776" s="163"/>
    </row>
    <row r="777">
      <c r="A777" s="163"/>
      <c r="B777" s="163"/>
      <c r="C777" s="163"/>
      <c r="D777" s="163"/>
      <c r="E777" s="163"/>
      <c r="F777" s="163"/>
      <c r="G777" s="163"/>
      <c r="H777" s="163"/>
      <c r="I777" s="163"/>
      <c r="J777" s="163"/>
    </row>
    <row r="778">
      <c r="A778" s="163"/>
      <c r="B778" s="163"/>
      <c r="C778" s="163"/>
      <c r="D778" s="163"/>
      <c r="E778" s="163"/>
      <c r="F778" s="163"/>
      <c r="G778" s="163"/>
      <c r="H778" s="163"/>
      <c r="I778" s="163"/>
      <c r="J778" s="163"/>
    </row>
    <row r="779">
      <c r="A779" s="163"/>
      <c r="B779" s="163"/>
      <c r="C779" s="163"/>
      <c r="D779" s="163"/>
      <c r="E779" s="163"/>
      <c r="F779" s="163"/>
      <c r="G779" s="163"/>
      <c r="H779" s="163"/>
      <c r="I779" s="163"/>
      <c r="J779" s="163"/>
    </row>
    <row r="780">
      <c r="A780" s="163"/>
      <c r="B780" s="163"/>
      <c r="C780" s="163"/>
      <c r="D780" s="163"/>
      <c r="E780" s="163"/>
      <c r="F780" s="163"/>
      <c r="G780" s="163"/>
      <c r="H780" s="163"/>
      <c r="I780" s="163"/>
      <c r="J780" s="163"/>
    </row>
    <row r="781">
      <c r="A781" s="163"/>
      <c r="B781" s="163"/>
      <c r="C781" s="163"/>
      <c r="D781" s="163"/>
      <c r="E781" s="163"/>
      <c r="F781" s="163"/>
      <c r="G781" s="163"/>
      <c r="H781" s="163"/>
      <c r="I781" s="163"/>
      <c r="J781" s="163"/>
    </row>
    <row r="782">
      <c r="A782" s="163"/>
      <c r="B782" s="163"/>
      <c r="C782" s="163"/>
      <c r="D782" s="163"/>
      <c r="E782" s="163"/>
      <c r="F782" s="163"/>
      <c r="G782" s="163"/>
      <c r="H782" s="163"/>
      <c r="I782" s="163"/>
      <c r="J782" s="163"/>
    </row>
    <row r="783">
      <c r="A783" s="163"/>
      <c r="B783" s="163"/>
      <c r="C783" s="163"/>
      <c r="D783" s="163"/>
      <c r="E783" s="163"/>
      <c r="F783" s="163"/>
      <c r="G783" s="163"/>
      <c r="H783" s="163"/>
      <c r="I783" s="163"/>
      <c r="J783" s="163"/>
    </row>
    <row r="784">
      <c r="A784" s="163"/>
      <c r="B784" s="163"/>
      <c r="C784" s="163"/>
      <c r="D784" s="163"/>
      <c r="E784" s="163"/>
      <c r="F784" s="163"/>
      <c r="G784" s="163"/>
      <c r="H784" s="163"/>
      <c r="I784" s="163"/>
      <c r="J784" s="163"/>
    </row>
    <row r="785">
      <c r="A785" s="163"/>
      <c r="B785" s="163"/>
      <c r="C785" s="163"/>
      <c r="D785" s="163"/>
      <c r="E785" s="163"/>
      <c r="F785" s="163"/>
      <c r="G785" s="163"/>
      <c r="H785" s="163"/>
      <c r="I785" s="163"/>
      <c r="J785" s="163"/>
    </row>
    <row r="786">
      <c r="A786" s="163"/>
      <c r="B786" s="163"/>
      <c r="C786" s="163"/>
      <c r="D786" s="163"/>
      <c r="E786" s="163"/>
      <c r="F786" s="163"/>
      <c r="G786" s="163"/>
      <c r="H786" s="163"/>
      <c r="I786" s="163"/>
      <c r="J786" s="163"/>
    </row>
    <row r="787">
      <c r="A787" s="163"/>
      <c r="B787" s="163"/>
      <c r="C787" s="163"/>
      <c r="D787" s="163"/>
      <c r="E787" s="163"/>
      <c r="F787" s="163"/>
      <c r="G787" s="163"/>
      <c r="H787" s="163"/>
      <c r="I787" s="163"/>
      <c r="J787" s="163"/>
    </row>
    <row r="788">
      <c r="A788" s="163"/>
      <c r="B788" s="163"/>
      <c r="C788" s="163"/>
      <c r="D788" s="163"/>
      <c r="E788" s="163"/>
      <c r="F788" s="163"/>
      <c r="G788" s="163"/>
      <c r="H788" s="163"/>
      <c r="I788" s="163"/>
      <c r="J788" s="163"/>
    </row>
    <row r="789">
      <c r="A789" s="163"/>
      <c r="B789" s="163"/>
      <c r="C789" s="163"/>
      <c r="D789" s="163"/>
      <c r="E789" s="163"/>
      <c r="F789" s="163"/>
      <c r="G789" s="163"/>
      <c r="H789" s="163"/>
      <c r="I789" s="163"/>
      <c r="J789" s="163"/>
    </row>
    <row r="790">
      <c r="A790" s="163"/>
      <c r="B790" s="163"/>
      <c r="C790" s="163"/>
      <c r="D790" s="163"/>
      <c r="E790" s="163"/>
      <c r="F790" s="163"/>
      <c r="G790" s="163"/>
      <c r="H790" s="163"/>
      <c r="I790" s="163"/>
      <c r="J790" s="163"/>
    </row>
    <row r="791">
      <c r="A791" s="163"/>
      <c r="B791" s="163"/>
      <c r="C791" s="163"/>
      <c r="D791" s="163"/>
      <c r="E791" s="163"/>
      <c r="F791" s="163"/>
      <c r="G791" s="163"/>
      <c r="H791" s="163"/>
      <c r="I791" s="163"/>
      <c r="J791" s="163"/>
    </row>
    <row r="792">
      <c r="A792" s="163"/>
      <c r="B792" s="163"/>
      <c r="C792" s="163"/>
      <c r="D792" s="163"/>
      <c r="E792" s="163"/>
      <c r="F792" s="163"/>
      <c r="G792" s="163"/>
      <c r="H792" s="163"/>
      <c r="I792" s="163"/>
      <c r="J792" s="163"/>
    </row>
    <row r="793">
      <c r="A793" s="163"/>
      <c r="B793" s="163"/>
      <c r="C793" s="163"/>
      <c r="D793" s="163"/>
      <c r="E793" s="163"/>
      <c r="F793" s="163"/>
      <c r="G793" s="163"/>
      <c r="H793" s="163"/>
      <c r="I793" s="163"/>
      <c r="J793" s="163"/>
    </row>
    <row r="794">
      <c r="A794" s="163"/>
      <c r="B794" s="163"/>
      <c r="C794" s="163"/>
      <c r="D794" s="163"/>
      <c r="E794" s="163"/>
      <c r="F794" s="163"/>
      <c r="G794" s="163"/>
      <c r="H794" s="163"/>
      <c r="I794" s="163"/>
      <c r="J794" s="163"/>
    </row>
    <row r="795">
      <c r="A795" s="163"/>
      <c r="B795" s="163"/>
      <c r="C795" s="163"/>
      <c r="D795" s="163"/>
      <c r="E795" s="163"/>
      <c r="F795" s="163"/>
      <c r="G795" s="163"/>
      <c r="H795" s="163"/>
      <c r="I795" s="163"/>
      <c r="J795" s="163"/>
    </row>
    <row r="796">
      <c r="A796" s="163"/>
      <c r="B796" s="163"/>
      <c r="C796" s="163"/>
      <c r="D796" s="163"/>
      <c r="E796" s="163"/>
      <c r="F796" s="163"/>
      <c r="G796" s="163"/>
      <c r="H796" s="163"/>
      <c r="I796" s="163"/>
      <c r="J796" s="163"/>
    </row>
    <row r="797">
      <c r="A797" s="163"/>
      <c r="B797" s="163"/>
      <c r="C797" s="163"/>
      <c r="D797" s="163"/>
      <c r="E797" s="163"/>
      <c r="F797" s="163"/>
      <c r="G797" s="163"/>
      <c r="H797" s="163"/>
      <c r="I797" s="163"/>
      <c r="J797" s="163"/>
    </row>
    <row r="798">
      <c r="A798" s="163"/>
      <c r="B798" s="163"/>
      <c r="C798" s="163"/>
      <c r="D798" s="163"/>
      <c r="E798" s="163"/>
      <c r="F798" s="163"/>
      <c r="G798" s="163"/>
      <c r="H798" s="163"/>
      <c r="I798" s="163"/>
      <c r="J798" s="163"/>
    </row>
    <row r="799">
      <c r="A799" s="163"/>
      <c r="B799" s="163"/>
      <c r="C799" s="163"/>
      <c r="D799" s="163"/>
      <c r="E799" s="163"/>
      <c r="F799" s="163"/>
      <c r="G799" s="163"/>
      <c r="H799" s="163"/>
      <c r="I799" s="163"/>
      <c r="J799" s="163"/>
    </row>
    <row r="800">
      <c r="A800" s="163"/>
      <c r="B800" s="163"/>
      <c r="C800" s="163"/>
      <c r="D800" s="163"/>
      <c r="E800" s="163"/>
      <c r="F800" s="163"/>
      <c r="G800" s="163"/>
      <c r="H800" s="163"/>
      <c r="I800" s="163"/>
      <c r="J800" s="163"/>
    </row>
    <row r="801">
      <c r="A801" s="163"/>
      <c r="B801" s="163"/>
      <c r="C801" s="163"/>
      <c r="D801" s="163"/>
      <c r="E801" s="163"/>
      <c r="F801" s="163"/>
      <c r="G801" s="163"/>
      <c r="H801" s="163"/>
      <c r="I801" s="163"/>
      <c r="J801" s="163"/>
    </row>
    <row r="802">
      <c r="A802" s="163"/>
      <c r="B802" s="163"/>
      <c r="C802" s="163"/>
      <c r="D802" s="163"/>
      <c r="E802" s="163"/>
      <c r="F802" s="163"/>
      <c r="G802" s="163"/>
      <c r="H802" s="163"/>
      <c r="I802" s="163"/>
      <c r="J802" s="163"/>
    </row>
    <row r="803">
      <c r="A803" s="163"/>
      <c r="B803" s="163"/>
      <c r="C803" s="163"/>
      <c r="D803" s="163"/>
      <c r="E803" s="163"/>
      <c r="F803" s="163"/>
      <c r="G803" s="163"/>
      <c r="H803" s="163"/>
      <c r="I803" s="163"/>
      <c r="J803" s="163"/>
    </row>
    <row r="804">
      <c r="A804" s="163"/>
      <c r="B804" s="163"/>
      <c r="C804" s="163"/>
      <c r="D804" s="163"/>
      <c r="E804" s="163"/>
      <c r="F804" s="163"/>
      <c r="G804" s="163"/>
      <c r="H804" s="163"/>
      <c r="I804" s="163"/>
      <c r="J804" s="163"/>
    </row>
    <row r="805">
      <c r="A805" s="163"/>
      <c r="B805" s="163"/>
      <c r="C805" s="163"/>
      <c r="D805" s="163"/>
      <c r="E805" s="163"/>
      <c r="F805" s="163"/>
      <c r="G805" s="163"/>
      <c r="H805" s="163"/>
      <c r="I805" s="163"/>
      <c r="J805" s="163"/>
    </row>
    <row r="806">
      <c r="A806" s="163"/>
      <c r="B806" s="163"/>
      <c r="C806" s="163"/>
      <c r="D806" s="163"/>
      <c r="E806" s="163"/>
      <c r="F806" s="163"/>
      <c r="G806" s="163"/>
      <c r="H806" s="163"/>
      <c r="I806" s="163"/>
      <c r="J806" s="163"/>
    </row>
    <row r="807">
      <c r="A807" s="163"/>
      <c r="B807" s="163"/>
      <c r="C807" s="163"/>
      <c r="D807" s="163"/>
      <c r="E807" s="163"/>
      <c r="F807" s="163"/>
      <c r="G807" s="163"/>
      <c r="H807" s="163"/>
      <c r="I807" s="163"/>
      <c r="J807" s="163"/>
    </row>
    <row r="808">
      <c r="A808" s="163"/>
      <c r="B808" s="163"/>
      <c r="C808" s="163"/>
      <c r="D808" s="163"/>
      <c r="E808" s="163"/>
      <c r="F808" s="163"/>
      <c r="G808" s="163"/>
      <c r="H808" s="163"/>
      <c r="I808" s="163"/>
      <c r="J808" s="163"/>
    </row>
    <row r="809">
      <c r="A809" s="163"/>
      <c r="B809" s="163"/>
      <c r="C809" s="163"/>
      <c r="D809" s="163"/>
      <c r="E809" s="163"/>
      <c r="F809" s="163"/>
      <c r="G809" s="163"/>
      <c r="H809" s="163"/>
      <c r="I809" s="163"/>
      <c r="J809" s="163"/>
    </row>
    <row r="810">
      <c r="A810" s="163"/>
      <c r="B810" s="163"/>
      <c r="C810" s="163"/>
      <c r="D810" s="163"/>
      <c r="E810" s="163"/>
      <c r="F810" s="163"/>
      <c r="G810" s="163"/>
      <c r="H810" s="163"/>
      <c r="I810" s="163"/>
      <c r="J810" s="163"/>
    </row>
    <row r="811">
      <c r="A811" s="163"/>
      <c r="B811" s="163"/>
      <c r="C811" s="163"/>
      <c r="D811" s="163"/>
      <c r="E811" s="163"/>
      <c r="F811" s="163"/>
      <c r="G811" s="163"/>
      <c r="H811" s="163"/>
      <c r="I811" s="163"/>
      <c r="J811" s="163"/>
    </row>
    <row r="812">
      <c r="A812" s="163"/>
      <c r="B812" s="163"/>
      <c r="C812" s="163"/>
      <c r="D812" s="163"/>
      <c r="E812" s="163"/>
      <c r="F812" s="163"/>
      <c r="G812" s="163"/>
      <c r="H812" s="163"/>
      <c r="I812" s="163"/>
      <c r="J812" s="163"/>
    </row>
    <row r="813">
      <c r="A813" s="163"/>
      <c r="B813" s="163"/>
      <c r="C813" s="163"/>
      <c r="D813" s="163"/>
      <c r="E813" s="163"/>
      <c r="F813" s="163"/>
      <c r="G813" s="163"/>
      <c r="H813" s="163"/>
      <c r="I813" s="163"/>
      <c r="J813" s="163"/>
    </row>
    <row r="814">
      <c r="A814" s="163"/>
      <c r="B814" s="163"/>
      <c r="C814" s="163"/>
      <c r="D814" s="163"/>
      <c r="E814" s="163"/>
      <c r="F814" s="163"/>
      <c r="G814" s="163"/>
      <c r="H814" s="163"/>
      <c r="I814" s="163"/>
      <c r="J814" s="163"/>
    </row>
    <row r="815">
      <c r="A815" s="163"/>
      <c r="B815" s="163"/>
      <c r="C815" s="163"/>
      <c r="D815" s="163"/>
      <c r="E815" s="163"/>
      <c r="F815" s="163"/>
      <c r="G815" s="163"/>
      <c r="H815" s="163"/>
      <c r="I815" s="163"/>
      <c r="J815" s="163"/>
    </row>
    <row r="816">
      <c r="A816" s="163"/>
      <c r="B816" s="163"/>
      <c r="C816" s="163"/>
      <c r="D816" s="163"/>
      <c r="E816" s="163"/>
      <c r="F816" s="163"/>
      <c r="G816" s="163"/>
      <c r="H816" s="163"/>
      <c r="I816" s="163"/>
      <c r="J816" s="163"/>
    </row>
    <row r="817">
      <c r="A817" s="163"/>
      <c r="B817" s="163"/>
      <c r="C817" s="163"/>
      <c r="D817" s="163"/>
      <c r="E817" s="163"/>
      <c r="F817" s="163"/>
      <c r="G817" s="163"/>
      <c r="H817" s="163"/>
      <c r="I817" s="163"/>
      <c r="J817" s="163"/>
    </row>
    <row r="818">
      <c r="A818" s="163"/>
      <c r="B818" s="163"/>
      <c r="C818" s="163"/>
      <c r="D818" s="163"/>
      <c r="E818" s="163"/>
      <c r="F818" s="163"/>
      <c r="G818" s="163"/>
      <c r="H818" s="163"/>
      <c r="I818" s="163"/>
      <c r="J818" s="163"/>
    </row>
    <row r="819">
      <c r="A819" s="163"/>
      <c r="B819" s="163"/>
      <c r="C819" s="163"/>
      <c r="D819" s="163"/>
      <c r="E819" s="163"/>
      <c r="F819" s="163"/>
      <c r="G819" s="163"/>
      <c r="H819" s="163"/>
      <c r="I819" s="163"/>
      <c r="J819" s="163"/>
    </row>
    <row r="820">
      <c r="A820" s="163"/>
      <c r="B820" s="163"/>
      <c r="C820" s="163"/>
      <c r="D820" s="163"/>
      <c r="E820" s="163"/>
      <c r="F820" s="163"/>
      <c r="G820" s="163"/>
      <c r="H820" s="163"/>
      <c r="I820" s="163"/>
      <c r="J820" s="163"/>
    </row>
    <row r="821">
      <c r="A821" s="163"/>
      <c r="B821" s="163"/>
      <c r="C821" s="163"/>
      <c r="D821" s="163"/>
      <c r="E821" s="163"/>
      <c r="F821" s="163"/>
      <c r="G821" s="163"/>
      <c r="H821" s="163"/>
      <c r="I821" s="163"/>
      <c r="J821" s="163"/>
    </row>
    <row r="822">
      <c r="A822" s="163"/>
      <c r="B822" s="163"/>
      <c r="C822" s="163"/>
      <c r="D822" s="163"/>
      <c r="E822" s="163"/>
      <c r="F822" s="163"/>
      <c r="G822" s="163"/>
      <c r="H822" s="163"/>
      <c r="I822" s="163"/>
      <c r="J822" s="163"/>
    </row>
    <row r="823">
      <c r="A823" s="163"/>
      <c r="B823" s="163"/>
      <c r="C823" s="163"/>
      <c r="D823" s="163"/>
      <c r="E823" s="163"/>
      <c r="F823" s="163"/>
      <c r="G823" s="163"/>
      <c r="H823" s="163"/>
      <c r="I823" s="163"/>
      <c r="J823" s="163"/>
    </row>
    <row r="824">
      <c r="A824" s="163"/>
      <c r="B824" s="163"/>
      <c r="C824" s="163"/>
      <c r="D824" s="163"/>
      <c r="E824" s="163"/>
      <c r="F824" s="163"/>
      <c r="G824" s="163"/>
      <c r="H824" s="163"/>
      <c r="I824" s="163"/>
      <c r="J824" s="163"/>
    </row>
    <row r="825">
      <c r="A825" s="163"/>
      <c r="B825" s="163"/>
      <c r="C825" s="163"/>
      <c r="D825" s="163"/>
      <c r="E825" s="163"/>
      <c r="F825" s="163"/>
      <c r="G825" s="163"/>
      <c r="H825" s="163"/>
      <c r="I825" s="163"/>
      <c r="J825" s="163"/>
    </row>
    <row r="826">
      <c r="A826" s="163"/>
      <c r="B826" s="163"/>
      <c r="C826" s="163"/>
      <c r="D826" s="163"/>
      <c r="E826" s="163"/>
      <c r="F826" s="163"/>
      <c r="G826" s="163"/>
      <c r="H826" s="163"/>
      <c r="I826" s="163"/>
      <c r="J826" s="163"/>
    </row>
    <row r="827">
      <c r="A827" s="163"/>
      <c r="B827" s="163"/>
      <c r="C827" s="163"/>
      <c r="D827" s="163"/>
      <c r="E827" s="163"/>
      <c r="F827" s="163"/>
      <c r="G827" s="163"/>
      <c r="H827" s="163"/>
      <c r="I827" s="163"/>
      <c r="J827" s="163"/>
    </row>
    <row r="828">
      <c r="A828" s="163"/>
      <c r="B828" s="163"/>
      <c r="C828" s="163"/>
      <c r="D828" s="163"/>
      <c r="E828" s="163"/>
      <c r="F828" s="163"/>
      <c r="G828" s="163"/>
      <c r="H828" s="163"/>
      <c r="I828" s="163"/>
      <c r="J828" s="163"/>
    </row>
    <row r="829">
      <c r="A829" s="163"/>
      <c r="B829" s="163"/>
      <c r="C829" s="163"/>
      <c r="D829" s="163"/>
      <c r="E829" s="163"/>
      <c r="F829" s="163"/>
      <c r="G829" s="163"/>
      <c r="H829" s="163"/>
      <c r="I829" s="163"/>
      <c r="J829" s="163"/>
    </row>
    <row r="830">
      <c r="A830" s="163"/>
      <c r="B830" s="163"/>
      <c r="C830" s="163"/>
      <c r="D830" s="163"/>
      <c r="E830" s="163"/>
      <c r="F830" s="163"/>
      <c r="G830" s="163"/>
      <c r="H830" s="163"/>
      <c r="I830" s="163"/>
      <c r="J830" s="163"/>
    </row>
    <row r="831">
      <c r="A831" s="163"/>
      <c r="B831" s="163"/>
      <c r="C831" s="163"/>
      <c r="D831" s="163"/>
      <c r="E831" s="163"/>
      <c r="F831" s="163"/>
      <c r="G831" s="163"/>
      <c r="H831" s="163"/>
      <c r="I831" s="163"/>
      <c r="J831" s="163"/>
    </row>
    <row r="832">
      <c r="A832" s="163"/>
      <c r="B832" s="163"/>
      <c r="C832" s="163"/>
      <c r="D832" s="163"/>
      <c r="E832" s="163"/>
      <c r="F832" s="163"/>
      <c r="G832" s="163"/>
      <c r="H832" s="163"/>
      <c r="I832" s="163"/>
      <c r="J832" s="163"/>
    </row>
    <row r="833">
      <c r="A833" s="163"/>
      <c r="B833" s="163"/>
      <c r="C833" s="163"/>
      <c r="D833" s="163"/>
      <c r="E833" s="163"/>
      <c r="F833" s="163"/>
      <c r="G833" s="163"/>
      <c r="H833" s="163"/>
      <c r="I833" s="163"/>
      <c r="J833" s="163"/>
    </row>
    <row r="834">
      <c r="A834" s="163"/>
      <c r="B834" s="163"/>
      <c r="C834" s="163"/>
      <c r="D834" s="163"/>
      <c r="E834" s="163"/>
      <c r="F834" s="163"/>
      <c r="G834" s="163"/>
      <c r="H834" s="163"/>
      <c r="I834" s="163"/>
      <c r="J834" s="163"/>
    </row>
    <row r="835">
      <c r="A835" s="163"/>
      <c r="B835" s="163"/>
      <c r="C835" s="163"/>
      <c r="D835" s="163"/>
      <c r="E835" s="163"/>
      <c r="F835" s="163"/>
      <c r="G835" s="163"/>
      <c r="H835" s="163"/>
      <c r="I835" s="163"/>
      <c r="J835" s="163"/>
    </row>
    <row r="836">
      <c r="A836" s="163"/>
      <c r="B836" s="163"/>
      <c r="C836" s="163"/>
      <c r="D836" s="163"/>
      <c r="E836" s="163"/>
      <c r="F836" s="163"/>
      <c r="G836" s="163"/>
      <c r="H836" s="163"/>
      <c r="I836" s="163"/>
      <c r="J836" s="163"/>
    </row>
    <row r="837">
      <c r="A837" s="163"/>
      <c r="B837" s="163"/>
      <c r="C837" s="163"/>
      <c r="D837" s="163"/>
      <c r="E837" s="163"/>
      <c r="F837" s="163"/>
      <c r="G837" s="163"/>
      <c r="H837" s="163"/>
      <c r="I837" s="163"/>
      <c r="J837" s="163"/>
    </row>
    <row r="838">
      <c r="A838" s="163"/>
      <c r="B838" s="163"/>
      <c r="C838" s="163"/>
      <c r="D838" s="163"/>
      <c r="E838" s="163"/>
      <c r="F838" s="163"/>
      <c r="G838" s="163"/>
      <c r="H838" s="163"/>
      <c r="I838" s="163"/>
      <c r="J838" s="163"/>
    </row>
    <row r="839">
      <c r="A839" s="163"/>
      <c r="B839" s="163"/>
      <c r="C839" s="163"/>
      <c r="D839" s="163"/>
      <c r="E839" s="163"/>
      <c r="F839" s="163"/>
      <c r="G839" s="163"/>
      <c r="H839" s="163"/>
      <c r="I839" s="163"/>
      <c r="J839" s="163"/>
    </row>
    <row r="840">
      <c r="A840" s="163"/>
      <c r="B840" s="163"/>
      <c r="C840" s="163"/>
      <c r="D840" s="163"/>
      <c r="E840" s="163"/>
      <c r="F840" s="163"/>
      <c r="G840" s="163"/>
      <c r="H840" s="163"/>
      <c r="I840" s="163"/>
      <c r="J840" s="163"/>
    </row>
    <row r="841">
      <c r="A841" s="163"/>
      <c r="B841" s="163"/>
      <c r="C841" s="163"/>
      <c r="D841" s="163"/>
      <c r="E841" s="163"/>
      <c r="F841" s="163"/>
      <c r="G841" s="163"/>
      <c r="H841" s="163"/>
      <c r="I841" s="163"/>
      <c r="J841" s="163"/>
    </row>
    <row r="842">
      <c r="A842" s="163"/>
      <c r="B842" s="163"/>
      <c r="C842" s="163"/>
      <c r="D842" s="163"/>
      <c r="E842" s="163"/>
      <c r="F842" s="163"/>
      <c r="G842" s="163"/>
      <c r="H842" s="163"/>
      <c r="I842" s="163"/>
      <c r="J842" s="163"/>
    </row>
    <row r="843">
      <c r="A843" s="163"/>
      <c r="B843" s="163"/>
      <c r="C843" s="163"/>
      <c r="D843" s="163"/>
      <c r="E843" s="163"/>
      <c r="F843" s="163"/>
      <c r="G843" s="163"/>
      <c r="H843" s="163"/>
      <c r="I843" s="163"/>
      <c r="J843" s="163"/>
    </row>
    <row r="844">
      <c r="A844" s="163"/>
      <c r="B844" s="163"/>
      <c r="C844" s="163"/>
      <c r="D844" s="163"/>
      <c r="E844" s="163"/>
      <c r="F844" s="163"/>
      <c r="G844" s="163"/>
      <c r="H844" s="163"/>
      <c r="I844" s="163"/>
      <c r="J844" s="163"/>
    </row>
    <row r="845">
      <c r="A845" s="163"/>
      <c r="B845" s="163"/>
      <c r="C845" s="163"/>
      <c r="D845" s="163"/>
      <c r="E845" s="163"/>
      <c r="F845" s="163"/>
      <c r="G845" s="163"/>
      <c r="H845" s="163"/>
      <c r="I845" s="163"/>
      <c r="J845" s="163"/>
    </row>
    <row r="846">
      <c r="A846" s="163"/>
      <c r="B846" s="163"/>
      <c r="C846" s="163"/>
      <c r="D846" s="163"/>
      <c r="E846" s="163"/>
      <c r="F846" s="163"/>
      <c r="G846" s="163"/>
      <c r="H846" s="163"/>
      <c r="I846" s="163"/>
      <c r="J846" s="163"/>
    </row>
    <row r="847">
      <c r="A847" s="163"/>
      <c r="B847" s="163"/>
      <c r="C847" s="163"/>
      <c r="D847" s="163"/>
      <c r="E847" s="163"/>
      <c r="F847" s="163"/>
      <c r="G847" s="163"/>
      <c r="H847" s="163"/>
      <c r="I847" s="163"/>
      <c r="J847" s="163"/>
    </row>
    <row r="848">
      <c r="A848" s="163"/>
      <c r="B848" s="163"/>
      <c r="C848" s="163"/>
      <c r="D848" s="163"/>
      <c r="E848" s="163"/>
      <c r="F848" s="163"/>
      <c r="G848" s="163"/>
      <c r="H848" s="163"/>
      <c r="I848" s="163"/>
      <c r="J848" s="163"/>
    </row>
    <row r="849">
      <c r="A849" s="163"/>
      <c r="B849" s="163"/>
      <c r="C849" s="163"/>
      <c r="D849" s="163"/>
      <c r="E849" s="163"/>
      <c r="F849" s="163"/>
      <c r="G849" s="163"/>
      <c r="H849" s="163"/>
      <c r="I849" s="163"/>
      <c r="J849" s="163"/>
    </row>
    <row r="850">
      <c r="A850" s="163"/>
      <c r="B850" s="163"/>
      <c r="C850" s="163"/>
      <c r="D850" s="163"/>
      <c r="E850" s="163"/>
      <c r="F850" s="163"/>
      <c r="G850" s="163"/>
      <c r="H850" s="163"/>
      <c r="I850" s="163"/>
      <c r="J850" s="163"/>
    </row>
    <row r="851">
      <c r="A851" s="163"/>
      <c r="B851" s="163"/>
      <c r="C851" s="163"/>
      <c r="D851" s="163"/>
      <c r="E851" s="163"/>
      <c r="F851" s="163"/>
      <c r="G851" s="163"/>
      <c r="H851" s="163"/>
      <c r="I851" s="163"/>
      <c r="J851" s="163"/>
    </row>
    <row r="852">
      <c r="A852" s="163"/>
      <c r="B852" s="163"/>
      <c r="C852" s="163"/>
      <c r="D852" s="163"/>
      <c r="E852" s="163"/>
      <c r="F852" s="163"/>
      <c r="G852" s="163"/>
      <c r="H852" s="163"/>
      <c r="I852" s="163"/>
      <c r="J852" s="163"/>
    </row>
    <row r="853">
      <c r="A853" s="163"/>
      <c r="B853" s="163"/>
      <c r="C853" s="163"/>
      <c r="D853" s="163"/>
      <c r="E853" s="163"/>
      <c r="F853" s="163"/>
      <c r="G853" s="163"/>
      <c r="H853" s="163"/>
      <c r="I853" s="163"/>
      <c r="J853" s="163"/>
    </row>
    <row r="854">
      <c r="A854" s="163"/>
      <c r="B854" s="163"/>
      <c r="C854" s="163"/>
      <c r="D854" s="163"/>
      <c r="E854" s="163"/>
      <c r="F854" s="163"/>
      <c r="G854" s="163"/>
      <c r="H854" s="163"/>
      <c r="I854" s="163"/>
      <c r="J854" s="163"/>
    </row>
    <row r="855">
      <c r="A855" s="163"/>
      <c r="B855" s="163"/>
      <c r="C855" s="163"/>
      <c r="D855" s="163"/>
      <c r="E855" s="163"/>
      <c r="F855" s="163"/>
      <c r="G855" s="163"/>
      <c r="H855" s="163"/>
      <c r="I855" s="163"/>
      <c r="J855" s="163"/>
    </row>
    <row r="856">
      <c r="A856" s="163"/>
      <c r="B856" s="163"/>
      <c r="C856" s="163"/>
      <c r="D856" s="163"/>
      <c r="E856" s="163"/>
      <c r="F856" s="163"/>
      <c r="G856" s="163"/>
      <c r="H856" s="163"/>
      <c r="I856" s="163"/>
      <c r="J856" s="163"/>
    </row>
    <row r="857">
      <c r="A857" s="163"/>
      <c r="B857" s="163"/>
      <c r="C857" s="163"/>
      <c r="D857" s="163"/>
      <c r="E857" s="163"/>
      <c r="F857" s="163"/>
      <c r="G857" s="163"/>
      <c r="H857" s="163"/>
      <c r="I857" s="163"/>
      <c r="J857" s="163"/>
    </row>
    <row r="858">
      <c r="A858" s="163"/>
      <c r="B858" s="163"/>
      <c r="C858" s="163"/>
      <c r="D858" s="163"/>
      <c r="E858" s="163"/>
      <c r="F858" s="163"/>
      <c r="G858" s="163"/>
      <c r="H858" s="163"/>
      <c r="I858" s="163"/>
      <c r="J858" s="163"/>
    </row>
    <row r="859">
      <c r="A859" s="163"/>
      <c r="B859" s="163"/>
      <c r="C859" s="163"/>
      <c r="D859" s="163"/>
      <c r="E859" s="163"/>
      <c r="F859" s="163"/>
      <c r="G859" s="163"/>
      <c r="H859" s="163"/>
      <c r="I859" s="163"/>
      <c r="J859" s="163"/>
    </row>
    <row r="860">
      <c r="A860" s="163"/>
      <c r="B860" s="163"/>
      <c r="C860" s="163"/>
      <c r="D860" s="163"/>
      <c r="E860" s="163"/>
      <c r="F860" s="163"/>
      <c r="G860" s="163"/>
      <c r="H860" s="163"/>
      <c r="I860" s="163"/>
      <c r="J860" s="163"/>
    </row>
    <row r="861">
      <c r="A861" s="163"/>
      <c r="B861" s="163"/>
      <c r="C861" s="163"/>
      <c r="D861" s="163"/>
      <c r="E861" s="163"/>
      <c r="F861" s="163"/>
      <c r="G861" s="163"/>
      <c r="H861" s="163"/>
      <c r="I861" s="163"/>
      <c r="J861" s="163"/>
    </row>
    <row r="862">
      <c r="A862" s="163"/>
      <c r="B862" s="163"/>
      <c r="C862" s="163"/>
      <c r="D862" s="163"/>
      <c r="E862" s="163"/>
      <c r="F862" s="163"/>
      <c r="G862" s="163"/>
      <c r="H862" s="163"/>
      <c r="I862" s="163"/>
      <c r="J862" s="163"/>
    </row>
    <row r="863">
      <c r="A863" s="163"/>
      <c r="B863" s="163"/>
      <c r="C863" s="163"/>
      <c r="D863" s="163"/>
      <c r="E863" s="163"/>
      <c r="F863" s="163"/>
      <c r="G863" s="163"/>
      <c r="H863" s="163"/>
      <c r="I863" s="163"/>
      <c r="J863" s="163"/>
    </row>
    <row r="864">
      <c r="A864" s="163"/>
      <c r="B864" s="163"/>
      <c r="C864" s="163"/>
      <c r="D864" s="163"/>
      <c r="E864" s="163"/>
      <c r="F864" s="163"/>
      <c r="G864" s="163"/>
      <c r="H864" s="163"/>
      <c r="I864" s="163"/>
      <c r="J864" s="163"/>
    </row>
    <row r="865">
      <c r="A865" s="163"/>
      <c r="B865" s="163"/>
      <c r="C865" s="163"/>
      <c r="D865" s="163"/>
      <c r="E865" s="163"/>
      <c r="F865" s="163"/>
      <c r="G865" s="163"/>
      <c r="H865" s="163"/>
      <c r="I865" s="163"/>
      <c r="J865" s="163"/>
    </row>
    <row r="866">
      <c r="A866" s="163"/>
      <c r="B866" s="163"/>
      <c r="C866" s="163"/>
      <c r="D866" s="163"/>
      <c r="E866" s="163"/>
      <c r="F866" s="163"/>
      <c r="G866" s="163"/>
      <c r="H866" s="163"/>
      <c r="I866" s="163"/>
      <c r="J866" s="163"/>
    </row>
    <row r="867">
      <c r="A867" s="163"/>
      <c r="B867" s="163"/>
      <c r="C867" s="163"/>
      <c r="D867" s="163"/>
      <c r="E867" s="163"/>
      <c r="F867" s="163"/>
      <c r="G867" s="163"/>
      <c r="H867" s="163"/>
      <c r="I867" s="163"/>
      <c r="J867" s="163"/>
    </row>
    <row r="868">
      <c r="A868" s="163"/>
      <c r="B868" s="163"/>
      <c r="C868" s="163"/>
      <c r="D868" s="163"/>
      <c r="E868" s="163"/>
      <c r="F868" s="163"/>
      <c r="G868" s="163"/>
      <c r="H868" s="163"/>
      <c r="I868" s="163"/>
      <c r="J868" s="163"/>
    </row>
    <row r="869">
      <c r="A869" s="163"/>
      <c r="B869" s="163"/>
      <c r="C869" s="163"/>
      <c r="D869" s="163"/>
      <c r="E869" s="163"/>
      <c r="F869" s="163"/>
      <c r="G869" s="163"/>
      <c r="H869" s="163"/>
      <c r="I869" s="163"/>
      <c r="J869" s="163"/>
    </row>
    <row r="870">
      <c r="A870" s="163"/>
      <c r="B870" s="163"/>
      <c r="C870" s="163"/>
      <c r="D870" s="163"/>
      <c r="E870" s="163"/>
      <c r="F870" s="163"/>
      <c r="G870" s="163"/>
      <c r="H870" s="163"/>
      <c r="I870" s="163"/>
      <c r="J870" s="163"/>
    </row>
    <row r="871">
      <c r="A871" s="163"/>
      <c r="B871" s="163"/>
      <c r="C871" s="163"/>
      <c r="D871" s="163"/>
      <c r="E871" s="163"/>
      <c r="F871" s="163"/>
      <c r="G871" s="163"/>
      <c r="H871" s="163"/>
      <c r="I871" s="163"/>
      <c r="J871" s="163"/>
    </row>
    <row r="872">
      <c r="A872" s="163"/>
      <c r="B872" s="163"/>
      <c r="C872" s="163"/>
      <c r="D872" s="163"/>
      <c r="E872" s="163"/>
      <c r="F872" s="163"/>
      <c r="G872" s="163"/>
      <c r="H872" s="163"/>
      <c r="I872" s="163"/>
      <c r="J872" s="163"/>
    </row>
    <row r="873">
      <c r="A873" s="163"/>
      <c r="B873" s="163"/>
      <c r="C873" s="163"/>
      <c r="D873" s="163"/>
      <c r="E873" s="163"/>
      <c r="F873" s="163"/>
      <c r="G873" s="163"/>
      <c r="H873" s="163"/>
      <c r="I873" s="163"/>
      <c r="J873" s="163"/>
    </row>
    <row r="874">
      <c r="A874" s="163"/>
      <c r="B874" s="163"/>
      <c r="C874" s="163"/>
      <c r="D874" s="163"/>
      <c r="E874" s="163"/>
      <c r="F874" s="163"/>
      <c r="G874" s="163"/>
      <c r="H874" s="163"/>
      <c r="I874" s="163"/>
      <c r="J874" s="163"/>
    </row>
    <row r="875">
      <c r="A875" s="163"/>
      <c r="B875" s="163"/>
      <c r="C875" s="163"/>
      <c r="D875" s="163"/>
      <c r="E875" s="163"/>
      <c r="F875" s="163"/>
      <c r="G875" s="163"/>
      <c r="H875" s="163"/>
      <c r="I875" s="163"/>
      <c r="J875" s="163"/>
    </row>
    <row r="876">
      <c r="A876" s="163"/>
      <c r="B876" s="163"/>
      <c r="C876" s="163"/>
      <c r="D876" s="163"/>
      <c r="E876" s="163"/>
      <c r="F876" s="163"/>
      <c r="G876" s="163"/>
      <c r="H876" s="163"/>
      <c r="I876" s="163"/>
      <c r="J876" s="163"/>
    </row>
    <row r="877">
      <c r="A877" s="163"/>
      <c r="B877" s="163"/>
      <c r="C877" s="163"/>
      <c r="D877" s="163"/>
      <c r="E877" s="163"/>
      <c r="F877" s="163"/>
      <c r="G877" s="163"/>
      <c r="H877" s="163"/>
      <c r="I877" s="163"/>
      <c r="J877" s="163"/>
    </row>
    <row r="878">
      <c r="A878" s="163"/>
      <c r="B878" s="163"/>
      <c r="C878" s="163"/>
      <c r="D878" s="163"/>
      <c r="E878" s="163"/>
      <c r="F878" s="163"/>
      <c r="G878" s="163"/>
      <c r="H878" s="163"/>
      <c r="I878" s="163"/>
      <c r="J878" s="163"/>
    </row>
    <row r="879">
      <c r="A879" s="163"/>
      <c r="B879" s="163"/>
      <c r="C879" s="163"/>
      <c r="D879" s="163"/>
      <c r="E879" s="163"/>
      <c r="F879" s="163"/>
      <c r="G879" s="163"/>
      <c r="H879" s="163"/>
      <c r="I879" s="163"/>
      <c r="J879" s="163"/>
    </row>
    <row r="880">
      <c r="A880" s="163"/>
      <c r="B880" s="163"/>
      <c r="C880" s="163"/>
      <c r="D880" s="163"/>
      <c r="E880" s="163"/>
      <c r="F880" s="163"/>
      <c r="G880" s="163"/>
      <c r="H880" s="163"/>
      <c r="I880" s="163"/>
      <c r="J880" s="163"/>
    </row>
    <row r="881">
      <c r="A881" s="163"/>
      <c r="B881" s="163"/>
      <c r="C881" s="163"/>
      <c r="D881" s="163"/>
      <c r="E881" s="163"/>
      <c r="F881" s="163"/>
      <c r="G881" s="163"/>
      <c r="H881" s="163"/>
      <c r="I881" s="163"/>
      <c r="J881" s="163"/>
    </row>
    <row r="882">
      <c r="A882" s="163"/>
      <c r="B882" s="163"/>
      <c r="C882" s="163"/>
      <c r="D882" s="163"/>
      <c r="E882" s="163"/>
      <c r="F882" s="163"/>
      <c r="G882" s="163"/>
      <c r="H882" s="163"/>
      <c r="I882" s="163"/>
      <c r="J882" s="163"/>
    </row>
    <row r="883">
      <c r="A883" s="163"/>
      <c r="B883" s="163"/>
      <c r="C883" s="163"/>
      <c r="D883" s="163"/>
      <c r="E883" s="163"/>
      <c r="F883" s="163"/>
      <c r="G883" s="163"/>
      <c r="H883" s="163"/>
      <c r="I883" s="163"/>
      <c r="J883" s="163"/>
    </row>
    <row r="884">
      <c r="A884" s="163"/>
      <c r="B884" s="163"/>
      <c r="C884" s="163"/>
      <c r="D884" s="163"/>
      <c r="E884" s="163"/>
      <c r="F884" s="163"/>
      <c r="G884" s="163"/>
      <c r="H884" s="163"/>
      <c r="I884" s="163"/>
      <c r="J884" s="163"/>
    </row>
    <row r="885">
      <c r="A885" s="163"/>
      <c r="B885" s="163"/>
      <c r="C885" s="163"/>
      <c r="D885" s="163"/>
      <c r="E885" s="163"/>
      <c r="F885" s="163"/>
      <c r="G885" s="163"/>
      <c r="H885" s="163"/>
      <c r="I885" s="163"/>
      <c r="J885" s="163"/>
    </row>
    <row r="886">
      <c r="A886" s="163"/>
      <c r="B886" s="163"/>
      <c r="C886" s="163"/>
      <c r="D886" s="163"/>
      <c r="E886" s="163"/>
      <c r="F886" s="163"/>
      <c r="G886" s="163"/>
      <c r="H886" s="163"/>
      <c r="I886" s="163"/>
      <c r="J886" s="163"/>
    </row>
    <row r="887">
      <c r="A887" s="163"/>
      <c r="B887" s="163"/>
      <c r="C887" s="163"/>
      <c r="D887" s="163"/>
      <c r="E887" s="163"/>
      <c r="F887" s="163"/>
      <c r="G887" s="163"/>
      <c r="H887" s="163"/>
      <c r="I887" s="163"/>
      <c r="J887" s="163"/>
    </row>
    <row r="888">
      <c r="A888" s="163"/>
      <c r="B888" s="163"/>
      <c r="C888" s="163"/>
      <c r="D888" s="163"/>
      <c r="E888" s="163"/>
      <c r="F888" s="163"/>
      <c r="G888" s="163"/>
      <c r="H888" s="163"/>
      <c r="I888" s="163"/>
      <c r="J888" s="163"/>
    </row>
    <row r="889">
      <c r="A889" s="163"/>
      <c r="B889" s="163"/>
      <c r="C889" s="163"/>
      <c r="D889" s="163"/>
      <c r="E889" s="163"/>
      <c r="F889" s="163"/>
      <c r="G889" s="163"/>
      <c r="H889" s="163"/>
      <c r="I889" s="163"/>
      <c r="J889" s="163"/>
    </row>
    <row r="890">
      <c r="A890" s="163"/>
      <c r="B890" s="163"/>
      <c r="C890" s="163"/>
      <c r="D890" s="163"/>
      <c r="E890" s="163"/>
      <c r="F890" s="163"/>
      <c r="G890" s="163"/>
      <c r="H890" s="163"/>
      <c r="I890" s="163"/>
      <c r="J890" s="163"/>
    </row>
    <row r="891">
      <c r="A891" s="163"/>
      <c r="B891" s="163"/>
      <c r="C891" s="163"/>
      <c r="D891" s="163"/>
      <c r="E891" s="163"/>
      <c r="F891" s="163"/>
      <c r="G891" s="163"/>
      <c r="H891" s="163"/>
      <c r="I891" s="163"/>
      <c r="J891" s="163"/>
    </row>
    <row r="892">
      <c r="A892" s="163"/>
      <c r="B892" s="163"/>
      <c r="C892" s="163"/>
      <c r="D892" s="163"/>
      <c r="E892" s="163"/>
      <c r="F892" s="163"/>
      <c r="G892" s="163"/>
      <c r="H892" s="163"/>
      <c r="I892" s="163"/>
      <c r="J892" s="163"/>
    </row>
    <row r="893">
      <c r="A893" s="163"/>
      <c r="B893" s="163"/>
      <c r="C893" s="163"/>
      <c r="D893" s="163"/>
      <c r="E893" s="163"/>
      <c r="F893" s="163"/>
      <c r="G893" s="163"/>
      <c r="H893" s="163"/>
      <c r="I893" s="163"/>
      <c r="J893" s="163"/>
    </row>
    <row r="894">
      <c r="A894" s="163"/>
      <c r="B894" s="163"/>
      <c r="C894" s="163"/>
      <c r="D894" s="163"/>
      <c r="E894" s="163"/>
      <c r="F894" s="163"/>
      <c r="G894" s="163"/>
      <c r="H894" s="163"/>
      <c r="I894" s="163"/>
      <c r="J894" s="163"/>
    </row>
    <row r="895">
      <c r="A895" s="163"/>
      <c r="B895" s="163"/>
      <c r="C895" s="163"/>
      <c r="D895" s="163"/>
      <c r="E895" s="163"/>
      <c r="F895" s="163"/>
      <c r="G895" s="163"/>
      <c r="H895" s="163"/>
      <c r="I895" s="163"/>
      <c r="J895" s="163"/>
    </row>
    <row r="896">
      <c r="A896" s="163"/>
      <c r="B896" s="163"/>
      <c r="C896" s="163"/>
      <c r="D896" s="163"/>
      <c r="E896" s="163"/>
      <c r="F896" s="163"/>
      <c r="G896" s="163"/>
      <c r="H896" s="163"/>
      <c r="I896" s="163"/>
      <c r="J896" s="163"/>
    </row>
    <row r="897">
      <c r="A897" s="163"/>
      <c r="B897" s="163"/>
      <c r="C897" s="163"/>
      <c r="D897" s="163"/>
      <c r="E897" s="163"/>
      <c r="F897" s="163"/>
      <c r="G897" s="163"/>
      <c r="H897" s="163"/>
      <c r="I897" s="163"/>
      <c r="J897" s="163"/>
    </row>
    <row r="898">
      <c r="A898" s="163"/>
      <c r="B898" s="163"/>
      <c r="C898" s="163"/>
      <c r="D898" s="163"/>
      <c r="E898" s="163"/>
      <c r="F898" s="163"/>
      <c r="G898" s="163"/>
      <c r="H898" s="163"/>
      <c r="I898" s="163"/>
      <c r="J898" s="163"/>
    </row>
    <row r="899">
      <c r="A899" s="163"/>
      <c r="B899" s="163"/>
      <c r="C899" s="163"/>
      <c r="D899" s="163"/>
      <c r="E899" s="163"/>
      <c r="F899" s="163"/>
      <c r="G899" s="163"/>
      <c r="H899" s="163"/>
      <c r="I899" s="163"/>
      <c r="J899" s="163"/>
    </row>
    <row r="900">
      <c r="A900" s="163"/>
      <c r="B900" s="163"/>
      <c r="C900" s="163"/>
      <c r="D900" s="163"/>
      <c r="E900" s="163"/>
      <c r="F900" s="163"/>
      <c r="G900" s="163"/>
      <c r="H900" s="163"/>
      <c r="I900" s="163"/>
      <c r="J900" s="163"/>
    </row>
    <row r="901">
      <c r="A901" s="163"/>
      <c r="B901" s="163"/>
      <c r="C901" s="163"/>
      <c r="D901" s="163"/>
      <c r="E901" s="163"/>
      <c r="F901" s="163"/>
      <c r="G901" s="163"/>
      <c r="H901" s="163"/>
      <c r="I901" s="163"/>
      <c r="J901" s="163"/>
    </row>
    <row r="902">
      <c r="A902" s="163"/>
      <c r="B902" s="163"/>
      <c r="C902" s="163"/>
      <c r="D902" s="163"/>
      <c r="E902" s="163"/>
      <c r="F902" s="163"/>
      <c r="G902" s="163"/>
      <c r="H902" s="163"/>
      <c r="I902" s="163"/>
      <c r="J902" s="163"/>
    </row>
    <row r="903">
      <c r="A903" s="163"/>
      <c r="B903" s="163"/>
      <c r="C903" s="163"/>
      <c r="D903" s="163"/>
      <c r="E903" s="163"/>
      <c r="F903" s="163"/>
      <c r="G903" s="163"/>
      <c r="H903" s="163"/>
      <c r="I903" s="163"/>
      <c r="J903" s="163"/>
    </row>
    <row r="904">
      <c r="A904" s="163"/>
      <c r="B904" s="163"/>
      <c r="C904" s="163"/>
      <c r="D904" s="163"/>
      <c r="E904" s="163"/>
      <c r="F904" s="163"/>
      <c r="G904" s="163"/>
      <c r="H904" s="163"/>
      <c r="I904" s="163"/>
      <c r="J904" s="163"/>
    </row>
    <row r="905">
      <c r="A905" s="163"/>
      <c r="B905" s="163"/>
      <c r="C905" s="163"/>
      <c r="D905" s="163"/>
      <c r="E905" s="163"/>
      <c r="F905" s="163"/>
      <c r="G905" s="163"/>
      <c r="H905" s="163"/>
      <c r="I905" s="163"/>
      <c r="J905" s="163"/>
    </row>
    <row r="906">
      <c r="A906" s="163"/>
      <c r="B906" s="163"/>
      <c r="C906" s="163"/>
      <c r="D906" s="163"/>
      <c r="E906" s="163"/>
      <c r="F906" s="163"/>
      <c r="G906" s="163"/>
      <c r="H906" s="163"/>
      <c r="I906" s="163"/>
      <c r="J906" s="163"/>
    </row>
    <row r="907">
      <c r="A907" s="163"/>
      <c r="B907" s="163"/>
      <c r="C907" s="163"/>
      <c r="D907" s="163"/>
      <c r="E907" s="163"/>
      <c r="F907" s="163"/>
      <c r="G907" s="163"/>
      <c r="H907" s="163"/>
      <c r="I907" s="163"/>
      <c r="J907" s="163"/>
    </row>
    <row r="908">
      <c r="A908" s="163"/>
      <c r="B908" s="163"/>
      <c r="C908" s="163"/>
      <c r="D908" s="163"/>
      <c r="E908" s="163"/>
      <c r="F908" s="163"/>
      <c r="G908" s="163"/>
      <c r="H908" s="163"/>
      <c r="I908" s="163"/>
      <c r="J908" s="163"/>
    </row>
    <row r="909">
      <c r="A909" s="163"/>
      <c r="B909" s="163"/>
      <c r="C909" s="163"/>
      <c r="D909" s="163"/>
      <c r="E909" s="163"/>
      <c r="F909" s="163"/>
      <c r="G909" s="163"/>
      <c r="H909" s="163"/>
      <c r="I909" s="163"/>
      <c r="J909" s="163"/>
    </row>
    <row r="910">
      <c r="A910" s="163"/>
      <c r="B910" s="163"/>
      <c r="C910" s="163"/>
      <c r="D910" s="163"/>
      <c r="E910" s="163"/>
      <c r="F910" s="163"/>
      <c r="G910" s="163"/>
      <c r="H910" s="163"/>
      <c r="I910" s="163"/>
      <c r="J910" s="163"/>
    </row>
    <row r="911">
      <c r="A911" s="163"/>
      <c r="B911" s="163"/>
      <c r="C911" s="163"/>
      <c r="D911" s="163"/>
      <c r="E911" s="163"/>
      <c r="F911" s="163"/>
      <c r="G911" s="163"/>
      <c r="H911" s="163"/>
      <c r="I911" s="163"/>
      <c r="J911" s="163"/>
    </row>
    <row r="912">
      <c r="A912" s="163"/>
      <c r="B912" s="163"/>
      <c r="C912" s="163"/>
      <c r="D912" s="163"/>
      <c r="E912" s="163"/>
      <c r="F912" s="163"/>
      <c r="G912" s="163"/>
      <c r="H912" s="163"/>
      <c r="I912" s="163"/>
      <c r="J912" s="163"/>
    </row>
    <row r="913">
      <c r="A913" s="163"/>
      <c r="B913" s="163"/>
      <c r="C913" s="163"/>
      <c r="D913" s="163"/>
      <c r="E913" s="163"/>
      <c r="F913" s="163"/>
      <c r="G913" s="163"/>
      <c r="H913" s="163"/>
      <c r="I913" s="163"/>
      <c r="J913" s="163"/>
    </row>
    <row r="914">
      <c r="A914" s="163"/>
      <c r="B914" s="163"/>
      <c r="C914" s="163"/>
      <c r="D914" s="163"/>
      <c r="E914" s="163"/>
      <c r="F914" s="163"/>
      <c r="G914" s="163"/>
      <c r="H914" s="163"/>
      <c r="I914" s="163"/>
      <c r="J914" s="163"/>
    </row>
    <row r="915">
      <c r="A915" s="163"/>
      <c r="B915" s="163"/>
      <c r="C915" s="163"/>
      <c r="D915" s="163"/>
      <c r="E915" s="163"/>
      <c r="F915" s="163"/>
      <c r="G915" s="163"/>
      <c r="H915" s="163"/>
      <c r="I915" s="163"/>
      <c r="J915" s="163"/>
    </row>
    <row r="916">
      <c r="A916" s="163"/>
      <c r="B916" s="163"/>
      <c r="C916" s="163"/>
      <c r="D916" s="163"/>
      <c r="E916" s="163"/>
      <c r="F916" s="163"/>
      <c r="G916" s="163"/>
      <c r="H916" s="163"/>
      <c r="I916" s="163"/>
      <c r="J916" s="163"/>
    </row>
    <row r="917">
      <c r="A917" s="163"/>
      <c r="B917" s="163"/>
      <c r="C917" s="163"/>
      <c r="D917" s="163"/>
      <c r="E917" s="163"/>
      <c r="F917" s="163"/>
      <c r="G917" s="163"/>
      <c r="H917" s="163"/>
      <c r="I917" s="163"/>
      <c r="J917" s="163"/>
    </row>
    <row r="918">
      <c r="A918" s="163"/>
      <c r="B918" s="163"/>
      <c r="C918" s="163"/>
      <c r="D918" s="163"/>
      <c r="E918" s="163"/>
      <c r="F918" s="163"/>
      <c r="G918" s="163"/>
      <c r="H918" s="163"/>
      <c r="I918" s="163"/>
      <c r="J918" s="163"/>
    </row>
    <row r="919">
      <c r="A919" s="163"/>
      <c r="B919" s="163"/>
      <c r="C919" s="163"/>
      <c r="D919" s="163"/>
      <c r="E919" s="163"/>
      <c r="F919" s="163"/>
      <c r="G919" s="163"/>
      <c r="H919" s="163"/>
      <c r="I919" s="163"/>
      <c r="J919" s="163"/>
    </row>
    <row r="920">
      <c r="A920" s="163"/>
      <c r="B920" s="163"/>
      <c r="C920" s="163"/>
      <c r="D920" s="163"/>
      <c r="E920" s="163"/>
      <c r="F920" s="163"/>
      <c r="G920" s="163"/>
      <c r="H920" s="163"/>
      <c r="I920" s="163"/>
      <c r="J920" s="163"/>
    </row>
    <row r="921">
      <c r="A921" s="163"/>
      <c r="B921" s="163"/>
      <c r="C921" s="163"/>
      <c r="D921" s="163"/>
      <c r="E921" s="163"/>
      <c r="F921" s="163"/>
      <c r="G921" s="163"/>
      <c r="H921" s="163"/>
      <c r="I921" s="163"/>
      <c r="J921" s="163"/>
    </row>
    <row r="922">
      <c r="A922" s="163"/>
      <c r="B922" s="163"/>
      <c r="C922" s="163"/>
      <c r="D922" s="163"/>
      <c r="E922" s="163"/>
      <c r="F922" s="163"/>
      <c r="G922" s="163"/>
      <c r="H922" s="163"/>
      <c r="I922" s="163"/>
      <c r="J922" s="163"/>
    </row>
    <row r="923">
      <c r="A923" s="163"/>
      <c r="B923" s="163"/>
      <c r="C923" s="163"/>
      <c r="D923" s="163"/>
      <c r="E923" s="163"/>
      <c r="F923" s="163"/>
      <c r="G923" s="163"/>
      <c r="H923" s="163"/>
      <c r="I923" s="163"/>
      <c r="J923" s="163"/>
    </row>
    <row r="924">
      <c r="A924" s="163"/>
      <c r="B924" s="163"/>
      <c r="C924" s="163"/>
      <c r="D924" s="163"/>
      <c r="E924" s="163"/>
      <c r="F924" s="163"/>
      <c r="G924" s="163"/>
      <c r="H924" s="163"/>
      <c r="I924" s="163"/>
      <c r="J924" s="163"/>
    </row>
    <row r="925">
      <c r="A925" s="163"/>
      <c r="B925" s="163"/>
      <c r="C925" s="163"/>
      <c r="D925" s="163"/>
      <c r="E925" s="163"/>
      <c r="F925" s="163"/>
      <c r="G925" s="163"/>
      <c r="H925" s="163"/>
      <c r="I925" s="163"/>
      <c r="J925" s="163"/>
    </row>
    <row r="926">
      <c r="A926" s="163"/>
      <c r="B926" s="163"/>
      <c r="C926" s="163"/>
      <c r="D926" s="163"/>
      <c r="E926" s="163"/>
      <c r="F926" s="163"/>
      <c r="G926" s="163"/>
      <c r="H926" s="163"/>
      <c r="I926" s="163"/>
      <c r="J926" s="163"/>
    </row>
    <row r="927">
      <c r="A927" s="163"/>
      <c r="B927" s="163"/>
      <c r="C927" s="163"/>
      <c r="D927" s="163"/>
      <c r="E927" s="163"/>
      <c r="F927" s="163"/>
      <c r="G927" s="163"/>
      <c r="H927" s="163"/>
      <c r="I927" s="163"/>
      <c r="J927" s="163"/>
    </row>
    <row r="928">
      <c r="A928" s="163"/>
      <c r="B928" s="163"/>
      <c r="C928" s="163"/>
      <c r="D928" s="163"/>
      <c r="E928" s="163"/>
      <c r="F928" s="163"/>
      <c r="G928" s="163"/>
      <c r="H928" s="163"/>
      <c r="I928" s="163"/>
      <c r="J928" s="163"/>
    </row>
    <row r="929">
      <c r="A929" s="163"/>
      <c r="B929" s="163"/>
      <c r="C929" s="163"/>
      <c r="D929" s="163"/>
      <c r="E929" s="163"/>
      <c r="F929" s="163"/>
      <c r="G929" s="163"/>
      <c r="H929" s="163"/>
      <c r="I929" s="163"/>
      <c r="J929" s="163"/>
    </row>
    <row r="930">
      <c r="A930" s="163"/>
      <c r="B930" s="163"/>
      <c r="C930" s="163"/>
      <c r="D930" s="163"/>
      <c r="E930" s="163"/>
      <c r="F930" s="163"/>
      <c r="G930" s="163"/>
      <c r="H930" s="163"/>
      <c r="I930" s="163"/>
      <c r="J930" s="163"/>
    </row>
    <row r="931">
      <c r="A931" s="163"/>
      <c r="B931" s="163"/>
      <c r="C931" s="163"/>
      <c r="D931" s="163"/>
      <c r="E931" s="163"/>
      <c r="F931" s="163"/>
      <c r="G931" s="163"/>
      <c r="H931" s="163"/>
      <c r="I931" s="163"/>
      <c r="J931" s="163"/>
    </row>
    <row r="932">
      <c r="A932" s="163"/>
      <c r="B932" s="163"/>
      <c r="C932" s="163"/>
      <c r="D932" s="163"/>
      <c r="E932" s="163"/>
      <c r="F932" s="163"/>
      <c r="G932" s="163"/>
      <c r="H932" s="163"/>
      <c r="I932" s="163"/>
      <c r="J932" s="163"/>
    </row>
    <row r="933">
      <c r="A933" s="163"/>
      <c r="B933" s="163"/>
      <c r="C933" s="163"/>
      <c r="D933" s="163"/>
      <c r="E933" s="163"/>
      <c r="F933" s="163"/>
      <c r="G933" s="163"/>
      <c r="H933" s="163"/>
      <c r="I933" s="163"/>
      <c r="J933" s="163"/>
    </row>
    <row r="934">
      <c r="A934" s="163"/>
      <c r="B934" s="163"/>
      <c r="C934" s="163"/>
      <c r="D934" s="163"/>
      <c r="E934" s="163"/>
      <c r="F934" s="163"/>
      <c r="G934" s="163"/>
      <c r="H934" s="163"/>
      <c r="I934" s="163"/>
      <c r="J934" s="163"/>
    </row>
    <row r="935">
      <c r="A935" s="163"/>
      <c r="B935" s="163"/>
      <c r="C935" s="163"/>
      <c r="D935" s="163"/>
      <c r="E935" s="163"/>
      <c r="F935" s="163"/>
      <c r="G935" s="163"/>
      <c r="H935" s="163"/>
      <c r="I935" s="163"/>
      <c r="J935" s="163"/>
    </row>
    <row r="936">
      <c r="A936" s="163"/>
      <c r="B936" s="163"/>
      <c r="C936" s="163"/>
      <c r="D936" s="163"/>
      <c r="E936" s="163"/>
      <c r="F936" s="163"/>
      <c r="G936" s="163"/>
      <c r="H936" s="163"/>
      <c r="I936" s="163"/>
      <c r="J936" s="163"/>
    </row>
    <row r="937">
      <c r="A937" s="163"/>
      <c r="B937" s="163"/>
      <c r="C937" s="163"/>
      <c r="D937" s="163"/>
      <c r="E937" s="163"/>
      <c r="F937" s="163"/>
      <c r="G937" s="163"/>
      <c r="H937" s="163"/>
      <c r="I937" s="163"/>
      <c r="J937" s="163"/>
    </row>
    <row r="938">
      <c r="A938" s="163"/>
      <c r="B938" s="163"/>
      <c r="C938" s="163"/>
      <c r="D938" s="163"/>
      <c r="E938" s="163"/>
      <c r="F938" s="163"/>
      <c r="G938" s="163"/>
      <c r="H938" s="163"/>
      <c r="I938" s="163"/>
      <c r="J938" s="163"/>
    </row>
    <row r="939">
      <c r="A939" s="163"/>
      <c r="B939" s="163"/>
      <c r="C939" s="163"/>
      <c r="D939" s="163"/>
      <c r="E939" s="163"/>
      <c r="F939" s="163"/>
      <c r="G939" s="163"/>
      <c r="H939" s="163"/>
      <c r="I939" s="163"/>
      <c r="J939" s="163"/>
    </row>
    <row r="940">
      <c r="A940" s="163"/>
      <c r="B940" s="163"/>
      <c r="C940" s="163"/>
      <c r="D940" s="163"/>
      <c r="E940" s="163"/>
      <c r="F940" s="163"/>
      <c r="G940" s="163"/>
      <c r="H940" s="163"/>
      <c r="I940" s="163"/>
      <c r="J940" s="163"/>
    </row>
    <row r="941">
      <c r="A941" s="163"/>
      <c r="B941" s="163"/>
      <c r="C941" s="163"/>
      <c r="D941" s="163"/>
      <c r="E941" s="163"/>
      <c r="F941" s="163"/>
      <c r="G941" s="163"/>
      <c r="H941" s="163"/>
      <c r="I941" s="163"/>
      <c r="J941" s="163"/>
    </row>
    <row r="942">
      <c r="A942" s="163"/>
      <c r="B942" s="163"/>
      <c r="C942" s="163"/>
      <c r="D942" s="163"/>
      <c r="E942" s="163"/>
      <c r="F942" s="163"/>
      <c r="G942" s="163"/>
      <c r="H942" s="163"/>
      <c r="I942" s="163"/>
      <c r="J942" s="163"/>
    </row>
    <row r="943">
      <c r="A943" s="163"/>
      <c r="B943" s="163"/>
      <c r="C943" s="163"/>
      <c r="D943" s="163"/>
      <c r="E943" s="163"/>
      <c r="F943" s="163"/>
      <c r="G943" s="163"/>
      <c r="H943" s="163"/>
      <c r="I943" s="163"/>
      <c r="J943" s="163"/>
    </row>
    <row r="944">
      <c r="A944" s="163"/>
      <c r="B944" s="163"/>
      <c r="C944" s="163"/>
      <c r="D944" s="163"/>
      <c r="E944" s="163"/>
      <c r="F944" s="163"/>
      <c r="G944" s="163"/>
      <c r="H944" s="163"/>
      <c r="I944" s="163"/>
      <c r="J944" s="163"/>
    </row>
    <row r="945">
      <c r="A945" s="163"/>
      <c r="B945" s="163"/>
      <c r="C945" s="163"/>
      <c r="D945" s="163"/>
      <c r="E945" s="163"/>
      <c r="F945" s="163"/>
      <c r="G945" s="163"/>
      <c r="H945" s="163"/>
      <c r="I945" s="163"/>
      <c r="J945" s="163"/>
    </row>
    <row r="946">
      <c r="A946" s="163"/>
      <c r="B946" s="163"/>
      <c r="C946" s="163"/>
      <c r="D946" s="163"/>
      <c r="E946" s="163"/>
      <c r="F946" s="163"/>
      <c r="G946" s="163"/>
      <c r="H946" s="163"/>
      <c r="I946" s="163"/>
      <c r="J946" s="163"/>
    </row>
    <row r="947">
      <c r="A947" s="163"/>
      <c r="B947" s="163"/>
      <c r="C947" s="163"/>
      <c r="D947" s="163"/>
      <c r="E947" s="163"/>
      <c r="F947" s="163"/>
      <c r="G947" s="163"/>
      <c r="H947" s="163"/>
      <c r="I947" s="163"/>
      <c r="J947" s="163"/>
    </row>
    <row r="948">
      <c r="A948" s="163"/>
      <c r="B948" s="163"/>
      <c r="C948" s="163"/>
      <c r="D948" s="163"/>
      <c r="E948" s="163"/>
      <c r="F948" s="163"/>
      <c r="G948" s="163"/>
      <c r="H948" s="163"/>
      <c r="I948" s="163"/>
      <c r="J948" s="163"/>
    </row>
    <row r="949">
      <c r="A949" s="163"/>
      <c r="B949" s="163"/>
      <c r="C949" s="163"/>
      <c r="D949" s="163"/>
      <c r="E949" s="163"/>
      <c r="F949" s="163"/>
      <c r="G949" s="163"/>
      <c r="H949" s="163"/>
      <c r="I949" s="163"/>
      <c r="J949" s="163"/>
    </row>
    <row r="950">
      <c r="A950" s="163"/>
      <c r="B950" s="163"/>
      <c r="C950" s="163"/>
      <c r="D950" s="163"/>
      <c r="E950" s="163"/>
      <c r="F950" s="163"/>
      <c r="G950" s="163"/>
      <c r="H950" s="163"/>
      <c r="I950" s="163"/>
      <c r="J950" s="163"/>
    </row>
    <row r="951">
      <c r="A951" s="163"/>
      <c r="B951" s="163"/>
      <c r="C951" s="163"/>
      <c r="D951" s="163"/>
      <c r="E951" s="163"/>
      <c r="F951" s="163"/>
      <c r="G951" s="163"/>
      <c r="H951" s="163"/>
      <c r="I951" s="163"/>
      <c r="J951" s="163"/>
    </row>
    <row r="952">
      <c r="A952" s="163"/>
      <c r="B952" s="163"/>
      <c r="C952" s="163"/>
      <c r="D952" s="163"/>
      <c r="E952" s="163"/>
      <c r="F952" s="163"/>
      <c r="G952" s="163"/>
      <c r="H952" s="163"/>
      <c r="I952" s="163"/>
      <c r="J952" s="163"/>
    </row>
    <row r="953">
      <c r="A953" s="163"/>
      <c r="B953" s="163"/>
      <c r="C953" s="163"/>
      <c r="D953" s="163"/>
      <c r="E953" s="163"/>
      <c r="F953" s="163"/>
      <c r="G953" s="163"/>
      <c r="H953" s="163"/>
      <c r="I953" s="163"/>
      <c r="J953" s="163"/>
    </row>
    <row r="954">
      <c r="A954" s="163"/>
      <c r="B954" s="163"/>
      <c r="C954" s="163"/>
      <c r="D954" s="163"/>
      <c r="E954" s="163"/>
      <c r="F954" s="163"/>
      <c r="G954" s="163"/>
      <c r="H954" s="163"/>
      <c r="I954" s="163"/>
      <c r="J954" s="163"/>
    </row>
    <row r="955">
      <c r="A955" s="163"/>
      <c r="B955" s="163"/>
      <c r="C955" s="163"/>
      <c r="D955" s="163"/>
      <c r="E955" s="163"/>
      <c r="F955" s="163"/>
      <c r="G955" s="163"/>
      <c r="H955" s="163"/>
      <c r="I955" s="163"/>
      <c r="J955" s="163"/>
    </row>
    <row r="956">
      <c r="A956" s="163"/>
      <c r="B956" s="163"/>
      <c r="C956" s="163"/>
      <c r="D956" s="163"/>
      <c r="E956" s="163"/>
      <c r="F956" s="163"/>
      <c r="G956" s="163"/>
      <c r="H956" s="163"/>
      <c r="I956" s="163"/>
      <c r="J956" s="163"/>
    </row>
    <row r="957">
      <c r="A957" s="163"/>
      <c r="B957" s="163"/>
      <c r="C957" s="163"/>
      <c r="D957" s="163"/>
      <c r="E957" s="163"/>
      <c r="F957" s="163"/>
      <c r="G957" s="163"/>
      <c r="H957" s="163"/>
      <c r="I957" s="163"/>
      <c r="J957" s="163"/>
    </row>
    <row r="958">
      <c r="A958" s="163"/>
      <c r="B958" s="163"/>
      <c r="C958" s="163"/>
      <c r="D958" s="163"/>
      <c r="E958" s="163"/>
      <c r="F958" s="163"/>
      <c r="G958" s="163"/>
      <c r="H958" s="163"/>
      <c r="I958" s="163"/>
      <c r="J958" s="163"/>
    </row>
    <row r="959">
      <c r="A959" s="163"/>
      <c r="B959" s="163"/>
      <c r="C959" s="163"/>
      <c r="D959" s="163"/>
      <c r="E959" s="163"/>
      <c r="F959" s="163"/>
      <c r="G959" s="163"/>
      <c r="H959" s="163"/>
      <c r="I959" s="163"/>
      <c r="J959" s="163"/>
    </row>
    <row r="960">
      <c r="A960" s="163"/>
      <c r="B960" s="163"/>
      <c r="C960" s="163"/>
      <c r="D960" s="163"/>
      <c r="E960" s="163"/>
      <c r="F960" s="163"/>
      <c r="G960" s="163"/>
      <c r="H960" s="163"/>
      <c r="I960" s="163"/>
      <c r="J960" s="163"/>
    </row>
    <row r="961">
      <c r="A961" s="163"/>
      <c r="B961" s="163"/>
      <c r="C961" s="163"/>
      <c r="D961" s="163"/>
      <c r="E961" s="163"/>
      <c r="F961" s="163"/>
      <c r="G961" s="163"/>
      <c r="H961" s="163"/>
      <c r="I961" s="163"/>
      <c r="J961" s="163"/>
    </row>
    <row r="962">
      <c r="A962" s="163"/>
      <c r="B962" s="163"/>
      <c r="C962" s="163"/>
      <c r="D962" s="163"/>
      <c r="E962" s="163"/>
      <c r="F962" s="163"/>
      <c r="G962" s="163"/>
      <c r="H962" s="163"/>
      <c r="I962" s="163"/>
      <c r="J962" s="163"/>
    </row>
    <row r="963">
      <c r="A963" s="163"/>
      <c r="B963" s="163"/>
      <c r="C963" s="163"/>
      <c r="D963" s="163"/>
      <c r="E963" s="163"/>
      <c r="F963" s="163"/>
      <c r="G963" s="163"/>
      <c r="H963" s="163"/>
      <c r="I963" s="163"/>
      <c r="J963" s="163"/>
    </row>
    <row r="964">
      <c r="A964" s="163"/>
      <c r="B964" s="163"/>
      <c r="C964" s="163"/>
      <c r="D964" s="163"/>
      <c r="E964" s="163"/>
      <c r="F964" s="163"/>
      <c r="G964" s="163"/>
      <c r="H964" s="163"/>
      <c r="I964" s="163"/>
      <c r="J964" s="163"/>
    </row>
    <row r="965">
      <c r="A965" s="163"/>
      <c r="B965" s="163"/>
      <c r="C965" s="163"/>
      <c r="D965" s="163"/>
      <c r="E965" s="163"/>
      <c r="F965" s="163"/>
      <c r="G965" s="163"/>
      <c r="H965" s="163"/>
      <c r="I965" s="163"/>
      <c r="J965" s="163"/>
    </row>
    <row r="966">
      <c r="A966" s="163"/>
      <c r="B966" s="163"/>
      <c r="C966" s="163"/>
      <c r="D966" s="163"/>
      <c r="E966" s="163"/>
      <c r="F966" s="163"/>
      <c r="G966" s="163"/>
      <c r="H966" s="163"/>
      <c r="I966" s="163"/>
      <c r="J966" s="163"/>
    </row>
    <row r="967">
      <c r="A967" s="163"/>
      <c r="B967" s="163"/>
      <c r="C967" s="163"/>
      <c r="D967" s="163"/>
      <c r="E967" s="163"/>
      <c r="F967" s="163"/>
      <c r="G967" s="163"/>
      <c r="H967" s="163"/>
      <c r="I967" s="163"/>
      <c r="J967" s="163"/>
    </row>
    <row r="968">
      <c r="A968" s="163"/>
      <c r="B968" s="163"/>
      <c r="C968" s="163"/>
      <c r="D968" s="163"/>
      <c r="E968" s="163"/>
      <c r="F968" s="163"/>
      <c r="G968" s="163"/>
      <c r="H968" s="163"/>
      <c r="I968" s="163"/>
      <c r="J968" s="163"/>
    </row>
    <row r="969">
      <c r="A969" s="163"/>
      <c r="B969" s="163"/>
      <c r="C969" s="163"/>
      <c r="D969" s="163"/>
      <c r="E969" s="163"/>
      <c r="F969" s="163"/>
      <c r="G969" s="163"/>
      <c r="H969" s="163"/>
      <c r="I969" s="163"/>
      <c r="J969" s="163"/>
    </row>
    <row r="970">
      <c r="A970" s="163"/>
      <c r="B970" s="163"/>
      <c r="C970" s="163"/>
      <c r="D970" s="163"/>
      <c r="E970" s="163"/>
      <c r="F970" s="163"/>
      <c r="G970" s="163"/>
      <c r="H970" s="163"/>
      <c r="I970" s="163"/>
      <c r="J970" s="163"/>
    </row>
    <row r="971">
      <c r="A971" s="163"/>
      <c r="B971" s="163"/>
      <c r="C971" s="163"/>
      <c r="D971" s="163"/>
      <c r="E971" s="163"/>
      <c r="F971" s="163"/>
      <c r="G971" s="163"/>
      <c r="H971" s="163"/>
      <c r="I971" s="163"/>
      <c r="J971" s="163"/>
    </row>
    <row r="972">
      <c r="A972" s="163"/>
      <c r="B972" s="163"/>
      <c r="C972" s="163"/>
      <c r="D972" s="163"/>
      <c r="E972" s="163"/>
      <c r="F972" s="163"/>
      <c r="G972" s="163"/>
      <c r="H972" s="163"/>
      <c r="I972" s="163"/>
      <c r="J972" s="163"/>
    </row>
    <row r="973">
      <c r="A973" s="163"/>
      <c r="B973" s="163"/>
      <c r="C973" s="163"/>
      <c r="D973" s="163"/>
      <c r="E973" s="163"/>
      <c r="F973" s="163"/>
      <c r="G973" s="163"/>
      <c r="H973" s="163"/>
      <c r="I973" s="163"/>
      <c r="J973" s="163"/>
    </row>
    <row r="974">
      <c r="A974" s="163"/>
      <c r="B974" s="163"/>
      <c r="C974" s="163"/>
      <c r="D974" s="163"/>
      <c r="E974" s="163"/>
      <c r="F974" s="163"/>
      <c r="G974" s="163"/>
      <c r="H974" s="163"/>
      <c r="I974" s="163"/>
      <c r="J974" s="163"/>
    </row>
    <row r="975">
      <c r="A975" s="163"/>
      <c r="B975" s="163"/>
      <c r="C975" s="163"/>
      <c r="D975" s="163"/>
      <c r="E975" s="163"/>
      <c r="F975" s="163"/>
      <c r="G975" s="163"/>
      <c r="H975" s="163"/>
      <c r="I975" s="163"/>
      <c r="J975" s="163"/>
    </row>
    <row r="976">
      <c r="A976" s="163"/>
      <c r="B976" s="163"/>
      <c r="C976" s="163"/>
      <c r="D976" s="163"/>
      <c r="E976" s="163"/>
      <c r="F976" s="163"/>
      <c r="G976" s="163"/>
      <c r="H976" s="163"/>
      <c r="I976" s="163"/>
      <c r="J976" s="163"/>
    </row>
    <row r="977">
      <c r="A977" s="163"/>
      <c r="B977" s="163"/>
      <c r="C977" s="163"/>
      <c r="D977" s="163"/>
      <c r="E977" s="163"/>
      <c r="F977" s="163"/>
      <c r="G977" s="163"/>
      <c r="H977" s="163"/>
      <c r="I977" s="163"/>
      <c r="J977" s="163"/>
    </row>
    <row r="978">
      <c r="A978" s="163"/>
      <c r="B978" s="163"/>
      <c r="C978" s="163"/>
      <c r="D978" s="163"/>
      <c r="E978" s="163"/>
      <c r="F978" s="163"/>
      <c r="G978" s="163"/>
      <c r="H978" s="163"/>
      <c r="I978" s="163"/>
      <c r="J978" s="163"/>
    </row>
    <row r="979">
      <c r="A979" s="163"/>
      <c r="B979" s="163"/>
      <c r="C979" s="163"/>
      <c r="D979" s="163"/>
      <c r="E979" s="163"/>
      <c r="F979" s="163"/>
      <c r="G979" s="163"/>
      <c r="H979" s="163"/>
      <c r="I979" s="163"/>
      <c r="J979" s="163"/>
    </row>
    <row r="980">
      <c r="A980" s="163"/>
      <c r="B980" s="163"/>
      <c r="C980" s="163"/>
      <c r="D980" s="163"/>
      <c r="E980" s="163"/>
      <c r="F980" s="163"/>
      <c r="G980" s="163"/>
      <c r="H980" s="163"/>
      <c r="I980" s="163"/>
      <c r="J980" s="163"/>
    </row>
    <row r="981">
      <c r="A981" s="163"/>
      <c r="B981" s="163"/>
      <c r="C981" s="163"/>
      <c r="D981" s="163"/>
      <c r="E981" s="163"/>
      <c r="F981" s="163"/>
      <c r="G981" s="163"/>
      <c r="H981" s="163"/>
      <c r="I981" s="163"/>
      <c r="J981" s="163"/>
    </row>
    <row r="982">
      <c r="A982" s="163"/>
      <c r="B982" s="163"/>
      <c r="C982" s="163"/>
      <c r="D982" s="163"/>
      <c r="E982" s="163"/>
      <c r="F982" s="163"/>
      <c r="G982" s="163"/>
      <c r="H982" s="163"/>
      <c r="I982" s="163"/>
      <c r="J982" s="163"/>
    </row>
    <row r="983">
      <c r="A983" s="163"/>
      <c r="B983" s="163"/>
      <c r="C983" s="163"/>
      <c r="D983" s="163"/>
      <c r="E983" s="163"/>
      <c r="F983" s="163"/>
      <c r="G983" s="163"/>
      <c r="H983" s="163"/>
      <c r="I983" s="163"/>
      <c r="J983" s="163"/>
    </row>
    <row r="984">
      <c r="A984" s="163"/>
      <c r="B984" s="163"/>
      <c r="C984" s="163"/>
      <c r="D984" s="163"/>
      <c r="E984" s="163"/>
      <c r="F984" s="163"/>
      <c r="G984" s="163"/>
      <c r="H984" s="163"/>
      <c r="I984" s="163"/>
      <c r="J984" s="163"/>
    </row>
    <row r="985">
      <c r="A985" s="163"/>
      <c r="B985" s="163"/>
      <c r="C985" s="163"/>
      <c r="D985" s="163"/>
      <c r="E985" s="163"/>
      <c r="F985" s="163"/>
      <c r="G985" s="163"/>
      <c r="H985" s="163"/>
      <c r="I985" s="163"/>
      <c r="J985" s="163"/>
    </row>
    <row r="986">
      <c r="A986" s="163"/>
      <c r="B986" s="163"/>
      <c r="C986" s="163"/>
      <c r="D986" s="163"/>
      <c r="E986" s="163"/>
      <c r="F986" s="163"/>
      <c r="G986" s="163"/>
      <c r="H986" s="163"/>
      <c r="I986" s="163"/>
      <c r="J986" s="163"/>
    </row>
    <row r="987">
      <c r="A987" s="163"/>
      <c r="B987" s="163"/>
      <c r="C987" s="163"/>
      <c r="D987" s="163"/>
      <c r="E987" s="163"/>
      <c r="F987" s="163"/>
      <c r="G987" s="163"/>
      <c r="H987" s="163"/>
      <c r="I987" s="163"/>
      <c r="J987" s="163"/>
    </row>
    <row r="988">
      <c r="A988" s="163"/>
      <c r="B988" s="163"/>
      <c r="C988" s="163"/>
      <c r="D988" s="163"/>
      <c r="E988" s="163"/>
      <c r="F988" s="163"/>
      <c r="G988" s="163"/>
      <c r="H988" s="163"/>
      <c r="I988" s="163"/>
      <c r="J988" s="163"/>
    </row>
    <row r="989">
      <c r="A989" s="163"/>
      <c r="B989" s="163"/>
      <c r="C989" s="163"/>
      <c r="D989" s="163"/>
      <c r="E989" s="163"/>
      <c r="F989" s="163"/>
      <c r="G989" s="163"/>
      <c r="H989" s="163"/>
      <c r="I989" s="163"/>
      <c r="J989" s="163"/>
    </row>
    <row r="990">
      <c r="A990" s="163"/>
      <c r="B990" s="163"/>
      <c r="C990" s="163"/>
      <c r="D990" s="163"/>
      <c r="E990" s="163"/>
      <c r="F990" s="163"/>
      <c r="G990" s="163"/>
      <c r="H990" s="163"/>
      <c r="I990" s="163"/>
      <c r="J990" s="163"/>
    </row>
    <row r="991">
      <c r="A991" s="163"/>
      <c r="B991" s="163"/>
      <c r="C991" s="163"/>
      <c r="D991" s="163"/>
      <c r="E991" s="163"/>
      <c r="F991" s="163"/>
      <c r="G991" s="163"/>
      <c r="H991" s="163"/>
      <c r="I991" s="163"/>
      <c r="J991" s="163"/>
    </row>
    <row r="992">
      <c r="A992" s="163"/>
      <c r="B992" s="163"/>
      <c r="C992" s="163"/>
      <c r="D992" s="163"/>
      <c r="E992" s="163"/>
      <c r="F992" s="163"/>
      <c r="G992" s="163"/>
      <c r="H992" s="163"/>
      <c r="I992" s="163"/>
      <c r="J992" s="163"/>
    </row>
    <row r="993">
      <c r="A993" s="163"/>
      <c r="B993" s="163"/>
      <c r="C993" s="163"/>
      <c r="D993" s="163"/>
      <c r="E993" s="163"/>
      <c r="F993" s="163"/>
      <c r="G993" s="163"/>
      <c r="H993" s="163"/>
      <c r="I993" s="163"/>
      <c r="J993" s="163"/>
    </row>
    <row r="994">
      <c r="A994" s="163"/>
      <c r="B994" s="163"/>
      <c r="C994" s="163"/>
      <c r="D994" s="163"/>
      <c r="E994" s="163"/>
      <c r="F994" s="163"/>
      <c r="G994" s="163"/>
      <c r="H994" s="163"/>
      <c r="I994" s="163"/>
      <c r="J994" s="163"/>
    </row>
    <row r="995">
      <c r="A995" s="163"/>
      <c r="B995" s="163"/>
      <c r="C995" s="163"/>
      <c r="D995" s="163"/>
      <c r="E995" s="163"/>
      <c r="F995" s="163"/>
      <c r="G995" s="163"/>
      <c r="H995" s="163"/>
      <c r="I995" s="163"/>
      <c r="J995" s="163"/>
    </row>
    <row r="996">
      <c r="A996" s="163"/>
      <c r="B996" s="163"/>
      <c r="C996" s="163"/>
      <c r="D996" s="163"/>
      <c r="E996" s="163"/>
      <c r="F996" s="163"/>
      <c r="G996" s="163"/>
      <c r="H996" s="163"/>
      <c r="I996" s="163"/>
      <c r="J996" s="163"/>
    </row>
    <row r="997">
      <c r="A997" s="163"/>
      <c r="B997" s="163"/>
      <c r="C997" s="163"/>
      <c r="D997" s="163"/>
      <c r="E997" s="163"/>
      <c r="F997" s="163"/>
      <c r="G997" s="163"/>
      <c r="H997" s="163"/>
      <c r="I997" s="163"/>
      <c r="J997" s="163"/>
    </row>
    <row r="998">
      <c r="A998" s="163"/>
      <c r="B998" s="163"/>
      <c r="C998" s="163"/>
      <c r="D998" s="163"/>
      <c r="E998" s="163"/>
      <c r="F998" s="163"/>
      <c r="G998" s="163"/>
      <c r="H998" s="163"/>
      <c r="I998" s="163"/>
      <c r="J998" s="163"/>
    </row>
    <row r="999">
      <c r="A999" s="163"/>
      <c r="B999" s="163"/>
      <c r="C999" s="163"/>
      <c r="D999" s="163"/>
      <c r="E999" s="163"/>
      <c r="F999" s="163"/>
      <c r="G999" s="163"/>
      <c r="H999" s="163"/>
      <c r="I999" s="163"/>
      <c r="J999" s="163"/>
    </row>
    <row r="1000">
      <c r="A1000" s="163"/>
      <c r="B1000" s="163"/>
      <c r="C1000" s="163"/>
      <c r="D1000" s="163"/>
      <c r="E1000" s="163"/>
      <c r="F1000" s="163"/>
      <c r="G1000" s="163"/>
      <c r="H1000" s="163"/>
      <c r="I1000" s="163"/>
      <c r="J1000" s="163"/>
    </row>
  </sheetData>
  <drawing r:id="rId1"/>
  <tableParts count="3">
    <tablePart r:id="rId5"/>
    <tablePart r:id="rId6"/>
    <tablePart r:id="rId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32.25"/>
  </cols>
  <sheetData>
    <row r="1">
      <c r="A1" s="50" t="str">
        <f>IFERROR(__xludf.DUMMYFUNCTION("IMPORTRANGE(PARAMETRES!C27,""TLA_ID"")"),"#N/A")</f>
        <v>#N/A</v>
      </c>
      <c r="B1" s="50" t="str">
        <f>IFERROR(__xludf.DUMMYFUNCTION("IMPORTRANGE(PARAMETRES!C27,""TLA_SESSION_PARTICIPANTS"")"),"#N/A")</f>
        <v>#N/A</v>
      </c>
      <c r="C1" s="50"/>
      <c r="D1" s="50"/>
      <c r="E1" s="50"/>
      <c r="F1" s="50"/>
      <c r="G1" s="50"/>
    </row>
    <row r="2">
      <c r="A2" s="50"/>
      <c r="B2" s="50"/>
      <c r="C2" s="50"/>
      <c r="D2" s="50"/>
      <c r="E2" s="50"/>
      <c r="F2" s="50"/>
      <c r="G2" s="50"/>
    </row>
    <row r="3">
      <c r="A3" s="50"/>
      <c r="B3" s="50"/>
      <c r="C3" s="50"/>
      <c r="D3" s="50"/>
      <c r="E3" s="50"/>
      <c r="F3" s="50"/>
      <c r="G3" s="50"/>
    </row>
    <row r="4">
      <c r="A4" s="50"/>
      <c r="B4" s="50"/>
      <c r="C4" s="50"/>
      <c r="D4" s="50"/>
      <c r="E4" s="50"/>
      <c r="F4" s="50"/>
      <c r="G4" s="50"/>
    </row>
    <row r="5">
      <c r="A5" s="50"/>
      <c r="B5" s="50"/>
      <c r="C5" s="50"/>
      <c r="D5" s="50"/>
      <c r="E5" s="50"/>
      <c r="F5" s="50"/>
      <c r="G5" s="50"/>
    </row>
    <row r="6">
      <c r="A6" s="50"/>
      <c r="B6" s="50"/>
      <c r="C6" s="50"/>
      <c r="D6" s="50"/>
      <c r="E6" s="50"/>
      <c r="F6" s="50"/>
      <c r="G6" s="50"/>
    </row>
    <row r="7">
      <c r="A7" s="50"/>
      <c r="B7" s="50"/>
      <c r="C7" s="50"/>
      <c r="D7" s="50"/>
      <c r="E7" s="50"/>
      <c r="F7" s="50"/>
      <c r="G7" s="50"/>
    </row>
    <row r="8">
      <c r="A8" s="50"/>
      <c r="B8" s="50"/>
      <c r="C8" s="50"/>
      <c r="D8" s="50"/>
      <c r="E8" s="50"/>
      <c r="F8" s="50"/>
      <c r="G8" s="50"/>
    </row>
    <row r="9">
      <c r="A9" s="50"/>
      <c r="B9" s="50"/>
      <c r="C9" s="50"/>
      <c r="D9" s="50"/>
      <c r="E9" s="50"/>
      <c r="F9" s="50"/>
      <c r="G9" s="50"/>
    </row>
    <row r="10">
      <c r="A10" s="50"/>
      <c r="B10" s="50"/>
      <c r="C10" s="50"/>
      <c r="D10" s="50"/>
      <c r="E10" s="50"/>
      <c r="F10" s="50"/>
      <c r="G10" s="50"/>
    </row>
    <row r="11">
      <c r="A11" s="50"/>
      <c r="B11" s="50"/>
      <c r="C11" s="50"/>
      <c r="D11" s="50"/>
      <c r="E11" s="50"/>
      <c r="F11" s="50"/>
      <c r="G11" s="50"/>
    </row>
    <row r="12">
      <c r="A12" s="50"/>
      <c r="B12" s="50"/>
      <c r="C12" s="50"/>
      <c r="D12" s="50"/>
      <c r="E12" s="50"/>
      <c r="F12" s="50"/>
      <c r="G12" s="50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hidden="1" min="2" max="2" width="23.0"/>
    <col hidden="1" min="3" max="4" width="12.63"/>
    <col customWidth="1" hidden="1" min="5" max="5" width="6.5"/>
    <col customWidth="1" min="6" max="6" width="2.13"/>
    <col customWidth="1" min="7" max="7" width="5.13"/>
    <col customWidth="1" min="8" max="11" width="20.13"/>
  </cols>
  <sheetData>
    <row r="1">
      <c r="A1" s="164" t="str">
        <f>IFERROR(__xludf.DUMMYFUNCTION("IMPORTRANGE(""https://docs.google.com/spreadsheets/d/1A_q8zXIhOo9mCubJL0Vq4O9abvtvW53qPvNmquKHmcE/"",""COACH_ID"")"),"cid")</f>
        <v>cid</v>
      </c>
      <c r="B1" s="165" t="str">
        <f>IFERROR(__xludf.DUMMYFUNCTION("IMPORTRANGE(""https://docs.google.com/spreadsheets/d/1A_q8zXIhOo9mCubJL0Vq4O9abvtvW53qPvNmquKHmcE/"",""COACH_EMAIL"")"),"email")</f>
        <v>email</v>
      </c>
      <c r="C1" s="165" t="str">
        <f>IFERROR(__xludf.DUMMYFUNCTION("IMPORTRANGE(""https://docs.google.com/spreadsheets/d/1A_q8zXIhOo9mCubJL0Vq4O9abvtvW53qPvNmquKHmcE/"",""COACH_NOM"")"),"lastName")</f>
        <v>lastName</v>
      </c>
      <c r="D1" s="165" t="str">
        <f>IFERROR(__xludf.DUMMYFUNCTION("IMPORTRANGE(""https://docs.google.com/spreadsheets/d/1A_q8zXIhOo9mCubJL0Vq4O9abvtvW53qPvNmquKHmcE/"",""COACH_PRENOM"")"),"firstName")</f>
        <v>firstName</v>
      </c>
      <c r="E1" s="165" t="s">
        <v>4252</v>
      </c>
      <c r="F1" s="166"/>
      <c r="G1" s="51" t="str">
        <f>IFERROR(__xludf.DUMMYFUNCTION("query(A:E,""SELECT A,B,C,D WHERE E = true"") "),"cid")</f>
        <v>cid</v>
      </c>
      <c r="H1" s="51" t="str">
        <f>IFERROR(__xludf.DUMMYFUNCTION("""COMPUTED_VALUE"""),"email")</f>
        <v>email</v>
      </c>
      <c r="I1" s="51" t="str">
        <f>IFERROR(__xludf.DUMMYFUNCTION("""COMPUTED_VALUE"""),"lastName")</f>
        <v>lastName</v>
      </c>
      <c r="J1" s="51" t="str">
        <f>IFERROR(__xludf.DUMMYFUNCTION("""COMPUTED_VALUE"""),"firstName")</f>
        <v>firstName</v>
      </c>
      <c r="K1" s="51" t="str">
        <f t="array" ref="K1:K1000">IF(G:G&lt;&gt;"",J:J&amp;" "&amp;I:I&amp;" ["&amp;text(G:G,"000")&amp;"]",)</f>
        <v>firstName lastName [cid]</v>
      </c>
    </row>
    <row r="2">
      <c r="A2" s="165"/>
      <c r="B2" s="165"/>
      <c r="C2" s="165"/>
      <c r="D2" s="165"/>
      <c r="E2" s="165" t="b">
        <v>0</v>
      </c>
      <c r="F2" s="166"/>
      <c r="G2" s="167">
        <f>IFERROR(__xludf.DUMMYFUNCTION("""COMPUTED_VALUE"""),11.0)</f>
        <v>11</v>
      </c>
      <c r="H2" s="51" t="str">
        <f>IFERROR(__xludf.DUMMYFUNCTION("""COMPUTED_VALUE"""),"christophe.serio@sro-coach.fr")</f>
        <v>christophe.serio@sro-coach.fr</v>
      </c>
      <c r="I2" s="51" t="str">
        <f>IFERROR(__xludf.DUMMYFUNCTION("""COMPUTED_VALUE"""),"SERIO")</f>
        <v>SERIO</v>
      </c>
      <c r="J2" s="51" t="str">
        <f>IFERROR(__xludf.DUMMYFUNCTION("""COMPUTED_VALUE"""),"Christophe")</f>
        <v>Christophe</v>
      </c>
      <c r="K2" s="51" t="s">
        <v>4263</v>
      </c>
    </row>
    <row r="3">
      <c r="A3" s="164">
        <f>IFERROR(__xludf.DUMMYFUNCTION("""COMPUTED_VALUE"""),42.0)</f>
        <v>42</v>
      </c>
      <c r="B3" s="165"/>
      <c r="C3" s="168" t="str">
        <f>IFERROR(__xludf.DUMMYFUNCTION("""COMPUTED_VALUE"""),"ADMIN")</f>
        <v>ADMIN</v>
      </c>
      <c r="D3" s="168" t="str">
        <f>IFERROR(__xludf.DUMMYFUNCTION("""COMPUTED_VALUE"""),"Super")</f>
        <v>Super</v>
      </c>
      <c r="E3" s="168" t="b">
        <v>0</v>
      </c>
      <c r="F3" s="169"/>
      <c r="G3" s="170">
        <f>IFERROR(__xludf.DUMMYFUNCTION("""COMPUTED_VALUE"""),1.0)</f>
        <v>1</v>
      </c>
      <c r="H3" s="50" t="str">
        <f>IFERROR(__xludf.DUMMYFUNCTION("""COMPUTED_VALUE"""),"thierry@numericoach.fr")</f>
        <v>thierry@numericoach.fr</v>
      </c>
      <c r="I3" s="50" t="str">
        <f>IFERROR(__xludf.DUMMYFUNCTION("""COMPUTED_VALUE"""),"VANOFFE")</f>
        <v>VANOFFE</v>
      </c>
      <c r="J3" s="50" t="str">
        <f>IFERROR(__xludf.DUMMYFUNCTION("""COMPUTED_VALUE"""),"Thierry")</f>
        <v>Thierry</v>
      </c>
      <c r="K3" s="50" t="s">
        <v>4265</v>
      </c>
    </row>
    <row r="4">
      <c r="A4" s="171">
        <f>IFERROR(__xludf.DUMMYFUNCTION("""COMPUTED_VALUE"""),52.0)</f>
        <v>52</v>
      </c>
      <c r="B4" s="168" t="str">
        <f>IFERROR(__xludf.DUMMYFUNCTION("""COMPUTED_VALUE"""),"mohamed.m.bahri@gmail.com")</f>
        <v>mohamed.m.bahri@gmail.com</v>
      </c>
      <c r="C4" s="168" t="str">
        <f>IFERROR(__xludf.DUMMYFUNCTION("""COMPUTED_VALUE"""),"BAHRI")</f>
        <v>BAHRI</v>
      </c>
      <c r="D4" s="168" t="str">
        <f>IFERROR(__xludf.DUMMYFUNCTION("""COMPUTED_VALUE"""),"Mohamed")</f>
        <v>Mohamed</v>
      </c>
      <c r="E4" s="168" t="b">
        <v>0</v>
      </c>
      <c r="F4" s="169"/>
      <c r="G4" s="50"/>
      <c r="H4" s="50"/>
      <c r="I4" s="50"/>
      <c r="J4" s="50"/>
      <c r="K4" s="50"/>
    </row>
    <row r="5">
      <c r="A5" s="171">
        <f>IFERROR(__xludf.DUMMYFUNCTION("""COMPUTED_VALUE"""),16.0)</f>
        <v>16</v>
      </c>
      <c r="B5" s="168" t="str">
        <f>IFERROR(__xludf.DUMMYFUNCTION("""COMPUTED_VALUE"""),"philippe.behier@acef-france.fr")</f>
        <v>philippe.behier@acef-france.fr</v>
      </c>
      <c r="C5" s="168" t="str">
        <f>IFERROR(__xludf.DUMMYFUNCTION("""COMPUTED_VALUE"""),"BEHIER")</f>
        <v>BEHIER</v>
      </c>
      <c r="D5" s="168" t="str">
        <f>IFERROR(__xludf.DUMMYFUNCTION("""COMPUTED_VALUE"""),"Philippe")</f>
        <v>Philippe</v>
      </c>
      <c r="E5" s="168" t="b">
        <v>0</v>
      </c>
      <c r="F5" s="169"/>
      <c r="G5" s="50"/>
      <c r="H5" s="50"/>
      <c r="I5" s="50"/>
      <c r="J5" s="50"/>
      <c r="K5" s="50"/>
    </row>
    <row r="6">
      <c r="A6" s="171">
        <f>IFERROR(__xludf.DUMMYFUNCTION("""COMPUTED_VALUE"""),7.0)</f>
        <v>7</v>
      </c>
      <c r="B6" s="168" t="str">
        <f>IFERROR(__xludf.DUMMYFUNCTION("""COMPUTED_VALUE"""),"dev@numericoach.fr")</f>
        <v>dev@numericoach.fr</v>
      </c>
      <c r="C6" s="168" t="str">
        <f>IFERROR(__xludf.DUMMYFUNCTION("""COMPUTED_VALUE"""),"BELOHLAVEK")</f>
        <v>BELOHLAVEK</v>
      </c>
      <c r="D6" s="168" t="str">
        <f>IFERROR(__xludf.DUMMYFUNCTION("""COMPUTED_VALUE"""),"Boris")</f>
        <v>Boris</v>
      </c>
      <c r="E6" s="168" t="b">
        <v>0</v>
      </c>
      <c r="F6" s="169"/>
      <c r="G6" s="50"/>
      <c r="H6" s="50"/>
      <c r="I6" s="50"/>
      <c r="J6" s="50"/>
      <c r="K6" s="50"/>
    </row>
    <row r="7">
      <c r="A7" s="171">
        <f>IFERROR(__xludf.DUMMYFUNCTION("""COMPUTED_VALUE"""),17.0)</f>
        <v>17</v>
      </c>
      <c r="B7" s="168" t="str">
        <f>IFERROR(__xludf.DUMMYFUNCTION("""COMPUTED_VALUE"""),"fabrice@epidosi.fr")</f>
        <v>fabrice@epidosi.fr</v>
      </c>
      <c r="C7" s="168" t="str">
        <f>IFERROR(__xludf.DUMMYFUNCTION("""COMPUTED_VALUE"""),"BOLLI")</f>
        <v>BOLLI</v>
      </c>
      <c r="D7" s="168" t="str">
        <f>IFERROR(__xludf.DUMMYFUNCTION("""COMPUTED_VALUE"""),"Fabrice")</f>
        <v>Fabrice</v>
      </c>
      <c r="E7" s="168" t="b">
        <v>0</v>
      </c>
      <c r="F7" s="169"/>
      <c r="G7" s="50"/>
      <c r="H7" s="50"/>
      <c r="I7" s="50"/>
      <c r="J7" s="50"/>
      <c r="K7" s="50"/>
    </row>
    <row r="8">
      <c r="A8" s="171">
        <f>IFERROR(__xludf.DUMMYFUNCTION("""COMPUTED_VALUE"""),37.0)</f>
        <v>37</v>
      </c>
      <c r="B8" s="168" t="str">
        <f>IFERROR(__xludf.DUMMYFUNCTION("""COMPUTED_VALUE"""),"benjamin@benjamin-caron.fr")</f>
        <v>benjamin@benjamin-caron.fr</v>
      </c>
      <c r="C8" s="168" t="str">
        <f>IFERROR(__xludf.DUMMYFUNCTION("""COMPUTED_VALUE"""),"CARON")</f>
        <v>CARON</v>
      </c>
      <c r="D8" s="168" t="str">
        <f>IFERROR(__xludf.DUMMYFUNCTION("""COMPUTED_VALUE"""),"Benjamin")</f>
        <v>Benjamin</v>
      </c>
      <c r="E8" s="168" t="b">
        <v>0</v>
      </c>
      <c r="F8" s="169"/>
      <c r="G8" s="50"/>
      <c r="H8" s="50"/>
      <c r="I8" s="50"/>
      <c r="J8" s="50"/>
      <c r="K8" s="50"/>
    </row>
    <row r="9">
      <c r="A9" s="171">
        <f>IFERROR(__xludf.DUMMYFUNCTION("""COMPUTED_VALUE"""),10.0)</f>
        <v>10</v>
      </c>
      <c r="B9" s="168" t="str">
        <f>IFERROR(__xludf.DUMMYFUNCTION("""COMPUTED_VALUE"""),"cyrille.carteret@fastlearner.fr")</f>
        <v>cyrille.carteret@fastlearner.fr</v>
      </c>
      <c r="C9" s="168" t="str">
        <f>IFERROR(__xludf.DUMMYFUNCTION("""COMPUTED_VALUE"""),"CARTERET")</f>
        <v>CARTERET</v>
      </c>
      <c r="D9" s="168" t="str">
        <f>IFERROR(__xludf.DUMMYFUNCTION("""COMPUTED_VALUE"""),"Cyrille")</f>
        <v>Cyrille</v>
      </c>
      <c r="E9" s="168" t="b">
        <v>0</v>
      </c>
      <c r="F9" s="169"/>
      <c r="G9" s="50"/>
      <c r="H9" s="50"/>
      <c r="I9" s="50"/>
      <c r="J9" s="50"/>
      <c r="K9" s="50"/>
    </row>
    <row r="10">
      <c r="A10" s="171">
        <f>IFERROR(__xludf.DUMMYFUNCTION("""COMPUTED_VALUE"""),45.0)</f>
        <v>45</v>
      </c>
      <c r="B10" s="168" t="str">
        <f>IFERROR(__xludf.DUMMYFUNCTION("""COMPUTED_VALUE"""),"nathan.cohen@hatofa.com")</f>
        <v>nathan.cohen@hatofa.com</v>
      </c>
      <c r="C10" s="168" t="str">
        <f>IFERROR(__xludf.DUMMYFUNCTION("""COMPUTED_VALUE"""),"COHEN")</f>
        <v>COHEN</v>
      </c>
      <c r="D10" s="168" t="str">
        <f>IFERROR(__xludf.DUMMYFUNCTION("""COMPUTED_VALUE"""),"Nathan")</f>
        <v>Nathan</v>
      </c>
      <c r="E10" s="168" t="b">
        <v>0</v>
      </c>
      <c r="F10" s="169"/>
      <c r="G10" s="50"/>
      <c r="H10" s="50"/>
      <c r="I10" s="50"/>
      <c r="J10" s="50"/>
      <c r="K10" s="50"/>
    </row>
    <row r="11">
      <c r="A11" s="171">
        <f>IFERROR(__xludf.DUMMYFUNCTION("""COMPUTED_VALUE"""),18.0)</f>
        <v>18</v>
      </c>
      <c r="B11" s="168" t="str">
        <f>IFERROR(__xludf.DUMMYFUNCTION("""COMPUTED_VALUE"""),"thomascolombet0@gmail.com")</f>
        <v>thomascolombet0@gmail.com</v>
      </c>
      <c r="C11" s="168" t="str">
        <f>IFERROR(__xludf.DUMMYFUNCTION("""COMPUTED_VALUE"""),"COLOMBET")</f>
        <v>COLOMBET</v>
      </c>
      <c r="D11" s="168" t="str">
        <f>IFERROR(__xludf.DUMMYFUNCTION("""COMPUTED_VALUE"""),"Thomas")</f>
        <v>Thomas</v>
      </c>
      <c r="E11" s="168" t="b">
        <v>0</v>
      </c>
      <c r="F11" s="169"/>
      <c r="G11" s="50"/>
      <c r="H11" s="50"/>
      <c r="I11" s="50"/>
      <c r="J11" s="50"/>
      <c r="K11" s="50"/>
    </row>
    <row r="12">
      <c r="A12" s="171">
        <f>IFERROR(__xludf.DUMMYFUNCTION("""COMPUTED_VALUE"""),4.0)</f>
        <v>4</v>
      </c>
      <c r="B12" s="168" t="str">
        <f>IFERROR(__xludf.DUMMYFUNCTION("""COMPUTED_VALUE"""),"jmd@talandria.fr")</f>
        <v>jmd@talandria.fr</v>
      </c>
      <c r="C12" s="168" t="str">
        <f>IFERROR(__xludf.DUMMYFUNCTION("""COMPUTED_VALUE"""),"D'ANDRIA")</f>
        <v>D'ANDRIA</v>
      </c>
      <c r="D12" s="168" t="str">
        <f>IFERROR(__xludf.DUMMYFUNCTION("""COMPUTED_VALUE"""),"Jean-Marc")</f>
        <v>Jean-Marc</v>
      </c>
      <c r="E12" s="168" t="b">
        <v>0</v>
      </c>
      <c r="F12" s="169"/>
      <c r="G12" s="50"/>
      <c r="H12" s="50"/>
      <c r="I12" s="50"/>
      <c r="J12" s="50"/>
      <c r="K12" s="50"/>
    </row>
    <row r="13">
      <c r="A13" s="171">
        <f>IFERROR(__xludf.DUMMYFUNCTION("""COMPUTED_VALUE"""),48.0)</f>
        <v>48</v>
      </c>
      <c r="B13" s="168" t="str">
        <f>IFERROR(__xludf.DUMMYFUNCTION("""COMPUTED_VALUE"""),"josephdandria@digitalchangeconsulting.com")</f>
        <v>josephdandria@digitalchangeconsulting.com</v>
      </c>
      <c r="C13" s="168" t="str">
        <f>IFERROR(__xludf.DUMMYFUNCTION("""COMPUTED_VALUE"""),"D'ANDRIA")</f>
        <v>D'ANDRIA</v>
      </c>
      <c r="D13" s="168" t="str">
        <f>IFERROR(__xludf.DUMMYFUNCTION("""COMPUTED_VALUE"""),"Joseph")</f>
        <v>Joseph</v>
      </c>
      <c r="E13" s="168" t="b">
        <v>0</v>
      </c>
      <c r="F13" s="169"/>
      <c r="G13" s="50"/>
      <c r="H13" s="50"/>
      <c r="I13" s="50"/>
      <c r="J13" s="50"/>
      <c r="K13" s="50"/>
    </row>
    <row r="14">
      <c r="A14" s="171">
        <f>IFERROR(__xludf.DUMMYFUNCTION("""COMPUTED_VALUE"""),39.0)</f>
        <v>39</v>
      </c>
      <c r="B14" s="168" t="str">
        <f>IFERROR(__xludf.DUMMYFUNCTION("""COMPUTED_VALUE"""),"leastpierre@lookandream.com")</f>
        <v>leastpierre@lookandream.com</v>
      </c>
      <c r="C14" s="168" t="str">
        <f>IFERROR(__xludf.DUMMYFUNCTION("""COMPUTED_VALUE"""),"DEBORDE")</f>
        <v>DEBORDE</v>
      </c>
      <c r="D14" s="168" t="str">
        <f>IFERROR(__xludf.DUMMYFUNCTION("""COMPUTED_VALUE"""),"Léa")</f>
        <v>Léa</v>
      </c>
      <c r="E14" s="168" t="b">
        <v>0</v>
      </c>
      <c r="F14" s="169"/>
      <c r="G14" s="50"/>
      <c r="H14" s="50"/>
      <c r="I14" s="50"/>
      <c r="J14" s="50"/>
      <c r="K14" s="50"/>
    </row>
    <row r="15">
      <c r="A15" s="171">
        <f>IFERROR(__xludf.DUMMYFUNCTION("""COMPUTED_VALUE"""),23.0)</f>
        <v>23</v>
      </c>
      <c r="B15" s="168" t="str">
        <f>IFERROR(__xludf.DUMMYFUNCTION("""COMPUTED_VALUE"""),"debreil.remi@gmail.com")</f>
        <v>debreil.remi@gmail.com</v>
      </c>
      <c r="C15" s="168" t="str">
        <f>IFERROR(__xludf.DUMMYFUNCTION("""COMPUTED_VALUE"""),"DEBREIL")</f>
        <v>DEBREIL</v>
      </c>
      <c r="D15" s="168" t="str">
        <f>IFERROR(__xludf.DUMMYFUNCTION("""COMPUTED_VALUE"""),"Rémi")</f>
        <v>Rémi</v>
      </c>
      <c r="E15" s="168" t="b">
        <v>0</v>
      </c>
      <c r="F15" s="169"/>
      <c r="G15" s="50"/>
      <c r="H15" s="50"/>
      <c r="I15" s="50"/>
      <c r="J15" s="50"/>
      <c r="K15" s="50"/>
    </row>
    <row r="16">
      <c r="A16" s="171">
        <f>IFERROR(__xludf.DUMMYFUNCTION("""COMPUTED_VALUE"""),22.0)</f>
        <v>22</v>
      </c>
      <c r="B16" s="168" t="str">
        <f>IFERROR(__xludf.DUMMYFUNCTION("""COMPUTED_VALUE"""),"fdesaunois@gapps-attitude.com")</f>
        <v>fdesaunois@gapps-attitude.com</v>
      </c>
      <c r="C16" s="168" t="str">
        <f>IFERROR(__xludf.DUMMYFUNCTION("""COMPUTED_VALUE"""),"DESAUNOIS")</f>
        <v>DESAUNOIS</v>
      </c>
      <c r="D16" s="168" t="str">
        <f>IFERROR(__xludf.DUMMYFUNCTION("""COMPUTED_VALUE"""),"Frédéric")</f>
        <v>Frédéric</v>
      </c>
      <c r="E16" s="168" t="b">
        <v>0</v>
      </c>
      <c r="F16" s="169"/>
      <c r="G16" s="50"/>
      <c r="H16" s="50"/>
      <c r="I16" s="50"/>
      <c r="J16" s="50"/>
      <c r="K16" s="50"/>
    </row>
    <row r="17">
      <c r="A17" s="171">
        <f>IFERROR(__xludf.DUMMYFUNCTION("""COMPUTED_VALUE"""),46.0)</f>
        <v>46</v>
      </c>
      <c r="B17" s="168" t="str">
        <f>IFERROR(__xludf.DUMMYFUNCTION("""COMPUTED_VALUE"""),"fabrice.escalant@pme.digital")</f>
        <v>fabrice.escalant@pme.digital</v>
      </c>
      <c r="C17" s="168" t="str">
        <f>IFERROR(__xludf.DUMMYFUNCTION("""COMPUTED_VALUE"""),"ESCALANT")</f>
        <v>ESCALANT</v>
      </c>
      <c r="D17" s="168" t="str">
        <f>IFERROR(__xludf.DUMMYFUNCTION("""COMPUTED_VALUE"""),"Fabrice")</f>
        <v>Fabrice</v>
      </c>
      <c r="E17" s="168" t="b">
        <v>0</v>
      </c>
      <c r="F17" s="169"/>
      <c r="G17" s="50"/>
      <c r="H17" s="50"/>
      <c r="I17" s="50"/>
      <c r="J17" s="50"/>
      <c r="K17" s="50"/>
    </row>
    <row r="18">
      <c r="A18" s="171">
        <f>IFERROR(__xludf.DUMMYFUNCTION("""COMPUTED_VALUE"""),25.0)</f>
        <v>25</v>
      </c>
      <c r="B18" s="168" t="str">
        <f>IFERROR(__xludf.DUMMYFUNCTION("""COMPUTED_VALUE"""),"arthur.gentric.ext@numericoach.fr")</f>
        <v>arthur.gentric.ext@numericoach.fr</v>
      </c>
      <c r="C18" s="168" t="str">
        <f>IFERROR(__xludf.DUMMYFUNCTION("""COMPUTED_VALUE"""),"GENTRIC")</f>
        <v>GENTRIC</v>
      </c>
      <c r="D18" s="168" t="str">
        <f>IFERROR(__xludf.DUMMYFUNCTION("""COMPUTED_VALUE"""),"Arthur")</f>
        <v>Arthur</v>
      </c>
      <c r="E18" s="168" t="b">
        <v>0</v>
      </c>
      <c r="F18" s="169"/>
      <c r="G18" s="50"/>
      <c r="H18" s="50"/>
      <c r="I18" s="50"/>
      <c r="J18" s="50"/>
      <c r="K18" s="50"/>
    </row>
    <row r="19">
      <c r="A19" s="171">
        <f>IFERROR(__xludf.DUMMYFUNCTION("""COMPUTED_VALUE"""),38.0)</f>
        <v>38</v>
      </c>
      <c r="B19" s="168" t="str">
        <f>IFERROR(__xludf.DUMMYFUNCTION("""COMPUTED_VALUE"""),"florent.gestin@onesession.fr")</f>
        <v>florent.gestin@onesession.fr</v>
      </c>
      <c r="C19" s="168" t="str">
        <f>IFERROR(__xludf.DUMMYFUNCTION("""COMPUTED_VALUE"""),"GESTIN")</f>
        <v>GESTIN</v>
      </c>
      <c r="D19" s="168" t="str">
        <f>IFERROR(__xludf.DUMMYFUNCTION("""COMPUTED_VALUE"""),"Florent")</f>
        <v>Florent</v>
      </c>
      <c r="E19" s="168" t="b">
        <v>0</v>
      </c>
      <c r="F19" s="169"/>
      <c r="G19" s="50"/>
      <c r="H19" s="50"/>
      <c r="I19" s="50"/>
      <c r="J19" s="50"/>
      <c r="K19" s="50"/>
    </row>
    <row r="20">
      <c r="A20" s="171">
        <f>IFERROR(__xludf.DUMMYFUNCTION("""COMPUTED_VALUE"""),43.0)</f>
        <v>43</v>
      </c>
      <c r="B20" s="168" t="str">
        <f>IFERROR(__xludf.DUMMYFUNCTION("""COMPUTED_VALUE"""),"stephanie.girodet.ext@numericoach.fr")</f>
        <v>stephanie.girodet.ext@numericoach.fr</v>
      </c>
      <c r="C20" s="168" t="str">
        <f>IFERROR(__xludf.DUMMYFUNCTION("""COMPUTED_VALUE"""),"GIRODET")</f>
        <v>GIRODET</v>
      </c>
      <c r="D20" s="168" t="str">
        <f>IFERROR(__xludf.DUMMYFUNCTION("""COMPUTED_VALUE"""),"Stéphanie")</f>
        <v>Stéphanie</v>
      </c>
      <c r="E20" s="168" t="b">
        <v>0</v>
      </c>
      <c r="F20" s="169"/>
      <c r="G20" s="50"/>
      <c r="H20" s="50"/>
      <c r="I20" s="50"/>
      <c r="J20" s="50"/>
      <c r="K20" s="50"/>
    </row>
    <row r="21">
      <c r="A21" s="171">
        <f>IFERROR(__xludf.DUMMYFUNCTION("""COMPUTED_VALUE"""),49.0)</f>
        <v>49</v>
      </c>
      <c r="B21" s="168" t="str">
        <f>IFERROR(__xludf.DUMMYFUNCTION("""COMPUTED_VALUE"""),"philippe@numeric-transition.fr")</f>
        <v>philippe@numeric-transition.fr</v>
      </c>
      <c r="C21" s="168" t="str">
        <f>IFERROR(__xludf.DUMMYFUNCTION("""COMPUTED_VALUE"""),"GUERIN")</f>
        <v>GUERIN</v>
      </c>
      <c r="D21" s="168" t="str">
        <f>IFERROR(__xludf.DUMMYFUNCTION("""COMPUTED_VALUE"""),"Philippe")</f>
        <v>Philippe</v>
      </c>
      <c r="E21" s="168" t="b">
        <v>0</v>
      </c>
      <c r="F21" s="169"/>
      <c r="G21" s="50"/>
      <c r="H21" s="50"/>
      <c r="I21" s="50"/>
      <c r="J21" s="50"/>
      <c r="K21" s="50"/>
    </row>
    <row r="22">
      <c r="A22" s="171">
        <f>IFERROR(__xludf.DUMMYFUNCTION("""COMPUTED_VALUE"""),13.0)</f>
        <v>13</v>
      </c>
      <c r="B22" s="168" t="str">
        <f>IFERROR(__xludf.DUMMYFUNCTION("""COMPUTED_VALUE"""),"emberylguibourt@gmail.com")</f>
        <v>emberylguibourt@gmail.com</v>
      </c>
      <c r="C22" s="168" t="str">
        <f>IFERROR(__xludf.DUMMYFUNCTION("""COMPUTED_VALUE"""),"GUIBOURT")</f>
        <v>GUIBOURT</v>
      </c>
      <c r="D22" s="168" t="str">
        <f>IFERROR(__xludf.DUMMYFUNCTION("""COMPUTED_VALUE"""),"Béryl")</f>
        <v>Béryl</v>
      </c>
      <c r="E22" s="168" t="b">
        <v>0</v>
      </c>
      <c r="F22" s="169"/>
      <c r="G22" s="50"/>
      <c r="H22" s="50"/>
      <c r="I22" s="50"/>
      <c r="J22" s="50"/>
      <c r="K22" s="50"/>
    </row>
    <row r="23">
      <c r="A23" s="171">
        <f>IFERROR(__xludf.DUMMYFUNCTION("""COMPUTED_VALUE"""),20.0)</f>
        <v>20</v>
      </c>
      <c r="B23" s="168" t="str">
        <f>IFERROR(__xludf.DUMMYFUNCTION("""COMPUTED_VALUE"""),"sguillerand@gmail.com")</f>
        <v>sguillerand@gmail.com</v>
      </c>
      <c r="C23" s="168" t="str">
        <f>IFERROR(__xludf.DUMMYFUNCTION("""COMPUTED_VALUE"""),"GUILLERAND")</f>
        <v>GUILLERAND</v>
      </c>
      <c r="D23" s="168" t="str">
        <f>IFERROR(__xludf.DUMMYFUNCTION("""COMPUTED_VALUE"""),"Stéphane")</f>
        <v>Stéphane</v>
      </c>
      <c r="E23" s="168" t="b">
        <v>0</v>
      </c>
      <c r="F23" s="169"/>
      <c r="G23" s="50"/>
      <c r="H23" s="50"/>
      <c r="I23" s="50"/>
      <c r="J23" s="50"/>
      <c r="K23" s="50"/>
    </row>
    <row r="24">
      <c r="A24" s="171">
        <f>IFERROR(__xludf.DUMMYFUNCTION("""COMPUTED_VALUE"""),40.0)</f>
        <v>40</v>
      </c>
      <c r="B24" s="168" t="str">
        <f>IFERROR(__xludf.DUMMYFUNCTION("""COMPUTED_VALUE"""),"hammouti.redoane@gmail.com")</f>
        <v>hammouti.redoane@gmail.com</v>
      </c>
      <c r="C24" s="168" t="str">
        <f>IFERROR(__xludf.DUMMYFUNCTION("""COMPUTED_VALUE"""),"HAMMOUTI")</f>
        <v>HAMMOUTI</v>
      </c>
      <c r="D24" s="168" t="str">
        <f>IFERROR(__xludf.DUMMYFUNCTION("""COMPUTED_VALUE"""),"Redoane")</f>
        <v>Redoane</v>
      </c>
      <c r="E24" s="168" t="b">
        <v>0</v>
      </c>
      <c r="F24" s="169"/>
      <c r="G24" s="50"/>
      <c r="H24" s="50"/>
      <c r="I24" s="50"/>
      <c r="J24" s="50"/>
      <c r="K24" s="50"/>
    </row>
    <row r="25">
      <c r="A25" s="171">
        <f>IFERROR(__xludf.DUMMYFUNCTION("""COMPUTED_VALUE"""),24.0)</f>
        <v>24</v>
      </c>
      <c r="B25" s="168" t="str">
        <f>IFERROR(__xludf.DUMMYFUNCTION("""COMPUTED_VALUE"""),"gform@gregoryhennebel.fr")</f>
        <v>gform@gregoryhennebel.fr</v>
      </c>
      <c r="C25" s="168" t="str">
        <f>IFERROR(__xludf.DUMMYFUNCTION("""COMPUTED_VALUE"""),"HENNEBEL")</f>
        <v>HENNEBEL</v>
      </c>
      <c r="D25" s="168" t="str">
        <f>IFERROR(__xludf.DUMMYFUNCTION("""COMPUTED_VALUE"""),"Grégory")</f>
        <v>Grégory</v>
      </c>
      <c r="E25" s="168" t="b">
        <v>0</v>
      </c>
      <c r="F25" s="169"/>
      <c r="G25" s="50"/>
      <c r="H25" s="50"/>
      <c r="I25" s="50"/>
      <c r="J25" s="50"/>
      <c r="K25" s="50"/>
    </row>
    <row r="26">
      <c r="A26" s="171">
        <f>IFERROR(__xludf.DUMMYFUNCTION("""COMPUTED_VALUE"""),26.0)</f>
        <v>26</v>
      </c>
      <c r="B26" s="168" t="str">
        <f>IFERROR(__xludf.DUMMYFUNCTION("""COMPUTED_VALUE"""),"office@numericoach.fr contact@kapandco.fr")</f>
        <v>office@numericoach.fr contact@kapandco.fr</v>
      </c>
      <c r="C26" s="168" t="str">
        <f>IFERROR(__xludf.DUMMYFUNCTION("""COMPUTED_VALUE"""),"INGELS")</f>
        <v>INGELS</v>
      </c>
      <c r="D26" s="168" t="str">
        <f>IFERROR(__xludf.DUMMYFUNCTION("""COMPUTED_VALUE"""),"Christelle")</f>
        <v>Christelle</v>
      </c>
      <c r="E26" s="168" t="b">
        <v>0</v>
      </c>
      <c r="F26" s="169"/>
      <c r="G26" s="50"/>
      <c r="H26" s="50"/>
      <c r="I26" s="50"/>
      <c r="J26" s="50"/>
      <c r="K26" s="50"/>
    </row>
    <row r="27">
      <c r="A27" s="171">
        <f>IFERROR(__xludf.DUMMYFUNCTION("""COMPUTED_VALUE"""),15.0)</f>
        <v>15</v>
      </c>
      <c r="B27" s="168" t="str">
        <f>IFERROR(__xludf.DUMMYFUNCTION("""COMPUTED_VALUE"""),"jean-paul.jourdan@gmail.com")</f>
        <v>jean-paul.jourdan@gmail.com</v>
      </c>
      <c r="C27" s="168" t="str">
        <f>IFERROR(__xludf.DUMMYFUNCTION("""COMPUTED_VALUE"""),"JOURDAN")</f>
        <v>JOURDAN</v>
      </c>
      <c r="D27" s="168" t="str">
        <f>IFERROR(__xludf.DUMMYFUNCTION("""COMPUTED_VALUE"""),"Jean-Paul")</f>
        <v>Jean-Paul</v>
      </c>
      <c r="E27" s="168" t="b">
        <v>0</v>
      </c>
      <c r="F27" s="169"/>
      <c r="G27" s="50"/>
      <c r="H27" s="50"/>
      <c r="I27" s="50"/>
      <c r="J27" s="50"/>
      <c r="K27" s="50"/>
    </row>
    <row r="28">
      <c r="A28" s="171">
        <f>IFERROR(__xludf.DUMMYFUNCTION("""COMPUTED_VALUE"""),6.0)</f>
        <v>6</v>
      </c>
      <c r="B28" s="168" t="str">
        <f>IFERROR(__xludf.DUMMYFUNCTION("""COMPUTED_VALUE"""),"aleksander@leboudoir-studio.com")</f>
        <v>aleksander@leboudoir-studio.com</v>
      </c>
      <c r="C28" s="168" t="str">
        <f>IFERROR(__xludf.DUMMYFUNCTION("""COMPUTED_VALUE"""),"KAUFMANN")</f>
        <v>KAUFMANN</v>
      </c>
      <c r="D28" s="168" t="str">
        <f>IFERROR(__xludf.DUMMYFUNCTION("""COMPUTED_VALUE"""),"Aleksander")</f>
        <v>Aleksander</v>
      </c>
      <c r="E28" s="168" t="b">
        <v>0</v>
      </c>
      <c r="F28" s="169"/>
      <c r="G28" s="50"/>
      <c r="H28" s="50"/>
      <c r="I28" s="50"/>
      <c r="J28" s="50"/>
      <c r="K28" s="50"/>
    </row>
    <row r="29">
      <c r="A29" s="171">
        <f>IFERROR(__xludf.DUMMYFUNCTION("""COMPUTED_VALUE"""),19.0)</f>
        <v>19</v>
      </c>
      <c r="B29" s="168" t="str">
        <f>IFERROR(__xludf.DUMMYFUNCTION("""COMPUTED_VALUE"""),"christof.lefeuvre@clicc.fr")</f>
        <v>christof.lefeuvre@clicc.fr</v>
      </c>
      <c r="C29" s="168" t="str">
        <f>IFERROR(__xludf.DUMMYFUNCTION("""COMPUTED_VALUE"""),"LEFEUVRE")</f>
        <v>LEFEUVRE</v>
      </c>
      <c r="D29" s="168" t="str">
        <f>IFERROR(__xludf.DUMMYFUNCTION("""COMPUTED_VALUE"""),"Christof")</f>
        <v>Christof</v>
      </c>
      <c r="E29" s="168" t="b">
        <v>0</v>
      </c>
      <c r="F29" s="169"/>
      <c r="G29" s="50"/>
      <c r="H29" s="50"/>
      <c r="I29" s="50"/>
      <c r="J29" s="50"/>
      <c r="K29" s="50"/>
    </row>
    <row r="30">
      <c r="A30" s="171">
        <f>IFERROR(__xludf.DUMMYFUNCTION("""COMPUTED_VALUE"""),30.0)</f>
        <v>30</v>
      </c>
      <c r="B30" s="168" t="str">
        <f>IFERROR(__xludf.DUMMYFUNCTION("""COMPUTED_VALUE"""),"laurene.lefevre95@gmail.com")</f>
        <v>laurene.lefevre95@gmail.com</v>
      </c>
      <c r="C30" s="168" t="str">
        <f>IFERROR(__xludf.DUMMYFUNCTION("""COMPUTED_VALUE"""),"LEFEVRE")</f>
        <v>LEFEVRE</v>
      </c>
      <c r="D30" s="168" t="str">
        <f>IFERROR(__xludf.DUMMYFUNCTION("""COMPUTED_VALUE"""),"Laurène")</f>
        <v>Laurène</v>
      </c>
      <c r="E30" s="168" t="b">
        <v>0</v>
      </c>
      <c r="F30" s="169"/>
      <c r="G30" s="50"/>
      <c r="H30" s="50"/>
      <c r="I30" s="50"/>
      <c r="J30" s="50"/>
      <c r="K30" s="50"/>
    </row>
    <row r="31">
      <c r="A31" s="171">
        <f>IFERROR(__xludf.DUMMYFUNCTION("""COMPUTED_VALUE"""),27.0)</f>
        <v>27</v>
      </c>
      <c r="B31" s="168" t="str">
        <f>IFERROR(__xludf.DUMMYFUNCTION("""COMPUTED_VALUE"""),"formateur@lesagedavid.fr")</f>
        <v>formateur@lesagedavid.fr</v>
      </c>
      <c r="C31" s="168" t="str">
        <f>IFERROR(__xludf.DUMMYFUNCTION("""COMPUTED_VALUE"""),"LESAGE")</f>
        <v>LESAGE</v>
      </c>
      <c r="D31" s="168" t="str">
        <f>IFERROR(__xludf.DUMMYFUNCTION("""COMPUTED_VALUE"""),"David")</f>
        <v>David</v>
      </c>
      <c r="E31" s="168" t="b">
        <v>0</v>
      </c>
      <c r="F31" s="169"/>
      <c r="G31" s="50"/>
      <c r="H31" s="50"/>
      <c r="I31" s="50"/>
      <c r="J31" s="50"/>
      <c r="K31" s="50"/>
    </row>
    <row r="32">
      <c r="A32" s="171">
        <f>IFERROR(__xludf.DUMMYFUNCTION("""COMPUTED_VALUE"""),47.0)</f>
        <v>47</v>
      </c>
      <c r="B32" s="168" t="str">
        <f>IFERROR(__xludf.DUMMYFUNCTION("""COMPUTED_VALUE"""),"leve.nicolas@gmail.com")</f>
        <v>leve.nicolas@gmail.com</v>
      </c>
      <c r="C32" s="168" t="str">
        <f>IFERROR(__xludf.DUMMYFUNCTION("""COMPUTED_VALUE"""),"LEVE")</f>
        <v>LEVE</v>
      </c>
      <c r="D32" s="168" t="str">
        <f>IFERROR(__xludf.DUMMYFUNCTION("""COMPUTED_VALUE"""),"Nicolas")</f>
        <v>Nicolas</v>
      </c>
      <c r="E32" s="168" t="b">
        <v>0</v>
      </c>
      <c r="F32" s="169"/>
      <c r="G32" s="50"/>
      <c r="H32" s="50"/>
      <c r="I32" s="50"/>
      <c r="J32" s="50"/>
      <c r="K32" s="50"/>
    </row>
    <row r="33">
      <c r="A33" s="171">
        <f>IFERROR(__xludf.DUMMYFUNCTION("""COMPUTED_VALUE"""),9.0)</f>
        <v>9</v>
      </c>
      <c r="B33" s="168" t="str">
        <f>IFERROR(__xludf.DUMMYFUNCTION("""COMPUTED_VALUE"""),"olivier.loncin@jalons.be")</f>
        <v>olivier.loncin@jalons.be</v>
      </c>
      <c r="C33" s="168" t="str">
        <f>IFERROR(__xludf.DUMMYFUNCTION("""COMPUTED_VALUE"""),"LONCIN")</f>
        <v>LONCIN</v>
      </c>
      <c r="D33" s="168" t="str">
        <f>IFERROR(__xludf.DUMMYFUNCTION("""COMPUTED_VALUE"""),"Olivier")</f>
        <v>Olivier</v>
      </c>
      <c r="E33" s="168" t="b">
        <v>0</v>
      </c>
      <c r="F33" s="169"/>
      <c r="G33" s="50"/>
      <c r="H33" s="50"/>
      <c r="I33" s="50"/>
      <c r="J33" s="50"/>
      <c r="K33" s="50"/>
    </row>
    <row r="34">
      <c r="A34" s="171">
        <f>IFERROR(__xludf.DUMMYFUNCTION("""COMPUTED_VALUE"""),33.0)</f>
        <v>33</v>
      </c>
      <c r="B34" s="168" t="str">
        <f>IFERROR(__xludf.DUMMYFUNCTION("""COMPUTED_VALUE"""),"sandrine@cogitus-conseil.fr")</f>
        <v>sandrine@cogitus-conseil.fr</v>
      </c>
      <c r="C34" s="168" t="str">
        <f>IFERROR(__xludf.DUMMYFUNCTION("""COMPUTED_VALUE"""),"MARQUIS")</f>
        <v>MARQUIS</v>
      </c>
      <c r="D34" s="168" t="str">
        <f>IFERROR(__xludf.DUMMYFUNCTION("""COMPUTED_VALUE"""),"Sandrine")</f>
        <v>Sandrine</v>
      </c>
      <c r="E34" s="168" t="b">
        <v>0</v>
      </c>
      <c r="F34" s="169"/>
      <c r="G34" s="50"/>
      <c r="H34" s="50"/>
      <c r="I34" s="50"/>
      <c r="J34" s="50"/>
      <c r="K34" s="50"/>
    </row>
    <row r="35">
      <c r="A35" s="171">
        <f>IFERROR(__xludf.DUMMYFUNCTION("""COMPUTED_VALUE"""),21.0)</f>
        <v>21</v>
      </c>
      <c r="B35" s="168" t="str">
        <f>IFERROR(__xludf.DUMMYFUNCTION("""COMPUTED_VALUE"""),"antoine.martin@amcms.net")</f>
        <v>antoine.martin@amcms.net</v>
      </c>
      <c r="C35" s="168" t="str">
        <f>IFERROR(__xludf.DUMMYFUNCTION("""COMPUTED_VALUE"""),"MARTIN")</f>
        <v>MARTIN</v>
      </c>
      <c r="D35" s="168" t="str">
        <f>IFERROR(__xludf.DUMMYFUNCTION("""COMPUTED_VALUE"""),"Antoine")</f>
        <v>Antoine</v>
      </c>
      <c r="E35" s="168" t="b">
        <v>0</v>
      </c>
      <c r="F35" s="169"/>
      <c r="G35" s="50"/>
      <c r="H35" s="50"/>
      <c r="I35" s="50"/>
      <c r="J35" s="50"/>
      <c r="K35" s="50"/>
    </row>
    <row r="36">
      <c r="A36" s="171">
        <f>IFERROR(__xludf.DUMMYFUNCTION("""COMPUTED_VALUE"""),29.0)</f>
        <v>29</v>
      </c>
      <c r="B36" s="168" t="str">
        <f>IFERROR(__xludf.DUMMYFUNCTION("""COMPUTED_VALUE"""),"mazonier@gmail.com")</f>
        <v>mazonier@gmail.com</v>
      </c>
      <c r="C36" s="168" t="str">
        <f>IFERROR(__xludf.DUMMYFUNCTION("""COMPUTED_VALUE"""),"MAZONIER")</f>
        <v>MAZONIER</v>
      </c>
      <c r="D36" s="168" t="str">
        <f>IFERROR(__xludf.DUMMYFUNCTION("""COMPUTED_VALUE"""),"Jean-Pascal")</f>
        <v>Jean-Pascal</v>
      </c>
      <c r="E36" s="168" t="b">
        <v>0</v>
      </c>
      <c r="F36" s="169"/>
      <c r="G36" s="50"/>
      <c r="H36" s="50"/>
      <c r="I36" s="50"/>
      <c r="J36" s="50"/>
      <c r="K36" s="50"/>
    </row>
    <row r="37">
      <c r="A37" s="171">
        <f>IFERROR(__xludf.DUMMYFUNCTION("""COMPUTED_VALUE"""),32.0)</f>
        <v>32</v>
      </c>
      <c r="B37" s="168" t="str">
        <f>IFERROR(__xludf.DUMMYFUNCTION("""COMPUTED_VALUE"""),"jstephane.michalak@gmail.com")</f>
        <v>jstephane.michalak@gmail.com</v>
      </c>
      <c r="C37" s="168" t="str">
        <f>IFERROR(__xludf.DUMMYFUNCTION("""COMPUTED_VALUE"""),"MICHALAK")</f>
        <v>MICHALAK</v>
      </c>
      <c r="D37" s="168" t="str">
        <f>IFERROR(__xludf.DUMMYFUNCTION("""COMPUTED_VALUE"""),"Jean-Stephane")</f>
        <v>Jean-Stephane</v>
      </c>
      <c r="E37" s="168" t="b">
        <v>0</v>
      </c>
      <c r="F37" s="169"/>
      <c r="G37" s="50"/>
      <c r="H37" s="50"/>
      <c r="I37" s="50"/>
      <c r="J37" s="50"/>
      <c r="K37" s="50"/>
    </row>
    <row r="38">
      <c r="A38" s="171">
        <f>IFERROR(__xludf.DUMMYFUNCTION("""COMPUTED_VALUE"""),35.0)</f>
        <v>35</v>
      </c>
      <c r="B38" s="168"/>
      <c r="C38" s="168" t="str">
        <f>IFERROR(__xludf.DUMMYFUNCTION("""COMPUTED_VALUE"""),"MITAULT")</f>
        <v>MITAULT</v>
      </c>
      <c r="D38" s="168" t="str">
        <f>IFERROR(__xludf.DUMMYFUNCTION("""COMPUTED_VALUE"""),"Jean")</f>
        <v>Jean</v>
      </c>
      <c r="E38" s="168" t="b">
        <v>0</v>
      </c>
      <c r="F38" s="169"/>
      <c r="G38" s="50"/>
      <c r="H38" s="50"/>
      <c r="I38" s="50"/>
      <c r="J38" s="50"/>
      <c r="K38" s="50"/>
    </row>
    <row r="39">
      <c r="A39" s="171">
        <f>IFERROR(__xludf.DUMMYFUNCTION("""COMPUTED_VALUE"""),3.0)</f>
        <v>3</v>
      </c>
      <c r="B39" s="168" t="str">
        <f>IFERROR(__xludf.DUMMYFUNCTION("""COMPUTED_VALUE"""),"isabelle@isabellenarboni.com")</f>
        <v>isabelle@isabellenarboni.com</v>
      </c>
      <c r="C39" s="168" t="str">
        <f>IFERROR(__xludf.DUMMYFUNCTION("""COMPUTED_VALUE"""),"NARBONI")</f>
        <v>NARBONI</v>
      </c>
      <c r="D39" s="168" t="str">
        <f>IFERROR(__xludf.DUMMYFUNCTION("""COMPUTED_VALUE"""),"Isabelle")</f>
        <v>Isabelle</v>
      </c>
      <c r="E39" s="168" t="b">
        <v>0</v>
      </c>
      <c r="F39" s="169"/>
      <c r="G39" s="50"/>
      <c r="H39" s="50"/>
      <c r="I39" s="50"/>
      <c r="J39" s="50"/>
      <c r="K39" s="50"/>
    </row>
    <row r="40">
      <c r="A40" s="171">
        <f>IFERROR(__xludf.DUMMYFUNCTION("""COMPUTED_VALUE"""),12.0)</f>
        <v>12</v>
      </c>
      <c r="B40" s="168" t="str">
        <f>IFERROR(__xludf.DUMMYFUNCTION("""COMPUTED_VALUE"""),"alternatives13@gmail.com")</f>
        <v>alternatives13@gmail.com</v>
      </c>
      <c r="C40" s="168" t="str">
        <f>IFERROR(__xludf.DUMMYFUNCTION("""COMPUTED_VALUE"""),"PICANO SALAZAR")</f>
        <v>PICANO SALAZAR</v>
      </c>
      <c r="D40" s="168" t="str">
        <f>IFERROR(__xludf.DUMMYFUNCTION("""COMPUTED_VALUE"""),"Véronique")</f>
        <v>Véronique</v>
      </c>
      <c r="E40" s="168" t="b">
        <v>0</v>
      </c>
      <c r="F40" s="169"/>
      <c r="G40" s="50"/>
      <c r="H40" s="50"/>
      <c r="I40" s="50"/>
      <c r="J40" s="50"/>
      <c r="K40" s="50"/>
    </row>
    <row r="41">
      <c r="A41" s="171">
        <f>IFERROR(__xludf.DUMMYFUNCTION("""COMPUTED_VALUE"""),41.0)</f>
        <v>41</v>
      </c>
      <c r="B41" s="168" t="str">
        <f>IFERROR(__xludf.DUMMYFUNCTION("""COMPUTED_VALUE"""),"jeremi.piccioni@gmail.com")</f>
        <v>jeremi.piccioni@gmail.com</v>
      </c>
      <c r="C41" s="168" t="str">
        <f>IFERROR(__xludf.DUMMYFUNCTION("""COMPUTED_VALUE"""),"PICCIONI")</f>
        <v>PICCIONI</v>
      </c>
      <c r="D41" s="168" t="str">
        <f>IFERROR(__xludf.DUMMYFUNCTION("""COMPUTED_VALUE"""),"Jérémi")</f>
        <v>Jérémi</v>
      </c>
      <c r="E41" s="168" t="b">
        <v>0</v>
      </c>
      <c r="F41" s="169"/>
      <c r="G41" s="50"/>
      <c r="H41" s="50"/>
      <c r="I41" s="50"/>
      <c r="J41" s="50"/>
      <c r="K41" s="50"/>
    </row>
    <row r="42">
      <c r="A42" s="171">
        <f>IFERROR(__xludf.DUMMYFUNCTION("""COMPUTED_VALUE"""),8.0)</f>
        <v>8</v>
      </c>
      <c r="B42" s="168" t="str">
        <f>IFERROR(__xludf.DUMMYFUNCTION("""COMPUTED_VALUE"""),"dp@neediz.com")</f>
        <v>dp@neediz.com</v>
      </c>
      <c r="C42" s="168" t="str">
        <f>IFERROR(__xludf.DUMMYFUNCTION("""COMPUTED_VALUE"""),"POULAT")</f>
        <v>POULAT</v>
      </c>
      <c r="D42" s="168" t="str">
        <f>IFERROR(__xludf.DUMMYFUNCTION("""COMPUTED_VALUE"""),"Denys")</f>
        <v>Denys</v>
      </c>
      <c r="E42" s="168" t="b">
        <v>0</v>
      </c>
      <c r="F42" s="169"/>
      <c r="G42" s="50"/>
      <c r="H42" s="50"/>
      <c r="I42" s="50"/>
      <c r="J42" s="50"/>
      <c r="K42" s="50"/>
    </row>
    <row r="43">
      <c r="A43" s="171">
        <f>IFERROR(__xludf.DUMMYFUNCTION("""COMPUTED_VALUE"""),14.0)</f>
        <v>14</v>
      </c>
      <c r="B43" s="168"/>
      <c r="C43" s="168" t="str">
        <f>IFERROR(__xludf.DUMMYFUNCTION("""COMPUTED_VALUE"""),"RAMBAULT")</f>
        <v>RAMBAULT</v>
      </c>
      <c r="D43" s="168" t="str">
        <f>IFERROR(__xludf.DUMMYFUNCTION("""COMPUTED_VALUE"""),"Nicolas")</f>
        <v>Nicolas</v>
      </c>
      <c r="E43" s="168" t="b">
        <v>0</v>
      </c>
      <c r="F43" s="169"/>
      <c r="G43" s="50"/>
      <c r="H43" s="50"/>
      <c r="I43" s="50"/>
      <c r="J43" s="50"/>
      <c r="K43" s="50"/>
    </row>
    <row r="44">
      <c r="A44" s="171">
        <f>IFERROR(__xludf.DUMMYFUNCTION("""COMPUTED_VALUE"""),2.0)</f>
        <v>2</v>
      </c>
      <c r="B44" s="168" t="str">
        <f>IFERROR(__xludf.DUMMYFUNCTION("""COMPUTED_VALUE"""),"michael.ravier@worklive.eu")</f>
        <v>michael.ravier@worklive.eu</v>
      </c>
      <c r="C44" s="168" t="str">
        <f>IFERROR(__xludf.DUMMYFUNCTION("""COMPUTED_VALUE"""),"RAVIER")</f>
        <v>RAVIER</v>
      </c>
      <c r="D44" s="168" t="str">
        <f>IFERROR(__xludf.DUMMYFUNCTION("""COMPUTED_VALUE"""),"Michael")</f>
        <v>Michael</v>
      </c>
      <c r="E44" s="168" t="b">
        <v>0</v>
      </c>
      <c r="F44" s="169"/>
      <c r="G44" s="50"/>
      <c r="H44" s="50"/>
      <c r="I44" s="50"/>
      <c r="J44" s="50"/>
      <c r="K44" s="50"/>
    </row>
    <row r="45">
      <c r="A45" s="171">
        <f>IFERROR(__xludf.DUMMYFUNCTION("""COMPUTED_VALUE"""),51.0)</f>
        <v>51</v>
      </c>
      <c r="B45" s="168" t="str">
        <f>IFERROR(__xludf.DUMMYFUNCTION("""COMPUTED_VALUE"""),"jeremy.rochot@gmail.com")</f>
        <v>jeremy.rochot@gmail.com</v>
      </c>
      <c r="C45" s="168" t="str">
        <f>IFERROR(__xludf.DUMMYFUNCTION("""COMPUTED_VALUE"""),"ROCHOT")</f>
        <v>ROCHOT</v>
      </c>
      <c r="D45" s="168" t="str">
        <f>IFERROR(__xludf.DUMMYFUNCTION("""COMPUTED_VALUE"""),"Jérémy")</f>
        <v>Jérémy</v>
      </c>
      <c r="E45" s="168" t="b">
        <v>0</v>
      </c>
      <c r="F45" s="169"/>
      <c r="G45" s="50"/>
      <c r="H45" s="50"/>
      <c r="I45" s="50"/>
      <c r="J45" s="50"/>
      <c r="K45" s="50"/>
    </row>
    <row r="46">
      <c r="A46" s="171">
        <f>IFERROR(__xludf.DUMMYFUNCTION("""COMPUTED_VALUE"""),36.0)</f>
        <v>36</v>
      </c>
      <c r="B46" s="168" t="str">
        <f>IFERROR(__xludf.DUMMYFUNCTION("""COMPUTED_VALUE"""),"formation@romainsansen.fr")</f>
        <v>formation@romainsansen.fr</v>
      </c>
      <c r="C46" s="168" t="str">
        <f>IFERROR(__xludf.DUMMYFUNCTION("""COMPUTED_VALUE"""),"SANSEN")</f>
        <v>SANSEN</v>
      </c>
      <c r="D46" s="168" t="str">
        <f>IFERROR(__xludf.DUMMYFUNCTION("""COMPUTED_VALUE"""),"Romain")</f>
        <v>Romain</v>
      </c>
      <c r="E46" s="168" t="b">
        <v>0</v>
      </c>
      <c r="F46" s="169"/>
      <c r="G46" s="50"/>
      <c r="H46" s="50"/>
      <c r="I46" s="50"/>
      <c r="J46" s="50"/>
      <c r="K46" s="50"/>
    </row>
    <row r="47">
      <c r="A47" s="171">
        <f>IFERROR(__xludf.DUMMYFUNCTION("""COMPUTED_VALUE"""),34.0)</f>
        <v>34</v>
      </c>
      <c r="B47" s="168" t="str">
        <f>IFERROR(__xludf.DUMMYFUNCTION("""COMPUTED_VALUE"""),"jean-louis.schaff@aska.fr")</f>
        <v>jean-louis.schaff@aska.fr</v>
      </c>
      <c r="C47" s="168" t="str">
        <f>IFERROR(__xludf.DUMMYFUNCTION("""COMPUTED_VALUE"""),"SCHAFF")</f>
        <v>SCHAFF</v>
      </c>
      <c r="D47" s="168" t="str">
        <f>IFERROR(__xludf.DUMMYFUNCTION("""COMPUTED_VALUE"""),"Jean Louis")</f>
        <v>Jean Louis</v>
      </c>
      <c r="E47" s="168" t="b">
        <v>0</v>
      </c>
      <c r="F47" s="169"/>
      <c r="G47" s="50"/>
      <c r="H47" s="50"/>
      <c r="I47" s="50"/>
      <c r="J47" s="50"/>
      <c r="K47" s="50"/>
    </row>
    <row r="48">
      <c r="A48" s="171">
        <f>IFERROR(__xludf.DUMMYFUNCTION("""COMPUTED_VALUE"""),11.0)</f>
        <v>11</v>
      </c>
      <c r="B48" s="168" t="str">
        <f>IFERROR(__xludf.DUMMYFUNCTION("""COMPUTED_VALUE"""),"christophe.serio@sro-coach.fr")</f>
        <v>christophe.serio@sro-coach.fr</v>
      </c>
      <c r="C48" s="168" t="str">
        <f>IFERROR(__xludf.DUMMYFUNCTION("""COMPUTED_VALUE"""),"SERIO")</f>
        <v>SERIO</v>
      </c>
      <c r="D48" s="168" t="str">
        <f>IFERROR(__xludf.DUMMYFUNCTION("""COMPUTED_VALUE"""),"Christophe")</f>
        <v>Christophe</v>
      </c>
      <c r="E48" s="165" t="b">
        <v>1</v>
      </c>
      <c r="F48" s="169"/>
      <c r="G48" s="50"/>
      <c r="H48" s="50"/>
      <c r="I48" s="50"/>
      <c r="J48" s="50"/>
      <c r="K48" s="50"/>
    </row>
    <row r="49">
      <c r="A49" s="171">
        <f>IFERROR(__xludf.DUMMYFUNCTION("""COMPUTED_VALUE"""),50.0)</f>
        <v>50</v>
      </c>
      <c r="B49" s="168" t="str">
        <f>IFERROR(__xludf.DUMMYFUNCTION("""COMPUTED_VALUE"""),"marielle.silberstein@ZenUpCloud.fr")</f>
        <v>marielle.silberstein@ZenUpCloud.fr</v>
      </c>
      <c r="C49" s="168" t="str">
        <f>IFERROR(__xludf.DUMMYFUNCTION("""COMPUTED_VALUE"""),"SILBERSTEIN")</f>
        <v>SILBERSTEIN</v>
      </c>
      <c r="D49" s="168" t="str">
        <f>IFERROR(__xludf.DUMMYFUNCTION("""COMPUTED_VALUE"""),"Marielle")</f>
        <v>Marielle</v>
      </c>
      <c r="E49" s="168" t="b">
        <v>0</v>
      </c>
      <c r="F49" s="169"/>
      <c r="G49" s="50"/>
      <c r="H49" s="50"/>
      <c r="I49" s="50"/>
      <c r="J49" s="50"/>
      <c r="K49" s="50"/>
    </row>
    <row r="50">
      <c r="A50" s="171">
        <f>IFERROR(__xludf.DUMMYFUNCTION("""COMPUTED_VALUE"""),44.0)</f>
        <v>44</v>
      </c>
      <c r="B50" s="168" t="str">
        <f>IFERROR(__xludf.DUMMYFUNCTION("""COMPUTED_VALUE"""),"yves.stourbe@gmail.com")</f>
        <v>yves.stourbe@gmail.com</v>
      </c>
      <c r="C50" s="168" t="str">
        <f>IFERROR(__xludf.DUMMYFUNCTION("""COMPUTED_VALUE"""),"STOURBE")</f>
        <v>STOURBE</v>
      </c>
      <c r="D50" s="168" t="str">
        <f>IFERROR(__xludf.DUMMYFUNCTION("""COMPUTED_VALUE"""),"Yves")</f>
        <v>Yves</v>
      </c>
      <c r="E50" s="168" t="b">
        <v>0</v>
      </c>
      <c r="F50" s="169"/>
      <c r="G50" s="50"/>
      <c r="H50" s="50"/>
      <c r="I50" s="50"/>
      <c r="J50" s="50"/>
      <c r="K50" s="50"/>
    </row>
    <row r="51">
      <c r="A51" s="171">
        <f>IFERROR(__xludf.DUMMYFUNCTION("""COMPUTED_VALUE"""),28.0)</f>
        <v>28</v>
      </c>
      <c r="B51" s="168" t="str">
        <f>IFERROR(__xludf.DUMMYFUNCTION("""COMPUTED_VALUE"""),"sylvain.torchot@gmail.com")</f>
        <v>sylvain.torchot@gmail.com</v>
      </c>
      <c r="C51" s="168" t="str">
        <f>IFERROR(__xludf.DUMMYFUNCTION("""COMPUTED_VALUE"""),"TORCHOT")</f>
        <v>TORCHOT</v>
      </c>
      <c r="D51" s="168" t="str">
        <f>IFERROR(__xludf.DUMMYFUNCTION("""COMPUTED_VALUE"""),"Sylvain")</f>
        <v>Sylvain</v>
      </c>
      <c r="E51" s="168" t="b">
        <v>0</v>
      </c>
      <c r="F51" s="169"/>
      <c r="G51" s="50"/>
      <c r="H51" s="50"/>
      <c r="I51" s="50"/>
      <c r="J51" s="50"/>
      <c r="K51" s="50"/>
    </row>
    <row r="52">
      <c r="A52" s="171">
        <f>IFERROR(__xludf.DUMMYFUNCTION("""COMPUTED_VALUE"""),31.0)</f>
        <v>31</v>
      </c>
      <c r="B52" s="168" t="str">
        <f>IFERROR(__xludf.DUMMYFUNCTION("""COMPUTED_VALUE"""),"nathalie@numericoach.fr")</f>
        <v>nathalie@numericoach.fr</v>
      </c>
      <c r="C52" s="168" t="str">
        <f>IFERROR(__xludf.DUMMYFUNCTION("""COMPUTED_VALUE"""),"VANOFFE")</f>
        <v>VANOFFE</v>
      </c>
      <c r="D52" s="168" t="str">
        <f>IFERROR(__xludf.DUMMYFUNCTION("""COMPUTED_VALUE"""),"Nathalie")</f>
        <v>Nathalie</v>
      </c>
      <c r="E52" s="168" t="b">
        <v>0</v>
      </c>
      <c r="F52" s="169"/>
      <c r="G52" s="50"/>
      <c r="H52" s="50"/>
      <c r="I52" s="50"/>
      <c r="J52" s="50"/>
      <c r="K52" s="50"/>
    </row>
    <row r="53">
      <c r="A53" s="171">
        <f>IFERROR(__xludf.DUMMYFUNCTION("""COMPUTED_VALUE"""),1.0)</f>
        <v>1</v>
      </c>
      <c r="B53" s="168" t="str">
        <f>IFERROR(__xludf.DUMMYFUNCTION("""COMPUTED_VALUE"""),"thierry@numericoach.fr")</f>
        <v>thierry@numericoach.fr</v>
      </c>
      <c r="C53" s="168" t="str">
        <f>IFERROR(__xludf.DUMMYFUNCTION("""COMPUTED_VALUE"""),"VANOFFE")</f>
        <v>VANOFFE</v>
      </c>
      <c r="D53" s="168" t="str">
        <f>IFERROR(__xludf.DUMMYFUNCTION("""COMPUTED_VALUE"""),"Thierry")</f>
        <v>Thierry</v>
      </c>
      <c r="E53" s="165" t="b">
        <v>1</v>
      </c>
      <c r="F53" s="169"/>
      <c r="G53" s="50"/>
      <c r="H53" s="50"/>
      <c r="I53" s="50"/>
      <c r="J53" s="50"/>
      <c r="K53" s="50"/>
    </row>
    <row r="54">
      <c r="A54" s="171">
        <f>IFERROR(__xludf.DUMMYFUNCTION("""COMPUTED_VALUE"""),53.0)</f>
        <v>53</v>
      </c>
      <c r="B54" s="168" t="str">
        <f>IFERROR(__xludf.DUMMYFUNCTION("""COMPUTED_VALUE"""),"techncoach.fr@gmail.com")</f>
        <v>techncoach.fr@gmail.com</v>
      </c>
      <c r="C54" s="168" t="str">
        <f>IFERROR(__xludf.DUMMYFUNCTION("""COMPUTED_VALUE"""),"VASSEUR")</f>
        <v>VASSEUR</v>
      </c>
      <c r="D54" s="168" t="str">
        <f>IFERROR(__xludf.DUMMYFUNCTION("""COMPUTED_VALUE"""),"Aurélien")</f>
        <v>Aurélien</v>
      </c>
      <c r="E54" s="168" t="b">
        <v>0</v>
      </c>
      <c r="F54" s="169"/>
      <c r="G54" s="50"/>
      <c r="H54" s="50"/>
      <c r="I54" s="50"/>
      <c r="J54" s="50"/>
      <c r="K54" s="50"/>
    </row>
    <row r="55">
      <c r="A55" s="171">
        <f>IFERROR(__xludf.DUMMYFUNCTION("""COMPUTED_VALUE"""),17.0)</f>
        <v>17</v>
      </c>
      <c r="B55" s="168" t="str">
        <f>IFERROR(__xludf.DUMMYFUNCTION("""COMPUTED_VALUE"""),"olivier@epidosi.fr")</f>
        <v>olivier@epidosi.fr</v>
      </c>
      <c r="C55" s="168" t="str">
        <f>IFERROR(__xludf.DUMMYFUNCTION("""COMPUTED_VALUE"""),"WILHELM")</f>
        <v>WILHELM</v>
      </c>
      <c r="D55" s="168" t="str">
        <f>IFERROR(__xludf.DUMMYFUNCTION("""COMPUTED_VALUE"""),"Olivier")</f>
        <v>Olivier</v>
      </c>
      <c r="E55" s="168" t="b">
        <v>0</v>
      </c>
      <c r="F55" s="169"/>
      <c r="G55" s="50"/>
      <c r="H55" s="50"/>
      <c r="I55" s="50"/>
      <c r="J55" s="50"/>
      <c r="K55" s="50"/>
    </row>
    <row r="56">
      <c r="A56" s="168"/>
      <c r="B56" s="168"/>
      <c r="C56" s="168"/>
      <c r="D56" s="168"/>
      <c r="E56" s="168" t="b">
        <v>0</v>
      </c>
      <c r="F56" s="169"/>
      <c r="G56" s="50"/>
      <c r="H56" s="50"/>
      <c r="I56" s="50"/>
      <c r="J56" s="50"/>
      <c r="K56" s="50"/>
    </row>
    <row r="57">
      <c r="A57" s="168"/>
      <c r="B57" s="168"/>
      <c r="C57" s="168"/>
      <c r="D57" s="168"/>
      <c r="E57" s="168" t="b">
        <v>0</v>
      </c>
      <c r="F57" s="169"/>
      <c r="G57" s="50"/>
      <c r="H57" s="50"/>
      <c r="I57" s="50"/>
      <c r="J57" s="50"/>
      <c r="K57" s="50"/>
    </row>
    <row r="58">
      <c r="A58" s="168"/>
      <c r="B58" s="168"/>
      <c r="C58" s="168"/>
      <c r="D58" s="168"/>
      <c r="E58" s="168" t="b">
        <v>0</v>
      </c>
      <c r="F58" s="169"/>
      <c r="G58" s="50"/>
      <c r="H58" s="50"/>
      <c r="I58" s="50"/>
      <c r="J58" s="50"/>
      <c r="K58" s="50"/>
    </row>
    <row r="59">
      <c r="A59" s="168"/>
      <c r="B59" s="168"/>
      <c r="C59" s="168"/>
      <c r="D59" s="168"/>
      <c r="E59" s="168" t="b">
        <v>0</v>
      </c>
      <c r="F59" s="169"/>
      <c r="G59" s="50"/>
      <c r="H59" s="50"/>
      <c r="I59" s="50"/>
      <c r="J59" s="50"/>
      <c r="K59" s="50"/>
    </row>
    <row r="60">
      <c r="A60" s="168"/>
      <c r="B60" s="168"/>
      <c r="C60" s="168"/>
      <c r="D60" s="168"/>
      <c r="E60" s="168" t="b">
        <v>0</v>
      </c>
      <c r="F60" s="169"/>
      <c r="G60" s="50"/>
      <c r="H60" s="50"/>
      <c r="I60" s="50"/>
      <c r="J60" s="50"/>
      <c r="K60" s="50"/>
    </row>
    <row r="61">
      <c r="A61" s="168"/>
      <c r="B61" s="168"/>
      <c r="C61" s="168"/>
      <c r="D61" s="168"/>
      <c r="E61" s="168" t="b">
        <v>0</v>
      </c>
      <c r="F61" s="169"/>
      <c r="G61" s="50"/>
      <c r="H61" s="50"/>
      <c r="I61" s="50"/>
      <c r="J61" s="50"/>
      <c r="K61" s="50"/>
    </row>
    <row r="62">
      <c r="A62" s="168"/>
      <c r="B62" s="168"/>
      <c r="C62" s="168"/>
      <c r="D62" s="168"/>
      <c r="E62" s="168" t="b">
        <v>0</v>
      </c>
      <c r="F62" s="169"/>
      <c r="G62" s="50"/>
      <c r="H62" s="50"/>
      <c r="I62" s="50"/>
      <c r="J62" s="50"/>
      <c r="K62" s="50"/>
    </row>
    <row r="63">
      <c r="A63" s="168"/>
      <c r="B63" s="168"/>
      <c r="C63" s="168"/>
      <c r="D63" s="168"/>
      <c r="E63" s="168" t="b">
        <v>0</v>
      </c>
      <c r="F63" s="169"/>
      <c r="G63" s="50"/>
      <c r="H63" s="50"/>
      <c r="I63" s="50"/>
      <c r="J63" s="50"/>
      <c r="K63" s="50"/>
    </row>
    <row r="64">
      <c r="A64" s="168"/>
      <c r="B64" s="168"/>
      <c r="C64" s="168"/>
      <c r="D64" s="168"/>
      <c r="E64" s="168" t="b">
        <v>0</v>
      </c>
      <c r="F64" s="169"/>
      <c r="G64" s="50"/>
      <c r="H64" s="50"/>
      <c r="I64" s="50"/>
      <c r="J64" s="50"/>
      <c r="K64" s="50"/>
    </row>
    <row r="65">
      <c r="A65" s="168"/>
      <c r="B65" s="168"/>
      <c r="C65" s="168"/>
      <c r="D65" s="168"/>
      <c r="E65" s="168" t="b">
        <v>0</v>
      </c>
      <c r="F65" s="169"/>
      <c r="G65" s="50"/>
      <c r="H65" s="50"/>
      <c r="I65" s="50"/>
      <c r="J65" s="50"/>
      <c r="K65" s="50"/>
    </row>
    <row r="66">
      <c r="A66" s="168"/>
      <c r="B66" s="168"/>
      <c r="C66" s="168"/>
      <c r="D66" s="168"/>
      <c r="E66" s="168" t="b">
        <v>0</v>
      </c>
      <c r="F66" s="169"/>
      <c r="G66" s="50"/>
      <c r="H66" s="50"/>
      <c r="I66" s="50"/>
      <c r="J66" s="50"/>
      <c r="K66" s="50"/>
    </row>
    <row r="67">
      <c r="A67" s="168"/>
      <c r="B67" s="168"/>
      <c r="C67" s="168"/>
      <c r="D67" s="168"/>
      <c r="E67" s="168" t="b">
        <v>0</v>
      </c>
      <c r="F67" s="169"/>
      <c r="G67" s="50"/>
      <c r="H67" s="50"/>
      <c r="I67" s="50"/>
      <c r="J67" s="50"/>
      <c r="K67" s="50"/>
    </row>
    <row r="68">
      <c r="A68" s="168"/>
      <c r="B68" s="168"/>
      <c r="C68" s="168"/>
      <c r="D68" s="168"/>
      <c r="E68" s="168" t="b">
        <v>0</v>
      </c>
      <c r="F68" s="169"/>
      <c r="G68" s="50"/>
      <c r="H68" s="50"/>
      <c r="I68" s="50"/>
      <c r="J68" s="50"/>
      <c r="K68" s="50"/>
    </row>
    <row r="69">
      <c r="A69" s="168"/>
      <c r="B69" s="168"/>
      <c r="C69" s="168"/>
      <c r="D69" s="168"/>
      <c r="E69" s="168" t="b">
        <v>0</v>
      </c>
      <c r="F69" s="169"/>
      <c r="G69" s="50"/>
      <c r="H69" s="50"/>
      <c r="I69" s="50"/>
      <c r="J69" s="50"/>
      <c r="K69" s="50"/>
    </row>
    <row r="70">
      <c r="A70" s="168"/>
      <c r="B70" s="168"/>
      <c r="C70" s="168"/>
      <c r="D70" s="168"/>
      <c r="E70" s="168" t="b">
        <v>0</v>
      </c>
      <c r="F70" s="169"/>
      <c r="G70" s="50"/>
      <c r="H70" s="50"/>
      <c r="I70" s="50"/>
      <c r="J70" s="50"/>
      <c r="K70" s="50"/>
    </row>
    <row r="71">
      <c r="A71" s="168"/>
      <c r="B71" s="168"/>
      <c r="C71" s="168"/>
      <c r="D71" s="168"/>
      <c r="E71" s="168" t="b">
        <v>0</v>
      </c>
      <c r="F71" s="169"/>
      <c r="G71" s="50"/>
      <c r="H71" s="50"/>
      <c r="I71" s="50"/>
      <c r="J71" s="50"/>
      <c r="K71" s="50"/>
    </row>
    <row r="72">
      <c r="A72" s="168"/>
      <c r="B72" s="168"/>
      <c r="C72" s="168"/>
      <c r="D72" s="168"/>
      <c r="E72" s="168" t="b">
        <v>0</v>
      </c>
      <c r="F72" s="169"/>
      <c r="G72" s="50"/>
      <c r="H72" s="50"/>
      <c r="I72" s="50"/>
      <c r="J72" s="50"/>
      <c r="K72" s="50"/>
    </row>
    <row r="73">
      <c r="A73" s="168"/>
      <c r="B73" s="168"/>
      <c r="C73" s="168"/>
      <c r="D73" s="168"/>
      <c r="E73" s="168" t="b">
        <v>0</v>
      </c>
      <c r="F73" s="169"/>
      <c r="G73" s="50"/>
      <c r="H73" s="50"/>
      <c r="I73" s="50"/>
      <c r="J73" s="50"/>
      <c r="K73" s="50"/>
    </row>
    <row r="74">
      <c r="A74" s="168"/>
      <c r="B74" s="168"/>
      <c r="C74" s="168"/>
      <c r="D74" s="168"/>
      <c r="E74" s="168" t="b">
        <v>0</v>
      </c>
      <c r="F74" s="169"/>
      <c r="G74" s="50"/>
      <c r="H74" s="50"/>
      <c r="I74" s="50"/>
      <c r="J74" s="50"/>
      <c r="K74" s="50"/>
    </row>
    <row r="75">
      <c r="A75" s="168"/>
      <c r="B75" s="168"/>
      <c r="C75" s="168"/>
      <c r="D75" s="168"/>
      <c r="E75" s="168" t="b">
        <v>0</v>
      </c>
      <c r="F75" s="169"/>
      <c r="G75" s="50"/>
      <c r="H75" s="50"/>
      <c r="I75" s="50"/>
      <c r="J75" s="50"/>
      <c r="K75" s="50"/>
    </row>
    <row r="76">
      <c r="A76" s="168"/>
      <c r="B76" s="168"/>
      <c r="C76" s="168"/>
      <c r="D76" s="168"/>
      <c r="E76" s="168" t="b">
        <v>0</v>
      </c>
      <c r="F76" s="169"/>
      <c r="G76" s="50"/>
      <c r="H76" s="50"/>
      <c r="I76" s="50"/>
      <c r="J76" s="50"/>
      <c r="K76" s="50"/>
    </row>
    <row r="77">
      <c r="A77" s="168"/>
      <c r="B77" s="168"/>
      <c r="C77" s="168"/>
      <c r="D77" s="168"/>
      <c r="E77" s="168" t="b">
        <v>0</v>
      </c>
      <c r="F77" s="169"/>
      <c r="G77" s="50"/>
      <c r="H77" s="50"/>
      <c r="I77" s="50"/>
      <c r="J77" s="50"/>
      <c r="K77" s="50"/>
    </row>
    <row r="78">
      <c r="A78" s="168"/>
      <c r="B78" s="168"/>
      <c r="C78" s="168"/>
      <c r="D78" s="168"/>
      <c r="E78" s="168" t="b">
        <v>0</v>
      </c>
      <c r="F78" s="169"/>
      <c r="G78" s="50"/>
      <c r="H78" s="50"/>
      <c r="I78" s="50"/>
      <c r="J78" s="50"/>
      <c r="K78" s="50"/>
    </row>
    <row r="79">
      <c r="A79" s="168"/>
      <c r="B79" s="168"/>
      <c r="C79" s="168"/>
      <c r="D79" s="168"/>
      <c r="E79" s="168" t="b">
        <v>0</v>
      </c>
      <c r="F79" s="169"/>
      <c r="G79" s="50"/>
      <c r="H79" s="50"/>
      <c r="I79" s="50"/>
      <c r="J79" s="50"/>
      <c r="K79" s="50"/>
    </row>
    <row r="80">
      <c r="A80" s="168"/>
      <c r="B80" s="168"/>
      <c r="C80" s="168"/>
      <c r="D80" s="168"/>
      <c r="E80" s="168" t="b">
        <v>0</v>
      </c>
      <c r="F80" s="169"/>
      <c r="G80" s="50"/>
      <c r="H80" s="50"/>
      <c r="I80" s="50"/>
      <c r="J80" s="50"/>
      <c r="K80" s="50"/>
    </row>
    <row r="81">
      <c r="A81" s="168"/>
      <c r="B81" s="168"/>
      <c r="C81" s="168"/>
      <c r="D81" s="168"/>
      <c r="E81" s="168" t="b">
        <v>0</v>
      </c>
      <c r="F81" s="169"/>
      <c r="G81" s="50"/>
      <c r="H81" s="50"/>
      <c r="I81" s="50"/>
      <c r="J81" s="50"/>
      <c r="K81" s="50"/>
    </row>
    <row r="82">
      <c r="A82" s="168"/>
      <c r="B82" s="168"/>
      <c r="C82" s="168"/>
      <c r="D82" s="168"/>
      <c r="E82" s="168" t="b">
        <v>0</v>
      </c>
      <c r="F82" s="169"/>
      <c r="G82" s="50"/>
      <c r="H82" s="50"/>
      <c r="I82" s="50"/>
      <c r="J82" s="50"/>
      <c r="K82" s="50"/>
    </row>
    <row r="83">
      <c r="A83" s="168"/>
      <c r="B83" s="168"/>
      <c r="C83" s="168"/>
      <c r="D83" s="168"/>
      <c r="E83" s="168" t="b">
        <v>0</v>
      </c>
      <c r="F83" s="169"/>
      <c r="G83" s="50"/>
      <c r="H83" s="50"/>
      <c r="I83" s="50"/>
      <c r="J83" s="50"/>
      <c r="K83" s="50"/>
    </row>
    <row r="84">
      <c r="A84" s="168"/>
      <c r="B84" s="168"/>
      <c r="C84" s="168"/>
      <c r="D84" s="168"/>
      <c r="E84" s="168" t="b">
        <v>0</v>
      </c>
      <c r="F84" s="169"/>
      <c r="G84" s="50"/>
      <c r="H84" s="50"/>
      <c r="I84" s="50"/>
      <c r="J84" s="50"/>
      <c r="K84" s="50"/>
    </row>
    <row r="85">
      <c r="A85" s="168"/>
      <c r="B85" s="168"/>
      <c r="C85" s="168"/>
      <c r="D85" s="168"/>
      <c r="E85" s="168" t="b">
        <v>0</v>
      </c>
      <c r="F85" s="169"/>
      <c r="G85" s="50"/>
      <c r="H85" s="50"/>
      <c r="I85" s="50"/>
      <c r="J85" s="50"/>
      <c r="K85" s="50"/>
    </row>
    <row r="86">
      <c r="A86" s="168"/>
      <c r="B86" s="168"/>
      <c r="C86" s="168"/>
      <c r="D86" s="168"/>
      <c r="E86" s="168" t="b">
        <v>0</v>
      </c>
      <c r="F86" s="169"/>
      <c r="G86" s="50"/>
      <c r="H86" s="50"/>
      <c r="I86" s="50"/>
      <c r="J86" s="50"/>
      <c r="K86" s="50"/>
    </row>
    <row r="87">
      <c r="A87" s="168"/>
      <c r="B87" s="168"/>
      <c r="C87" s="168"/>
      <c r="D87" s="168"/>
      <c r="E87" s="168" t="b">
        <v>0</v>
      </c>
      <c r="F87" s="169"/>
      <c r="G87" s="50"/>
      <c r="H87" s="50"/>
      <c r="I87" s="50"/>
      <c r="J87" s="50"/>
      <c r="K87" s="50"/>
    </row>
    <row r="88">
      <c r="A88" s="168"/>
      <c r="B88" s="168"/>
      <c r="C88" s="168"/>
      <c r="D88" s="168"/>
      <c r="E88" s="168" t="b">
        <v>0</v>
      </c>
      <c r="F88" s="169"/>
      <c r="G88" s="50"/>
      <c r="H88" s="50"/>
      <c r="I88" s="50"/>
      <c r="J88" s="50"/>
      <c r="K88" s="50"/>
    </row>
    <row r="89">
      <c r="A89" s="168"/>
      <c r="B89" s="168"/>
      <c r="C89" s="168"/>
      <c r="D89" s="168"/>
      <c r="E89" s="168" t="b">
        <v>0</v>
      </c>
      <c r="F89" s="169"/>
      <c r="G89" s="50"/>
      <c r="H89" s="50"/>
      <c r="I89" s="50"/>
      <c r="J89" s="50"/>
      <c r="K89" s="50"/>
    </row>
    <row r="90">
      <c r="A90" s="168"/>
      <c r="B90" s="168"/>
      <c r="C90" s="168"/>
      <c r="D90" s="168"/>
      <c r="E90" s="168" t="b">
        <v>0</v>
      </c>
      <c r="F90" s="169"/>
      <c r="G90" s="50"/>
      <c r="H90" s="50"/>
      <c r="I90" s="50"/>
      <c r="J90" s="50"/>
      <c r="K90" s="50"/>
    </row>
    <row r="91">
      <c r="A91" s="168"/>
      <c r="B91" s="168"/>
      <c r="C91" s="168"/>
      <c r="D91" s="168"/>
      <c r="E91" s="168" t="b">
        <v>0</v>
      </c>
      <c r="F91" s="169"/>
      <c r="G91" s="50"/>
      <c r="H91" s="50"/>
      <c r="I91" s="50"/>
      <c r="J91" s="50"/>
      <c r="K91" s="50"/>
    </row>
    <row r="92">
      <c r="A92" s="168"/>
      <c r="B92" s="168"/>
      <c r="C92" s="168"/>
      <c r="D92" s="168"/>
      <c r="E92" s="168" t="b">
        <v>0</v>
      </c>
      <c r="F92" s="169"/>
      <c r="G92" s="50"/>
      <c r="H92" s="50"/>
      <c r="I92" s="50"/>
      <c r="J92" s="50"/>
      <c r="K92" s="50"/>
    </row>
    <row r="93">
      <c r="A93" s="168"/>
      <c r="B93" s="168"/>
      <c r="C93" s="168"/>
      <c r="D93" s="168"/>
      <c r="E93" s="168" t="b">
        <v>0</v>
      </c>
      <c r="F93" s="169"/>
      <c r="G93" s="50"/>
      <c r="H93" s="50"/>
      <c r="I93" s="50"/>
      <c r="J93" s="50"/>
      <c r="K93" s="50"/>
    </row>
    <row r="94">
      <c r="A94" s="168"/>
      <c r="B94" s="168"/>
      <c r="C94" s="168"/>
      <c r="D94" s="168"/>
      <c r="E94" s="168" t="b">
        <v>0</v>
      </c>
      <c r="F94" s="169"/>
      <c r="G94" s="50"/>
      <c r="H94" s="50"/>
      <c r="I94" s="50"/>
      <c r="J94" s="50"/>
      <c r="K94" s="50"/>
    </row>
    <row r="95">
      <c r="A95" s="168"/>
      <c r="B95" s="168"/>
      <c r="C95" s="168"/>
      <c r="D95" s="168"/>
      <c r="E95" s="168" t="b">
        <v>0</v>
      </c>
      <c r="F95" s="169"/>
      <c r="G95" s="50"/>
      <c r="H95" s="50"/>
      <c r="I95" s="50"/>
      <c r="J95" s="50"/>
      <c r="K95" s="50"/>
    </row>
    <row r="96">
      <c r="A96" s="168"/>
      <c r="B96" s="168"/>
      <c r="C96" s="168"/>
      <c r="D96" s="168"/>
      <c r="E96" s="168" t="b">
        <v>0</v>
      </c>
      <c r="F96" s="169"/>
      <c r="G96" s="50"/>
      <c r="H96" s="50"/>
      <c r="I96" s="50"/>
      <c r="J96" s="50"/>
      <c r="K96" s="50"/>
    </row>
    <row r="97">
      <c r="A97" s="168"/>
      <c r="B97" s="168"/>
      <c r="C97" s="168"/>
      <c r="D97" s="168"/>
      <c r="E97" s="168" t="b">
        <v>0</v>
      </c>
      <c r="F97" s="169"/>
      <c r="G97" s="50"/>
      <c r="H97" s="50"/>
      <c r="I97" s="50"/>
      <c r="J97" s="50"/>
      <c r="K97" s="50"/>
    </row>
    <row r="98">
      <c r="A98" s="168"/>
      <c r="B98" s="168"/>
      <c r="C98" s="168"/>
      <c r="D98" s="168"/>
      <c r="E98" s="168" t="b">
        <v>0</v>
      </c>
      <c r="F98" s="169"/>
      <c r="G98" s="50"/>
      <c r="H98" s="50"/>
      <c r="I98" s="50"/>
      <c r="J98" s="50"/>
      <c r="K98" s="50"/>
    </row>
    <row r="99">
      <c r="A99" s="168"/>
      <c r="B99" s="168"/>
      <c r="C99" s="168"/>
      <c r="D99" s="168"/>
      <c r="E99" s="168" t="b">
        <v>0</v>
      </c>
      <c r="F99" s="169"/>
      <c r="G99" s="50"/>
      <c r="H99" s="50"/>
      <c r="I99" s="50"/>
      <c r="J99" s="50"/>
      <c r="K99" s="50"/>
    </row>
    <row r="100">
      <c r="A100" s="168"/>
      <c r="B100" s="168"/>
      <c r="C100" s="168"/>
      <c r="D100" s="168"/>
      <c r="E100" s="168" t="b">
        <v>0</v>
      </c>
      <c r="F100" s="169"/>
      <c r="G100" s="50"/>
      <c r="H100" s="50"/>
      <c r="I100" s="50"/>
      <c r="J100" s="50"/>
      <c r="K100" s="50"/>
    </row>
    <row r="101">
      <c r="A101" s="168"/>
      <c r="B101" s="168"/>
      <c r="C101" s="168"/>
      <c r="D101" s="168"/>
      <c r="E101" s="168" t="b">
        <v>0</v>
      </c>
      <c r="F101" s="169"/>
      <c r="G101" s="50"/>
      <c r="H101" s="50"/>
      <c r="I101" s="50"/>
      <c r="J101" s="50"/>
      <c r="K101" s="50"/>
    </row>
    <row r="102">
      <c r="A102" s="168"/>
      <c r="B102" s="168"/>
      <c r="C102" s="168"/>
      <c r="D102" s="168"/>
      <c r="E102" s="168" t="b">
        <v>0</v>
      </c>
      <c r="F102" s="169"/>
      <c r="G102" s="50"/>
      <c r="H102" s="50"/>
      <c r="I102" s="50"/>
      <c r="J102" s="50"/>
      <c r="K102" s="50"/>
    </row>
    <row r="103">
      <c r="A103" s="168"/>
      <c r="B103" s="168"/>
      <c r="C103" s="168"/>
      <c r="D103" s="168"/>
      <c r="E103" s="168" t="b">
        <v>0</v>
      </c>
      <c r="F103" s="169"/>
      <c r="G103" s="50"/>
      <c r="H103" s="50"/>
      <c r="I103" s="50"/>
      <c r="J103" s="50"/>
      <c r="K103" s="50"/>
    </row>
    <row r="104">
      <c r="A104" s="168"/>
      <c r="B104" s="168"/>
      <c r="C104" s="168"/>
      <c r="D104" s="168"/>
      <c r="E104" s="168" t="b">
        <v>0</v>
      </c>
      <c r="F104" s="169"/>
      <c r="G104" s="50"/>
      <c r="H104" s="50"/>
      <c r="I104" s="50"/>
      <c r="J104" s="50"/>
      <c r="K104" s="50"/>
    </row>
    <row r="105">
      <c r="A105" s="168"/>
      <c r="B105" s="168"/>
      <c r="C105" s="168"/>
      <c r="D105" s="168"/>
      <c r="E105" s="168" t="b">
        <v>0</v>
      </c>
      <c r="F105" s="169"/>
      <c r="G105" s="50"/>
      <c r="H105" s="50"/>
      <c r="I105" s="50"/>
      <c r="J105" s="50"/>
      <c r="K105" s="50"/>
    </row>
    <row r="106">
      <c r="A106" s="168"/>
      <c r="B106" s="168"/>
      <c r="C106" s="168"/>
      <c r="D106" s="168"/>
      <c r="E106" s="168" t="b">
        <v>0</v>
      </c>
      <c r="F106" s="169"/>
      <c r="G106" s="50"/>
      <c r="H106" s="50"/>
      <c r="I106" s="50"/>
      <c r="J106" s="50"/>
      <c r="K106" s="50"/>
    </row>
    <row r="107">
      <c r="A107" s="168"/>
      <c r="B107" s="168"/>
      <c r="C107" s="168"/>
      <c r="D107" s="168"/>
      <c r="E107" s="168" t="b">
        <v>0</v>
      </c>
      <c r="F107" s="169"/>
      <c r="G107" s="50"/>
      <c r="H107" s="50"/>
      <c r="I107" s="50"/>
      <c r="J107" s="50"/>
      <c r="K107" s="50"/>
    </row>
    <row r="108">
      <c r="A108" s="168"/>
      <c r="B108" s="168"/>
      <c r="C108" s="168"/>
      <c r="D108" s="168"/>
      <c r="E108" s="168" t="b">
        <v>0</v>
      </c>
      <c r="F108" s="169"/>
      <c r="G108" s="50"/>
      <c r="H108" s="50"/>
      <c r="I108" s="50"/>
      <c r="J108" s="50"/>
      <c r="K108" s="50"/>
    </row>
    <row r="109">
      <c r="A109" s="168"/>
      <c r="B109" s="168"/>
      <c r="C109" s="168"/>
      <c r="D109" s="168"/>
      <c r="E109" s="168" t="b">
        <v>0</v>
      </c>
      <c r="F109" s="169"/>
      <c r="G109" s="50"/>
      <c r="H109" s="50"/>
      <c r="I109" s="50"/>
      <c r="J109" s="50"/>
      <c r="K109" s="50"/>
    </row>
    <row r="110">
      <c r="A110" s="168"/>
      <c r="B110" s="168"/>
      <c r="C110" s="168"/>
      <c r="D110" s="168"/>
      <c r="E110" s="168" t="b">
        <v>0</v>
      </c>
      <c r="F110" s="169"/>
      <c r="G110" s="50"/>
      <c r="H110" s="50"/>
      <c r="I110" s="50"/>
      <c r="J110" s="50"/>
      <c r="K110" s="50"/>
    </row>
    <row r="111">
      <c r="A111" s="168"/>
      <c r="B111" s="168"/>
      <c r="C111" s="168"/>
      <c r="D111" s="168"/>
      <c r="E111" s="168" t="b">
        <v>0</v>
      </c>
      <c r="F111" s="169"/>
      <c r="G111" s="50"/>
      <c r="H111" s="50"/>
      <c r="I111" s="50"/>
      <c r="J111" s="50"/>
      <c r="K111" s="50"/>
    </row>
    <row r="112">
      <c r="A112" s="168"/>
      <c r="B112" s="168"/>
      <c r="C112" s="168"/>
      <c r="D112" s="168"/>
      <c r="E112" s="168" t="b">
        <v>0</v>
      </c>
      <c r="F112" s="169"/>
      <c r="G112" s="50"/>
      <c r="H112" s="50"/>
      <c r="I112" s="50"/>
      <c r="J112" s="50"/>
      <c r="K112" s="50"/>
    </row>
    <row r="113">
      <c r="A113" s="168"/>
      <c r="B113" s="168"/>
      <c r="C113" s="168"/>
      <c r="D113" s="168"/>
      <c r="E113" s="168" t="b">
        <v>0</v>
      </c>
      <c r="F113" s="169"/>
      <c r="G113" s="50"/>
      <c r="H113" s="50"/>
      <c r="I113" s="50"/>
      <c r="J113" s="50"/>
      <c r="K113" s="50"/>
    </row>
    <row r="114">
      <c r="A114" s="168"/>
      <c r="B114" s="168"/>
      <c r="C114" s="168"/>
      <c r="D114" s="168"/>
      <c r="E114" s="168" t="b">
        <v>0</v>
      </c>
      <c r="F114" s="169"/>
      <c r="G114" s="50"/>
      <c r="H114" s="50"/>
      <c r="I114" s="50"/>
      <c r="J114" s="50"/>
      <c r="K114" s="50"/>
    </row>
    <row r="115">
      <c r="A115" s="168"/>
      <c r="B115" s="168"/>
      <c r="C115" s="168"/>
      <c r="D115" s="168"/>
      <c r="E115" s="168" t="b">
        <v>0</v>
      </c>
      <c r="F115" s="169"/>
      <c r="G115" s="50"/>
      <c r="H115" s="50"/>
      <c r="I115" s="50"/>
      <c r="J115" s="50"/>
      <c r="K115" s="50"/>
    </row>
    <row r="116">
      <c r="A116" s="168"/>
      <c r="B116" s="168"/>
      <c r="C116" s="168"/>
      <c r="D116" s="168"/>
      <c r="E116" s="168" t="b">
        <v>0</v>
      </c>
      <c r="F116" s="169"/>
      <c r="G116" s="50"/>
      <c r="H116" s="50"/>
      <c r="I116" s="50"/>
      <c r="J116" s="50"/>
      <c r="K116" s="50"/>
    </row>
    <row r="117">
      <c r="A117" s="168"/>
      <c r="B117" s="168"/>
      <c r="C117" s="168"/>
      <c r="D117" s="168"/>
      <c r="E117" s="168" t="b">
        <v>0</v>
      </c>
      <c r="F117" s="169"/>
      <c r="G117" s="50"/>
      <c r="H117" s="50"/>
      <c r="I117" s="50"/>
      <c r="J117" s="50"/>
      <c r="K117" s="50"/>
    </row>
    <row r="118">
      <c r="A118" s="168"/>
      <c r="B118" s="168"/>
      <c r="C118" s="168"/>
      <c r="D118" s="168"/>
      <c r="E118" s="168" t="b">
        <v>0</v>
      </c>
      <c r="F118" s="169"/>
      <c r="G118" s="50"/>
      <c r="H118" s="50"/>
      <c r="I118" s="50"/>
      <c r="J118" s="50"/>
      <c r="K118" s="50"/>
    </row>
    <row r="119">
      <c r="A119" s="168"/>
      <c r="B119" s="168"/>
      <c r="C119" s="168"/>
      <c r="D119" s="168"/>
      <c r="E119" s="168" t="b">
        <v>0</v>
      </c>
      <c r="F119" s="169"/>
      <c r="G119" s="50"/>
      <c r="H119" s="50"/>
      <c r="I119" s="50"/>
      <c r="J119" s="50"/>
      <c r="K119" s="50"/>
    </row>
    <row r="120">
      <c r="A120" s="168"/>
      <c r="B120" s="168"/>
      <c r="C120" s="168"/>
      <c r="D120" s="168"/>
      <c r="E120" s="168" t="b">
        <v>0</v>
      </c>
      <c r="F120" s="169"/>
      <c r="G120" s="50"/>
      <c r="H120" s="50"/>
      <c r="I120" s="50"/>
      <c r="J120" s="50"/>
      <c r="K120" s="50"/>
    </row>
    <row r="121">
      <c r="A121" s="168"/>
      <c r="B121" s="168"/>
      <c r="C121" s="168"/>
      <c r="D121" s="168"/>
      <c r="E121" s="168" t="b">
        <v>0</v>
      </c>
      <c r="F121" s="169"/>
      <c r="G121" s="50"/>
      <c r="H121" s="50"/>
      <c r="I121" s="50"/>
      <c r="J121" s="50"/>
      <c r="K121" s="50"/>
    </row>
    <row r="122">
      <c r="A122" s="168"/>
      <c r="B122" s="168"/>
      <c r="C122" s="168"/>
      <c r="D122" s="168"/>
      <c r="E122" s="168" t="b">
        <v>0</v>
      </c>
      <c r="F122" s="169"/>
      <c r="G122" s="50"/>
      <c r="H122" s="50"/>
      <c r="I122" s="50"/>
      <c r="J122" s="50"/>
      <c r="K122" s="50"/>
    </row>
    <row r="123">
      <c r="A123" s="168"/>
      <c r="B123" s="168"/>
      <c r="C123" s="168"/>
      <c r="D123" s="168"/>
      <c r="E123" s="168" t="b">
        <v>0</v>
      </c>
      <c r="F123" s="169"/>
      <c r="G123" s="50"/>
      <c r="H123" s="50"/>
      <c r="I123" s="50"/>
      <c r="J123" s="50"/>
      <c r="K123" s="50"/>
    </row>
    <row r="124">
      <c r="A124" s="168"/>
      <c r="B124" s="168"/>
      <c r="C124" s="168"/>
      <c r="D124" s="168"/>
      <c r="E124" s="168" t="b">
        <v>0</v>
      </c>
      <c r="F124" s="169"/>
      <c r="G124" s="50"/>
      <c r="H124" s="50"/>
      <c r="I124" s="50"/>
      <c r="J124" s="50"/>
      <c r="K124" s="50"/>
    </row>
    <row r="125">
      <c r="A125" s="168"/>
      <c r="B125" s="168"/>
      <c r="C125" s="168"/>
      <c r="D125" s="168"/>
      <c r="E125" s="168" t="b">
        <v>0</v>
      </c>
      <c r="F125" s="169"/>
      <c r="G125" s="50"/>
      <c r="H125" s="50"/>
      <c r="I125" s="50"/>
      <c r="J125" s="50"/>
      <c r="K125" s="50"/>
    </row>
    <row r="126">
      <c r="A126" s="168"/>
      <c r="B126" s="168"/>
      <c r="C126" s="168"/>
      <c r="D126" s="168"/>
      <c r="E126" s="168" t="b">
        <v>0</v>
      </c>
      <c r="F126" s="169"/>
      <c r="G126" s="50"/>
      <c r="H126" s="50"/>
      <c r="I126" s="50"/>
      <c r="J126" s="50"/>
      <c r="K126" s="50"/>
    </row>
    <row r="127">
      <c r="A127" s="168"/>
      <c r="B127" s="168"/>
      <c r="C127" s="168"/>
      <c r="D127" s="168"/>
      <c r="E127" s="168" t="b">
        <v>0</v>
      </c>
      <c r="F127" s="169"/>
      <c r="G127" s="50"/>
      <c r="H127" s="50"/>
      <c r="I127" s="50"/>
      <c r="J127" s="50"/>
      <c r="K127" s="50"/>
    </row>
    <row r="128">
      <c r="A128" s="168"/>
      <c r="B128" s="168"/>
      <c r="C128" s="168"/>
      <c r="D128" s="168"/>
      <c r="E128" s="168" t="b">
        <v>0</v>
      </c>
      <c r="F128" s="169"/>
      <c r="G128" s="50"/>
      <c r="H128" s="50"/>
      <c r="I128" s="50"/>
      <c r="J128" s="50"/>
      <c r="K128" s="50"/>
    </row>
    <row r="129">
      <c r="A129" s="168"/>
      <c r="B129" s="168"/>
      <c r="C129" s="168"/>
      <c r="D129" s="168"/>
      <c r="E129" s="168" t="b">
        <v>0</v>
      </c>
      <c r="F129" s="169"/>
      <c r="G129" s="50"/>
      <c r="H129" s="50"/>
      <c r="I129" s="50"/>
      <c r="J129" s="50"/>
      <c r="K129" s="50"/>
    </row>
    <row r="130">
      <c r="A130" s="168"/>
      <c r="B130" s="168"/>
      <c r="C130" s="168"/>
      <c r="D130" s="168"/>
      <c r="E130" s="168" t="b">
        <v>0</v>
      </c>
      <c r="F130" s="169"/>
      <c r="G130" s="50"/>
      <c r="H130" s="50"/>
      <c r="I130" s="50"/>
      <c r="J130" s="50"/>
      <c r="K130" s="50"/>
    </row>
    <row r="131">
      <c r="A131" s="168"/>
      <c r="B131" s="168"/>
      <c r="C131" s="168"/>
      <c r="D131" s="168"/>
      <c r="E131" s="168" t="b">
        <v>0</v>
      </c>
      <c r="F131" s="169"/>
      <c r="G131" s="50"/>
      <c r="H131" s="50"/>
      <c r="I131" s="50"/>
      <c r="J131" s="50"/>
      <c r="K131" s="50"/>
    </row>
    <row r="132">
      <c r="A132" s="168"/>
      <c r="B132" s="168"/>
      <c r="C132" s="168"/>
      <c r="D132" s="168"/>
      <c r="E132" s="168" t="b">
        <v>0</v>
      </c>
      <c r="F132" s="169"/>
      <c r="G132" s="50"/>
      <c r="H132" s="50"/>
      <c r="I132" s="50"/>
      <c r="J132" s="50"/>
      <c r="K132" s="50"/>
    </row>
    <row r="133">
      <c r="A133" s="168"/>
      <c r="B133" s="168"/>
      <c r="C133" s="168"/>
      <c r="D133" s="168"/>
      <c r="E133" s="168" t="b">
        <v>0</v>
      </c>
      <c r="F133" s="169"/>
      <c r="G133" s="50"/>
      <c r="H133" s="50"/>
      <c r="I133" s="50"/>
      <c r="J133" s="50"/>
      <c r="K133" s="50"/>
    </row>
    <row r="134">
      <c r="A134" s="168"/>
      <c r="B134" s="168"/>
      <c r="C134" s="168"/>
      <c r="D134" s="168"/>
      <c r="E134" s="168" t="b">
        <v>0</v>
      </c>
      <c r="F134" s="169"/>
      <c r="G134" s="50"/>
      <c r="H134" s="50"/>
      <c r="I134" s="50"/>
      <c r="J134" s="50"/>
      <c r="K134" s="50"/>
    </row>
    <row r="135">
      <c r="A135" s="168"/>
      <c r="B135" s="168"/>
      <c r="C135" s="168"/>
      <c r="D135" s="168"/>
      <c r="E135" s="168" t="b">
        <v>0</v>
      </c>
      <c r="F135" s="169"/>
      <c r="G135" s="50"/>
      <c r="H135" s="50"/>
      <c r="I135" s="50"/>
      <c r="J135" s="50"/>
      <c r="K135" s="50"/>
    </row>
    <row r="136">
      <c r="A136" s="168"/>
      <c r="B136" s="168"/>
      <c r="C136" s="168"/>
      <c r="D136" s="168"/>
      <c r="E136" s="168" t="b">
        <v>0</v>
      </c>
      <c r="F136" s="169"/>
      <c r="G136" s="50"/>
      <c r="H136" s="50"/>
      <c r="I136" s="50"/>
      <c r="J136" s="50"/>
      <c r="K136" s="50"/>
    </row>
    <row r="137">
      <c r="A137" s="168"/>
      <c r="B137" s="168"/>
      <c r="C137" s="168"/>
      <c r="D137" s="168"/>
      <c r="E137" s="168" t="b">
        <v>0</v>
      </c>
      <c r="F137" s="169"/>
      <c r="G137" s="50"/>
      <c r="H137" s="50"/>
      <c r="I137" s="50"/>
      <c r="J137" s="50"/>
      <c r="K137" s="50"/>
    </row>
    <row r="138">
      <c r="A138" s="168"/>
      <c r="B138" s="168"/>
      <c r="C138" s="168"/>
      <c r="D138" s="168"/>
      <c r="E138" s="168" t="b">
        <v>0</v>
      </c>
      <c r="F138" s="169"/>
      <c r="G138" s="50"/>
      <c r="H138" s="50"/>
      <c r="I138" s="50"/>
      <c r="J138" s="50"/>
      <c r="K138" s="50"/>
    </row>
    <row r="139">
      <c r="A139" s="168"/>
      <c r="B139" s="168"/>
      <c r="C139" s="168"/>
      <c r="D139" s="168"/>
      <c r="E139" s="168" t="b">
        <v>0</v>
      </c>
      <c r="F139" s="169"/>
      <c r="G139" s="50"/>
      <c r="H139" s="50"/>
      <c r="I139" s="50"/>
      <c r="J139" s="50"/>
      <c r="K139" s="50"/>
    </row>
    <row r="140">
      <c r="A140" s="168"/>
      <c r="B140" s="168"/>
      <c r="C140" s="168"/>
      <c r="D140" s="168"/>
      <c r="E140" s="168" t="b">
        <v>0</v>
      </c>
      <c r="F140" s="169"/>
      <c r="G140" s="50"/>
      <c r="H140" s="50"/>
      <c r="I140" s="50"/>
      <c r="J140" s="50"/>
      <c r="K140" s="50"/>
    </row>
    <row r="141">
      <c r="A141" s="168"/>
      <c r="B141" s="168"/>
      <c r="C141" s="168"/>
      <c r="D141" s="168"/>
      <c r="E141" s="168" t="b">
        <v>0</v>
      </c>
      <c r="F141" s="169"/>
      <c r="G141" s="50"/>
      <c r="H141" s="50"/>
      <c r="I141" s="50"/>
      <c r="J141" s="50"/>
      <c r="K141" s="50"/>
    </row>
    <row r="142">
      <c r="A142" s="168"/>
      <c r="B142" s="168"/>
      <c r="C142" s="168"/>
      <c r="D142" s="168"/>
      <c r="E142" s="168" t="b">
        <v>0</v>
      </c>
      <c r="F142" s="169"/>
      <c r="G142" s="50"/>
      <c r="H142" s="50"/>
      <c r="I142" s="50"/>
      <c r="J142" s="50"/>
      <c r="K142" s="50"/>
    </row>
    <row r="143">
      <c r="A143" s="168"/>
      <c r="B143" s="168"/>
      <c r="C143" s="168"/>
      <c r="D143" s="168"/>
      <c r="E143" s="168" t="b">
        <v>0</v>
      </c>
      <c r="F143" s="169"/>
      <c r="G143" s="50"/>
      <c r="H143" s="50"/>
      <c r="I143" s="50"/>
      <c r="J143" s="50"/>
      <c r="K143" s="50"/>
    </row>
    <row r="144">
      <c r="A144" s="168"/>
      <c r="B144" s="168"/>
      <c r="C144" s="168"/>
      <c r="D144" s="168"/>
      <c r="E144" s="168" t="b">
        <v>0</v>
      </c>
      <c r="F144" s="169"/>
      <c r="G144" s="50"/>
      <c r="H144" s="50"/>
      <c r="I144" s="50"/>
      <c r="J144" s="50"/>
      <c r="K144" s="50"/>
    </row>
    <row r="145">
      <c r="A145" s="168"/>
      <c r="B145" s="168"/>
      <c r="C145" s="168"/>
      <c r="D145" s="168"/>
      <c r="E145" s="168" t="b">
        <v>0</v>
      </c>
      <c r="F145" s="169"/>
      <c r="G145" s="50"/>
      <c r="H145" s="50"/>
      <c r="I145" s="50"/>
      <c r="J145" s="50"/>
      <c r="K145" s="50"/>
    </row>
    <row r="146">
      <c r="A146" s="168"/>
      <c r="B146" s="168"/>
      <c r="C146" s="168"/>
      <c r="D146" s="168"/>
      <c r="E146" s="168" t="b">
        <v>0</v>
      </c>
      <c r="F146" s="169"/>
      <c r="G146" s="50"/>
      <c r="H146" s="50"/>
      <c r="I146" s="50"/>
      <c r="J146" s="50"/>
      <c r="K146" s="50"/>
    </row>
    <row r="147">
      <c r="A147" s="168"/>
      <c r="B147" s="168"/>
      <c r="C147" s="168"/>
      <c r="D147" s="168"/>
      <c r="E147" s="168" t="b">
        <v>0</v>
      </c>
      <c r="F147" s="169"/>
      <c r="G147" s="50"/>
      <c r="H147" s="50"/>
      <c r="I147" s="50"/>
      <c r="J147" s="50"/>
      <c r="K147" s="50"/>
    </row>
    <row r="148">
      <c r="A148" s="168"/>
      <c r="B148" s="168"/>
      <c r="C148" s="168"/>
      <c r="D148" s="168"/>
      <c r="E148" s="168" t="b">
        <v>0</v>
      </c>
      <c r="F148" s="169"/>
      <c r="G148" s="50"/>
      <c r="H148" s="50"/>
      <c r="I148" s="50"/>
      <c r="J148" s="50"/>
      <c r="K148" s="50"/>
    </row>
    <row r="149">
      <c r="A149" s="168"/>
      <c r="B149" s="168"/>
      <c r="C149" s="168"/>
      <c r="D149" s="168"/>
      <c r="E149" s="168" t="b">
        <v>0</v>
      </c>
      <c r="F149" s="169"/>
      <c r="G149" s="50"/>
      <c r="H149" s="50"/>
      <c r="I149" s="50"/>
      <c r="J149" s="50"/>
      <c r="K149" s="50"/>
    </row>
    <row r="150">
      <c r="A150" s="168"/>
      <c r="B150" s="168"/>
      <c r="C150" s="168"/>
      <c r="D150" s="168"/>
      <c r="E150" s="168" t="b">
        <v>0</v>
      </c>
      <c r="F150" s="169"/>
      <c r="G150" s="50"/>
      <c r="H150" s="50"/>
      <c r="I150" s="50"/>
      <c r="J150" s="50"/>
      <c r="K150" s="50"/>
    </row>
    <row r="151">
      <c r="A151" s="168"/>
      <c r="B151" s="168"/>
      <c r="C151" s="168"/>
      <c r="D151" s="168"/>
      <c r="E151" s="168" t="b">
        <v>0</v>
      </c>
      <c r="F151" s="169"/>
      <c r="G151" s="50"/>
      <c r="H151" s="50"/>
      <c r="I151" s="50"/>
      <c r="J151" s="50"/>
      <c r="K151" s="50"/>
    </row>
    <row r="152">
      <c r="A152" s="168"/>
      <c r="B152" s="168"/>
      <c r="C152" s="168"/>
      <c r="D152" s="168"/>
      <c r="E152" s="168" t="b">
        <v>0</v>
      </c>
      <c r="F152" s="169"/>
      <c r="G152" s="50"/>
      <c r="H152" s="50"/>
      <c r="I152" s="50"/>
      <c r="J152" s="50"/>
      <c r="K152" s="50"/>
    </row>
    <row r="153">
      <c r="A153" s="168"/>
      <c r="B153" s="168"/>
      <c r="C153" s="168"/>
      <c r="D153" s="168"/>
      <c r="E153" s="168" t="b">
        <v>0</v>
      </c>
      <c r="F153" s="169"/>
      <c r="G153" s="50"/>
      <c r="H153" s="50"/>
      <c r="I153" s="50"/>
      <c r="J153" s="50"/>
      <c r="K153" s="50"/>
    </row>
    <row r="154">
      <c r="A154" s="168"/>
      <c r="B154" s="168"/>
      <c r="C154" s="168"/>
      <c r="D154" s="168"/>
      <c r="E154" s="168" t="b">
        <v>0</v>
      </c>
      <c r="F154" s="169"/>
      <c r="G154" s="50"/>
      <c r="H154" s="50"/>
      <c r="I154" s="50"/>
      <c r="J154" s="50"/>
      <c r="K154" s="50"/>
    </row>
    <row r="155">
      <c r="A155" s="168"/>
      <c r="B155" s="168"/>
      <c r="C155" s="168"/>
      <c r="D155" s="168"/>
      <c r="E155" s="168" t="b">
        <v>0</v>
      </c>
      <c r="F155" s="169"/>
      <c r="G155" s="50"/>
      <c r="H155" s="50"/>
      <c r="I155" s="50"/>
      <c r="J155" s="50"/>
      <c r="K155" s="50"/>
    </row>
    <row r="156">
      <c r="A156" s="168"/>
      <c r="B156" s="168"/>
      <c r="C156" s="168"/>
      <c r="D156" s="168"/>
      <c r="E156" s="168" t="b">
        <v>0</v>
      </c>
      <c r="F156" s="169"/>
      <c r="G156" s="50"/>
      <c r="H156" s="50"/>
      <c r="I156" s="50"/>
      <c r="J156" s="50"/>
      <c r="K156" s="50"/>
    </row>
    <row r="157">
      <c r="A157" s="168"/>
      <c r="B157" s="168"/>
      <c r="C157" s="168"/>
      <c r="D157" s="168"/>
      <c r="E157" s="168" t="b">
        <v>0</v>
      </c>
      <c r="F157" s="169"/>
      <c r="G157" s="50"/>
      <c r="H157" s="50"/>
      <c r="I157" s="50"/>
      <c r="J157" s="50"/>
      <c r="K157" s="50"/>
    </row>
    <row r="158">
      <c r="A158" s="168"/>
      <c r="B158" s="168"/>
      <c r="C158" s="168"/>
      <c r="D158" s="168"/>
      <c r="E158" s="168" t="b">
        <v>0</v>
      </c>
      <c r="F158" s="169"/>
      <c r="G158" s="50"/>
      <c r="H158" s="50"/>
      <c r="I158" s="50"/>
      <c r="J158" s="50"/>
      <c r="K158" s="50"/>
    </row>
    <row r="159">
      <c r="A159" s="168"/>
      <c r="B159" s="168"/>
      <c r="C159" s="168"/>
      <c r="D159" s="168"/>
      <c r="E159" s="168" t="b">
        <v>0</v>
      </c>
      <c r="F159" s="169"/>
      <c r="G159" s="50"/>
      <c r="H159" s="50"/>
      <c r="I159" s="50"/>
      <c r="J159" s="50"/>
      <c r="K159" s="50"/>
    </row>
    <row r="160">
      <c r="A160" s="168"/>
      <c r="B160" s="168"/>
      <c r="C160" s="168"/>
      <c r="D160" s="168"/>
      <c r="E160" s="168" t="b">
        <v>0</v>
      </c>
      <c r="F160" s="169"/>
      <c r="G160" s="50"/>
      <c r="H160" s="50"/>
      <c r="I160" s="50"/>
      <c r="J160" s="50"/>
      <c r="K160" s="50"/>
    </row>
    <row r="161">
      <c r="A161" s="168"/>
      <c r="B161" s="168"/>
      <c r="C161" s="168"/>
      <c r="D161" s="168"/>
      <c r="E161" s="168" t="b">
        <v>0</v>
      </c>
      <c r="F161" s="169"/>
      <c r="G161" s="50"/>
      <c r="H161" s="50"/>
      <c r="I161" s="50"/>
      <c r="J161" s="50"/>
      <c r="K161" s="50"/>
    </row>
    <row r="162">
      <c r="A162" s="168"/>
      <c r="B162" s="168"/>
      <c r="C162" s="168"/>
      <c r="D162" s="168"/>
      <c r="E162" s="168" t="b">
        <v>0</v>
      </c>
      <c r="F162" s="169"/>
      <c r="G162" s="50"/>
      <c r="H162" s="50"/>
      <c r="I162" s="50"/>
      <c r="J162" s="50"/>
      <c r="K162" s="50"/>
    </row>
    <row r="163">
      <c r="A163" s="168"/>
      <c r="B163" s="168"/>
      <c r="C163" s="168"/>
      <c r="D163" s="168"/>
      <c r="E163" s="168" t="b">
        <v>0</v>
      </c>
      <c r="F163" s="169"/>
      <c r="G163" s="50"/>
      <c r="H163" s="50"/>
      <c r="I163" s="50"/>
      <c r="J163" s="50"/>
      <c r="K163" s="50"/>
    </row>
    <row r="164">
      <c r="A164" s="168"/>
      <c r="B164" s="168"/>
      <c r="C164" s="168"/>
      <c r="D164" s="168"/>
      <c r="E164" s="168" t="b">
        <v>0</v>
      </c>
      <c r="F164" s="169"/>
      <c r="G164" s="50"/>
      <c r="H164" s="50"/>
      <c r="I164" s="50"/>
      <c r="J164" s="50"/>
      <c r="K164" s="50"/>
    </row>
    <row r="165">
      <c r="A165" s="168"/>
      <c r="B165" s="168"/>
      <c r="C165" s="168"/>
      <c r="D165" s="168"/>
      <c r="E165" s="168" t="b">
        <v>0</v>
      </c>
      <c r="F165" s="169"/>
      <c r="G165" s="50"/>
      <c r="H165" s="50"/>
      <c r="I165" s="50"/>
      <c r="J165" s="50"/>
      <c r="K165" s="50"/>
    </row>
    <row r="166">
      <c r="A166" s="168"/>
      <c r="B166" s="168"/>
      <c r="C166" s="168"/>
      <c r="D166" s="168"/>
      <c r="E166" s="168" t="b">
        <v>0</v>
      </c>
      <c r="F166" s="169"/>
      <c r="G166" s="50"/>
      <c r="H166" s="50"/>
      <c r="I166" s="50"/>
      <c r="J166" s="50"/>
      <c r="K166" s="50"/>
    </row>
    <row r="167">
      <c r="A167" s="168"/>
      <c r="B167" s="168"/>
      <c r="C167" s="168"/>
      <c r="D167" s="168"/>
      <c r="E167" s="168" t="b">
        <v>0</v>
      </c>
      <c r="F167" s="169"/>
      <c r="G167" s="50"/>
      <c r="H167" s="50"/>
      <c r="I167" s="50"/>
      <c r="J167" s="50"/>
      <c r="K167" s="50"/>
    </row>
    <row r="168">
      <c r="A168" s="168"/>
      <c r="B168" s="168"/>
      <c r="C168" s="168"/>
      <c r="D168" s="168"/>
      <c r="E168" s="168" t="b">
        <v>0</v>
      </c>
      <c r="F168" s="169"/>
      <c r="G168" s="50"/>
      <c r="H168" s="50"/>
      <c r="I168" s="50"/>
      <c r="J168" s="50"/>
      <c r="K168" s="50"/>
    </row>
    <row r="169">
      <c r="A169" s="168"/>
      <c r="B169" s="168"/>
      <c r="C169" s="168"/>
      <c r="D169" s="168"/>
      <c r="E169" s="168" t="b">
        <v>0</v>
      </c>
      <c r="F169" s="169"/>
      <c r="G169" s="50"/>
      <c r="H169" s="50"/>
      <c r="I169" s="50"/>
      <c r="J169" s="50"/>
      <c r="K169" s="50"/>
    </row>
    <row r="170">
      <c r="A170" s="168"/>
      <c r="B170" s="168"/>
      <c r="C170" s="168"/>
      <c r="D170" s="168"/>
      <c r="E170" s="168" t="b">
        <v>0</v>
      </c>
      <c r="F170" s="169"/>
      <c r="G170" s="50"/>
      <c r="H170" s="50"/>
      <c r="I170" s="50"/>
      <c r="J170" s="50"/>
      <c r="K170" s="50"/>
    </row>
    <row r="171">
      <c r="A171" s="168"/>
      <c r="B171" s="168"/>
      <c r="C171" s="168"/>
      <c r="D171" s="168"/>
      <c r="E171" s="168" t="b">
        <v>0</v>
      </c>
      <c r="F171" s="169"/>
      <c r="G171" s="50"/>
      <c r="H171" s="50"/>
      <c r="I171" s="50"/>
      <c r="J171" s="50"/>
      <c r="K171" s="50"/>
    </row>
    <row r="172">
      <c r="A172" s="168"/>
      <c r="B172" s="168"/>
      <c r="C172" s="168"/>
      <c r="D172" s="168"/>
      <c r="E172" s="168" t="b">
        <v>0</v>
      </c>
      <c r="F172" s="169"/>
      <c r="G172" s="50"/>
      <c r="H172" s="50"/>
      <c r="I172" s="50"/>
      <c r="J172" s="50"/>
      <c r="K172" s="50"/>
    </row>
    <row r="173">
      <c r="A173" s="168"/>
      <c r="B173" s="168"/>
      <c r="C173" s="168"/>
      <c r="D173" s="168"/>
      <c r="E173" s="168" t="b">
        <v>0</v>
      </c>
      <c r="F173" s="169"/>
      <c r="G173" s="50"/>
      <c r="H173" s="50"/>
      <c r="I173" s="50"/>
      <c r="J173" s="50"/>
      <c r="K173" s="50"/>
    </row>
    <row r="174">
      <c r="A174" s="168"/>
      <c r="B174" s="168"/>
      <c r="C174" s="168"/>
      <c r="D174" s="168"/>
      <c r="E174" s="168" t="b">
        <v>0</v>
      </c>
      <c r="F174" s="169"/>
      <c r="G174" s="50"/>
      <c r="H174" s="50"/>
      <c r="I174" s="50"/>
      <c r="J174" s="50"/>
      <c r="K174" s="50"/>
    </row>
    <row r="175">
      <c r="A175" s="168"/>
      <c r="B175" s="168"/>
      <c r="C175" s="168"/>
      <c r="D175" s="168"/>
      <c r="E175" s="168" t="b">
        <v>0</v>
      </c>
      <c r="F175" s="169"/>
      <c r="G175" s="50"/>
      <c r="H175" s="50"/>
      <c r="I175" s="50"/>
      <c r="J175" s="50"/>
      <c r="K175" s="50"/>
    </row>
    <row r="176">
      <c r="A176" s="168"/>
      <c r="B176" s="168"/>
      <c r="C176" s="168"/>
      <c r="D176" s="168"/>
      <c r="E176" s="168" t="b">
        <v>0</v>
      </c>
      <c r="F176" s="169"/>
      <c r="G176" s="50"/>
      <c r="H176" s="50"/>
      <c r="I176" s="50"/>
      <c r="J176" s="50"/>
      <c r="K176" s="50"/>
    </row>
    <row r="177">
      <c r="A177" s="168"/>
      <c r="B177" s="168"/>
      <c r="C177" s="168"/>
      <c r="D177" s="168"/>
      <c r="E177" s="168" t="b">
        <v>0</v>
      </c>
      <c r="F177" s="169"/>
      <c r="G177" s="50"/>
      <c r="H177" s="50"/>
      <c r="I177" s="50"/>
      <c r="J177" s="50"/>
      <c r="K177" s="50"/>
    </row>
    <row r="178">
      <c r="A178" s="168"/>
      <c r="B178" s="168"/>
      <c r="C178" s="168"/>
      <c r="D178" s="168"/>
      <c r="E178" s="168" t="b">
        <v>0</v>
      </c>
      <c r="F178" s="169"/>
      <c r="G178" s="50"/>
      <c r="H178" s="50"/>
      <c r="I178" s="50"/>
      <c r="J178" s="50"/>
      <c r="K178" s="50"/>
    </row>
    <row r="179">
      <c r="A179" s="168"/>
      <c r="B179" s="168"/>
      <c r="C179" s="168"/>
      <c r="D179" s="168"/>
      <c r="E179" s="168" t="b">
        <v>0</v>
      </c>
      <c r="F179" s="169"/>
      <c r="G179" s="50"/>
      <c r="H179" s="50"/>
      <c r="I179" s="50"/>
      <c r="J179" s="50"/>
      <c r="K179" s="50"/>
    </row>
    <row r="180">
      <c r="A180" s="168"/>
      <c r="B180" s="168"/>
      <c r="C180" s="168"/>
      <c r="D180" s="168"/>
      <c r="E180" s="168" t="b">
        <v>0</v>
      </c>
      <c r="F180" s="169"/>
      <c r="G180" s="50"/>
      <c r="H180" s="50"/>
      <c r="I180" s="50"/>
      <c r="J180" s="50"/>
      <c r="K180" s="50"/>
    </row>
    <row r="181">
      <c r="A181" s="168"/>
      <c r="B181" s="168"/>
      <c r="C181" s="168"/>
      <c r="D181" s="168"/>
      <c r="E181" s="168" t="b">
        <v>0</v>
      </c>
      <c r="F181" s="169"/>
      <c r="G181" s="50"/>
      <c r="H181" s="50"/>
      <c r="I181" s="50"/>
      <c r="J181" s="50"/>
      <c r="K181" s="50"/>
    </row>
    <row r="182">
      <c r="A182" s="168"/>
      <c r="B182" s="168"/>
      <c r="C182" s="168"/>
      <c r="D182" s="168"/>
      <c r="E182" s="168" t="b">
        <v>0</v>
      </c>
      <c r="F182" s="169"/>
      <c r="G182" s="50"/>
      <c r="H182" s="50"/>
      <c r="I182" s="50"/>
      <c r="J182" s="50"/>
      <c r="K182" s="50"/>
    </row>
    <row r="183">
      <c r="A183" s="168"/>
      <c r="B183" s="168"/>
      <c r="C183" s="168"/>
      <c r="D183" s="168"/>
      <c r="E183" s="168" t="b">
        <v>0</v>
      </c>
      <c r="F183" s="169"/>
      <c r="G183" s="50"/>
      <c r="H183" s="50"/>
      <c r="I183" s="50"/>
      <c r="J183" s="50"/>
      <c r="K183" s="50"/>
    </row>
    <row r="184">
      <c r="A184" s="168"/>
      <c r="B184" s="168"/>
      <c r="C184" s="168"/>
      <c r="D184" s="168"/>
      <c r="E184" s="168" t="b">
        <v>0</v>
      </c>
      <c r="F184" s="169"/>
      <c r="G184" s="50"/>
      <c r="H184" s="50"/>
      <c r="I184" s="50"/>
      <c r="J184" s="50"/>
      <c r="K184" s="50"/>
    </row>
    <row r="185">
      <c r="A185" s="168"/>
      <c r="B185" s="168"/>
      <c r="C185" s="168"/>
      <c r="D185" s="168"/>
      <c r="E185" s="168" t="b">
        <v>0</v>
      </c>
      <c r="F185" s="169"/>
      <c r="G185" s="50"/>
      <c r="H185" s="50"/>
      <c r="I185" s="50"/>
      <c r="J185" s="50"/>
      <c r="K185" s="50"/>
    </row>
    <row r="186">
      <c r="A186" s="168"/>
      <c r="B186" s="168"/>
      <c r="C186" s="168"/>
      <c r="D186" s="168"/>
      <c r="E186" s="168" t="b">
        <v>0</v>
      </c>
      <c r="F186" s="169"/>
      <c r="G186" s="50"/>
      <c r="H186" s="50"/>
      <c r="I186" s="50"/>
      <c r="J186" s="50"/>
      <c r="K186" s="50"/>
    </row>
    <row r="187">
      <c r="A187" s="168"/>
      <c r="B187" s="168"/>
      <c r="C187" s="168"/>
      <c r="D187" s="168"/>
      <c r="E187" s="168" t="b">
        <v>0</v>
      </c>
      <c r="F187" s="169"/>
      <c r="G187" s="50"/>
      <c r="H187" s="50"/>
      <c r="I187" s="50"/>
      <c r="J187" s="50"/>
      <c r="K187" s="50"/>
    </row>
    <row r="188">
      <c r="A188" s="168"/>
      <c r="B188" s="168"/>
      <c r="C188" s="168"/>
      <c r="D188" s="168"/>
      <c r="E188" s="168" t="b">
        <v>0</v>
      </c>
      <c r="F188" s="169"/>
      <c r="G188" s="50"/>
      <c r="H188" s="50"/>
      <c r="I188" s="50"/>
      <c r="J188" s="50"/>
      <c r="K188" s="50"/>
    </row>
    <row r="189">
      <c r="A189" s="168"/>
      <c r="B189" s="168"/>
      <c r="C189" s="168"/>
      <c r="D189" s="168"/>
      <c r="E189" s="168" t="b">
        <v>0</v>
      </c>
      <c r="F189" s="169"/>
      <c r="G189" s="50"/>
      <c r="H189" s="50"/>
      <c r="I189" s="50"/>
      <c r="J189" s="50"/>
      <c r="K189" s="50"/>
    </row>
    <row r="190">
      <c r="A190" s="168"/>
      <c r="B190" s="168"/>
      <c r="C190" s="168"/>
      <c r="D190" s="168"/>
      <c r="E190" s="168" t="b">
        <v>0</v>
      </c>
      <c r="F190" s="169"/>
      <c r="G190" s="50"/>
      <c r="H190" s="50"/>
      <c r="I190" s="50"/>
      <c r="J190" s="50"/>
      <c r="K190" s="50"/>
    </row>
    <row r="191">
      <c r="A191" s="168"/>
      <c r="B191" s="168"/>
      <c r="C191" s="168"/>
      <c r="D191" s="168"/>
      <c r="E191" s="168" t="b">
        <v>0</v>
      </c>
      <c r="F191" s="169"/>
      <c r="G191" s="50"/>
      <c r="H191" s="50"/>
      <c r="I191" s="50"/>
      <c r="J191" s="50"/>
      <c r="K191" s="50"/>
    </row>
    <row r="192">
      <c r="A192" s="168"/>
      <c r="B192" s="168"/>
      <c r="C192" s="168"/>
      <c r="D192" s="168"/>
      <c r="E192" s="168" t="b">
        <v>0</v>
      </c>
      <c r="F192" s="169"/>
      <c r="G192" s="50"/>
      <c r="H192" s="50"/>
      <c r="I192" s="50"/>
      <c r="J192" s="50"/>
      <c r="K192" s="50"/>
    </row>
    <row r="193">
      <c r="A193" s="168"/>
      <c r="B193" s="168"/>
      <c r="C193" s="168"/>
      <c r="D193" s="168"/>
      <c r="E193" s="168" t="b">
        <v>0</v>
      </c>
      <c r="F193" s="169"/>
      <c r="G193" s="50"/>
      <c r="H193" s="50"/>
      <c r="I193" s="50"/>
      <c r="J193" s="50"/>
      <c r="K193" s="50"/>
    </row>
    <row r="194">
      <c r="A194" s="168"/>
      <c r="B194" s="168"/>
      <c r="C194" s="168"/>
      <c r="D194" s="168"/>
      <c r="E194" s="168" t="b">
        <v>0</v>
      </c>
      <c r="F194" s="169"/>
      <c r="G194" s="50"/>
      <c r="H194" s="50"/>
      <c r="I194" s="50"/>
      <c r="J194" s="50"/>
      <c r="K194" s="50"/>
    </row>
    <row r="195">
      <c r="A195" s="168"/>
      <c r="B195" s="168"/>
      <c r="C195" s="168"/>
      <c r="D195" s="168"/>
      <c r="E195" s="168" t="b">
        <v>0</v>
      </c>
      <c r="F195" s="169"/>
      <c r="G195" s="50"/>
      <c r="H195" s="50"/>
      <c r="I195" s="50"/>
      <c r="J195" s="50"/>
      <c r="K195" s="50"/>
    </row>
    <row r="196">
      <c r="A196" s="168"/>
      <c r="B196" s="168"/>
      <c r="C196" s="168"/>
      <c r="D196" s="168"/>
      <c r="E196" s="168" t="b">
        <v>0</v>
      </c>
      <c r="F196" s="169"/>
      <c r="G196" s="50"/>
      <c r="H196" s="50"/>
      <c r="I196" s="50"/>
      <c r="J196" s="50"/>
      <c r="K196" s="50"/>
    </row>
    <row r="197">
      <c r="A197" s="168"/>
      <c r="B197" s="168"/>
      <c r="C197" s="168"/>
      <c r="D197" s="168"/>
      <c r="E197" s="168" t="b">
        <v>0</v>
      </c>
      <c r="F197" s="169"/>
      <c r="G197" s="50"/>
      <c r="H197" s="50"/>
      <c r="I197" s="50"/>
      <c r="J197" s="50"/>
      <c r="K197" s="50"/>
    </row>
    <row r="198">
      <c r="A198" s="168"/>
      <c r="B198" s="168"/>
      <c r="C198" s="168"/>
      <c r="D198" s="168"/>
      <c r="E198" s="168" t="b">
        <v>0</v>
      </c>
      <c r="F198" s="169"/>
      <c r="G198" s="50"/>
      <c r="H198" s="50"/>
      <c r="I198" s="50"/>
      <c r="J198" s="50"/>
      <c r="K198" s="50"/>
    </row>
    <row r="199">
      <c r="A199" s="168"/>
      <c r="B199" s="168"/>
      <c r="C199" s="168"/>
      <c r="D199" s="168"/>
      <c r="E199" s="168" t="b">
        <v>0</v>
      </c>
      <c r="F199" s="169"/>
      <c r="G199" s="50"/>
      <c r="H199" s="50"/>
      <c r="I199" s="50"/>
      <c r="J199" s="50"/>
      <c r="K199" s="50"/>
    </row>
    <row r="200">
      <c r="A200" s="168"/>
      <c r="B200" s="168"/>
      <c r="C200" s="168"/>
      <c r="D200" s="168"/>
      <c r="E200" s="168" t="b">
        <v>0</v>
      </c>
      <c r="F200" s="169"/>
      <c r="G200" s="50"/>
      <c r="H200" s="50"/>
      <c r="I200" s="50"/>
      <c r="J200" s="50"/>
      <c r="K200" s="50"/>
    </row>
    <row r="201">
      <c r="A201" s="168"/>
      <c r="B201" s="168"/>
      <c r="C201" s="168"/>
      <c r="D201" s="168"/>
      <c r="E201" s="168" t="b">
        <v>0</v>
      </c>
      <c r="F201" s="169"/>
      <c r="G201" s="50"/>
      <c r="H201" s="50"/>
      <c r="I201" s="50"/>
      <c r="J201" s="50"/>
      <c r="K201" s="50"/>
    </row>
    <row r="202">
      <c r="A202" s="168"/>
      <c r="B202" s="168"/>
      <c r="C202" s="168"/>
      <c r="D202" s="168"/>
      <c r="E202" s="168" t="b">
        <v>0</v>
      </c>
      <c r="F202" s="169"/>
      <c r="G202" s="50"/>
      <c r="H202" s="50"/>
      <c r="I202" s="50"/>
      <c r="J202" s="50"/>
      <c r="K202" s="50"/>
    </row>
    <row r="203">
      <c r="A203" s="168"/>
      <c r="B203" s="168"/>
      <c r="C203" s="168"/>
      <c r="D203" s="168"/>
      <c r="E203" s="168" t="b">
        <v>0</v>
      </c>
      <c r="F203" s="169"/>
      <c r="G203" s="50"/>
      <c r="H203" s="50"/>
      <c r="I203" s="50"/>
      <c r="J203" s="50"/>
      <c r="K203" s="50"/>
    </row>
    <row r="204">
      <c r="A204" s="168"/>
      <c r="B204" s="168"/>
      <c r="C204" s="168"/>
      <c r="D204" s="168"/>
      <c r="E204" s="168" t="b">
        <v>0</v>
      </c>
      <c r="F204" s="169"/>
      <c r="G204" s="50"/>
      <c r="H204" s="50"/>
      <c r="I204" s="50"/>
      <c r="J204" s="50"/>
      <c r="K204" s="50"/>
    </row>
    <row r="205">
      <c r="A205" s="168"/>
      <c r="B205" s="168"/>
      <c r="C205" s="168"/>
      <c r="D205" s="168"/>
      <c r="E205" s="168" t="b">
        <v>0</v>
      </c>
      <c r="F205" s="169"/>
      <c r="G205" s="50"/>
      <c r="H205" s="50"/>
      <c r="I205" s="50"/>
      <c r="J205" s="50"/>
      <c r="K205" s="50"/>
    </row>
    <row r="206">
      <c r="A206" s="168"/>
      <c r="B206" s="168"/>
      <c r="C206" s="168"/>
      <c r="D206" s="168"/>
      <c r="E206" s="168" t="b">
        <v>0</v>
      </c>
      <c r="F206" s="169"/>
      <c r="G206" s="50"/>
      <c r="H206" s="50"/>
      <c r="I206" s="50"/>
      <c r="J206" s="50"/>
      <c r="K206" s="50"/>
    </row>
    <row r="207">
      <c r="A207" s="168"/>
      <c r="B207" s="168"/>
      <c r="C207" s="168"/>
      <c r="D207" s="168"/>
      <c r="E207" s="168" t="b">
        <v>0</v>
      </c>
      <c r="F207" s="169"/>
      <c r="G207" s="50"/>
      <c r="H207" s="50"/>
      <c r="I207" s="50"/>
      <c r="J207" s="50"/>
      <c r="K207" s="50"/>
    </row>
    <row r="208">
      <c r="A208" s="168"/>
      <c r="B208" s="168"/>
      <c r="C208" s="168"/>
      <c r="D208" s="168"/>
      <c r="E208" s="168" t="b">
        <v>0</v>
      </c>
      <c r="F208" s="169"/>
      <c r="G208" s="50"/>
      <c r="H208" s="50"/>
      <c r="I208" s="50"/>
      <c r="J208" s="50"/>
      <c r="K208" s="50"/>
    </row>
    <row r="209">
      <c r="A209" s="168"/>
      <c r="B209" s="168"/>
      <c r="C209" s="168"/>
      <c r="D209" s="168"/>
      <c r="E209" s="168" t="b">
        <v>0</v>
      </c>
      <c r="F209" s="169"/>
      <c r="G209" s="50"/>
      <c r="H209" s="50"/>
      <c r="I209" s="50"/>
      <c r="J209" s="50"/>
      <c r="K209" s="50"/>
    </row>
    <row r="210">
      <c r="A210" s="168"/>
      <c r="B210" s="168"/>
      <c r="C210" s="168"/>
      <c r="D210" s="168"/>
      <c r="E210" s="168" t="b">
        <v>0</v>
      </c>
      <c r="F210" s="169"/>
      <c r="G210" s="50"/>
      <c r="H210" s="50"/>
      <c r="I210" s="50"/>
      <c r="J210" s="50"/>
      <c r="K210" s="50"/>
    </row>
    <row r="211">
      <c r="A211" s="168"/>
      <c r="B211" s="168"/>
      <c r="C211" s="168"/>
      <c r="D211" s="168"/>
      <c r="E211" s="168" t="b">
        <v>0</v>
      </c>
      <c r="F211" s="169"/>
      <c r="G211" s="50"/>
      <c r="H211" s="50"/>
      <c r="I211" s="50"/>
      <c r="J211" s="50"/>
      <c r="K211" s="50"/>
    </row>
    <row r="212">
      <c r="A212" s="168"/>
      <c r="B212" s="168"/>
      <c r="C212" s="168"/>
      <c r="D212" s="168"/>
      <c r="E212" s="168" t="b">
        <v>0</v>
      </c>
      <c r="F212" s="169"/>
      <c r="G212" s="50"/>
      <c r="H212" s="50"/>
      <c r="I212" s="50"/>
      <c r="J212" s="50"/>
      <c r="K212" s="50"/>
    </row>
    <row r="213">
      <c r="A213" s="168"/>
      <c r="B213" s="168"/>
      <c r="C213" s="168"/>
      <c r="D213" s="168"/>
      <c r="E213" s="168" t="b">
        <v>0</v>
      </c>
      <c r="F213" s="169"/>
      <c r="G213" s="50"/>
      <c r="H213" s="50"/>
      <c r="I213" s="50"/>
      <c r="J213" s="50"/>
      <c r="K213" s="50"/>
    </row>
    <row r="214">
      <c r="A214" s="168"/>
      <c r="B214" s="168"/>
      <c r="C214" s="168"/>
      <c r="D214" s="168"/>
      <c r="E214" s="168" t="b">
        <v>0</v>
      </c>
      <c r="F214" s="169"/>
      <c r="G214" s="50"/>
      <c r="H214" s="50"/>
      <c r="I214" s="50"/>
      <c r="J214" s="50"/>
      <c r="K214" s="50"/>
    </row>
    <row r="215">
      <c r="A215" s="168"/>
      <c r="B215" s="168"/>
      <c r="C215" s="168"/>
      <c r="D215" s="168"/>
      <c r="E215" s="168" t="b">
        <v>0</v>
      </c>
      <c r="F215" s="169"/>
      <c r="G215" s="50"/>
      <c r="H215" s="50"/>
      <c r="I215" s="50"/>
      <c r="J215" s="50"/>
      <c r="K215" s="50"/>
    </row>
    <row r="216">
      <c r="A216" s="168"/>
      <c r="B216" s="168"/>
      <c r="C216" s="168"/>
      <c r="D216" s="168"/>
      <c r="E216" s="168" t="b">
        <v>0</v>
      </c>
      <c r="F216" s="169"/>
      <c r="G216" s="50"/>
      <c r="H216" s="50"/>
      <c r="I216" s="50"/>
      <c r="J216" s="50"/>
      <c r="K216" s="50"/>
    </row>
    <row r="217">
      <c r="A217" s="168"/>
      <c r="B217" s="168"/>
      <c r="C217" s="168"/>
      <c r="D217" s="168"/>
      <c r="E217" s="168" t="b">
        <v>0</v>
      </c>
      <c r="F217" s="169"/>
      <c r="G217" s="50"/>
      <c r="H217" s="50"/>
      <c r="I217" s="50"/>
      <c r="J217" s="50"/>
      <c r="K217" s="50"/>
    </row>
    <row r="218">
      <c r="A218" s="168"/>
      <c r="B218" s="168"/>
      <c r="C218" s="168"/>
      <c r="D218" s="168"/>
      <c r="E218" s="168" t="b">
        <v>0</v>
      </c>
      <c r="F218" s="169"/>
      <c r="G218" s="50"/>
      <c r="H218" s="50"/>
      <c r="I218" s="50"/>
      <c r="J218" s="50"/>
      <c r="K218" s="50"/>
    </row>
    <row r="219">
      <c r="A219" s="168"/>
      <c r="B219" s="168"/>
      <c r="C219" s="168"/>
      <c r="D219" s="168"/>
      <c r="E219" s="168" t="b">
        <v>0</v>
      </c>
      <c r="F219" s="169"/>
      <c r="G219" s="50"/>
      <c r="H219" s="50"/>
      <c r="I219" s="50"/>
      <c r="J219" s="50"/>
      <c r="K219" s="50"/>
    </row>
    <row r="220">
      <c r="A220" s="168"/>
      <c r="B220" s="168"/>
      <c r="C220" s="168"/>
      <c r="D220" s="168"/>
      <c r="E220" s="168" t="b">
        <v>0</v>
      </c>
      <c r="F220" s="169"/>
      <c r="G220" s="50"/>
      <c r="H220" s="50"/>
      <c r="I220" s="50"/>
      <c r="J220" s="50"/>
      <c r="K220" s="50"/>
    </row>
    <row r="221">
      <c r="A221" s="168"/>
      <c r="B221" s="168"/>
      <c r="C221" s="168"/>
      <c r="D221" s="168"/>
      <c r="E221" s="168" t="b">
        <v>0</v>
      </c>
      <c r="F221" s="169"/>
      <c r="G221" s="50"/>
      <c r="H221" s="50"/>
      <c r="I221" s="50"/>
      <c r="J221" s="50"/>
      <c r="K221" s="50"/>
    </row>
    <row r="222">
      <c r="A222" s="168"/>
      <c r="B222" s="168"/>
      <c r="C222" s="168"/>
      <c r="D222" s="168"/>
      <c r="E222" s="168" t="b">
        <v>0</v>
      </c>
      <c r="F222" s="169"/>
      <c r="G222" s="50"/>
      <c r="H222" s="50"/>
      <c r="I222" s="50"/>
      <c r="J222" s="50"/>
      <c r="K222" s="50"/>
    </row>
    <row r="223">
      <c r="A223" s="168"/>
      <c r="B223" s="168"/>
      <c r="C223" s="168"/>
      <c r="D223" s="168"/>
      <c r="E223" s="168" t="b">
        <v>0</v>
      </c>
      <c r="F223" s="169"/>
      <c r="G223" s="50"/>
      <c r="H223" s="50"/>
      <c r="I223" s="50"/>
      <c r="J223" s="50"/>
      <c r="K223" s="50"/>
    </row>
    <row r="224">
      <c r="A224" s="168"/>
      <c r="B224" s="168"/>
      <c r="C224" s="168"/>
      <c r="D224" s="168"/>
      <c r="E224" s="168" t="b">
        <v>0</v>
      </c>
      <c r="F224" s="169"/>
      <c r="G224" s="50"/>
      <c r="H224" s="50"/>
      <c r="I224" s="50"/>
      <c r="J224" s="50"/>
      <c r="K224" s="50"/>
    </row>
    <row r="225">
      <c r="A225" s="168"/>
      <c r="B225" s="168"/>
      <c r="C225" s="168"/>
      <c r="D225" s="168"/>
      <c r="E225" s="168" t="b">
        <v>0</v>
      </c>
      <c r="F225" s="169"/>
      <c r="G225" s="50"/>
      <c r="H225" s="50"/>
      <c r="I225" s="50"/>
      <c r="J225" s="50"/>
      <c r="K225" s="50"/>
    </row>
    <row r="226">
      <c r="A226" s="168"/>
      <c r="B226" s="168"/>
      <c r="C226" s="168"/>
      <c r="D226" s="168"/>
      <c r="E226" s="168" t="b">
        <v>0</v>
      </c>
      <c r="F226" s="169"/>
      <c r="G226" s="50"/>
      <c r="H226" s="50"/>
      <c r="I226" s="50"/>
      <c r="J226" s="50"/>
      <c r="K226" s="50"/>
    </row>
    <row r="227">
      <c r="A227" s="168"/>
      <c r="B227" s="168"/>
      <c r="C227" s="168"/>
      <c r="D227" s="168"/>
      <c r="E227" s="168" t="b">
        <v>0</v>
      </c>
      <c r="F227" s="169"/>
      <c r="G227" s="50"/>
      <c r="H227" s="50"/>
      <c r="I227" s="50"/>
      <c r="J227" s="50"/>
      <c r="K227" s="50"/>
    </row>
    <row r="228">
      <c r="A228" s="168"/>
      <c r="B228" s="168"/>
      <c r="C228" s="168"/>
      <c r="D228" s="168"/>
      <c r="E228" s="168" t="b">
        <v>0</v>
      </c>
      <c r="F228" s="169"/>
      <c r="G228" s="50"/>
      <c r="H228" s="50"/>
      <c r="I228" s="50"/>
      <c r="J228" s="50"/>
      <c r="K228" s="50"/>
    </row>
    <row r="229">
      <c r="A229" s="168"/>
      <c r="B229" s="168"/>
      <c r="C229" s="168"/>
      <c r="D229" s="168"/>
      <c r="E229" s="168" t="b">
        <v>0</v>
      </c>
      <c r="F229" s="169"/>
      <c r="G229" s="50"/>
      <c r="H229" s="50"/>
      <c r="I229" s="50"/>
      <c r="J229" s="50"/>
      <c r="K229" s="50"/>
    </row>
    <row r="230">
      <c r="A230" s="168"/>
      <c r="B230" s="168"/>
      <c r="C230" s="168"/>
      <c r="D230" s="168"/>
      <c r="E230" s="168" t="b">
        <v>0</v>
      </c>
      <c r="F230" s="169"/>
      <c r="G230" s="50"/>
      <c r="H230" s="50"/>
      <c r="I230" s="50"/>
      <c r="J230" s="50"/>
      <c r="K230" s="50"/>
    </row>
    <row r="231">
      <c r="A231" s="168"/>
      <c r="B231" s="168"/>
      <c r="C231" s="168"/>
      <c r="D231" s="168"/>
      <c r="E231" s="168" t="b">
        <v>0</v>
      </c>
      <c r="F231" s="169"/>
      <c r="G231" s="50"/>
      <c r="H231" s="50"/>
      <c r="I231" s="50"/>
      <c r="J231" s="50"/>
      <c r="K231" s="50"/>
    </row>
    <row r="232">
      <c r="A232" s="168"/>
      <c r="B232" s="168"/>
      <c r="C232" s="168"/>
      <c r="D232" s="168"/>
      <c r="E232" s="168" t="b">
        <v>0</v>
      </c>
      <c r="F232" s="169"/>
      <c r="G232" s="50"/>
      <c r="H232" s="50"/>
      <c r="I232" s="50"/>
      <c r="J232" s="50"/>
      <c r="K232" s="50"/>
    </row>
    <row r="233">
      <c r="A233" s="168"/>
      <c r="B233" s="168"/>
      <c r="C233" s="168"/>
      <c r="D233" s="168"/>
      <c r="E233" s="168" t="b">
        <v>0</v>
      </c>
      <c r="F233" s="169"/>
      <c r="G233" s="50"/>
      <c r="H233" s="50"/>
      <c r="I233" s="50"/>
      <c r="J233" s="50"/>
      <c r="K233" s="50"/>
    </row>
    <row r="234">
      <c r="A234" s="168"/>
      <c r="B234" s="168"/>
      <c r="C234" s="168"/>
      <c r="D234" s="168"/>
      <c r="E234" s="168" t="b">
        <v>0</v>
      </c>
      <c r="F234" s="169"/>
      <c r="G234" s="50"/>
      <c r="H234" s="50"/>
      <c r="I234" s="50"/>
      <c r="J234" s="50"/>
      <c r="K234" s="50"/>
    </row>
    <row r="235">
      <c r="A235" s="168"/>
      <c r="B235" s="168"/>
      <c r="C235" s="168"/>
      <c r="D235" s="168"/>
      <c r="E235" s="168" t="b">
        <v>0</v>
      </c>
      <c r="F235" s="169"/>
      <c r="G235" s="50"/>
      <c r="H235" s="50"/>
      <c r="I235" s="50"/>
      <c r="J235" s="50"/>
      <c r="K235" s="50"/>
    </row>
    <row r="236">
      <c r="A236" s="168"/>
      <c r="B236" s="168"/>
      <c r="C236" s="168"/>
      <c r="D236" s="168"/>
      <c r="E236" s="168" t="b">
        <v>0</v>
      </c>
      <c r="F236" s="169"/>
      <c r="G236" s="50"/>
      <c r="H236" s="50"/>
      <c r="I236" s="50"/>
      <c r="J236" s="50"/>
      <c r="K236" s="50"/>
    </row>
    <row r="237">
      <c r="A237" s="168"/>
      <c r="B237" s="168"/>
      <c r="C237" s="168"/>
      <c r="D237" s="168"/>
      <c r="E237" s="168" t="b">
        <v>0</v>
      </c>
      <c r="F237" s="169"/>
      <c r="G237" s="50"/>
      <c r="H237" s="50"/>
      <c r="I237" s="50"/>
      <c r="J237" s="50"/>
      <c r="K237" s="50"/>
    </row>
    <row r="238">
      <c r="A238" s="168"/>
      <c r="B238" s="168"/>
      <c r="C238" s="168"/>
      <c r="D238" s="168"/>
      <c r="E238" s="168" t="b">
        <v>0</v>
      </c>
      <c r="F238" s="169"/>
      <c r="G238" s="50"/>
      <c r="H238" s="50"/>
      <c r="I238" s="50"/>
      <c r="J238" s="50"/>
      <c r="K238" s="50"/>
    </row>
    <row r="239">
      <c r="A239" s="168"/>
      <c r="B239" s="168"/>
      <c r="C239" s="168"/>
      <c r="D239" s="168"/>
      <c r="E239" s="168" t="b">
        <v>0</v>
      </c>
      <c r="F239" s="169"/>
      <c r="G239" s="50"/>
      <c r="H239" s="50"/>
      <c r="I239" s="50"/>
      <c r="J239" s="50"/>
      <c r="K239" s="50"/>
    </row>
    <row r="240">
      <c r="A240" s="168"/>
      <c r="B240" s="168"/>
      <c r="C240" s="168"/>
      <c r="D240" s="168"/>
      <c r="E240" s="168" t="b">
        <v>0</v>
      </c>
      <c r="F240" s="169"/>
      <c r="G240" s="50"/>
      <c r="H240" s="50"/>
      <c r="I240" s="50"/>
      <c r="J240" s="50"/>
      <c r="K240" s="50"/>
    </row>
    <row r="241">
      <c r="A241" s="168"/>
      <c r="B241" s="168"/>
      <c r="C241" s="168"/>
      <c r="D241" s="168"/>
      <c r="E241" s="168" t="b">
        <v>0</v>
      </c>
      <c r="F241" s="169"/>
      <c r="G241" s="50"/>
      <c r="H241" s="50"/>
      <c r="I241" s="50"/>
      <c r="J241" s="50"/>
      <c r="K241" s="50"/>
    </row>
    <row r="242">
      <c r="A242" s="168"/>
      <c r="B242" s="168"/>
      <c r="C242" s="168"/>
      <c r="D242" s="168"/>
      <c r="E242" s="168" t="b">
        <v>0</v>
      </c>
      <c r="F242" s="169"/>
      <c r="G242" s="50"/>
      <c r="H242" s="50"/>
      <c r="I242" s="50"/>
      <c r="J242" s="50"/>
      <c r="K242" s="50"/>
    </row>
    <row r="243">
      <c r="A243" s="168"/>
      <c r="B243" s="168"/>
      <c r="C243" s="168"/>
      <c r="D243" s="168"/>
      <c r="E243" s="168" t="b">
        <v>0</v>
      </c>
      <c r="F243" s="169"/>
      <c r="G243" s="50"/>
      <c r="H243" s="50"/>
      <c r="I243" s="50"/>
      <c r="J243" s="50"/>
      <c r="K243" s="50"/>
    </row>
    <row r="244">
      <c r="A244" s="168"/>
      <c r="B244" s="168"/>
      <c r="C244" s="168"/>
      <c r="D244" s="168"/>
      <c r="E244" s="168" t="b">
        <v>0</v>
      </c>
      <c r="F244" s="169"/>
      <c r="G244" s="50"/>
      <c r="H244" s="50"/>
      <c r="I244" s="50"/>
      <c r="J244" s="50"/>
      <c r="K244" s="50"/>
    </row>
    <row r="245">
      <c r="A245" s="168"/>
      <c r="B245" s="168"/>
      <c r="C245" s="168"/>
      <c r="D245" s="168"/>
      <c r="E245" s="168" t="b">
        <v>0</v>
      </c>
      <c r="F245" s="169"/>
      <c r="G245" s="50"/>
      <c r="H245" s="50"/>
      <c r="I245" s="50"/>
      <c r="J245" s="50"/>
      <c r="K245" s="50"/>
    </row>
    <row r="246">
      <c r="A246" s="168"/>
      <c r="B246" s="168"/>
      <c r="C246" s="168"/>
      <c r="D246" s="168"/>
      <c r="E246" s="168" t="b">
        <v>0</v>
      </c>
      <c r="F246" s="169"/>
      <c r="G246" s="50"/>
      <c r="H246" s="50"/>
      <c r="I246" s="50"/>
      <c r="J246" s="50"/>
      <c r="K246" s="50"/>
    </row>
    <row r="247">
      <c r="A247" s="168"/>
      <c r="B247" s="168"/>
      <c r="C247" s="168"/>
      <c r="D247" s="168"/>
      <c r="E247" s="168" t="b">
        <v>0</v>
      </c>
      <c r="F247" s="169"/>
      <c r="G247" s="50"/>
      <c r="H247" s="50"/>
      <c r="I247" s="50"/>
      <c r="J247" s="50"/>
      <c r="K247" s="50"/>
    </row>
    <row r="248">
      <c r="A248" s="168"/>
      <c r="B248" s="168"/>
      <c r="C248" s="168"/>
      <c r="D248" s="168"/>
      <c r="E248" s="168" t="b">
        <v>0</v>
      </c>
      <c r="F248" s="169"/>
      <c r="G248" s="50"/>
      <c r="H248" s="50"/>
      <c r="I248" s="50"/>
      <c r="J248" s="50"/>
      <c r="K248" s="50"/>
    </row>
    <row r="249">
      <c r="A249" s="168"/>
      <c r="B249" s="168"/>
      <c r="C249" s="168"/>
      <c r="D249" s="168"/>
      <c r="E249" s="168" t="b">
        <v>0</v>
      </c>
      <c r="F249" s="169"/>
      <c r="G249" s="50"/>
      <c r="H249" s="50"/>
      <c r="I249" s="50"/>
      <c r="J249" s="50"/>
      <c r="K249" s="50"/>
    </row>
    <row r="250">
      <c r="A250" s="168"/>
      <c r="B250" s="168"/>
      <c r="C250" s="168"/>
      <c r="D250" s="168"/>
      <c r="E250" s="168" t="b">
        <v>0</v>
      </c>
      <c r="F250" s="169"/>
      <c r="G250" s="50"/>
      <c r="H250" s="50"/>
      <c r="I250" s="50"/>
      <c r="J250" s="50"/>
      <c r="K250" s="50"/>
    </row>
    <row r="251">
      <c r="A251" s="168"/>
      <c r="B251" s="168"/>
      <c r="C251" s="168"/>
      <c r="D251" s="168"/>
      <c r="E251" s="168" t="b">
        <v>0</v>
      </c>
      <c r="F251" s="169"/>
      <c r="G251" s="50"/>
      <c r="H251" s="50"/>
      <c r="I251" s="50"/>
      <c r="J251" s="50"/>
      <c r="K251" s="50"/>
    </row>
    <row r="252">
      <c r="A252" s="168"/>
      <c r="B252" s="168"/>
      <c r="C252" s="168"/>
      <c r="D252" s="168"/>
      <c r="E252" s="168" t="b">
        <v>0</v>
      </c>
      <c r="F252" s="169"/>
      <c r="G252" s="50"/>
      <c r="H252" s="50"/>
      <c r="I252" s="50"/>
      <c r="J252" s="50"/>
      <c r="K252" s="50"/>
    </row>
    <row r="253">
      <c r="A253" s="168"/>
      <c r="B253" s="168"/>
      <c r="C253" s="168"/>
      <c r="D253" s="168"/>
      <c r="E253" s="168" t="b">
        <v>0</v>
      </c>
      <c r="F253" s="169"/>
      <c r="G253" s="50"/>
      <c r="H253" s="50"/>
      <c r="I253" s="50"/>
      <c r="J253" s="50"/>
      <c r="K253" s="50"/>
    </row>
    <row r="254">
      <c r="A254" s="168"/>
      <c r="B254" s="168"/>
      <c r="C254" s="168"/>
      <c r="D254" s="168"/>
      <c r="E254" s="168" t="b">
        <v>0</v>
      </c>
      <c r="F254" s="169"/>
      <c r="G254" s="50"/>
      <c r="H254" s="50"/>
      <c r="I254" s="50"/>
      <c r="J254" s="50"/>
      <c r="K254" s="50"/>
    </row>
    <row r="255">
      <c r="A255" s="168"/>
      <c r="B255" s="168"/>
      <c r="C255" s="168"/>
      <c r="D255" s="168"/>
      <c r="E255" s="168" t="b">
        <v>0</v>
      </c>
      <c r="F255" s="169"/>
      <c r="G255" s="50"/>
      <c r="H255" s="50"/>
      <c r="I255" s="50"/>
      <c r="J255" s="50"/>
      <c r="K255" s="50"/>
    </row>
    <row r="256">
      <c r="A256" s="168"/>
      <c r="B256" s="168"/>
      <c r="C256" s="168"/>
      <c r="D256" s="168"/>
      <c r="E256" s="168" t="b">
        <v>0</v>
      </c>
      <c r="F256" s="169"/>
      <c r="G256" s="50"/>
      <c r="H256" s="50"/>
      <c r="I256" s="50"/>
      <c r="J256" s="50"/>
      <c r="K256" s="50"/>
    </row>
    <row r="257">
      <c r="A257" s="168"/>
      <c r="B257" s="168"/>
      <c r="C257" s="168"/>
      <c r="D257" s="168"/>
      <c r="E257" s="168" t="b">
        <v>0</v>
      </c>
      <c r="F257" s="169"/>
      <c r="G257" s="50"/>
      <c r="H257" s="50"/>
      <c r="I257" s="50"/>
      <c r="J257" s="50"/>
      <c r="K257" s="50"/>
    </row>
    <row r="258">
      <c r="A258" s="168"/>
      <c r="B258" s="168"/>
      <c r="C258" s="168"/>
      <c r="D258" s="168"/>
      <c r="E258" s="168" t="b">
        <v>0</v>
      </c>
      <c r="F258" s="169"/>
      <c r="G258" s="50"/>
      <c r="H258" s="50"/>
      <c r="I258" s="50"/>
      <c r="J258" s="50"/>
      <c r="K258" s="50"/>
    </row>
    <row r="259">
      <c r="A259" s="168"/>
      <c r="B259" s="168"/>
      <c r="C259" s="168"/>
      <c r="D259" s="168"/>
      <c r="E259" s="168" t="b">
        <v>0</v>
      </c>
      <c r="F259" s="169"/>
      <c r="G259" s="50"/>
      <c r="H259" s="50"/>
      <c r="I259" s="50"/>
      <c r="J259" s="50"/>
      <c r="K259" s="50"/>
    </row>
    <row r="260">
      <c r="A260" s="168"/>
      <c r="B260" s="168"/>
      <c r="C260" s="168"/>
      <c r="D260" s="168"/>
      <c r="E260" s="168" t="b">
        <v>0</v>
      </c>
      <c r="F260" s="169"/>
      <c r="G260" s="50"/>
      <c r="H260" s="50"/>
      <c r="I260" s="50"/>
      <c r="J260" s="50"/>
      <c r="K260" s="50"/>
    </row>
    <row r="261">
      <c r="A261" s="168"/>
      <c r="B261" s="168"/>
      <c r="C261" s="168"/>
      <c r="D261" s="168"/>
      <c r="E261" s="168" t="b">
        <v>0</v>
      </c>
      <c r="F261" s="169"/>
      <c r="G261" s="50"/>
      <c r="H261" s="50"/>
      <c r="I261" s="50"/>
      <c r="J261" s="50"/>
      <c r="K261" s="50"/>
    </row>
    <row r="262">
      <c r="A262" s="168"/>
      <c r="B262" s="168"/>
      <c r="C262" s="168"/>
      <c r="D262" s="168"/>
      <c r="E262" s="168" t="b">
        <v>0</v>
      </c>
      <c r="F262" s="169"/>
      <c r="G262" s="50"/>
      <c r="H262" s="50"/>
      <c r="I262" s="50"/>
      <c r="J262" s="50"/>
      <c r="K262" s="50"/>
    </row>
    <row r="263">
      <c r="A263" s="168"/>
      <c r="B263" s="168"/>
      <c r="C263" s="168"/>
      <c r="D263" s="168"/>
      <c r="E263" s="168" t="b">
        <v>0</v>
      </c>
      <c r="F263" s="169"/>
      <c r="G263" s="50"/>
      <c r="H263" s="50"/>
      <c r="I263" s="50"/>
      <c r="J263" s="50"/>
      <c r="K263" s="50"/>
    </row>
    <row r="264">
      <c r="A264" s="168"/>
      <c r="B264" s="168"/>
      <c r="C264" s="168"/>
      <c r="D264" s="168"/>
      <c r="E264" s="168" t="b">
        <v>0</v>
      </c>
      <c r="F264" s="169"/>
      <c r="G264" s="50"/>
      <c r="H264" s="50"/>
      <c r="I264" s="50"/>
      <c r="J264" s="50"/>
      <c r="K264" s="50"/>
    </row>
    <row r="265">
      <c r="A265" s="168"/>
      <c r="B265" s="168"/>
      <c r="C265" s="168"/>
      <c r="D265" s="168"/>
      <c r="E265" s="168" t="b">
        <v>0</v>
      </c>
      <c r="F265" s="169"/>
      <c r="G265" s="50"/>
      <c r="H265" s="50"/>
      <c r="I265" s="50"/>
      <c r="J265" s="50"/>
      <c r="K265" s="50"/>
    </row>
    <row r="266">
      <c r="A266" s="168"/>
      <c r="B266" s="168"/>
      <c r="C266" s="168"/>
      <c r="D266" s="168"/>
      <c r="E266" s="168" t="b">
        <v>0</v>
      </c>
      <c r="F266" s="169"/>
      <c r="G266" s="50"/>
      <c r="H266" s="50"/>
      <c r="I266" s="50"/>
      <c r="J266" s="50"/>
      <c r="K266" s="50"/>
    </row>
    <row r="267">
      <c r="A267" s="168"/>
      <c r="B267" s="168"/>
      <c r="C267" s="168"/>
      <c r="D267" s="168"/>
      <c r="E267" s="168" t="b">
        <v>0</v>
      </c>
      <c r="F267" s="169"/>
      <c r="G267" s="50"/>
      <c r="H267" s="50"/>
      <c r="I267" s="50"/>
      <c r="J267" s="50"/>
      <c r="K267" s="50"/>
    </row>
    <row r="268">
      <c r="A268" s="168"/>
      <c r="B268" s="168"/>
      <c r="C268" s="168"/>
      <c r="D268" s="168"/>
      <c r="E268" s="168" t="b">
        <v>0</v>
      </c>
      <c r="F268" s="169"/>
      <c r="G268" s="50"/>
      <c r="H268" s="50"/>
      <c r="I268" s="50"/>
      <c r="J268" s="50"/>
      <c r="K268" s="50"/>
    </row>
    <row r="269">
      <c r="A269" s="168"/>
      <c r="B269" s="168"/>
      <c r="C269" s="168"/>
      <c r="D269" s="168"/>
      <c r="E269" s="168" t="b">
        <v>0</v>
      </c>
      <c r="F269" s="169"/>
      <c r="G269" s="50"/>
      <c r="H269" s="50"/>
      <c r="I269" s="50"/>
      <c r="J269" s="50"/>
      <c r="K269" s="50"/>
    </row>
    <row r="270">
      <c r="A270" s="168"/>
      <c r="B270" s="168"/>
      <c r="C270" s="168"/>
      <c r="D270" s="168"/>
      <c r="E270" s="168" t="b">
        <v>0</v>
      </c>
      <c r="F270" s="169"/>
      <c r="G270" s="50"/>
      <c r="H270" s="50"/>
      <c r="I270" s="50"/>
      <c r="J270" s="50"/>
      <c r="K270" s="50"/>
    </row>
    <row r="271">
      <c r="A271" s="168"/>
      <c r="B271" s="168"/>
      <c r="C271" s="168"/>
      <c r="D271" s="168"/>
      <c r="E271" s="168" t="b">
        <v>0</v>
      </c>
      <c r="F271" s="169"/>
      <c r="G271" s="50"/>
      <c r="H271" s="50"/>
      <c r="I271" s="50"/>
      <c r="J271" s="50"/>
      <c r="K271" s="50"/>
    </row>
    <row r="272">
      <c r="A272" s="168"/>
      <c r="B272" s="168"/>
      <c r="C272" s="168"/>
      <c r="D272" s="168"/>
      <c r="E272" s="168" t="b">
        <v>0</v>
      </c>
      <c r="F272" s="169"/>
      <c r="G272" s="50"/>
      <c r="H272" s="50"/>
      <c r="I272" s="50"/>
      <c r="J272" s="50"/>
      <c r="K272" s="50"/>
    </row>
    <row r="273">
      <c r="A273" s="168"/>
      <c r="B273" s="168"/>
      <c r="C273" s="168"/>
      <c r="D273" s="168"/>
      <c r="E273" s="168" t="b">
        <v>0</v>
      </c>
      <c r="F273" s="169"/>
      <c r="G273" s="50"/>
      <c r="H273" s="50"/>
      <c r="I273" s="50"/>
      <c r="J273" s="50"/>
      <c r="K273" s="50"/>
    </row>
    <row r="274">
      <c r="A274" s="168"/>
      <c r="B274" s="168"/>
      <c r="C274" s="168"/>
      <c r="D274" s="168"/>
      <c r="E274" s="168" t="b">
        <v>0</v>
      </c>
      <c r="F274" s="169"/>
      <c r="G274" s="50"/>
      <c r="H274" s="50"/>
      <c r="I274" s="50"/>
      <c r="J274" s="50"/>
      <c r="K274" s="50"/>
    </row>
    <row r="275">
      <c r="A275" s="168"/>
      <c r="B275" s="168"/>
      <c r="C275" s="168"/>
      <c r="D275" s="168"/>
      <c r="E275" s="168" t="b">
        <v>0</v>
      </c>
      <c r="F275" s="169"/>
      <c r="G275" s="50"/>
      <c r="H275" s="50"/>
      <c r="I275" s="50"/>
      <c r="J275" s="50"/>
      <c r="K275" s="50"/>
    </row>
    <row r="276">
      <c r="A276" s="168"/>
      <c r="B276" s="168"/>
      <c r="C276" s="168"/>
      <c r="D276" s="168"/>
      <c r="E276" s="168" t="b">
        <v>0</v>
      </c>
      <c r="F276" s="169"/>
      <c r="G276" s="50"/>
      <c r="H276" s="50"/>
      <c r="I276" s="50"/>
      <c r="J276" s="50"/>
      <c r="K276" s="50"/>
    </row>
    <row r="277">
      <c r="A277" s="168"/>
      <c r="B277" s="168"/>
      <c r="C277" s="168"/>
      <c r="D277" s="168"/>
      <c r="E277" s="168" t="b">
        <v>0</v>
      </c>
      <c r="F277" s="169"/>
      <c r="G277" s="50"/>
      <c r="H277" s="50"/>
      <c r="I277" s="50"/>
      <c r="J277" s="50"/>
      <c r="K277" s="50"/>
    </row>
    <row r="278">
      <c r="A278" s="168"/>
      <c r="B278" s="168"/>
      <c r="C278" s="168"/>
      <c r="D278" s="168"/>
      <c r="E278" s="168" t="b">
        <v>0</v>
      </c>
      <c r="F278" s="169"/>
      <c r="G278" s="50"/>
      <c r="H278" s="50"/>
      <c r="I278" s="50"/>
      <c r="J278" s="50"/>
      <c r="K278" s="50"/>
    </row>
    <row r="279">
      <c r="A279" s="168"/>
      <c r="B279" s="168"/>
      <c r="C279" s="168"/>
      <c r="D279" s="168"/>
      <c r="E279" s="168" t="b">
        <v>0</v>
      </c>
      <c r="F279" s="169"/>
      <c r="G279" s="50"/>
      <c r="H279" s="50"/>
      <c r="I279" s="50"/>
      <c r="J279" s="50"/>
      <c r="K279" s="50"/>
    </row>
    <row r="280">
      <c r="A280" s="168"/>
      <c r="B280" s="168"/>
      <c r="C280" s="168"/>
      <c r="D280" s="168"/>
      <c r="E280" s="168" t="b">
        <v>0</v>
      </c>
      <c r="F280" s="169"/>
      <c r="G280" s="50"/>
      <c r="H280" s="50"/>
      <c r="I280" s="50"/>
      <c r="J280" s="50"/>
      <c r="K280" s="50"/>
    </row>
    <row r="281">
      <c r="A281" s="168"/>
      <c r="B281" s="168"/>
      <c r="C281" s="168"/>
      <c r="D281" s="168"/>
      <c r="E281" s="168" t="b">
        <v>0</v>
      </c>
      <c r="F281" s="169"/>
      <c r="G281" s="50"/>
      <c r="H281" s="50"/>
      <c r="I281" s="50"/>
      <c r="J281" s="50"/>
      <c r="K281" s="50"/>
    </row>
    <row r="282">
      <c r="A282" s="168"/>
      <c r="B282" s="168"/>
      <c r="C282" s="168"/>
      <c r="D282" s="168"/>
      <c r="E282" s="168" t="b">
        <v>0</v>
      </c>
      <c r="F282" s="169"/>
      <c r="G282" s="50"/>
      <c r="H282" s="50"/>
      <c r="I282" s="50"/>
      <c r="J282" s="50"/>
      <c r="K282" s="50"/>
    </row>
    <row r="283">
      <c r="A283" s="168"/>
      <c r="B283" s="168"/>
      <c r="C283" s="168"/>
      <c r="D283" s="168"/>
      <c r="E283" s="168" t="b">
        <v>0</v>
      </c>
      <c r="F283" s="169"/>
      <c r="G283" s="50"/>
      <c r="H283" s="50"/>
      <c r="I283" s="50"/>
      <c r="J283" s="50"/>
      <c r="K283" s="50"/>
    </row>
    <row r="284">
      <c r="A284" s="168"/>
      <c r="B284" s="168"/>
      <c r="C284" s="168"/>
      <c r="D284" s="168"/>
      <c r="E284" s="168" t="b">
        <v>0</v>
      </c>
      <c r="F284" s="169"/>
      <c r="G284" s="50"/>
      <c r="H284" s="50"/>
      <c r="I284" s="50"/>
      <c r="J284" s="50"/>
      <c r="K284" s="50"/>
    </row>
    <row r="285">
      <c r="A285" s="168"/>
      <c r="B285" s="168"/>
      <c r="C285" s="168"/>
      <c r="D285" s="168"/>
      <c r="E285" s="168" t="b">
        <v>0</v>
      </c>
      <c r="F285" s="169"/>
      <c r="G285" s="50"/>
      <c r="H285" s="50"/>
      <c r="I285" s="50"/>
      <c r="J285" s="50"/>
      <c r="K285" s="50"/>
    </row>
    <row r="286">
      <c r="A286" s="168"/>
      <c r="B286" s="168"/>
      <c r="C286" s="168"/>
      <c r="D286" s="168"/>
      <c r="E286" s="168" t="b">
        <v>0</v>
      </c>
      <c r="F286" s="169"/>
      <c r="G286" s="50"/>
      <c r="H286" s="50"/>
      <c r="I286" s="50"/>
      <c r="J286" s="50"/>
      <c r="K286" s="50"/>
    </row>
    <row r="287">
      <c r="A287" s="168"/>
      <c r="B287" s="168"/>
      <c r="C287" s="168"/>
      <c r="D287" s="168"/>
      <c r="E287" s="168" t="b">
        <v>0</v>
      </c>
      <c r="F287" s="169"/>
      <c r="G287" s="50"/>
      <c r="H287" s="50"/>
      <c r="I287" s="50"/>
      <c r="J287" s="50"/>
      <c r="K287" s="50"/>
    </row>
    <row r="288">
      <c r="A288" s="168"/>
      <c r="B288" s="168"/>
      <c r="C288" s="168"/>
      <c r="D288" s="168"/>
      <c r="E288" s="168" t="b">
        <v>0</v>
      </c>
      <c r="F288" s="169"/>
      <c r="G288" s="50"/>
      <c r="H288" s="50"/>
      <c r="I288" s="50"/>
      <c r="J288" s="50"/>
      <c r="K288" s="50"/>
    </row>
    <row r="289">
      <c r="A289" s="168"/>
      <c r="B289" s="168"/>
      <c r="C289" s="168"/>
      <c r="D289" s="168"/>
      <c r="E289" s="168" t="b">
        <v>0</v>
      </c>
      <c r="F289" s="169"/>
      <c r="G289" s="50"/>
      <c r="H289" s="50"/>
      <c r="I289" s="50"/>
      <c r="J289" s="50"/>
      <c r="K289" s="50"/>
    </row>
    <row r="290">
      <c r="A290" s="168"/>
      <c r="B290" s="168"/>
      <c r="C290" s="168"/>
      <c r="D290" s="168"/>
      <c r="E290" s="168" t="b">
        <v>0</v>
      </c>
      <c r="F290" s="169"/>
      <c r="G290" s="50"/>
      <c r="H290" s="50"/>
      <c r="I290" s="50"/>
      <c r="J290" s="50"/>
      <c r="K290" s="50"/>
    </row>
    <row r="291">
      <c r="A291" s="168"/>
      <c r="B291" s="168"/>
      <c r="C291" s="168"/>
      <c r="D291" s="168"/>
      <c r="E291" s="168" t="b">
        <v>0</v>
      </c>
      <c r="F291" s="169"/>
      <c r="G291" s="50"/>
      <c r="H291" s="50"/>
      <c r="I291" s="50"/>
      <c r="J291" s="50"/>
      <c r="K291" s="50"/>
    </row>
    <row r="292">
      <c r="A292" s="168"/>
      <c r="B292" s="168"/>
      <c r="C292" s="168"/>
      <c r="D292" s="168"/>
      <c r="E292" s="168" t="b">
        <v>0</v>
      </c>
      <c r="F292" s="169"/>
      <c r="G292" s="50"/>
      <c r="H292" s="50"/>
      <c r="I292" s="50"/>
      <c r="J292" s="50"/>
      <c r="K292" s="50"/>
    </row>
    <row r="293">
      <c r="A293" s="168"/>
      <c r="B293" s="168"/>
      <c r="C293" s="168"/>
      <c r="D293" s="168"/>
      <c r="E293" s="168" t="b">
        <v>0</v>
      </c>
      <c r="F293" s="169"/>
      <c r="G293" s="50"/>
      <c r="H293" s="50"/>
      <c r="I293" s="50"/>
      <c r="J293" s="50"/>
      <c r="K293" s="50"/>
    </row>
    <row r="294">
      <c r="A294" s="168"/>
      <c r="B294" s="168"/>
      <c r="C294" s="168"/>
      <c r="D294" s="168"/>
      <c r="E294" s="168" t="b">
        <v>0</v>
      </c>
      <c r="F294" s="169"/>
      <c r="G294" s="50"/>
      <c r="H294" s="50"/>
      <c r="I294" s="50"/>
      <c r="J294" s="50"/>
      <c r="K294" s="50"/>
    </row>
    <row r="295">
      <c r="A295" s="168"/>
      <c r="B295" s="168"/>
      <c r="C295" s="168"/>
      <c r="D295" s="168"/>
      <c r="E295" s="168" t="b">
        <v>0</v>
      </c>
      <c r="F295" s="169"/>
      <c r="G295" s="50"/>
      <c r="H295" s="50"/>
      <c r="I295" s="50"/>
      <c r="J295" s="50"/>
      <c r="K295" s="50"/>
    </row>
    <row r="296">
      <c r="A296" s="168"/>
      <c r="B296" s="168"/>
      <c r="C296" s="168"/>
      <c r="D296" s="168"/>
      <c r="E296" s="168" t="b">
        <v>0</v>
      </c>
      <c r="F296" s="169"/>
      <c r="G296" s="50"/>
      <c r="H296" s="50"/>
      <c r="I296" s="50"/>
      <c r="J296" s="50"/>
      <c r="K296" s="50"/>
    </row>
    <row r="297">
      <c r="A297" s="168"/>
      <c r="B297" s="168"/>
      <c r="C297" s="168"/>
      <c r="D297" s="168"/>
      <c r="E297" s="168" t="b">
        <v>0</v>
      </c>
      <c r="F297" s="169"/>
      <c r="G297" s="50"/>
      <c r="H297" s="50"/>
      <c r="I297" s="50"/>
      <c r="J297" s="50"/>
      <c r="K297" s="50"/>
    </row>
    <row r="298">
      <c r="A298" s="168"/>
      <c r="B298" s="168"/>
      <c r="C298" s="168"/>
      <c r="D298" s="168"/>
      <c r="E298" s="168" t="b">
        <v>0</v>
      </c>
      <c r="F298" s="169"/>
      <c r="G298" s="50"/>
      <c r="H298" s="50"/>
      <c r="I298" s="50"/>
      <c r="J298" s="50"/>
      <c r="K298" s="50"/>
    </row>
    <row r="299">
      <c r="A299" s="168"/>
      <c r="B299" s="168"/>
      <c r="C299" s="168"/>
      <c r="D299" s="168"/>
      <c r="E299" s="168" t="b">
        <v>0</v>
      </c>
      <c r="F299" s="169"/>
      <c r="G299" s="50"/>
      <c r="H299" s="50"/>
      <c r="I299" s="50"/>
      <c r="J299" s="50"/>
      <c r="K299" s="50"/>
    </row>
    <row r="300">
      <c r="A300" s="168"/>
      <c r="B300" s="168"/>
      <c r="C300" s="168"/>
      <c r="D300" s="168"/>
      <c r="E300" s="168" t="b">
        <v>0</v>
      </c>
      <c r="F300" s="169"/>
      <c r="G300" s="50"/>
      <c r="H300" s="50"/>
      <c r="I300" s="50"/>
      <c r="J300" s="50"/>
      <c r="K300" s="50"/>
    </row>
    <row r="301">
      <c r="A301" s="168"/>
      <c r="B301" s="168"/>
      <c r="C301" s="168"/>
      <c r="D301" s="168"/>
      <c r="E301" s="168" t="b">
        <v>0</v>
      </c>
      <c r="F301" s="169"/>
      <c r="G301" s="50"/>
      <c r="H301" s="50"/>
      <c r="I301" s="50"/>
      <c r="J301" s="50"/>
      <c r="K301" s="50"/>
    </row>
    <row r="302">
      <c r="A302" s="168"/>
      <c r="B302" s="168"/>
      <c r="C302" s="168"/>
      <c r="D302" s="168"/>
      <c r="E302" s="168" t="b">
        <v>0</v>
      </c>
      <c r="F302" s="169"/>
      <c r="G302" s="50"/>
      <c r="H302" s="50"/>
      <c r="I302" s="50"/>
      <c r="J302" s="50"/>
      <c r="K302" s="50"/>
    </row>
    <row r="303">
      <c r="A303" s="168"/>
      <c r="B303" s="168"/>
      <c r="C303" s="168"/>
      <c r="D303" s="168"/>
      <c r="E303" s="168" t="b">
        <v>0</v>
      </c>
      <c r="F303" s="169"/>
      <c r="G303" s="50"/>
      <c r="H303" s="50"/>
      <c r="I303" s="50"/>
      <c r="J303" s="50"/>
      <c r="K303" s="50"/>
    </row>
    <row r="304">
      <c r="A304" s="168"/>
      <c r="B304" s="168"/>
      <c r="C304" s="168"/>
      <c r="D304" s="168"/>
      <c r="E304" s="168" t="b">
        <v>0</v>
      </c>
      <c r="F304" s="169"/>
      <c r="G304" s="50"/>
      <c r="H304" s="50"/>
      <c r="I304" s="50"/>
      <c r="J304" s="50"/>
      <c r="K304" s="50"/>
    </row>
    <row r="305">
      <c r="A305" s="168"/>
      <c r="B305" s="168"/>
      <c r="C305" s="168"/>
      <c r="D305" s="168"/>
      <c r="E305" s="168" t="b">
        <v>0</v>
      </c>
      <c r="F305" s="169"/>
      <c r="G305" s="50"/>
      <c r="H305" s="50"/>
      <c r="I305" s="50"/>
      <c r="J305" s="50"/>
      <c r="K305" s="50"/>
    </row>
    <row r="306">
      <c r="A306" s="168"/>
      <c r="B306" s="168"/>
      <c r="C306" s="168"/>
      <c r="D306" s="168"/>
      <c r="E306" s="168" t="b">
        <v>0</v>
      </c>
      <c r="F306" s="169"/>
      <c r="G306" s="50"/>
      <c r="H306" s="50"/>
      <c r="I306" s="50"/>
      <c r="J306" s="50"/>
      <c r="K306" s="50"/>
    </row>
    <row r="307">
      <c r="A307" s="168"/>
      <c r="B307" s="168"/>
      <c r="C307" s="168"/>
      <c r="D307" s="168"/>
      <c r="E307" s="168" t="b">
        <v>0</v>
      </c>
      <c r="F307" s="169"/>
      <c r="G307" s="50"/>
      <c r="H307" s="50"/>
      <c r="I307" s="50"/>
      <c r="J307" s="50"/>
      <c r="K307" s="50"/>
    </row>
    <row r="308">
      <c r="A308" s="168"/>
      <c r="B308" s="168"/>
      <c r="C308" s="168"/>
      <c r="D308" s="168"/>
      <c r="E308" s="168" t="b">
        <v>0</v>
      </c>
      <c r="F308" s="169"/>
      <c r="G308" s="50"/>
      <c r="H308" s="50"/>
      <c r="I308" s="50"/>
      <c r="J308" s="50"/>
      <c r="K308" s="50"/>
    </row>
    <row r="309">
      <c r="A309" s="168"/>
      <c r="B309" s="168"/>
      <c r="C309" s="168"/>
      <c r="D309" s="168"/>
      <c r="E309" s="168" t="b">
        <v>0</v>
      </c>
      <c r="F309" s="169"/>
      <c r="G309" s="50"/>
      <c r="H309" s="50"/>
      <c r="I309" s="50"/>
      <c r="J309" s="50"/>
      <c r="K309" s="50"/>
    </row>
    <row r="310">
      <c r="A310" s="168"/>
      <c r="B310" s="168"/>
      <c r="C310" s="168"/>
      <c r="D310" s="168"/>
      <c r="E310" s="168" t="b">
        <v>0</v>
      </c>
      <c r="F310" s="169"/>
      <c r="G310" s="50"/>
      <c r="H310" s="50"/>
      <c r="I310" s="50"/>
      <c r="J310" s="50"/>
      <c r="K310" s="50"/>
    </row>
    <row r="311">
      <c r="A311" s="168"/>
      <c r="B311" s="168"/>
      <c r="C311" s="168"/>
      <c r="D311" s="168"/>
      <c r="E311" s="168" t="b">
        <v>0</v>
      </c>
      <c r="F311" s="169"/>
      <c r="G311" s="50"/>
      <c r="H311" s="50"/>
      <c r="I311" s="50"/>
      <c r="J311" s="50"/>
      <c r="K311" s="50"/>
    </row>
    <row r="312">
      <c r="A312" s="168"/>
      <c r="B312" s="168"/>
      <c r="C312" s="168"/>
      <c r="D312" s="168"/>
      <c r="E312" s="168" t="b">
        <v>0</v>
      </c>
      <c r="F312" s="169"/>
      <c r="G312" s="50"/>
      <c r="H312" s="50"/>
      <c r="I312" s="50"/>
      <c r="J312" s="50"/>
      <c r="K312" s="50"/>
    </row>
    <row r="313">
      <c r="A313" s="168"/>
      <c r="B313" s="168"/>
      <c r="C313" s="168"/>
      <c r="D313" s="168"/>
      <c r="E313" s="168" t="b">
        <v>0</v>
      </c>
      <c r="F313" s="169"/>
      <c r="G313" s="50"/>
      <c r="H313" s="50"/>
      <c r="I313" s="50"/>
      <c r="J313" s="50"/>
      <c r="K313" s="50"/>
    </row>
    <row r="314">
      <c r="A314" s="168"/>
      <c r="B314" s="168"/>
      <c r="C314" s="168"/>
      <c r="D314" s="168"/>
      <c r="E314" s="168" t="b">
        <v>0</v>
      </c>
      <c r="F314" s="169"/>
      <c r="G314" s="50"/>
      <c r="H314" s="50"/>
      <c r="I314" s="50"/>
      <c r="J314" s="50"/>
      <c r="K314" s="50"/>
    </row>
    <row r="315">
      <c r="A315" s="168"/>
      <c r="B315" s="168"/>
      <c r="C315" s="168"/>
      <c r="D315" s="168"/>
      <c r="E315" s="168" t="b">
        <v>0</v>
      </c>
      <c r="F315" s="169"/>
      <c r="G315" s="50"/>
      <c r="H315" s="50"/>
      <c r="I315" s="50"/>
      <c r="J315" s="50"/>
      <c r="K315" s="50"/>
    </row>
    <row r="316">
      <c r="A316" s="168"/>
      <c r="B316" s="168"/>
      <c r="C316" s="168"/>
      <c r="D316" s="168"/>
      <c r="E316" s="168" t="b">
        <v>0</v>
      </c>
      <c r="F316" s="169"/>
      <c r="G316" s="50"/>
      <c r="H316" s="50"/>
      <c r="I316" s="50"/>
      <c r="J316" s="50"/>
      <c r="K316" s="50"/>
    </row>
    <row r="317">
      <c r="A317" s="168"/>
      <c r="B317" s="168"/>
      <c r="C317" s="168"/>
      <c r="D317" s="168"/>
      <c r="E317" s="168" t="b">
        <v>0</v>
      </c>
      <c r="F317" s="169"/>
      <c r="G317" s="50"/>
      <c r="H317" s="50"/>
      <c r="I317" s="50"/>
      <c r="J317" s="50"/>
      <c r="K317" s="50"/>
    </row>
    <row r="318">
      <c r="A318" s="168"/>
      <c r="B318" s="168"/>
      <c r="C318" s="168"/>
      <c r="D318" s="168"/>
      <c r="E318" s="168" t="b">
        <v>0</v>
      </c>
      <c r="F318" s="169"/>
      <c r="G318" s="50"/>
      <c r="H318" s="50"/>
      <c r="I318" s="50"/>
      <c r="J318" s="50"/>
      <c r="K318" s="50"/>
    </row>
    <row r="319">
      <c r="A319" s="168"/>
      <c r="B319" s="168"/>
      <c r="C319" s="168"/>
      <c r="D319" s="168"/>
      <c r="E319" s="168" t="b">
        <v>0</v>
      </c>
      <c r="F319" s="169"/>
      <c r="G319" s="50"/>
      <c r="H319" s="50"/>
      <c r="I319" s="50"/>
      <c r="J319" s="50"/>
      <c r="K319" s="50"/>
    </row>
    <row r="320">
      <c r="A320" s="168"/>
      <c r="B320" s="168"/>
      <c r="C320" s="168"/>
      <c r="D320" s="168"/>
      <c r="E320" s="168" t="b">
        <v>0</v>
      </c>
      <c r="F320" s="169"/>
      <c r="G320" s="50"/>
      <c r="H320" s="50"/>
      <c r="I320" s="50"/>
      <c r="J320" s="50"/>
      <c r="K320" s="50"/>
    </row>
    <row r="321">
      <c r="A321" s="168"/>
      <c r="B321" s="168"/>
      <c r="C321" s="168"/>
      <c r="D321" s="168"/>
      <c r="E321" s="168" t="b">
        <v>0</v>
      </c>
      <c r="F321" s="169"/>
      <c r="G321" s="50"/>
      <c r="H321" s="50"/>
      <c r="I321" s="50"/>
      <c r="J321" s="50"/>
      <c r="K321" s="50"/>
    </row>
    <row r="322">
      <c r="A322" s="168"/>
      <c r="B322" s="168"/>
      <c r="C322" s="168"/>
      <c r="D322" s="168"/>
      <c r="E322" s="168" t="b">
        <v>0</v>
      </c>
      <c r="F322" s="169"/>
      <c r="G322" s="50"/>
      <c r="H322" s="50"/>
      <c r="I322" s="50"/>
      <c r="J322" s="50"/>
      <c r="K322" s="50"/>
    </row>
    <row r="323">
      <c r="A323" s="168"/>
      <c r="B323" s="168"/>
      <c r="C323" s="168"/>
      <c r="D323" s="168"/>
      <c r="E323" s="168" t="b">
        <v>0</v>
      </c>
      <c r="F323" s="169"/>
      <c r="G323" s="50"/>
      <c r="H323" s="50"/>
      <c r="I323" s="50"/>
      <c r="J323" s="50"/>
      <c r="K323" s="50"/>
    </row>
    <row r="324">
      <c r="A324" s="168"/>
      <c r="B324" s="168"/>
      <c r="C324" s="168"/>
      <c r="D324" s="168"/>
      <c r="E324" s="168" t="b">
        <v>0</v>
      </c>
      <c r="F324" s="169"/>
      <c r="G324" s="50"/>
      <c r="H324" s="50"/>
      <c r="I324" s="50"/>
      <c r="J324" s="50"/>
      <c r="K324" s="50"/>
    </row>
    <row r="325">
      <c r="A325" s="168"/>
      <c r="B325" s="168"/>
      <c r="C325" s="168"/>
      <c r="D325" s="168"/>
      <c r="E325" s="168" t="b">
        <v>0</v>
      </c>
      <c r="F325" s="169"/>
      <c r="G325" s="50"/>
      <c r="H325" s="50"/>
      <c r="I325" s="50"/>
      <c r="J325" s="50"/>
      <c r="K325" s="50"/>
    </row>
    <row r="326">
      <c r="A326" s="168"/>
      <c r="B326" s="168"/>
      <c r="C326" s="168"/>
      <c r="D326" s="168"/>
      <c r="E326" s="168" t="b">
        <v>0</v>
      </c>
      <c r="F326" s="169"/>
      <c r="G326" s="50"/>
      <c r="H326" s="50"/>
      <c r="I326" s="50"/>
      <c r="J326" s="50"/>
      <c r="K326" s="50"/>
    </row>
    <row r="327">
      <c r="A327" s="168"/>
      <c r="B327" s="168"/>
      <c r="C327" s="168"/>
      <c r="D327" s="168"/>
      <c r="E327" s="168" t="b">
        <v>0</v>
      </c>
      <c r="F327" s="169"/>
      <c r="G327" s="50"/>
      <c r="H327" s="50"/>
      <c r="I327" s="50"/>
      <c r="J327" s="50"/>
      <c r="K327" s="50"/>
    </row>
    <row r="328">
      <c r="A328" s="168"/>
      <c r="B328" s="168"/>
      <c r="C328" s="168"/>
      <c r="D328" s="168"/>
      <c r="E328" s="168" t="b">
        <v>0</v>
      </c>
      <c r="F328" s="169"/>
      <c r="G328" s="50"/>
      <c r="H328" s="50"/>
      <c r="I328" s="50"/>
      <c r="J328" s="50"/>
      <c r="K328" s="50"/>
    </row>
    <row r="329">
      <c r="A329" s="168"/>
      <c r="B329" s="168"/>
      <c r="C329" s="168"/>
      <c r="D329" s="168"/>
      <c r="E329" s="168" t="b">
        <v>0</v>
      </c>
      <c r="F329" s="169"/>
      <c r="G329" s="50"/>
      <c r="H329" s="50"/>
      <c r="I329" s="50"/>
      <c r="J329" s="50"/>
      <c r="K329" s="50"/>
    </row>
    <row r="330">
      <c r="A330" s="168"/>
      <c r="B330" s="168"/>
      <c r="C330" s="168"/>
      <c r="D330" s="168"/>
      <c r="E330" s="168" t="b">
        <v>0</v>
      </c>
      <c r="F330" s="169"/>
      <c r="G330" s="50"/>
      <c r="H330" s="50"/>
      <c r="I330" s="50"/>
      <c r="J330" s="50"/>
      <c r="K330" s="50"/>
    </row>
    <row r="331">
      <c r="A331" s="168"/>
      <c r="B331" s="168"/>
      <c r="C331" s="168"/>
      <c r="D331" s="168"/>
      <c r="E331" s="168" t="b">
        <v>0</v>
      </c>
      <c r="F331" s="169"/>
      <c r="G331" s="50"/>
      <c r="H331" s="50"/>
      <c r="I331" s="50"/>
      <c r="J331" s="50"/>
      <c r="K331" s="50"/>
    </row>
    <row r="332">
      <c r="A332" s="168"/>
      <c r="B332" s="168"/>
      <c r="C332" s="168"/>
      <c r="D332" s="168"/>
      <c r="E332" s="168" t="b">
        <v>0</v>
      </c>
      <c r="F332" s="169"/>
      <c r="G332" s="50"/>
      <c r="H332" s="50"/>
      <c r="I332" s="50"/>
      <c r="J332" s="50"/>
      <c r="K332" s="50"/>
    </row>
    <row r="333">
      <c r="A333" s="168"/>
      <c r="B333" s="168"/>
      <c r="C333" s="168"/>
      <c r="D333" s="168"/>
      <c r="E333" s="168" t="b">
        <v>0</v>
      </c>
      <c r="F333" s="169"/>
      <c r="G333" s="50"/>
      <c r="H333" s="50"/>
      <c r="I333" s="50"/>
      <c r="J333" s="50"/>
      <c r="K333" s="50"/>
    </row>
    <row r="334">
      <c r="A334" s="168"/>
      <c r="B334" s="168"/>
      <c r="C334" s="168"/>
      <c r="D334" s="168"/>
      <c r="E334" s="168" t="b">
        <v>0</v>
      </c>
      <c r="F334" s="169"/>
      <c r="G334" s="50"/>
      <c r="H334" s="50"/>
      <c r="I334" s="50"/>
      <c r="J334" s="50"/>
      <c r="K334" s="50"/>
    </row>
    <row r="335">
      <c r="A335" s="168"/>
      <c r="B335" s="168"/>
      <c r="C335" s="168"/>
      <c r="D335" s="168"/>
      <c r="E335" s="168" t="b">
        <v>0</v>
      </c>
      <c r="F335" s="169"/>
      <c r="G335" s="50"/>
      <c r="H335" s="50"/>
      <c r="I335" s="50"/>
      <c r="J335" s="50"/>
      <c r="K335" s="50"/>
    </row>
    <row r="336">
      <c r="A336" s="168"/>
      <c r="B336" s="168"/>
      <c r="C336" s="168"/>
      <c r="D336" s="168"/>
      <c r="E336" s="168" t="b">
        <v>0</v>
      </c>
      <c r="F336" s="169"/>
      <c r="G336" s="50"/>
      <c r="H336" s="50"/>
      <c r="I336" s="50"/>
      <c r="J336" s="50"/>
      <c r="K336" s="50"/>
    </row>
    <row r="337">
      <c r="A337" s="168"/>
      <c r="B337" s="168"/>
      <c r="C337" s="168"/>
      <c r="D337" s="168"/>
      <c r="E337" s="168" t="b">
        <v>0</v>
      </c>
      <c r="F337" s="169"/>
      <c r="G337" s="50"/>
      <c r="H337" s="50"/>
      <c r="I337" s="50"/>
      <c r="J337" s="50"/>
      <c r="K337" s="50"/>
    </row>
    <row r="338">
      <c r="A338" s="168"/>
      <c r="B338" s="168"/>
      <c r="C338" s="168"/>
      <c r="D338" s="168"/>
      <c r="E338" s="168" t="b">
        <v>0</v>
      </c>
      <c r="F338" s="169"/>
      <c r="G338" s="50"/>
      <c r="H338" s="50"/>
      <c r="I338" s="50"/>
      <c r="J338" s="50"/>
      <c r="K338" s="50"/>
    </row>
    <row r="339">
      <c r="A339" s="168"/>
      <c r="B339" s="168"/>
      <c r="C339" s="168"/>
      <c r="D339" s="168"/>
      <c r="E339" s="168" t="b">
        <v>0</v>
      </c>
      <c r="F339" s="169"/>
      <c r="G339" s="50"/>
      <c r="H339" s="50"/>
      <c r="I339" s="50"/>
      <c r="J339" s="50"/>
      <c r="K339" s="50"/>
    </row>
    <row r="340">
      <c r="A340" s="168"/>
      <c r="B340" s="168"/>
      <c r="C340" s="168"/>
      <c r="D340" s="168"/>
      <c r="E340" s="168" t="b">
        <v>0</v>
      </c>
      <c r="F340" s="169"/>
      <c r="G340" s="50"/>
      <c r="H340" s="50"/>
      <c r="I340" s="50"/>
      <c r="J340" s="50"/>
      <c r="K340" s="50"/>
    </row>
    <row r="341">
      <c r="A341" s="168"/>
      <c r="B341" s="168"/>
      <c r="C341" s="168"/>
      <c r="D341" s="168"/>
      <c r="E341" s="168" t="b">
        <v>0</v>
      </c>
      <c r="F341" s="169"/>
      <c r="G341" s="50"/>
      <c r="H341" s="50"/>
      <c r="I341" s="50"/>
      <c r="J341" s="50"/>
      <c r="K341" s="50"/>
    </row>
    <row r="342">
      <c r="A342" s="168"/>
      <c r="B342" s="168"/>
      <c r="C342" s="168"/>
      <c r="D342" s="168"/>
      <c r="E342" s="168" t="b">
        <v>0</v>
      </c>
      <c r="F342" s="169"/>
      <c r="G342" s="50"/>
      <c r="H342" s="50"/>
      <c r="I342" s="50"/>
      <c r="J342" s="50"/>
      <c r="K342" s="50"/>
    </row>
    <row r="343">
      <c r="A343" s="168"/>
      <c r="B343" s="168"/>
      <c r="C343" s="168"/>
      <c r="D343" s="168"/>
      <c r="E343" s="168" t="b">
        <v>0</v>
      </c>
      <c r="F343" s="169"/>
      <c r="G343" s="50"/>
      <c r="H343" s="50"/>
      <c r="I343" s="50"/>
      <c r="J343" s="50"/>
      <c r="K343" s="50"/>
    </row>
    <row r="344">
      <c r="A344" s="168"/>
      <c r="B344" s="168"/>
      <c r="C344" s="168"/>
      <c r="D344" s="168"/>
      <c r="E344" s="168" t="b">
        <v>0</v>
      </c>
      <c r="F344" s="169"/>
      <c r="G344" s="50"/>
      <c r="H344" s="50"/>
      <c r="I344" s="50"/>
      <c r="J344" s="50"/>
      <c r="K344" s="50"/>
    </row>
    <row r="345">
      <c r="A345" s="168"/>
      <c r="B345" s="168"/>
      <c r="C345" s="168"/>
      <c r="D345" s="168"/>
      <c r="E345" s="168" t="b">
        <v>0</v>
      </c>
      <c r="F345" s="169"/>
      <c r="G345" s="50"/>
      <c r="H345" s="50"/>
      <c r="I345" s="50"/>
      <c r="J345" s="50"/>
      <c r="K345" s="50"/>
    </row>
    <row r="346">
      <c r="A346" s="168"/>
      <c r="B346" s="168"/>
      <c r="C346" s="168"/>
      <c r="D346" s="168"/>
      <c r="E346" s="168" t="b">
        <v>0</v>
      </c>
      <c r="F346" s="169"/>
      <c r="G346" s="50"/>
      <c r="H346" s="50"/>
      <c r="I346" s="50"/>
      <c r="J346" s="50"/>
      <c r="K346" s="50"/>
    </row>
    <row r="347">
      <c r="A347" s="168"/>
      <c r="B347" s="168"/>
      <c r="C347" s="168"/>
      <c r="D347" s="168"/>
      <c r="E347" s="168" t="b">
        <v>0</v>
      </c>
      <c r="F347" s="169"/>
      <c r="G347" s="50"/>
      <c r="H347" s="50"/>
      <c r="I347" s="50"/>
      <c r="J347" s="50"/>
      <c r="K347" s="50"/>
    </row>
    <row r="348">
      <c r="A348" s="168"/>
      <c r="B348" s="168"/>
      <c r="C348" s="168"/>
      <c r="D348" s="168"/>
      <c r="E348" s="168" t="b">
        <v>0</v>
      </c>
      <c r="F348" s="169"/>
      <c r="G348" s="50"/>
      <c r="H348" s="50"/>
      <c r="I348" s="50"/>
      <c r="J348" s="50"/>
      <c r="K348" s="50"/>
    </row>
    <row r="349">
      <c r="A349" s="168"/>
      <c r="B349" s="168"/>
      <c r="C349" s="168"/>
      <c r="D349" s="168"/>
      <c r="E349" s="168" t="b">
        <v>0</v>
      </c>
      <c r="F349" s="169"/>
      <c r="G349" s="50"/>
      <c r="H349" s="50"/>
      <c r="I349" s="50"/>
      <c r="J349" s="50"/>
      <c r="K349" s="50"/>
    </row>
    <row r="350">
      <c r="A350" s="168"/>
      <c r="B350" s="168"/>
      <c r="C350" s="168"/>
      <c r="D350" s="168"/>
      <c r="E350" s="168" t="b">
        <v>0</v>
      </c>
      <c r="F350" s="169"/>
      <c r="G350" s="50"/>
      <c r="H350" s="50"/>
      <c r="I350" s="50"/>
      <c r="J350" s="50"/>
      <c r="K350" s="50"/>
    </row>
    <row r="351">
      <c r="A351" s="168"/>
      <c r="B351" s="168"/>
      <c r="C351" s="168"/>
      <c r="D351" s="168"/>
      <c r="E351" s="168" t="b">
        <v>0</v>
      </c>
      <c r="F351" s="169"/>
      <c r="G351" s="50"/>
      <c r="H351" s="50"/>
      <c r="I351" s="50"/>
      <c r="J351" s="50"/>
      <c r="K351" s="50"/>
    </row>
    <row r="352">
      <c r="A352" s="168"/>
      <c r="B352" s="168"/>
      <c r="C352" s="168"/>
      <c r="D352" s="168"/>
      <c r="E352" s="168" t="b">
        <v>0</v>
      </c>
      <c r="F352" s="169"/>
      <c r="G352" s="50"/>
      <c r="H352" s="50"/>
      <c r="I352" s="50"/>
      <c r="J352" s="50"/>
      <c r="K352" s="50"/>
    </row>
    <row r="353">
      <c r="A353" s="168"/>
      <c r="B353" s="168"/>
      <c r="C353" s="168"/>
      <c r="D353" s="168"/>
      <c r="E353" s="168" t="b">
        <v>0</v>
      </c>
      <c r="F353" s="169"/>
      <c r="G353" s="50"/>
      <c r="H353" s="50"/>
      <c r="I353" s="50"/>
      <c r="J353" s="50"/>
      <c r="K353" s="50"/>
    </row>
    <row r="354">
      <c r="A354" s="168"/>
      <c r="B354" s="168"/>
      <c r="C354" s="168"/>
      <c r="D354" s="168"/>
      <c r="E354" s="168" t="b">
        <v>0</v>
      </c>
      <c r="F354" s="169"/>
      <c r="G354" s="50"/>
      <c r="H354" s="50"/>
      <c r="I354" s="50"/>
      <c r="J354" s="50"/>
      <c r="K354" s="50"/>
    </row>
    <row r="355">
      <c r="A355" s="168"/>
      <c r="B355" s="168"/>
      <c r="C355" s="168"/>
      <c r="D355" s="168"/>
      <c r="E355" s="168" t="b">
        <v>0</v>
      </c>
      <c r="F355" s="169"/>
      <c r="G355" s="50"/>
      <c r="H355" s="50"/>
      <c r="I355" s="50"/>
      <c r="J355" s="50"/>
      <c r="K355" s="50"/>
    </row>
    <row r="356">
      <c r="A356" s="168"/>
      <c r="B356" s="168"/>
      <c r="C356" s="168"/>
      <c r="D356" s="168"/>
      <c r="E356" s="168" t="b">
        <v>0</v>
      </c>
      <c r="F356" s="169"/>
      <c r="G356" s="50"/>
      <c r="H356" s="50"/>
      <c r="I356" s="50"/>
      <c r="J356" s="50"/>
      <c r="K356" s="50"/>
    </row>
    <row r="357">
      <c r="A357" s="168"/>
      <c r="B357" s="168"/>
      <c r="C357" s="168"/>
      <c r="D357" s="168"/>
      <c r="E357" s="168" t="b">
        <v>0</v>
      </c>
      <c r="F357" s="169"/>
      <c r="G357" s="50"/>
      <c r="H357" s="50"/>
      <c r="I357" s="50"/>
      <c r="J357" s="50"/>
      <c r="K357" s="50"/>
    </row>
    <row r="358">
      <c r="A358" s="168"/>
      <c r="B358" s="168"/>
      <c r="C358" s="168"/>
      <c r="D358" s="168"/>
      <c r="E358" s="168" t="b">
        <v>0</v>
      </c>
      <c r="F358" s="169"/>
      <c r="G358" s="50"/>
      <c r="H358" s="50"/>
      <c r="I358" s="50"/>
      <c r="J358" s="50"/>
      <c r="K358" s="50"/>
    </row>
    <row r="359">
      <c r="A359" s="168"/>
      <c r="B359" s="168"/>
      <c r="C359" s="168"/>
      <c r="D359" s="168"/>
      <c r="E359" s="168" t="b">
        <v>0</v>
      </c>
      <c r="F359" s="169"/>
      <c r="G359" s="50"/>
      <c r="H359" s="50"/>
      <c r="I359" s="50"/>
      <c r="J359" s="50"/>
      <c r="K359" s="50"/>
    </row>
    <row r="360">
      <c r="A360" s="168"/>
      <c r="B360" s="168"/>
      <c r="C360" s="168"/>
      <c r="D360" s="168"/>
      <c r="E360" s="168" t="b">
        <v>0</v>
      </c>
      <c r="F360" s="169"/>
      <c r="G360" s="50"/>
      <c r="H360" s="50"/>
      <c r="I360" s="50"/>
      <c r="J360" s="50"/>
      <c r="K360" s="50"/>
    </row>
    <row r="361">
      <c r="A361" s="168"/>
      <c r="B361" s="168"/>
      <c r="C361" s="168"/>
      <c r="D361" s="168"/>
      <c r="E361" s="168" t="b">
        <v>0</v>
      </c>
      <c r="F361" s="169"/>
      <c r="G361" s="50"/>
      <c r="H361" s="50"/>
      <c r="I361" s="50"/>
      <c r="J361" s="50"/>
      <c r="K361" s="50"/>
    </row>
    <row r="362">
      <c r="A362" s="168"/>
      <c r="B362" s="168"/>
      <c r="C362" s="168"/>
      <c r="D362" s="168"/>
      <c r="E362" s="168" t="b">
        <v>0</v>
      </c>
      <c r="F362" s="169"/>
      <c r="G362" s="50"/>
      <c r="H362" s="50"/>
      <c r="I362" s="50"/>
      <c r="J362" s="50"/>
      <c r="K362" s="50"/>
    </row>
    <row r="363">
      <c r="A363" s="168"/>
      <c r="B363" s="168"/>
      <c r="C363" s="168"/>
      <c r="D363" s="168"/>
      <c r="E363" s="168" t="b">
        <v>0</v>
      </c>
      <c r="F363" s="169"/>
      <c r="G363" s="50"/>
      <c r="H363" s="50"/>
      <c r="I363" s="50"/>
      <c r="J363" s="50"/>
      <c r="K363" s="50"/>
    </row>
    <row r="364">
      <c r="A364" s="168"/>
      <c r="B364" s="168"/>
      <c r="C364" s="168"/>
      <c r="D364" s="168"/>
      <c r="E364" s="168" t="b">
        <v>0</v>
      </c>
      <c r="F364" s="169"/>
      <c r="G364" s="50"/>
      <c r="H364" s="50"/>
      <c r="I364" s="50"/>
      <c r="J364" s="50"/>
      <c r="K364" s="50"/>
    </row>
    <row r="365">
      <c r="A365" s="168"/>
      <c r="B365" s="168"/>
      <c r="C365" s="168"/>
      <c r="D365" s="168"/>
      <c r="E365" s="168" t="b">
        <v>0</v>
      </c>
      <c r="F365" s="169"/>
      <c r="G365" s="50"/>
      <c r="H365" s="50"/>
      <c r="I365" s="50"/>
      <c r="J365" s="50"/>
      <c r="K365" s="50"/>
    </row>
    <row r="366">
      <c r="A366" s="168"/>
      <c r="B366" s="168"/>
      <c r="C366" s="168"/>
      <c r="D366" s="168"/>
      <c r="E366" s="168" t="b">
        <v>0</v>
      </c>
      <c r="F366" s="169"/>
      <c r="G366" s="50"/>
      <c r="H366" s="50"/>
      <c r="I366" s="50"/>
      <c r="J366" s="50"/>
      <c r="K366" s="50"/>
    </row>
    <row r="367">
      <c r="A367" s="168"/>
      <c r="B367" s="168"/>
      <c r="C367" s="168"/>
      <c r="D367" s="168"/>
      <c r="E367" s="168" t="b">
        <v>0</v>
      </c>
      <c r="F367" s="169"/>
      <c r="G367" s="50"/>
      <c r="H367" s="50"/>
      <c r="I367" s="50"/>
      <c r="J367" s="50"/>
      <c r="K367" s="50"/>
    </row>
    <row r="368">
      <c r="A368" s="168"/>
      <c r="B368" s="168"/>
      <c r="C368" s="168"/>
      <c r="D368" s="168"/>
      <c r="E368" s="168" t="b">
        <v>0</v>
      </c>
      <c r="F368" s="169"/>
      <c r="G368" s="50"/>
      <c r="H368" s="50"/>
      <c r="I368" s="50"/>
      <c r="J368" s="50"/>
      <c r="K368" s="50"/>
    </row>
    <row r="369">
      <c r="A369" s="168"/>
      <c r="B369" s="168"/>
      <c r="C369" s="168"/>
      <c r="D369" s="168"/>
      <c r="E369" s="168" t="b">
        <v>0</v>
      </c>
      <c r="F369" s="169"/>
      <c r="G369" s="50"/>
      <c r="H369" s="50"/>
      <c r="I369" s="50"/>
      <c r="J369" s="50"/>
      <c r="K369" s="50"/>
    </row>
    <row r="370">
      <c r="A370" s="168"/>
      <c r="B370" s="168"/>
      <c r="C370" s="168"/>
      <c r="D370" s="168"/>
      <c r="E370" s="168" t="b">
        <v>0</v>
      </c>
      <c r="F370" s="169"/>
      <c r="G370" s="50"/>
      <c r="H370" s="50"/>
      <c r="I370" s="50"/>
      <c r="J370" s="50"/>
      <c r="K370" s="50"/>
    </row>
    <row r="371">
      <c r="A371" s="168"/>
      <c r="B371" s="168"/>
      <c r="C371" s="168"/>
      <c r="D371" s="168"/>
      <c r="E371" s="168" t="b">
        <v>0</v>
      </c>
      <c r="F371" s="169"/>
      <c r="G371" s="50"/>
      <c r="H371" s="50"/>
      <c r="I371" s="50"/>
      <c r="J371" s="50"/>
      <c r="K371" s="50"/>
    </row>
    <row r="372">
      <c r="A372" s="168"/>
      <c r="B372" s="168"/>
      <c r="C372" s="168"/>
      <c r="D372" s="168"/>
      <c r="E372" s="168" t="b">
        <v>0</v>
      </c>
      <c r="F372" s="169"/>
      <c r="G372" s="50"/>
      <c r="H372" s="50"/>
      <c r="I372" s="50"/>
      <c r="J372" s="50"/>
      <c r="K372" s="50"/>
    </row>
    <row r="373">
      <c r="A373" s="168"/>
      <c r="B373" s="168"/>
      <c r="C373" s="168"/>
      <c r="D373" s="168"/>
      <c r="E373" s="168" t="b">
        <v>0</v>
      </c>
      <c r="F373" s="169"/>
      <c r="G373" s="50"/>
      <c r="H373" s="50"/>
      <c r="I373" s="50"/>
      <c r="J373" s="50"/>
      <c r="K373" s="50"/>
    </row>
    <row r="374">
      <c r="A374" s="168"/>
      <c r="B374" s="168"/>
      <c r="C374" s="168"/>
      <c r="D374" s="168"/>
      <c r="E374" s="168" t="b">
        <v>0</v>
      </c>
      <c r="F374" s="169"/>
      <c r="G374" s="50"/>
      <c r="H374" s="50"/>
      <c r="I374" s="50"/>
      <c r="J374" s="50"/>
      <c r="K374" s="50"/>
    </row>
    <row r="375">
      <c r="A375" s="168"/>
      <c r="B375" s="168"/>
      <c r="C375" s="168"/>
      <c r="D375" s="168"/>
      <c r="E375" s="168" t="b">
        <v>0</v>
      </c>
      <c r="F375" s="169"/>
      <c r="G375" s="50"/>
      <c r="H375" s="50"/>
      <c r="I375" s="50"/>
      <c r="J375" s="50"/>
      <c r="K375" s="50"/>
    </row>
    <row r="376">
      <c r="A376" s="168"/>
      <c r="B376" s="168"/>
      <c r="C376" s="168"/>
      <c r="D376" s="168"/>
      <c r="E376" s="168" t="b">
        <v>0</v>
      </c>
      <c r="F376" s="169"/>
      <c r="G376" s="50"/>
      <c r="H376" s="50"/>
      <c r="I376" s="50"/>
      <c r="J376" s="50"/>
      <c r="K376" s="50"/>
    </row>
    <row r="377">
      <c r="A377" s="168"/>
      <c r="B377" s="168"/>
      <c r="C377" s="168"/>
      <c r="D377" s="168"/>
      <c r="E377" s="168" t="b">
        <v>0</v>
      </c>
      <c r="F377" s="169"/>
      <c r="G377" s="50"/>
      <c r="H377" s="50"/>
      <c r="I377" s="50"/>
      <c r="J377" s="50"/>
      <c r="K377" s="50"/>
    </row>
    <row r="378">
      <c r="A378" s="168"/>
      <c r="B378" s="168"/>
      <c r="C378" s="168"/>
      <c r="D378" s="168"/>
      <c r="E378" s="168" t="b">
        <v>0</v>
      </c>
      <c r="F378" s="169"/>
      <c r="G378" s="50"/>
      <c r="H378" s="50"/>
      <c r="I378" s="50"/>
      <c r="J378" s="50"/>
      <c r="K378" s="50"/>
    </row>
    <row r="379">
      <c r="A379" s="168"/>
      <c r="B379" s="168"/>
      <c r="C379" s="168"/>
      <c r="D379" s="168"/>
      <c r="E379" s="168" t="b">
        <v>0</v>
      </c>
      <c r="F379" s="169"/>
      <c r="G379" s="50"/>
      <c r="H379" s="50"/>
      <c r="I379" s="50"/>
      <c r="J379" s="50"/>
      <c r="K379" s="50"/>
    </row>
    <row r="380">
      <c r="A380" s="168"/>
      <c r="B380" s="168"/>
      <c r="C380" s="168"/>
      <c r="D380" s="168"/>
      <c r="E380" s="168" t="b">
        <v>0</v>
      </c>
      <c r="F380" s="169"/>
      <c r="G380" s="50"/>
      <c r="H380" s="50"/>
      <c r="I380" s="50"/>
      <c r="J380" s="50"/>
      <c r="K380" s="50"/>
    </row>
    <row r="381">
      <c r="A381" s="168"/>
      <c r="B381" s="168"/>
      <c r="C381" s="168"/>
      <c r="D381" s="168"/>
      <c r="E381" s="168" t="b">
        <v>0</v>
      </c>
      <c r="F381" s="169"/>
      <c r="G381" s="50"/>
      <c r="H381" s="50"/>
      <c r="I381" s="50"/>
      <c r="J381" s="50"/>
      <c r="K381" s="50"/>
    </row>
    <row r="382">
      <c r="A382" s="168"/>
      <c r="B382" s="168"/>
      <c r="C382" s="168"/>
      <c r="D382" s="168"/>
      <c r="E382" s="168" t="b">
        <v>0</v>
      </c>
      <c r="F382" s="169"/>
      <c r="G382" s="50"/>
      <c r="H382" s="50"/>
      <c r="I382" s="50"/>
      <c r="J382" s="50"/>
      <c r="K382" s="50"/>
    </row>
    <row r="383">
      <c r="A383" s="168"/>
      <c r="B383" s="168"/>
      <c r="C383" s="168"/>
      <c r="D383" s="168"/>
      <c r="E383" s="168" t="b">
        <v>0</v>
      </c>
      <c r="F383" s="169"/>
      <c r="G383" s="50"/>
      <c r="H383" s="50"/>
      <c r="I383" s="50"/>
      <c r="J383" s="50"/>
      <c r="K383" s="50"/>
    </row>
    <row r="384">
      <c r="A384" s="168"/>
      <c r="B384" s="168"/>
      <c r="C384" s="168"/>
      <c r="D384" s="168"/>
      <c r="E384" s="168" t="b">
        <v>0</v>
      </c>
      <c r="F384" s="169"/>
      <c r="G384" s="50"/>
      <c r="H384" s="50"/>
      <c r="I384" s="50"/>
      <c r="J384" s="50"/>
      <c r="K384" s="50"/>
    </row>
    <row r="385">
      <c r="A385" s="168"/>
      <c r="B385" s="168"/>
      <c r="C385" s="168"/>
      <c r="D385" s="168"/>
      <c r="E385" s="168" t="b">
        <v>0</v>
      </c>
      <c r="F385" s="169"/>
      <c r="G385" s="50"/>
      <c r="H385" s="50"/>
      <c r="I385" s="50"/>
      <c r="J385" s="50"/>
      <c r="K385" s="50"/>
    </row>
    <row r="386">
      <c r="A386" s="168"/>
      <c r="B386" s="168"/>
      <c r="C386" s="168"/>
      <c r="D386" s="168"/>
      <c r="E386" s="168" t="b">
        <v>0</v>
      </c>
      <c r="F386" s="169"/>
      <c r="G386" s="50"/>
      <c r="H386" s="50"/>
      <c r="I386" s="50"/>
      <c r="J386" s="50"/>
      <c r="K386" s="50"/>
    </row>
    <row r="387">
      <c r="A387" s="168"/>
      <c r="B387" s="168"/>
      <c r="C387" s="168"/>
      <c r="D387" s="168"/>
      <c r="E387" s="168" t="b">
        <v>0</v>
      </c>
      <c r="F387" s="169"/>
      <c r="G387" s="50"/>
      <c r="H387" s="50"/>
      <c r="I387" s="50"/>
      <c r="J387" s="50"/>
      <c r="K387" s="50"/>
    </row>
    <row r="388">
      <c r="A388" s="168"/>
      <c r="B388" s="168"/>
      <c r="C388" s="168"/>
      <c r="D388" s="168"/>
      <c r="E388" s="168" t="b">
        <v>0</v>
      </c>
      <c r="F388" s="169"/>
      <c r="G388" s="50"/>
      <c r="H388" s="50"/>
      <c r="I388" s="50"/>
      <c r="J388" s="50"/>
      <c r="K388" s="50"/>
    </row>
    <row r="389">
      <c r="A389" s="168"/>
      <c r="B389" s="168"/>
      <c r="C389" s="168"/>
      <c r="D389" s="168"/>
      <c r="E389" s="168" t="b">
        <v>0</v>
      </c>
      <c r="F389" s="169"/>
      <c r="G389" s="50"/>
      <c r="H389" s="50"/>
      <c r="I389" s="50"/>
      <c r="J389" s="50"/>
      <c r="K389" s="50"/>
    </row>
    <row r="390">
      <c r="A390" s="168"/>
      <c r="B390" s="168"/>
      <c r="C390" s="168"/>
      <c r="D390" s="168"/>
      <c r="E390" s="168" t="b">
        <v>0</v>
      </c>
      <c r="F390" s="169"/>
      <c r="G390" s="50"/>
      <c r="H390" s="50"/>
      <c r="I390" s="50"/>
      <c r="J390" s="50"/>
      <c r="K390" s="50"/>
    </row>
    <row r="391">
      <c r="A391" s="168"/>
      <c r="B391" s="168"/>
      <c r="C391" s="168"/>
      <c r="D391" s="168"/>
      <c r="E391" s="168" t="b">
        <v>0</v>
      </c>
      <c r="F391" s="169"/>
      <c r="G391" s="50"/>
      <c r="H391" s="50"/>
      <c r="I391" s="50"/>
      <c r="J391" s="50"/>
      <c r="K391" s="50"/>
    </row>
    <row r="392">
      <c r="A392" s="168"/>
      <c r="B392" s="168"/>
      <c r="C392" s="168"/>
      <c r="D392" s="168"/>
      <c r="E392" s="168" t="b">
        <v>0</v>
      </c>
      <c r="F392" s="169"/>
      <c r="G392" s="50"/>
      <c r="H392" s="50"/>
      <c r="I392" s="50"/>
      <c r="J392" s="50"/>
      <c r="K392" s="50"/>
    </row>
    <row r="393">
      <c r="A393" s="168"/>
      <c r="B393" s="168"/>
      <c r="C393" s="168"/>
      <c r="D393" s="168"/>
      <c r="E393" s="168" t="b">
        <v>0</v>
      </c>
      <c r="F393" s="169"/>
      <c r="G393" s="50"/>
      <c r="H393" s="50"/>
      <c r="I393" s="50"/>
      <c r="J393" s="50"/>
      <c r="K393" s="50"/>
    </row>
    <row r="394">
      <c r="A394" s="168"/>
      <c r="B394" s="168"/>
      <c r="C394" s="168"/>
      <c r="D394" s="168"/>
      <c r="E394" s="168" t="b">
        <v>0</v>
      </c>
      <c r="F394" s="169"/>
      <c r="G394" s="50"/>
      <c r="H394" s="50"/>
      <c r="I394" s="50"/>
      <c r="J394" s="50"/>
      <c r="K394" s="50"/>
    </row>
    <row r="395">
      <c r="A395" s="168"/>
      <c r="B395" s="168"/>
      <c r="C395" s="168"/>
      <c r="D395" s="168"/>
      <c r="E395" s="168" t="b">
        <v>0</v>
      </c>
      <c r="F395" s="169"/>
      <c r="G395" s="50"/>
      <c r="H395" s="50"/>
      <c r="I395" s="50"/>
      <c r="J395" s="50"/>
      <c r="K395" s="50"/>
    </row>
    <row r="396">
      <c r="A396" s="168"/>
      <c r="B396" s="168"/>
      <c r="C396" s="168"/>
      <c r="D396" s="168"/>
      <c r="E396" s="168" t="b">
        <v>0</v>
      </c>
      <c r="F396" s="169"/>
      <c r="G396" s="50"/>
      <c r="H396" s="50"/>
      <c r="I396" s="50"/>
      <c r="J396" s="50"/>
      <c r="K396" s="50"/>
    </row>
    <row r="397">
      <c r="A397" s="168"/>
      <c r="B397" s="168"/>
      <c r="C397" s="168"/>
      <c r="D397" s="168"/>
      <c r="E397" s="168" t="b">
        <v>0</v>
      </c>
      <c r="F397" s="169"/>
      <c r="G397" s="50"/>
      <c r="H397" s="50"/>
      <c r="I397" s="50"/>
      <c r="J397" s="50"/>
      <c r="K397" s="50"/>
    </row>
    <row r="398">
      <c r="A398" s="168"/>
      <c r="B398" s="168"/>
      <c r="C398" s="168"/>
      <c r="D398" s="168"/>
      <c r="E398" s="168" t="b">
        <v>0</v>
      </c>
      <c r="F398" s="169"/>
      <c r="G398" s="50"/>
      <c r="H398" s="50"/>
      <c r="I398" s="50"/>
      <c r="J398" s="50"/>
      <c r="K398" s="50"/>
    </row>
    <row r="399">
      <c r="A399" s="168"/>
      <c r="B399" s="168"/>
      <c r="C399" s="168"/>
      <c r="D399" s="168"/>
      <c r="E399" s="168" t="b">
        <v>0</v>
      </c>
      <c r="F399" s="169"/>
      <c r="G399" s="50"/>
      <c r="H399" s="50"/>
      <c r="I399" s="50"/>
      <c r="J399" s="50"/>
      <c r="K399" s="50"/>
    </row>
    <row r="400">
      <c r="A400" s="168"/>
      <c r="B400" s="168"/>
      <c r="C400" s="168"/>
      <c r="D400" s="168"/>
      <c r="E400" s="168" t="b">
        <v>0</v>
      </c>
      <c r="F400" s="169"/>
      <c r="G400" s="50"/>
      <c r="H400" s="50"/>
      <c r="I400" s="50"/>
      <c r="J400" s="50"/>
      <c r="K400" s="50"/>
    </row>
    <row r="401">
      <c r="A401" s="168"/>
      <c r="B401" s="168"/>
      <c r="C401" s="168"/>
      <c r="D401" s="168"/>
      <c r="E401" s="168" t="b">
        <v>0</v>
      </c>
      <c r="F401" s="169"/>
      <c r="G401" s="50"/>
      <c r="H401" s="50"/>
      <c r="I401" s="50"/>
      <c r="J401" s="50"/>
      <c r="K401" s="50"/>
    </row>
    <row r="402">
      <c r="A402" s="168"/>
      <c r="B402" s="168"/>
      <c r="C402" s="168"/>
      <c r="D402" s="168"/>
      <c r="E402" s="168" t="b">
        <v>0</v>
      </c>
      <c r="F402" s="169"/>
      <c r="G402" s="50"/>
      <c r="H402" s="50"/>
      <c r="I402" s="50"/>
      <c r="J402" s="50"/>
      <c r="K402" s="50"/>
    </row>
    <row r="403">
      <c r="A403" s="168"/>
      <c r="B403" s="168"/>
      <c r="C403" s="168"/>
      <c r="D403" s="168"/>
      <c r="E403" s="168" t="b">
        <v>0</v>
      </c>
      <c r="F403" s="169"/>
      <c r="G403" s="50"/>
      <c r="H403" s="50"/>
      <c r="I403" s="50"/>
      <c r="J403" s="50"/>
      <c r="K403" s="50"/>
    </row>
    <row r="404">
      <c r="A404" s="168"/>
      <c r="B404" s="168"/>
      <c r="C404" s="168"/>
      <c r="D404" s="168"/>
      <c r="E404" s="168" t="b">
        <v>0</v>
      </c>
      <c r="F404" s="169"/>
      <c r="G404" s="50"/>
      <c r="H404" s="50"/>
      <c r="I404" s="50"/>
      <c r="J404" s="50"/>
      <c r="K404" s="50"/>
    </row>
    <row r="405">
      <c r="A405" s="168"/>
      <c r="B405" s="168"/>
      <c r="C405" s="168"/>
      <c r="D405" s="168"/>
      <c r="E405" s="168" t="b">
        <v>0</v>
      </c>
      <c r="F405" s="169"/>
      <c r="G405" s="50"/>
      <c r="H405" s="50"/>
      <c r="I405" s="50"/>
      <c r="J405" s="50"/>
      <c r="K405" s="50"/>
    </row>
    <row r="406">
      <c r="A406" s="168"/>
      <c r="B406" s="168"/>
      <c r="C406" s="168"/>
      <c r="D406" s="168"/>
      <c r="E406" s="168" t="b">
        <v>0</v>
      </c>
      <c r="F406" s="169"/>
      <c r="G406" s="50"/>
      <c r="H406" s="50"/>
      <c r="I406" s="50"/>
      <c r="J406" s="50"/>
      <c r="K406" s="50"/>
    </row>
    <row r="407">
      <c r="A407" s="168"/>
      <c r="B407" s="168"/>
      <c r="C407" s="168"/>
      <c r="D407" s="168"/>
      <c r="E407" s="168" t="b">
        <v>0</v>
      </c>
      <c r="F407" s="169"/>
      <c r="G407" s="50"/>
      <c r="H407" s="50"/>
      <c r="I407" s="50"/>
      <c r="J407" s="50"/>
      <c r="K407" s="50"/>
    </row>
    <row r="408">
      <c r="A408" s="168"/>
      <c r="B408" s="168"/>
      <c r="C408" s="168"/>
      <c r="D408" s="168"/>
      <c r="E408" s="168" t="b">
        <v>0</v>
      </c>
      <c r="F408" s="169"/>
      <c r="G408" s="50"/>
      <c r="H408" s="50"/>
      <c r="I408" s="50"/>
      <c r="J408" s="50"/>
      <c r="K408" s="50"/>
    </row>
    <row r="409">
      <c r="A409" s="168"/>
      <c r="B409" s="168"/>
      <c r="C409" s="168"/>
      <c r="D409" s="168"/>
      <c r="E409" s="168" t="b">
        <v>0</v>
      </c>
      <c r="F409" s="169"/>
      <c r="G409" s="50"/>
      <c r="H409" s="50"/>
      <c r="I409" s="50"/>
      <c r="J409" s="50"/>
      <c r="K409" s="50"/>
    </row>
    <row r="410">
      <c r="A410" s="168"/>
      <c r="B410" s="168"/>
      <c r="C410" s="168"/>
      <c r="D410" s="168"/>
      <c r="E410" s="168" t="b">
        <v>0</v>
      </c>
      <c r="F410" s="169"/>
      <c r="G410" s="50"/>
      <c r="H410" s="50"/>
      <c r="I410" s="50"/>
      <c r="J410" s="50"/>
      <c r="K410" s="50"/>
    </row>
    <row r="411">
      <c r="A411" s="168"/>
      <c r="B411" s="168"/>
      <c r="C411" s="168"/>
      <c r="D411" s="168"/>
      <c r="E411" s="168" t="b">
        <v>0</v>
      </c>
      <c r="F411" s="169"/>
      <c r="G411" s="50"/>
      <c r="H411" s="50"/>
      <c r="I411" s="50"/>
      <c r="J411" s="50"/>
      <c r="K411" s="50"/>
    </row>
    <row r="412">
      <c r="A412" s="168"/>
      <c r="B412" s="168"/>
      <c r="C412" s="168"/>
      <c r="D412" s="168"/>
      <c r="E412" s="168" t="b">
        <v>0</v>
      </c>
      <c r="F412" s="169"/>
      <c r="G412" s="50"/>
      <c r="H412" s="50"/>
      <c r="I412" s="50"/>
      <c r="J412" s="50"/>
      <c r="K412" s="50"/>
    </row>
    <row r="413">
      <c r="A413" s="168"/>
      <c r="B413" s="168"/>
      <c r="C413" s="168"/>
      <c r="D413" s="168"/>
      <c r="E413" s="168" t="b">
        <v>0</v>
      </c>
      <c r="F413" s="169"/>
      <c r="G413" s="50"/>
      <c r="H413" s="50"/>
      <c r="I413" s="50"/>
      <c r="J413" s="50"/>
      <c r="K413" s="50"/>
    </row>
    <row r="414">
      <c r="A414" s="168"/>
      <c r="B414" s="168"/>
      <c r="C414" s="168"/>
      <c r="D414" s="168"/>
      <c r="E414" s="168" t="b">
        <v>0</v>
      </c>
      <c r="F414" s="169"/>
      <c r="G414" s="50"/>
      <c r="H414" s="50"/>
      <c r="I414" s="50"/>
      <c r="J414" s="50"/>
      <c r="K414" s="50"/>
    </row>
    <row r="415">
      <c r="A415" s="168"/>
      <c r="B415" s="168"/>
      <c r="C415" s="168"/>
      <c r="D415" s="168"/>
      <c r="E415" s="168" t="b">
        <v>0</v>
      </c>
      <c r="F415" s="169"/>
      <c r="G415" s="50"/>
      <c r="H415" s="50"/>
      <c r="I415" s="50"/>
      <c r="J415" s="50"/>
      <c r="K415" s="50"/>
    </row>
    <row r="416">
      <c r="A416" s="168"/>
      <c r="B416" s="168"/>
      <c r="C416" s="168"/>
      <c r="D416" s="168"/>
      <c r="E416" s="168" t="b">
        <v>0</v>
      </c>
      <c r="F416" s="169"/>
      <c r="G416" s="50"/>
      <c r="H416" s="50"/>
      <c r="I416" s="50"/>
      <c r="J416" s="50"/>
      <c r="K416" s="50"/>
    </row>
    <row r="417">
      <c r="A417" s="168"/>
      <c r="B417" s="168"/>
      <c r="C417" s="168"/>
      <c r="D417" s="168"/>
      <c r="E417" s="168" t="b">
        <v>0</v>
      </c>
      <c r="F417" s="169"/>
      <c r="G417" s="50"/>
      <c r="H417" s="50"/>
      <c r="I417" s="50"/>
      <c r="J417" s="50"/>
      <c r="K417" s="50"/>
    </row>
    <row r="418">
      <c r="A418" s="168"/>
      <c r="B418" s="168"/>
      <c r="C418" s="168"/>
      <c r="D418" s="168"/>
      <c r="E418" s="168" t="b">
        <v>0</v>
      </c>
      <c r="F418" s="169"/>
      <c r="G418" s="50"/>
      <c r="H418" s="50"/>
      <c r="I418" s="50"/>
      <c r="J418" s="50"/>
      <c r="K418" s="50"/>
    </row>
    <row r="419">
      <c r="A419" s="168"/>
      <c r="B419" s="168"/>
      <c r="C419" s="168"/>
      <c r="D419" s="168"/>
      <c r="E419" s="168" t="b">
        <v>0</v>
      </c>
      <c r="F419" s="169"/>
      <c r="G419" s="50"/>
      <c r="H419" s="50"/>
      <c r="I419" s="50"/>
      <c r="J419" s="50"/>
      <c r="K419" s="50"/>
    </row>
    <row r="420">
      <c r="A420" s="168"/>
      <c r="B420" s="168"/>
      <c r="C420" s="168"/>
      <c r="D420" s="168"/>
      <c r="E420" s="168" t="b">
        <v>0</v>
      </c>
      <c r="F420" s="169"/>
      <c r="G420" s="50"/>
      <c r="H420" s="50"/>
      <c r="I420" s="50"/>
      <c r="J420" s="50"/>
      <c r="K420" s="50"/>
    </row>
    <row r="421">
      <c r="A421" s="168"/>
      <c r="B421" s="168"/>
      <c r="C421" s="168"/>
      <c r="D421" s="168"/>
      <c r="E421" s="168" t="b">
        <v>0</v>
      </c>
      <c r="F421" s="169"/>
      <c r="G421" s="50"/>
      <c r="H421" s="50"/>
      <c r="I421" s="50"/>
      <c r="J421" s="50"/>
      <c r="K421" s="50"/>
    </row>
    <row r="422">
      <c r="A422" s="168"/>
      <c r="B422" s="168"/>
      <c r="C422" s="168"/>
      <c r="D422" s="168"/>
      <c r="E422" s="168" t="b">
        <v>0</v>
      </c>
      <c r="F422" s="169"/>
      <c r="G422" s="50"/>
      <c r="H422" s="50"/>
      <c r="I422" s="50"/>
      <c r="J422" s="50"/>
      <c r="K422" s="50"/>
    </row>
    <row r="423">
      <c r="A423" s="168"/>
      <c r="B423" s="168"/>
      <c r="C423" s="168"/>
      <c r="D423" s="168"/>
      <c r="E423" s="168" t="b">
        <v>0</v>
      </c>
      <c r="F423" s="169"/>
      <c r="G423" s="50"/>
      <c r="H423" s="50"/>
      <c r="I423" s="50"/>
      <c r="J423" s="50"/>
      <c r="K423" s="50"/>
    </row>
    <row r="424">
      <c r="A424" s="168"/>
      <c r="B424" s="168"/>
      <c r="C424" s="168"/>
      <c r="D424" s="168"/>
      <c r="E424" s="168" t="b">
        <v>0</v>
      </c>
      <c r="F424" s="169"/>
      <c r="G424" s="50"/>
      <c r="H424" s="50"/>
      <c r="I424" s="50"/>
      <c r="J424" s="50"/>
      <c r="K424" s="50"/>
    </row>
    <row r="425">
      <c r="A425" s="168"/>
      <c r="B425" s="168"/>
      <c r="C425" s="168"/>
      <c r="D425" s="168"/>
      <c r="E425" s="168" t="b">
        <v>0</v>
      </c>
      <c r="F425" s="169"/>
      <c r="G425" s="50"/>
      <c r="H425" s="50"/>
      <c r="I425" s="50"/>
      <c r="J425" s="50"/>
      <c r="K425" s="50"/>
    </row>
    <row r="426">
      <c r="A426" s="168"/>
      <c r="B426" s="168"/>
      <c r="C426" s="168"/>
      <c r="D426" s="168"/>
      <c r="E426" s="168" t="b">
        <v>0</v>
      </c>
      <c r="F426" s="169"/>
      <c r="G426" s="50"/>
      <c r="H426" s="50"/>
      <c r="I426" s="50"/>
      <c r="J426" s="50"/>
      <c r="K426" s="50"/>
    </row>
    <row r="427">
      <c r="A427" s="168"/>
      <c r="B427" s="168"/>
      <c r="C427" s="168"/>
      <c r="D427" s="168"/>
      <c r="E427" s="168" t="b">
        <v>0</v>
      </c>
      <c r="F427" s="169"/>
      <c r="G427" s="50"/>
      <c r="H427" s="50"/>
      <c r="I427" s="50"/>
      <c r="J427" s="50"/>
      <c r="K427" s="50"/>
    </row>
    <row r="428">
      <c r="A428" s="168"/>
      <c r="B428" s="168"/>
      <c r="C428" s="168"/>
      <c r="D428" s="168"/>
      <c r="E428" s="168" t="b">
        <v>0</v>
      </c>
      <c r="F428" s="169"/>
      <c r="G428" s="50"/>
      <c r="H428" s="50"/>
      <c r="I428" s="50"/>
      <c r="J428" s="50"/>
      <c r="K428" s="50"/>
    </row>
    <row r="429">
      <c r="A429" s="168"/>
      <c r="B429" s="168"/>
      <c r="C429" s="168"/>
      <c r="D429" s="168"/>
      <c r="E429" s="168" t="b">
        <v>0</v>
      </c>
      <c r="F429" s="169"/>
      <c r="G429" s="50"/>
      <c r="H429" s="50"/>
      <c r="I429" s="50"/>
      <c r="J429" s="50"/>
      <c r="K429" s="50"/>
    </row>
    <row r="430">
      <c r="A430" s="168"/>
      <c r="B430" s="168"/>
      <c r="C430" s="168"/>
      <c r="D430" s="168"/>
      <c r="E430" s="168" t="b">
        <v>0</v>
      </c>
      <c r="F430" s="169"/>
      <c r="G430" s="50"/>
      <c r="H430" s="50"/>
      <c r="I430" s="50"/>
      <c r="J430" s="50"/>
      <c r="K430" s="50"/>
    </row>
    <row r="431">
      <c r="A431" s="168"/>
      <c r="B431" s="168"/>
      <c r="C431" s="168"/>
      <c r="D431" s="168"/>
      <c r="E431" s="168" t="b">
        <v>0</v>
      </c>
      <c r="F431" s="169"/>
      <c r="G431" s="50"/>
      <c r="H431" s="50"/>
      <c r="I431" s="50"/>
      <c r="J431" s="50"/>
      <c r="K431" s="50"/>
    </row>
    <row r="432">
      <c r="A432" s="168"/>
      <c r="B432" s="168"/>
      <c r="C432" s="168"/>
      <c r="D432" s="168"/>
      <c r="E432" s="168" t="b">
        <v>0</v>
      </c>
      <c r="F432" s="169"/>
      <c r="G432" s="50"/>
      <c r="H432" s="50"/>
      <c r="I432" s="50"/>
      <c r="J432" s="50"/>
      <c r="K432" s="50"/>
    </row>
    <row r="433">
      <c r="A433" s="168"/>
      <c r="B433" s="168"/>
      <c r="C433" s="168"/>
      <c r="D433" s="168"/>
      <c r="E433" s="168" t="b">
        <v>0</v>
      </c>
      <c r="F433" s="169"/>
      <c r="G433" s="50"/>
      <c r="H433" s="50"/>
      <c r="I433" s="50"/>
      <c r="J433" s="50"/>
      <c r="K433" s="50"/>
    </row>
    <row r="434">
      <c r="A434" s="168"/>
      <c r="B434" s="168"/>
      <c r="C434" s="168"/>
      <c r="D434" s="168"/>
      <c r="E434" s="168" t="b">
        <v>0</v>
      </c>
      <c r="F434" s="169"/>
      <c r="G434" s="50"/>
      <c r="H434" s="50"/>
      <c r="I434" s="50"/>
      <c r="J434" s="50"/>
      <c r="K434" s="50"/>
    </row>
    <row r="435">
      <c r="A435" s="168"/>
      <c r="B435" s="168"/>
      <c r="C435" s="168"/>
      <c r="D435" s="168"/>
      <c r="E435" s="168" t="b">
        <v>0</v>
      </c>
      <c r="F435" s="169"/>
      <c r="G435" s="50"/>
      <c r="H435" s="50"/>
      <c r="I435" s="50"/>
      <c r="J435" s="50"/>
      <c r="K435" s="50"/>
    </row>
    <row r="436">
      <c r="A436" s="168"/>
      <c r="B436" s="168"/>
      <c r="C436" s="168"/>
      <c r="D436" s="168"/>
      <c r="E436" s="168" t="b">
        <v>0</v>
      </c>
      <c r="F436" s="169"/>
      <c r="G436" s="50"/>
      <c r="H436" s="50"/>
      <c r="I436" s="50"/>
      <c r="J436" s="50"/>
      <c r="K436" s="50"/>
    </row>
    <row r="437">
      <c r="A437" s="168"/>
      <c r="B437" s="168"/>
      <c r="C437" s="168"/>
      <c r="D437" s="168"/>
      <c r="E437" s="168" t="b">
        <v>0</v>
      </c>
      <c r="F437" s="169"/>
      <c r="G437" s="50"/>
      <c r="H437" s="50"/>
      <c r="I437" s="50"/>
      <c r="J437" s="50"/>
      <c r="K437" s="50"/>
    </row>
    <row r="438">
      <c r="A438" s="168"/>
      <c r="B438" s="168"/>
      <c r="C438" s="168"/>
      <c r="D438" s="168"/>
      <c r="E438" s="168" t="b">
        <v>0</v>
      </c>
      <c r="F438" s="169"/>
      <c r="G438" s="50"/>
      <c r="H438" s="50"/>
      <c r="I438" s="50"/>
      <c r="J438" s="50"/>
      <c r="K438" s="50"/>
    </row>
    <row r="439">
      <c r="A439" s="168"/>
      <c r="B439" s="168"/>
      <c r="C439" s="168"/>
      <c r="D439" s="168"/>
      <c r="E439" s="168" t="b">
        <v>0</v>
      </c>
      <c r="F439" s="169"/>
      <c r="G439" s="50"/>
      <c r="H439" s="50"/>
      <c r="I439" s="50"/>
      <c r="J439" s="50"/>
      <c r="K439" s="50"/>
    </row>
    <row r="440">
      <c r="A440" s="168"/>
      <c r="B440" s="168"/>
      <c r="C440" s="168"/>
      <c r="D440" s="168"/>
      <c r="E440" s="168" t="b">
        <v>0</v>
      </c>
      <c r="F440" s="169"/>
      <c r="G440" s="50"/>
      <c r="H440" s="50"/>
      <c r="I440" s="50"/>
      <c r="J440" s="50"/>
      <c r="K440" s="50"/>
    </row>
    <row r="441">
      <c r="A441" s="168"/>
      <c r="B441" s="168"/>
      <c r="C441" s="168"/>
      <c r="D441" s="168"/>
      <c r="E441" s="168" t="b">
        <v>0</v>
      </c>
      <c r="F441" s="169"/>
      <c r="G441" s="50"/>
      <c r="H441" s="50"/>
      <c r="I441" s="50"/>
      <c r="J441" s="50"/>
      <c r="K441" s="50"/>
    </row>
    <row r="442">
      <c r="A442" s="168"/>
      <c r="B442" s="168"/>
      <c r="C442" s="168"/>
      <c r="D442" s="168"/>
      <c r="E442" s="168" t="b">
        <v>0</v>
      </c>
      <c r="F442" s="169"/>
      <c r="G442" s="50"/>
      <c r="H442" s="50"/>
      <c r="I442" s="50"/>
      <c r="J442" s="50"/>
      <c r="K442" s="50"/>
    </row>
    <row r="443">
      <c r="A443" s="168"/>
      <c r="B443" s="168"/>
      <c r="C443" s="168"/>
      <c r="D443" s="168"/>
      <c r="E443" s="168" t="b">
        <v>0</v>
      </c>
      <c r="F443" s="169"/>
      <c r="G443" s="50"/>
      <c r="H443" s="50"/>
      <c r="I443" s="50"/>
      <c r="J443" s="50"/>
      <c r="K443" s="50"/>
    </row>
    <row r="444">
      <c r="A444" s="168"/>
      <c r="B444" s="168"/>
      <c r="C444" s="168"/>
      <c r="D444" s="168"/>
      <c r="E444" s="168" t="b">
        <v>0</v>
      </c>
      <c r="F444" s="169"/>
      <c r="G444" s="50"/>
      <c r="H444" s="50"/>
      <c r="I444" s="50"/>
      <c r="J444" s="50"/>
      <c r="K444" s="50"/>
    </row>
    <row r="445">
      <c r="A445" s="168"/>
      <c r="B445" s="168"/>
      <c r="C445" s="168"/>
      <c r="D445" s="168"/>
      <c r="E445" s="168" t="b">
        <v>0</v>
      </c>
      <c r="F445" s="169"/>
      <c r="G445" s="50"/>
      <c r="H445" s="50"/>
      <c r="I445" s="50"/>
      <c r="J445" s="50"/>
      <c r="K445" s="50"/>
    </row>
    <row r="446">
      <c r="A446" s="168"/>
      <c r="B446" s="168"/>
      <c r="C446" s="168"/>
      <c r="D446" s="168"/>
      <c r="E446" s="168" t="b">
        <v>0</v>
      </c>
      <c r="F446" s="169"/>
      <c r="G446" s="50"/>
      <c r="H446" s="50"/>
      <c r="I446" s="50"/>
      <c r="J446" s="50"/>
      <c r="K446" s="50"/>
    </row>
    <row r="447">
      <c r="A447" s="168"/>
      <c r="B447" s="168"/>
      <c r="C447" s="168"/>
      <c r="D447" s="168"/>
      <c r="E447" s="168" t="b">
        <v>0</v>
      </c>
      <c r="F447" s="169"/>
      <c r="G447" s="50"/>
      <c r="H447" s="50"/>
      <c r="I447" s="50"/>
      <c r="J447" s="50"/>
      <c r="K447" s="50"/>
    </row>
    <row r="448">
      <c r="A448" s="168"/>
      <c r="B448" s="168"/>
      <c r="C448" s="168"/>
      <c r="D448" s="168"/>
      <c r="E448" s="168" t="b">
        <v>0</v>
      </c>
      <c r="F448" s="169"/>
      <c r="G448" s="50"/>
      <c r="H448" s="50"/>
      <c r="I448" s="50"/>
      <c r="J448" s="50"/>
      <c r="K448" s="50"/>
    </row>
    <row r="449">
      <c r="A449" s="168"/>
      <c r="B449" s="168"/>
      <c r="C449" s="168"/>
      <c r="D449" s="168"/>
      <c r="E449" s="168" t="b">
        <v>0</v>
      </c>
      <c r="F449" s="169"/>
      <c r="G449" s="50"/>
      <c r="H449" s="50"/>
      <c r="I449" s="50"/>
      <c r="J449" s="50"/>
      <c r="K449" s="50"/>
    </row>
    <row r="450">
      <c r="A450" s="168"/>
      <c r="B450" s="168"/>
      <c r="C450" s="168"/>
      <c r="D450" s="168"/>
      <c r="E450" s="168" t="b">
        <v>0</v>
      </c>
      <c r="F450" s="169"/>
      <c r="G450" s="50"/>
      <c r="H450" s="50"/>
      <c r="I450" s="50"/>
      <c r="J450" s="50"/>
      <c r="K450" s="50"/>
    </row>
    <row r="451">
      <c r="A451" s="168"/>
      <c r="B451" s="168"/>
      <c r="C451" s="168"/>
      <c r="D451" s="168"/>
      <c r="E451" s="168" t="b">
        <v>0</v>
      </c>
      <c r="F451" s="169"/>
      <c r="G451" s="50"/>
      <c r="H451" s="50"/>
      <c r="I451" s="50"/>
      <c r="J451" s="50"/>
      <c r="K451" s="50"/>
    </row>
    <row r="452">
      <c r="A452" s="168"/>
      <c r="B452" s="168"/>
      <c r="C452" s="168"/>
      <c r="D452" s="168"/>
      <c r="E452" s="168" t="b">
        <v>0</v>
      </c>
      <c r="F452" s="169"/>
      <c r="G452" s="50"/>
      <c r="H452" s="50"/>
      <c r="I452" s="50"/>
      <c r="J452" s="50"/>
      <c r="K452" s="50"/>
    </row>
    <row r="453">
      <c r="A453" s="168"/>
      <c r="B453" s="168"/>
      <c r="C453" s="168"/>
      <c r="D453" s="168"/>
      <c r="E453" s="168" t="b">
        <v>0</v>
      </c>
      <c r="F453" s="169"/>
      <c r="G453" s="50"/>
      <c r="H453" s="50"/>
      <c r="I453" s="50"/>
      <c r="J453" s="50"/>
      <c r="K453" s="50"/>
    </row>
    <row r="454">
      <c r="A454" s="168"/>
      <c r="B454" s="168"/>
      <c r="C454" s="168"/>
      <c r="D454" s="168"/>
      <c r="E454" s="168" t="b">
        <v>0</v>
      </c>
      <c r="F454" s="169"/>
      <c r="G454" s="50"/>
      <c r="H454" s="50"/>
      <c r="I454" s="50"/>
      <c r="J454" s="50"/>
      <c r="K454" s="50"/>
    </row>
    <row r="455">
      <c r="A455" s="168"/>
      <c r="B455" s="168"/>
      <c r="C455" s="168"/>
      <c r="D455" s="168"/>
      <c r="E455" s="168" t="b">
        <v>0</v>
      </c>
      <c r="F455" s="169"/>
      <c r="G455" s="50"/>
      <c r="H455" s="50"/>
      <c r="I455" s="50"/>
      <c r="J455" s="50"/>
      <c r="K455" s="50"/>
    </row>
    <row r="456">
      <c r="A456" s="168"/>
      <c r="B456" s="168"/>
      <c r="C456" s="168"/>
      <c r="D456" s="168"/>
      <c r="E456" s="168" t="b">
        <v>0</v>
      </c>
      <c r="F456" s="169"/>
      <c r="G456" s="50"/>
      <c r="H456" s="50"/>
      <c r="I456" s="50"/>
      <c r="J456" s="50"/>
      <c r="K456" s="50"/>
    </row>
    <row r="457">
      <c r="A457" s="168"/>
      <c r="B457" s="168"/>
      <c r="C457" s="168"/>
      <c r="D457" s="168"/>
      <c r="E457" s="168" t="b">
        <v>0</v>
      </c>
      <c r="F457" s="169"/>
      <c r="G457" s="50"/>
      <c r="H457" s="50"/>
      <c r="I457" s="50"/>
      <c r="J457" s="50"/>
      <c r="K457" s="50"/>
    </row>
    <row r="458">
      <c r="A458" s="168"/>
      <c r="B458" s="168"/>
      <c r="C458" s="168"/>
      <c r="D458" s="168"/>
      <c r="E458" s="168" t="b">
        <v>0</v>
      </c>
      <c r="F458" s="169"/>
      <c r="G458" s="50"/>
      <c r="H458" s="50"/>
      <c r="I458" s="50"/>
      <c r="J458" s="50"/>
      <c r="K458" s="50"/>
    </row>
    <row r="459">
      <c r="A459" s="168"/>
      <c r="B459" s="168"/>
      <c r="C459" s="168"/>
      <c r="D459" s="168"/>
      <c r="E459" s="168" t="b">
        <v>0</v>
      </c>
      <c r="F459" s="169"/>
      <c r="G459" s="50"/>
      <c r="H459" s="50"/>
      <c r="I459" s="50"/>
      <c r="J459" s="50"/>
      <c r="K459" s="50"/>
    </row>
    <row r="460">
      <c r="A460" s="168"/>
      <c r="B460" s="168"/>
      <c r="C460" s="168"/>
      <c r="D460" s="168"/>
      <c r="E460" s="168" t="b">
        <v>0</v>
      </c>
      <c r="F460" s="169"/>
      <c r="G460" s="50"/>
      <c r="H460" s="50"/>
      <c r="I460" s="50"/>
      <c r="J460" s="50"/>
      <c r="K460" s="50"/>
    </row>
    <row r="461">
      <c r="A461" s="168"/>
      <c r="B461" s="168"/>
      <c r="C461" s="168"/>
      <c r="D461" s="168"/>
      <c r="E461" s="168" t="b">
        <v>0</v>
      </c>
      <c r="F461" s="169"/>
      <c r="G461" s="50"/>
      <c r="H461" s="50"/>
      <c r="I461" s="50"/>
      <c r="J461" s="50"/>
      <c r="K461" s="50"/>
    </row>
    <row r="462">
      <c r="A462" s="168"/>
      <c r="B462" s="168"/>
      <c r="C462" s="168"/>
      <c r="D462" s="168"/>
      <c r="E462" s="168" t="b">
        <v>0</v>
      </c>
      <c r="F462" s="169"/>
      <c r="G462" s="50"/>
      <c r="H462" s="50"/>
      <c r="I462" s="50"/>
      <c r="J462" s="50"/>
      <c r="K462" s="50"/>
    </row>
    <row r="463">
      <c r="A463" s="168"/>
      <c r="B463" s="168"/>
      <c r="C463" s="168"/>
      <c r="D463" s="168"/>
      <c r="E463" s="168" t="b">
        <v>0</v>
      </c>
      <c r="F463" s="169"/>
      <c r="G463" s="50"/>
      <c r="H463" s="50"/>
      <c r="I463" s="50"/>
      <c r="J463" s="50"/>
      <c r="K463" s="50"/>
    </row>
    <row r="464">
      <c r="A464" s="168"/>
      <c r="B464" s="168"/>
      <c r="C464" s="168"/>
      <c r="D464" s="168"/>
      <c r="E464" s="168" t="b">
        <v>0</v>
      </c>
      <c r="F464" s="169"/>
      <c r="G464" s="50"/>
      <c r="H464" s="50"/>
      <c r="I464" s="50"/>
      <c r="J464" s="50"/>
      <c r="K464" s="50"/>
    </row>
    <row r="465">
      <c r="A465" s="168"/>
      <c r="B465" s="168"/>
      <c r="C465" s="168"/>
      <c r="D465" s="168"/>
      <c r="E465" s="168" t="b">
        <v>0</v>
      </c>
      <c r="F465" s="169"/>
      <c r="G465" s="50"/>
      <c r="H465" s="50"/>
      <c r="I465" s="50"/>
      <c r="J465" s="50"/>
      <c r="K465" s="50"/>
    </row>
    <row r="466">
      <c r="A466" s="168"/>
      <c r="B466" s="168"/>
      <c r="C466" s="168"/>
      <c r="D466" s="168"/>
      <c r="E466" s="168" t="b">
        <v>0</v>
      </c>
      <c r="F466" s="169"/>
      <c r="G466" s="50"/>
      <c r="H466" s="50"/>
      <c r="I466" s="50"/>
      <c r="J466" s="50"/>
      <c r="K466" s="50"/>
    </row>
    <row r="467">
      <c r="A467" s="168"/>
      <c r="B467" s="168"/>
      <c r="C467" s="168"/>
      <c r="D467" s="168"/>
      <c r="E467" s="168" t="b">
        <v>0</v>
      </c>
      <c r="F467" s="169"/>
      <c r="G467" s="50"/>
      <c r="H467" s="50"/>
      <c r="I467" s="50"/>
      <c r="J467" s="50"/>
      <c r="K467" s="50"/>
    </row>
    <row r="468">
      <c r="A468" s="168"/>
      <c r="B468" s="168"/>
      <c r="C468" s="168"/>
      <c r="D468" s="168"/>
      <c r="E468" s="168" t="b">
        <v>0</v>
      </c>
      <c r="F468" s="169"/>
      <c r="G468" s="50"/>
      <c r="H468" s="50"/>
      <c r="I468" s="50"/>
      <c r="J468" s="50"/>
      <c r="K468" s="50"/>
    </row>
    <row r="469">
      <c r="A469" s="168"/>
      <c r="B469" s="168"/>
      <c r="C469" s="168"/>
      <c r="D469" s="168"/>
      <c r="E469" s="168" t="b">
        <v>0</v>
      </c>
      <c r="F469" s="169"/>
      <c r="G469" s="50"/>
      <c r="H469" s="50"/>
      <c r="I469" s="50"/>
      <c r="J469" s="50"/>
      <c r="K469" s="50"/>
    </row>
    <row r="470">
      <c r="A470" s="168"/>
      <c r="B470" s="168"/>
      <c r="C470" s="168"/>
      <c r="D470" s="168"/>
      <c r="E470" s="168" t="b">
        <v>0</v>
      </c>
      <c r="F470" s="169"/>
      <c r="G470" s="50"/>
      <c r="H470" s="50"/>
      <c r="I470" s="50"/>
      <c r="J470" s="50"/>
      <c r="K470" s="50"/>
    </row>
    <row r="471">
      <c r="A471" s="168"/>
      <c r="B471" s="168"/>
      <c r="C471" s="168"/>
      <c r="D471" s="168"/>
      <c r="E471" s="168" t="b">
        <v>0</v>
      </c>
      <c r="F471" s="169"/>
      <c r="G471" s="50"/>
      <c r="H471" s="50"/>
      <c r="I471" s="50"/>
      <c r="J471" s="50"/>
      <c r="K471" s="50"/>
    </row>
    <row r="472">
      <c r="A472" s="168"/>
      <c r="B472" s="168"/>
      <c r="C472" s="168"/>
      <c r="D472" s="168"/>
      <c r="E472" s="168" t="b">
        <v>0</v>
      </c>
      <c r="F472" s="169"/>
      <c r="G472" s="50"/>
      <c r="H472" s="50"/>
      <c r="I472" s="50"/>
      <c r="J472" s="50"/>
      <c r="K472" s="50"/>
    </row>
    <row r="473">
      <c r="A473" s="168"/>
      <c r="B473" s="168"/>
      <c r="C473" s="168"/>
      <c r="D473" s="168"/>
      <c r="E473" s="168" t="b">
        <v>0</v>
      </c>
      <c r="F473" s="169"/>
      <c r="G473" s="50"/>
      <c r="H473" s="50"/>
      <c r="I473" s="50"/>
      <c r="J473" s="50"/>
      <c r="K473" s="50"/>
    </row>
    <row r="474">
      <c r="A474" s="168"/>
      <c r="B474" s="168"/>
      <c r="C474" s="168"/>
      <c r="D474" s="168"/>
      <c r="E474" s="168" t="b">
        <v>0</v>
      </c>
      <c r="F474" s="169"/>
      <c r="G474" s="50"/>
      <c r="H474" s="50"/>
      <c r="I474" s="50"/>
      <c r="J474" s="50"/>
      <c r="K474" s="50"/>
    </row>
    <row r="475">
      <c r="A475" s="168"/>
      <c r="B475" s="168"/>
      <c r="C475" s="168"/>
      <c r="D475" s="168"/>
      <c r="E475" s="168" t="b">
        <v>0</v>
      </c>
      <c r="F475" s="169"/>
      <c r="G475" s="50"/>
      <c r="H475" s="50"/>
      <c r="I475" s="50"/>
      <c r="J475" s="50"/>
      <c r="K475" s="50"/>
    </row>
    <row r="476">
      <c r="A476" s="168"/>
      <c r="B476" s="168"/>
      <c r="C476" s="168"/>
      <c r="D476" s="168"/>
      <c r="E476" s="168" t="b">
        <v>0</v>
      </c>
      <c r="F476" s="169"/>
      <c r="G476" s="50"/>
      <c r="H476" s="50"/>
      <c r="I476" s="50"/>
      <c r="J476" s="50"/>
      <c r="K476" s="50"/>
    </row>
    <row r="477">
      <c r="A477" s="168"/>
      <c r="B477" s="168"/>
      <c r="C477" s="168"/>
      <c r="D477" s="168"/>
      <c r="E477" s="168" t="b">
        <v>0</v>
      </c>
      <c r="F477" s="169"/>
      <c r="G477" s="50"/>
      <c r="H477" s="50"/>
      <c r="I477" s="50"/>
      <c r="J477" s="50"/>
      <c r="K477" s="50"/>
    </row>
    <row r="478">
      <c r="A478" s="168"/>
      <c r="B478" s="168"/>
      <c r="C478" s="168"/>
      <c r="D478" s="168"/>
      <c r="E478" s="168" t="b">
        <v>0</v>
      </c>
      <c r="F478" s="169"/>
      <c r="G478" s="50"/>
      <c r="H478" s="50"/>
      <c r="I478" s="50"/>
      <c r="J478" s="50"/>
      <c r="K478" s="50"/>
    </row>
    <row r="479">
      <c r="A479" s="168"/>
      <c r="B479" s="168"/>
      <c r="C479" s="168"/>
      <c r="D479" s="168"/>
      <c r="E479" s="168" t="b">
        <v>0</v>
      </c>
      <c r="F479" s="169"/>
      <c r="G479" s="50"/>
      <c r="H479" s="50"/>
      <c r="I479" s="50"/>
      <c r="J479" s="50"/>
      <c r="K479" s="50"/>
    </row>
    <row r="480">
      <c r="A480" s="168"/>
      <c r="B480" s="168"/>
      <c r="C480" s="168"/>
      <c r="D480" s="168"/>
      <c r="E480" s="168" t="b">
        <v>0</v>
      </c>
      <c r="F480" s="169"/>
      <c r="G480" s="50"/>
      <c r="H480" s="50"/>
      <c r="I480" s="50"/>
      <c r="J480" s="50"/>
      <c r="K480" s="50"/>
    </row>
    <row r="481">
      <c r="A481" s="168"/>
      <c r="B481" s="168"/>
      <c r="C481" s="168"/>
      <c r="D481" s="168"/>
      <c r="E481" s="168" t="b">
        <v>0</v>
      </c>
      <c r="F481" s="169"/>
      <c r="G481" s="50"/>
      <c r="H481" s="50"/>
      <c r="I481" s="50"/>
      <c r="J481" s="50"/>
      <c r="K481" s="50"/>
    </row>
    <row r="482">
      <c r="A482" s="168"/>
      <c r="B482" s="168"/>
      <c r="C482" s="168"/>
      <c r="D482" s="168"/>
      <c r="E482" s="168" t="b">
        <v>0</v>
      </c>
      <c r="F482" s="169"/>
      <c r="G482" s="50"/>
      <c r="H482" s="50"/>
      <c r="I482" s="50"/>
      <c r="J482" s="50"/>
      <c r="K482" s="50"/>
    </row>
    <row r="483">
      <c r="A483" s="168"/>
      <c r="B483" s="168"/>
      <c r="C483" s="168"/>
      <c r="D483" s="168"/>
      <c r="E483" s="168" t="b">
        <v>0</v>
      </c>
      <c r="F483" s="169"/>
      <c r="G483" s="50"/>
      <c r="H483" s="50"/>
      <c r="I483" s="50"/>
      <c r="J483" s="50"/>
      <c r="K483" s="50"/>
    </row>
    <row r="484">
      <c r="A484" s="168"/>
      <c r="B484" s="168"/>
      <c r="C484" s="168"/>
      <c r="D484" s="168"/>
      <c r="E484" s="168" t="b">
        <v>0</v>
      </c>
      <c r="F484" s="169"/>
      <c r="G484" s="50"/>
      <c r="H484" s="50"/>
      <c r="I484" s="50"/>
      <c r="J484" s="50"/>
      <c r="K484" s="50"/>
    </row>
    <row r="485">
      <c r="A485" s="168"/>
      <c r="B485" s="168"/>
      <c r="C485" s="168"/>
      <c r="D485" s="168"/>
      <c r="E485" s="168" t="b">
        <v>0</v>
      </c>
      <c r="F485" s="169"/>
      <c r="G485" s="50"/>
      <c r="H485" s="50"/>
      <c r="I485" s="50"/>
      <c r="J485" s="50"/>
      <c r="K485" s="50"/>
    </row>
    <row r="486">
      <c r="A486" s="168"/>
      <c r="B486" s="168"/>
      <c r="C486" s="168"/>
      <c r="D486" s="168"/>
      <c r="E486" s="168" t="b">
        <v>0</v>
      </c>
      <c r="F486" s="169"/>
      <c r="G486" s="50"/>
      <c r="H486" s="50"/>
      <c r="I486" s="50"/>
      <c r="J486" s="50"/>
      <c r="K486" s="50"/>
    </row>
    <row r="487">
      <c r="A487" s="168"/>
      <c r="B487" s="168"/>
      <c r="C487" s="168"/>
      <c r="D487" s="168"/>
      <c r="E487" s="168" t="b">
        <v>0</v>
      </c>
      <c r="F487" s="169"/>
      <c r="G487" s="50"/>
      <c r="H487" s="50"/>
      <c r="I487" s="50"/>
      <c r="J487" s="50"/>
      <c r="K487" s="50"/>
    </row>
    <row r="488">
      <c r="A488" s="168"/>
      <c r="B488" s="168"/>
      <c r="C488" s="168"/>
      <c r="D488" s="168"/>
      <c r="E488" s="168" t="b">
        <v>0</v>
      </c>
      <c r="F488" s="169"/>
      <c r="G488" s="50"/>
      <c r="H488" s="50"/>
      <c r="I488" s="50"/>
      <c r="J488" s="50"/>
      <c r="K488" s="50"/>
    </row>
    <row r="489">
      <c r="A489" s="168"/>
      <c r="B489" s="168"/>
      <c r="C489" s="168"/>
      <c r="D489" s="168"/>
      <c r="E489" s="168" t="b">
        <v>0</v>
      </c>
      <c r="F489" s="169"/>
      <c r="G489" s="50"/>
      <c r="H489" s="50"/>
      <c r="I489" s="50"/>
      <c r="J489" s="50"/>
      <c r="K489" s="50"/>
    </row>
    <row r="490">
      <c r="A490" s="168"/>
      <c r="B490" s="168"/>
      <c r="C490" s="168"/>
      <c r="D490" s="168"/>
      <c r="E490" s="168" t="b">
        <v>0</v>
      </c>
      <c r="F490" s="169"/>
      <c r="G490" s="50"/>
      <c r="H490" s="50"/>
      <c r="I490" s="50"/>
      <c r="J490" s="50"/>
      <c r="K490" s="50"/>
    </row>
    <row r="491">
      <c r="A491" s="168"/>
      <c r="B491" s="168"/>
      <c r="C491" s="168"/>
      <c r="D491" s="168"/>
      <c r="E491" s="168" t="b">
        <v>0</v>
      </c>
      <c r="F491" s="169"/>
      <c r="G491" s="50"/>
      <c r="H491" s="50"/>
      <c r="I491" s="50"/>
      <c r="J491" s="50"/>
      <c r="K491" s="50"/>
    </row>
    <row r="492">
      <c r="A492" s="168"/>
      <c r="B492" s="168"/>
      <c r="C492" s="168"/>
      <c r="D492" s="168"/>
      <c r="E492" s="168" t="b">
        <v>0</v>
      </c>
      <c r="F492" s="169"/>
      <c r="G492" s="50"/>
      <c r="H492" s="50"/>
      <c r="I492" s="50"/>
      <c r="J492" s="50"/>
      <c r="K492" s="50"/>
    </row>
    <row r="493">
      <c r="A493" s="168"/>
      <c r="B493" s="168"/>
      <c r="C493" s="168"/>
      <c r="D493" s="168"/>
      <c r="E493" s="168" t="b">
        <v>0</v>
      </c>
      <c r="F493" s="169"/>
      <c r="G493" s="50"/>
      <c r="H493" s="50"/>
      <c r="I493" s="50"/>
      <c r="J493" s="50"/>
      <c r="K493" s="50"/>
    </row>
    <row r="494">
      <c r="A494" s="168"/>
      <c r="B494" s="168"/>
      <c r="C494" s="168"/>
      <c r="D494" s="168"/>
      <c r="E494" s="168" t="b">
        <v>0</v>
      </c>
      <c r="F494" s="169"/>
      <c r="G494" s="50"/>
      <c r="H494" s="50"/>
      <c r="I494" s="50"/>
      <c r="J494" s="50"/>
      <c r="K494" s="50"/>
    </row>
    <row r="495">
      <c r="A495" s="168"/>
      <c r="B495" s="168"/>
      <c r="C495" s="168"/>
      <c r="D495" s="168"/>
      <c r="E495" s="168" t="b">
        <v>0</v>
      </c>
      <c r="F495" s="169"/>
      <c r="G495" s="50"/>
      <c r="H495" s="50"/>
      <c r="I495" s="50"/>
      <c r="J495" s="50"/>
      <c r="K495" s="50"/>
    </row>
    <row r="496">
      <c r="A496" s="168"/>
      <c r="B496" s="168"/>
      <c r="C496" s="168"/>
      <c r="D496" s="168"/>
      <c r="E496" s="168" t="b">
        <v>0</v>
      </c>
      <c r="F496" s="169"/>
      <c r="G496" s="50"/>
      <c r="H496" s="50"/>
      <c r="I496" s="50"/>
      <c r="J496" s="50"/>
      <c r="K496" s="50"/>
    </row>
    <row r="497">
      <c r="A497" s="168"/>
      <c r="B497" s="168"/>
      <c r="C497" s="168"/>
      <c r="D497" s="168"/>
      <c r="E497" s="168" t="b">
        <v>0</v>
      </c>
      <c r="F497" s="169"/>
      <c r="G497" s="50"/>
      <c r="H497" s="50"/>
      <c r="I497" s="50"/>
      <c r="J497" s="50"/>
      <c r="K497" s="50"/>
    </row>
    <row r="498">
      <c r="A498" s="168"/>
      <c r="B498" s="168"/>
      <c r="C498" s="168"/>
      <c r="D498" s="168"/>
      <c r="E498" s="168" t="b">
        <v>0</v>
      </c>
      <c r="F498" s="169"/>
      <c r="G498" s="50"/>
      <c r="H498" s="50"/>
      <c r="I498" s="50"/>
      <c r="J498" s="50"/>
      <c r="K498" s="50"/>
    </row>
    <row r="499">
      <c r="A499" s="168"/>
      <c r="B499" s="168"/>
      <c r="C499" s="168"/>
      <c r="D499" s="168"/>
      <c r="E499" s="168" t="b">
        <v>0</v>
      </c>
      <c r="F499" s="169"/>
      <c r="G499" s="50"/>
      <c r="H499" s="50"/>
      <c r="I499" s="50"/>
      <c r="J499" s="50"/>
      <c r="K499" s="50"/>
    </row>
    <row r="500">
      <c r="A500" s="168"/>
      <c r="B500" s="168"/>
      <c r="C500" s="168"/>
      <c r="D500" s="168"/>
      <c r="E500" s="168" t="b">
        <v>0</v>
      </c>
      <c r="F500" s="169"/>
      <c r="G500" s="50"/>
      <c r="H500" s="50"/>
      <c r="I500" s="50"/>
      <c r="J500" s="50"/>
      <c r="K500" s="50"/>
    </row>
    <row r="501">
      <c r="A501" s="168"/>
      <c r="B501" s="168"/>
      <c r="C501" s="168"/>
      <c r="D501" s="168"/>
      <c r="E501" s="168" t="b">
        <v>0</v>
      </c>
      <c r="F501" s="169"/>
      <c r="G501" s="50"/>
      <c r="H501" s="50"/>
      <c r="I501" s="50"/>
      <c r="J501" s="50"/>
      <c r="K501" s="50"/>
    </row>
    <row r="502">
      <c r="A502" s="168"/>
      <c r="B502" s="168"/>
      <c r="C502" s="168"/>
      <c r="D502" s="168"/>
      <c r="E502" s="168" t="b">
        <v>0</v>
      </c>
      <c r="F502" s="169"/>
      <c r="G502" s="50"/>
      <c r="H502" s="50"/>
      <c r="I502" s="50"/>
      <c r="J502" s="50"/>
      <c r="K502" s="50"/>
    </row>
    <row r="503">
      <c r="A503" s="168"/>
      <c r="B503" s="168"/>
      <c r="C503" s="168"/>
      <c r="D503" s="168"/>
      <c r="E503" s="168" t="b">
        <v>0</v>
      </c>
      <c r="F503" s="169"/>
      <c r="G503" s="50"/>
      <c r="H503" s="50"/>
      <c r="I503" s="50"/>
      <c r="J503" s="50"/>
      <c r="K503" s="50"/>
    </row>
    <row r="504">
      <c r="A504" s="168"/>
      <c r="B504" s="168"/>
      <c r="C504" s="168"/>
      <c r="D504" s="168"/>
      <c r="E504" s="168" t="b">
        <v>0</v>
      </c>
      <c r="F504" s="169"/>
      <c r="G504" s="50"/>
      <c r="H504" s="50"/>
      <c r="I504" s="50"/>
      <c r="J504" s="50"/>
      <c r="K504" s="50"/>
    </row>
    <row r="505">
      <c r="A505" s="168"/>
      <c r="B505" s="168"/>
      <c r="C505" s="168"/>
      <c r="D505" s="168"/>
      <c r="E505" s="168" t="b">
        <v>0</v>
      </c>
      <c r="F505" s="169"/>
      <c r="G505" s="50"/>
      <c r="H505" s="50"/>
      <c r="I505" s="50"/>
      <c r="J505" s="50"/>
      <c r="K505" s="50"/>
    </row>
    <row r="506">
      <c r="A506" s="168"/>
      <c r="B506" s="168"/>
      <c r="C506" s="168"/>
      <c r="D506" s="168"/>
      <c r="E506" s="168" t="b">
        <v>0</v>
      </c>
      <c r="F506" s="169"/>
      <c r="G506" s="50"/>
      <c r="H506" s="50"/>
      <c r="I506" s="50"/>
      <c r="J506" s="50"/>
      <c r="K506" s="50"/>
    </row>
    <row r="507">
      <c r="A507" s="168"/>
      <c r="B507" s="168"/>
      <c r="C507" s="168"/>
      <c r="D507" s="168"/>
      <c r="E507" s="168" t="b">
        <v>0</v>
      </c>
      <c r="F507" s="169"/>
      <c r="G507" s="50"/>
      <c r="H507" s="50"/>
      <c r="I507" s="50"/>
      <c r="J507" s="50"/>
      <c r="K507" s="50"/>
    </row>
    <row r="508">
      <c r="A508" s="168"/>
      <c r="B508" s="168"/>
      <c r="C508" s="168"/>
      <c r="D508" s="168"/>
      <c r="E508" s="168" t="b">
        <v>0</v>
      </c>
      <c r="F508" s="169"/>
      <c r="G508" s="50"/>
      <c r="H508" s="50"/>
      <c r="I508" s="50"/>
      <c r="J508" s="50"/>
      <c r="K508" s="50"/>
    </row>
    <row r="509">
      <c r="A509" s="168"/>
      <c r="B509" s="168"/>
      <c r="C509" s="168"/>
      <c r="D509" s="168"/>
      <c r="E509" s="168" t="b">
        <v>0</v>
      </c>
      <c r="F509" s="169"/>
      <c r="G509" s="50"/>
      <c r="H509" s="50"/>
      <c r="I509" s="50"/>
      <c r="J509" s="50"/>
      <c r="K509" s="50"/>
    </row>
    <row r="510">
      <c r="A510" s="168"/>
      <c r="B510" s="168"/>
      <c r="C510" s="168"/>
      <c r="D510" s="168"/>
      <c r="E510" s="168" t="b">
        <v>0</v>
      </c>
      <c r="F510" s="169"/>
      <c r="G510" s="50"/>
      <c r="H510" s="50"/>
      <c r="I510" s="50"/>
      <c r="J510" s="50"/>
      <c r="K510" s="50"/>
    </row>
    <row r="511">
      <c r="A511" s="168"/>
      <c r="B511" s="168"/>
      <c r="C511" s="168"/>
      <c r="D511" s="168"/>
      <c r="E511" s="168" t="b">
        <v>0</v>
      </c>
      <c r="F511" s="169"/>
      <c r="G511" s="50"/>
      <c r="H511" s="50"/>
      <c r="I511" s="50"/>
      <c r="J511" s="50"/>
      <c r="K511" s="50"/>
    </row>
    <row r="512">
      <c r="A512" s="168"/>
      <c r="B512" s="168"/>
      <c r="C512" s="168"/>
      <c r="D512" s="168"/>
      <c r="E512" s="168" t="b">
        <v>0</v>
      </c>
      <c r="F512" s="169"/>
      <c r="G512" s="50"/>
      <c r="H512" s="50"/>
      <c r="I512" s="50"/>
      <c r="J512" s="50"/>
      <c r="K512" s="50"/>
    </row>
    <row r="513">
      <c r="A513" s="168"/>
      <c r="B513" s="168"/>
      <c r="C513" s="168"/>
      <c r="D513" s="168"/>
      <c r="E513" s="168" t="b">
        <v>0</v>
      </c>
      <c r="F513" s="169"/>
      <c r="G513" s="50"/>
      <c r="H513" s="50"/>
      <c r="I513" s="50"/>
      <c r="J513" s="50"/>
      <c r="K513" s="50"/>
    </row>
    <row r="514">
      <c r="A514" s="168"/>
      <c r="B514" s="168"/>
      <c r="C514" s="168"/>
      <c r="D514" s="168"/>
      <c r="E514" s="168" t="b">
        <v>0</v>
      </c>
      <c r="F514" s="169"/>
      <c r="G514" s="50"/>
      <c r="H514" s="50"/>
      <c r="I514" s="50"/>
      <c r="J514" s="50"/>
      <c r="K514" s="50"/>
    </row>
    <row r="515">
      <c r="A515" s="168"/>
      <c r="B515" s="168"/>
      <c r="C515" s="168"/>
      <c r="D515" s="168"/>
      <c r="E515" s="168" t="b">
        <v>0</v>
      </c>
      <c r="F515" s="169"/>
      <c r="G515" s="50"/>
      <c r="H515" s="50"/>
      <c r="I515" s="50"/>
      <c r="J515" s="50"/>
      <c r="K515" s="50"/>
    </row>
    <row r="516">
      <c r="A516" s="168"/>
      <c r="B516" s="168"/>
      <c r="C516" s="168"/>
      <c r="D516" s="168"/>
      <c r="E516" s="168" t="b">
        <v>0</v>
      </c>
      <c r="F516" s="169"/>
      <c r="G516" s="50"/>
      <c r="H516" s="50"/>
      <c r="I516" s="50"/>
      <c r="J516" s="50"/>
      <c r="K516" s="50"/>
    </row>
    <row r="517">
      <c r="A517" s="168"/>
      <c r="B517" s="168"/>
      <c r="C517" s="168"/>
      <c r="D517" s="168"/>
      <c r="E517" s="168" t="b">
        <v>0</v>
      </c>
      <c r="F517" s="169"/>
      <c r="G517" s="50"/>
      <c r="H517" s="50"/>
      <c r="I517" s="50"/>
      <c r="J517" s="50"/>
      <c r="K517" s="50"/>
    </row>
    <row r="518">
      <c r="A518" s="168"/>
      <c r="B518" s="168"/>
      <c r="C518" s="168"/>
      <c r="D518" s="168"/>
      <c r="E518" s="168" t="b">
        <v>0</v>
      </c>
      <c r="F518" s="169"/>
      <c r="G518" s="50"/>
      <c r="H518" s="50"/>
      <c r="I518" s="50"/>
      <c r="J518" s="50"/>
      <c r="K518" s="50"/>
    </row>
    <row r="519">
      <c r="A519" s="168"/>
      <c r="B519" s="168"/>
      <c r="C519" s="168"/>
      <c r="D519" s="168"/>
      <c r="E519" s="168" t="b">
        <v>0</v>
      </c>
      <c r="F519" s="169"/>
      <c r="G519" s="50"/>
      <c r="H519" s="50"/>
      <c r="I519" s="50"/>
      <c r="J519" s="50"/>
      <c r="K519" s="50"/>
    </row>
    <row r="520">
      <c r="A520" s="168"/>
      <c r="B520" s="168"/>
      <c r="C520" s="168"/>
      <c r="D520" s="168"/>
      <c r="E520" s="168" t="b">
        <v>0</v>
      </c>
      <c r="F520" s="169"/>
      <c r="G520" s="50"/>
      <c r="H520" s="50"/>
      <c r="I520" s="50"/>
      <c r="J520" s="50"/>
      <c r="K520" s="50"/>
    </row>
    <row r="521">
      <c r="A521" s="168"/>
      <c r="B521" s="168"/>
      <c r="C521" s="168"/>
      <c r="D521" s="168"/>
      <c r="E521" s="168" t="b">
        <v>0</v>
      </c>
      <c r="F521" s="169"/>
      <c r="G521" s="50"/>
      <c r="H521" s="50"/>
      <c r="I521" s="50"/>
      <c r="J521" s="50"/>
      <c r="K521" s="50"/>
    </row>
    <row r="522">
      <c r="A522" s="168"/>
      <c r="B522" s="168"/>
      <c r="C522" s="168"/>
      <c r="D522" s="168"/>
      <c r="E522" s="168" t="b">
        <v>0</v>
      </c>
      <c r="F522" s="169"/>
      <c r="G522" s="50"/>
      <c r="H522" s="50"/>
      <c r="I522" s="50"/>
      <c r="J522" s="50"/>
      <c r="K522" s="50"/>
    </row>
    <row r="523">
      <c r="A523" s="168"/>
      <c r="B523" s="168"/>
      <c r="C523" s="168"/>
      <c r="D523" s="168"/>
      <c r="E523" s="168" t="b">
        <v>0</v>
      </c>
      <c r="F523" s="169"/>
      <c r="G523" s="50"/>
      <c r="H523" s="50"/>
      <c r="I523" s="50"/>
      <c r="J523" s="50"/>
      <c r="K523" s="50"/>
    </row>
    <row r="524">
      <c r="A524" s="168"/>
      <c r="B524" s="168"/>
      <c r="C524" s="168"/>
      <c r="D524" s="168"/>
      <c r="E524" s="168" t="b">
        <v>0</v>
      </c>
      <c r="F524" s="169"/>
      <c r="G524" s="50"/>
      <c r="H524" s="50"/>
      <c r="I524" s="50"/>
      <c r="J524" s="50"/>
      <c r="K524" s="50"/>
    </row>
    <row r="525">
      <c r="A525" s="168"/>
      <c r="B525" s="168"/>
      <c r="C525" s="168"/>
      <c r="D525" s="168"/>
      <c r="E525" s="168" t="b">
        <v>0</v>
      </c>
      <c r="F525" s="169"/>
      <c r="G525" s="50"/>
      <c r="H525" s="50"/>
      <c r="I525" s="50"/>
      <c r="J525" s="50"/>
      <c r="K525" s="50"/>
    </row>
    <row r="526">
      <c r="A526" s="168"/>
      <c r="B526" s="168"/>
      <c r="C526" s="168"/>
      <c r="D526" s="168"/>
      <c r="E526" s="168" t="b">
        <v>0</v>
      </c>
      <c r="F526" s="169"/>
      <c r="G526" s="50"/>
      <c r="H526" s="50"/>
      <c r="I526" s="50"/>
      <c r="J526" s="50"/>
      <c r="K526" s="50"/>
    </row>
    <row r="527">
      <c r="A527" s="168"/>
      <c r="B527" s="168"/>
      <c r="C527" s="168"/>
      <c r="D527" s="168"/>
      <c r="E527" s="168" t="b">
        <v>0</v>
      </c>
      <c r="F527" s="169"/>
      <c r="G527" s="50"/>
      <c r="H527" s="50"/>
      <c r="I527" s="50"/>
      <c r="J527" s="50"/>
      <c r="K527" s="50"/>
    </row>
    <row r="528">
      <c r="A528" s="168"/>
      <c r="B528" s="168"/>
      <c r="C528" s="168"/>
      <c r="D528" s="168"/>
      <c r="E528" s="168" t="b">
        <v>0</v>
      </c>
      <c r="F528" s="169"/>
      <c r="G528" s="50"/>
      <c r="H528" s="50"/>
      <c r="I528" s="50"/>
      <c r="J528" s="50"/>
      <c r="K528" s="50"/>
    </row>
    <row r="529">
      <c r="A529" s="168"/>
      <c r="B529" s="168"/>
      <c r="C529" s="168"/>
      <c r="D529" s="168"/>
      <c r="E529" s="168" t="b">
        <v>0</v>
      </c>
      <c r="F529" s="169"/>
      <c r="G529" s="50"/>
      <c r="H529" s="50"/>
      <c r="I529" s="50"/>
      <c r="J529" s="50"/>
      <c r="K529" s="50"/>
    </row>
    <row r="530">
      <c r="A530" s="168"/>
      <c r="B530" s="168"/>
      <c r="C530" s="168"/>
      <c r="D530" s="168"/>
      <c r="E530" s="168" t="b">
        <v>0</v>
      </c>
      <c r="F530" s="169"/>
      <c r="G530" s="50"/>
      <c r="H530" s="50"/>
      <c r="I530" s="50"/>
      <c r="J530" s="50"/>
      <c r="K530" s="50"/>
    </row>
    <row r="531">
      <c r="A531" s="168"/>
      <c r="B531" s="168"/>
      <c r="C531" s="168"/>
      <c r="D531" s="168"/>
      <c r="E531" s="168" t="b">
        <v>0</v>
      </c>
      <c r="F531" s="169"/>
      <c r="G531" s="50"/>
      <c r="H531" s="50"/>
      <c r="I531" s="50"/>
      <c r="J531" s="50"/>
      <c r="K531" s="50"/>
    </row>
    <row r="532">
      <c r="A532" s="168"/>
      <c r="B532" s="168"/>
      <c r="C532" s="168"/>
      <c r="D532" s="168"/>
      <c r="E532" s="168" t="b">
        <v>0</v>
      </c>
      <c r="F532" s="169"/>
      <c r="G532" s="50"/>
      <c r="H532" s="50"/>
      <c r="I532" s="50"/>
      <c r="J532" s="50"/>
      <c r="K532" s="50"/>
    </row>
    <row r="533">
      <c r="A533" s="168"/>
      <c r="B533" s="168"/>
      <c r="C533" s="168"/>
      <c r="D533" s="168"/>
      <c r="E533" s="168" t="b">
        <v>0</v>
      </c>
      <c r="F533" s="169"/>
      <c r="G533" s="50"/>
      <c r="H533" s="50"/>
      <c r="I533" s="50"/>
      <c r="J533" s="50"/>
      <c r="K533" s="50"/>
    </row>
    <row r="534">
      <c r="A534" s="168"/>
      <c r="B534" s="168"/>
      <c r="C534" s="168"/>
      <c r="D534" s="168"/>
      <c r="E534" s="168" t="b">
        <v>0</v>
      </c>
      <c r="F534" s="169"/>
      <c r="G534" s="50"/>
      <c r="H534" s="50"/>
      <c r="I534" s="50"/>
      <c r="J534" s="50"/>
      <c r="K534" s="50"/>
    </row>
    <row r="535">
      <c r="A535" s="168"/>
      <c r="B535" s="168"/>
      <c r="C535" s="168"/>
      <c r="D535" s="168"/>
      <c r="E535" s="168" t="b">
        <v>0</v>
      </c>
      <c r="F535" s="169"/>
      <c r="G535" s="50"/>
      <c r="H535" s="50"/>
      <c r="I535" s="50"/>
      <c r="J535" s="50"/>
      <c r="K535" s="50"/>
    </row>
    <row r="536">
      <c r="A536" s="168"/>
      <c r="B536" s="168"/>
      <c r="C536" s="168"/>
      <c r="D536" s="168"/>
      <c r="E536" s="168" t="b">
        <v>0</v>
      </c>
      <c r="F536" s="169"/>
      <c r="G536" s="50"/>
      <c r="H536" s="50"/>
      <c r="I536" s="50"/>
      <c r="J536" s="50"/>
      <c r="K536" s="50"/>
    </row>
    <row r="537">
      <c r="A537" s="168"/>
      <c r="B537" s="168"/>
      <c r="C537" s="168"/>
      <c r="D537" s="168"/>
      <c r="E537" s="168" t="b">
        <v>0</v>
      </c>
      <c r="F537" s="169"/>
      <c r="G537" s="50"/>
      <c r="H537" s="50"/>
      <c r="I537" s="50"/>
      <c r="J537" s="50"/>
      <c r="K537" s="50"/>
    </row>
    <row r="538">
      <c r="A538" s="168"/>
      <c r="B538" s="168"/>
      <c r="C538" s="168"/>
      <c r="D538" s="168"/>
      <c r="E538" s="168" t="b">
        <v>0</v>
      </c>
      <c r="F538" s="169"/>
      <c r="G538" s="50"/>
      <c r="H538" s="50"/>
      <c r="I538" s="50"/>
      <c r="J538" s="50"/>
      <c r="K538" s="50"/>
    </row>
    <row r="539">
      <c r="A539" s="168"/>
      <c r="B539" s="168"/>
      <c r="C539" s="168"/>
      <c r="D539" s="168"/>
      <c r="E539" s="168" t="b">
        <v>0</v>
      </c>
      <c r="F539" s="169"/>
      <c r="G539" s="50"/>
      <c r="H539" s="50"/>
      <c r="I539" s="50"/>
      <c r="J539" s="50"/>
      <c r="K539" s="50"/>
    </row>
    <row r="540">
      <c r="A540" s="168"/>
      <c r="B540" s="168"/>
      <c r="C540" s="168"/>
      <c r="D540" s="168"/>
      <c r="E540" s="168" t="b">
        <v>0</v>
      </c>
      <c r="F540" s="169"/>
      <c r="G540" s="50"/>
      <c r="H540" s="50"/>
      <c r="I540" s="50"/>
      <c r="J540" s="50"/>
      <c r="K540" s="50"/>
    </row>
    <row r="541">
      <c r="A541" s="168"/>
      <c r="B541" s="168"/>
      <c r="C541" s="168"/>
      <c r="D541" s="168"/>
      <c r="E541" s="168" t="b">
        <v>0</v>
      </c>
      <c r="F541" s="169"/>
      <c r="G541" s="50"/>
      <c r="H541" s="50"/>
      <c r="I541" s="50"/>
      <c r="J541" s="50"/>
      <c r="K541" s="50"/>
    </row>
    <row r="542">
      <c r="A542" s="168"/>
      <c r="B542" s="168"/>
      <c r="C542" s="168"/>
      <c r="D542" s="168"/>
      <c r="E542" s="168" t="b">
        <v>0</v>
      </c>
      <c r="F542" s="169"/>
      <c r="G542" s="50"/>
      <c r="H542" s="50"/>
      <c r="I542" s="50"/>
      <c r="J542" s="50"/>
      <c r="K542" s="50"/>
    </row>
    <row r="543">
      <c r="A543" s="168"/>
      <c r="B543" s="168"/>
      <c r="C543" s="168"/>
      <c r="D543" s="168"/>
      <c r="E543" s="168" t="b">
        <v>0</v>
      </c>
      <c r="F543" s="169"/>
      <c r="G543" s="50"/>
      <c r="H543" s="50"/>
      <c r="I543" s="50"/>
      <c r="J543" s="50"/>
      <c r="K543" s="50"/>
    </row>
    <row r="544">
      <c r="A544" s="168"/>
      <c r="B544" s="168"/>
      <c r="C544" s="168"/>
      <c r="D544" s="168"/>
      <c r="E544" s="168" t="b">
        <v>0</v>
      </c>
      <c r="F544" s="169"/>
      <c r="G544" s="50"/>
      <c r="H544" s="50"/>
      <c r="I544" s="50"/>
      <c r="J544" s="50"/>
      <c r="K544" s="50"/>
    </row>
    <row r="545">
      <c r="A545" s="168"/>
      <c r="B545" s="168"/>
      <c r="C545" s="168"/>
      <c r="D545" s="168"/>
      <c r="E545" s="168" t="b">
        <v>0</v>
      </c>
      <c r="F545" s="169"/>
      <c r="G545" s="50"/>
      <c r="H545" s="50"/>
      <c r="I545" s="50"/>
      <c r="J545" s="50"/>
      <c r="K545" s="50"/>
    </row>
    <row r="546">
      <c r="A546" s="168"/>
      <c r="B546" s="168"/>
      <c r="C546" s="168"/>
      <c r="D546" s="168"/>
      <c r="E546" s="168" t="b">
        <v>0</v>
      </c>
      <c r="F546" s="169"/>
      <c r="G546" s="50"/>
      <c r="H546" s="50"/>
      <c r="I546" s="50"/>
      <c r="J546" s="50"/>
      <c r="K546" s="50"/>
    </row>
    <row r="547">
      <c r="A547" s="168"/>
      <c r="B547" s="168"/>
      <c r="C547" s="168"/>
      <c r="D547" s="168"/>
      <c r="E547" s="168" t="b">
        <v>0</v>
      </c>
      <c r="F547" s="169"/>
      <c r="G547" s="50"/>
      <c r="H547" s="50"/>
      <c r="I547" s="50"/>
      <c r="J547" s="50"/>
      <c r="K547" s="50"/>
    </row>
    <row r="548">
      <c r="A548" s="168"/>
      <c r="B548" s="168"/>
      <c r="C548" s="168"/>
      <c r="D548" s="168"/>
      <c r="E548" s="168" t="b">
        <v>0</v>
      </c>
      <c r="F548" s="169"/>
      <c r="G548" s="50"/>
      <c r="H548" s="50"/>
      <c r="I548" s="50"/>
      <c r="J548" s="50"/>
      <c r="K548" s="50"/>
    </row>
    <row r="549">
      <c r="A549" s="168"/>
      <c r="B549" s="168"/>
      <c r="C549" s="168"/>
      <c r="D549" s="168"/>
      <c r="E549" s="168" t="b">
        <v>0</v>
      </c>
      <c r="F549" s="169"/>
      <c r="G549" s="50"/>
      <c r="H549" s="50"/>
      <c r="I549" s="50"/>
      <c r="J549" s="50"/>
      <c r="K549" s="50"/>
    </row>
    <row r="550">
      <c r="A550" s="168"/>
      <c r="B550" s="168"/>
      <c r="C550" s="168"/>
      <c r="D550" s="168"/>
      <c r="E550" s="168" t="b">
        <v>0</v>
      </c>
      <c r="F550" s="169"/>
      <c r="G550" s="50"/>
      <c r="H550" s="50"/>
      <c r="I550" s="50"/>
      <c r="J550" s="50"/>
      <c r="K550" s="50"/>
    </row>
    <row r="551">
      <c r="A551" s="168"/>
      <c r="B551" s="168"/>
      <c r="C551" s="168"/>
      <c r="D551" s="168"/>
      <c r="E551" s="168" t="b">
        <v>0</v>
      </c>
      <c r="F551" s="169"/>
      <c r="G551" s="50"/>
      <c r="H551" s="50"/>
      <c r="I551" s="50"/>
      <c r="J551" s="50"/>
      <c r="K551" s="50"/>
    </row>
    <row r="552">
      <c r="A552" s="168"/>
      <c r="B552" s="168"/>
      <c r="C552" s="168"/>
      <c r="D552" s="168"/>
      <c r="E552" s="168" t="b">
        <v>0</v>
      </c>
      <c r="F552" s="169"/>
      <c r="G552" s="50"/>
      <c r="H552" s="50"/>
      <c r="I552" s="50"/>
      <c r="J552" s="50"/>
      <c r="K552" s="50"/>
    </row>
    <row r="553">
      <c r="A553" s="168"/>
      <c r="B553" s="168"/>
      <c r="C553" s="168"/>
      <c r="D553" s="168"/>
      <c r="E553" s="168" t="b">
        <v>0</v>
      </c>
      <c r="F553" s="169"/>
      <c r="G553" s="50"/>
      <c r="H553" s="50"/>
      <c r="I553" s="50"/>
      <c r="J553" s="50"/>
      <c r="K553" s="50"/>
    </row>
    <row r="554">
      <c r="A554" s="168"/>
      <c r="B554" s="168"/>
      <c r="C554" s="168"/>
      <c r="D554" s="168"/>
      <c r="E554" s="168" t="b">
        <v>0</v>
      </c>
      <c r="F554" s="169"/>
      <c r="G554" s="50"/>
      <c r="H554" s="50"/>
      <c r="I554" s="50"/>
      <c r="J554" s="50"/>
      <c r="K554" s="50"/>
    </row>
    <row r="555">
      <c r="A555" s="168"/>
      <c r="B555" s="168"/>
      <c r="C555" s="168"/>
      <c r="D555" s="168"/>
      <c r="E555" s="168" t="b">
        <v>0</v>
      </c>
      <c r="F555" s="169"/>
      <c r="G555" s="50"/>
      <c r="H555" s="50"/>
      <c r="I555" s="50"/>
      <c r="J555" s="50"/>
      <c r="K555" s="50"/>
    </row>
    <row r="556">
      <c r="A556" s="168"/>
      <c r="B556" s="168"/>
      <c r="C556" s="168"/>
      <c r="D556" s="168"/>
      <c r="E556" s="168" t="b">
        <v>0</v>
      </c>
      <c r="F556" s="169"/>
      <c r="G556" s="50"/>
      <c r="H556" s="50"/>
      <c r="I556" s="50"/>
      <c r="J556" s="50"/>
      <c r="K556" s="50"/>
    </row>
    <row r="557">
      <c r="A557" s="168"/>
      <c r="B557" s="168"/>
      <c r="C557" s="168"/>
      <c r="D557" s="168"/>
      <c r="E557" s="168" t="b">
        <v>0</v>
      </c>
      <c r="F557" s="169"/>
      <c r="G557" s="50"/>
      <c r="H557" s="50"/>
      <c r="I557" s="50"/>
      <c r="J557" s="50"/>
      <c r="K557" s="50"/>
    </row>
    <row r="558">
      <c r="A558" s="168"/>
      <c r="B558" s="168"/>
      <c r="C558" s="168"/>
      <c r="D558" s="168"/>
      <c r="E558" s="168" t="b">
        <v>0</v>
      </c>
      <c r="F558" s="169"/>
      <c r="G558" s="50"/>
      <c r="H558" s="50"/>
      <c r="I558" s="50"/>
      <c r="J558" s="50"/>
      <c r="K558" s="50"/>
    </row>
    <row r="559">
      <c r="A559" s="168"/>
      <c r="B559" s="168"/>
      <c r="C559" s="168"/>
      <c r="D559" s="168"/>
      <c r="E559" s="168" t="b">
        <v>0</v>
      </c>
      <c r="F559" s="169"/>
      <c r="G559" s="50"/>
      <c r="H559" s="50"/>
      <c r="I559" s="50"/>
      <c r="J559" s="50"/>
      <c r="K559" s="50"/>
    </row>
    <row r="560">
      <c r="A560" s="168"/>
      <c r="B560" s="168"/>
      <c r="C560" s="168"/>
      <c r="D560" s="168"/>
      <c r="E560" s="168" t="b">
        <v>0</v>
      </c>
      <c r="F560" s="169"/>
      <c r="G560" s="50"/>
      <c r="H560" s="50"/>
      <c r="I560" s="50"/>
      <c r="J560" s="50"/>
      <c r="K560" s="50"/>
    </row>
    <row r="561">
      <c r="A561" s="168"/>
      <c r="B561" s="168"/>
      <c r="C561" s="168"/>
      <c r="D561" s="168"/>
      <c r="E561" s="168" t="b">
        <v>0</v>
      </c>
      <c r="F561" s="169"/>
      <c r="G561" s="50"/>
      <c r="H561" s="50"/>
      <c r="I561" s="50"/>
      <c r="J561" s="50"/>
      <c r="K561" s="50"/>
    </row>
    <row r="562">
      <c r="A562" s="168"/>
      <c r="B562" s="168"/>
      <c r="C562" s="168"/>
      <c r="D562" s="168"/>
      <c r="E562" s="168" t="b">
        <v>0</v>
      </c>
      <c r="F562" s="169"/>
      <c r="G562" s="50"/>
      <c r="H562" s="50"/>
      <c r="I562" s="50"/>
      <c r="J562" s="50"/>
      <c r="K562" s="50"/>
    </row>
    <row r="563">
      <c r="A563" s="168"/>
      <c r="B563" s="168"/>
      <c r="C563" s="168"/>
      <c r="D563" s="168"/>
      <c r="E563" s="168" t="b">
        <v>0</v>
      </c>
      <c r="F563" s="169"/>
      <c r="G563" s="50"/>
      <c r="H563" s="50"/>
      <c r="I563" s="50"/>
      <c r="J563" s="50"/>
      <c r="K563" s="50"/>
    </row>
    <row r="564">
      <c r="A564" s="168"/>
      <c r="B564" s="168"/>
      <c r="C564" s="168"/>
      <c r="D564" s="168"/>
      <c r="E564" s="168" t="b">
        <v>0</v>
      </c>
      <c r="F564" s="169"/>
      <c r="G564" s="50"/>
      <c r="H564" s="50"/>
      <c r="I564" s="50"/>
      <c r="J564" s="50"/>
      <c r="K564" s="50"/>
    </row>
    <row r="565">
      <c r="A565" s="168"/>
      <c r="B565" s="168"/>
      <c r="C565" s="168"/>
      <c r="D565" s="168"/>
      <c r="E565" s="168" t="b">
        <v>0</v>
      </c>
      <c r="F565" s="169"/>
      <c r="G565" s="50"/>
      <c r="H565" s="50"/>
      <c r="I565" s="50"/>
      <c r="J565" s="50"/>
      <c r="K565" s="50"/>
    </row>
    <row r="566">
      <c r="A566" s="168"/>
      <c r="B566" s="168"/>
      <c r="C566" s="168"/>
      <c r="D566" s="168"/>
      <c r="E566" s="168" t="b">
        <v>0</v>
      </c>
      <c r="F566" s="169"/>
      <c r="G566" s="50"/>
      <c r="H566" s="50"/>
      <c r="I566" s="50"/>
      <c r="J566" s="50"/>
      <c r="K566" s="50"/>
    </row>
    <row r="567">
      <c r="A567" s="168"/>
      <c r="B567" s="168"/>
      <c r="C567" s="168"/>
      <c r="D567" s="168"/>
      <c r="E567" s="168" t="b">
        <v>0</v>
      </c>
      <c r="F567" s="169"/>
      <c r="G567" s="50"/>
      <c r="H567" s="50"/>
      <c r="I567" s="50"/>
      <c r="J567" s="50"/>
      <c r="K567" s="50"/>
    </row>
    <row r="568">
      <c r="A568" s="168"/>
      <c r="B568" s="168"/>
      <c r="C568" s="168"/>
      <c r="D568" s="168"/>
      <c r="E568" s="168" t="b">
        <v>0</v>
      </c>
      <c r="F568" s="169"/>
      <c r="G568" s="50"/>
      <c r="H568" s="50"/>
      <c r="I568" s="50"/>
      <c r="J568" s="50"/>
      <c r="K568" s="50"/>
    </row>
    <row r="569">
      <c r="A569" s="168"/>
      <c r="B569" s="168"/>
      <c r="C569" s="168"/>
      <c r="D569" s="168"/>
      <c r="E569" s="168" t="b">
        <v>0</v>
      </c>
      <c r="F569" s="169"/>
      <c r="G569" s="50"/>
      <c r="H569" s="50"/>
      <c r="I569" s="50"/>
      <c r="J569" s="50"/>
      <c r="K569" s="50"/>
    </row>
    <row r="570">
      <c r="A570" s="168"/>
      <c r="B570" s="168"/>
      <c r="C570" s="168"/>
      <c r="D570" s="168"/>
      <c r="E570" s="168" t="b">
        <v>0</v>
      </c>
      <c r="F570" s="169"/>
      <c r="G570" s="50"/>
      <c r="H570" s="50"/>
      <c r="I570" s="50"/>
      <c r="J570" s="50"/>
      <c r="K570" s="50"/>
    </row>
    <row r="571">
      <c r="A571" s="168"/>
      <c r="B571" s="168"/>
      <c r="C571" s="168"/>
      <c r="D571" s="168"/>
      <c r="E571" s="168" t="b">
        <v>0</v>
      </c>
      <c r="F571" s="169"/>
      <c r="G571" s="50"/>
      <c r="H571" s="50"/>
      <c r="I571" s="50"/>
      <c r="J571" s="50"/>
      <c r="K571" s="50"/>
    </row>
    <row r="572">
      <c r="A572" s="168"/>
      <c r="B572" s="168"/>
      <c r="C572" s="168"/>
      <c r="D572" s="168"/>
      <c r="E572" s="168" t="b">
        <v>0</v>
      </c>
      <c r="F572" s="169"/>
      <c r="G572" s="50"/>
      <c r="H572" s="50"/>
      <c r="I572" s="50"/>
      <c r="J572" s="50"/>
      <c r="K572" s="50"/>
    </row>
    <row r="573">
      <c r="A573" s="168"/>
      <c r="B573" s="168"/>
      <c r="C573" s="168"/>
      <c r="D573" s="168"/>
      <c r="E573" s="168" t="b">
        <v>0</v>
      </c>
      <c r="F573" s="169"/>
      <c r="G573" s="50"/>
      <c r="H573" s="50"/>
      <c r="I573" s="50"/>
      <c r="J573" s="50"/>
      <c r="K573" s="50"/>
    </row>
    <row r="574">
      <c r="A574" s="168"/>
      <c r="B574" s="168"/>
      <c r="C574" s="168"/>
      <c r="D574" s="168"/>
      <c r="E574" s="168" t="b">
        <v>0</v>
      </c>
      <c r="F574" s="169"/>
      <c r="G574" s="50"/>
      <c r="H574" s="50"/>
      <c r="I574" s="50"/>
      <c r="J574" s="50"/>
      <c r="K574" s="50"/>
    </row>
    <row r="575">
      <c r="A575" s="168"/>
      <c r="B575" s="168"/>
      <c r="C575" s="168"/>
      <c r="D575" s="168"/>
      <c r="E575" s="168" t="b">
        <v>0</v>
      </c>
      <c r="F575" s="169"/>
      <c r="G575" s="50"/>
      <c r="H575" s="50"/>
      <c r="I575" s="50"/>
      <c r="J575" s="50"/>
      <c r="K575" s="50"/>
    </row>
    <row r="576">
      <c r="A576" s="168"/>
      <c r="B576" s="168"/>
      <c r="C576" s="168"/>
      <c r="D576" s="168"/>
      <c r="E576" s="168" t="b">
        <v>0</v>
      </c>
      <c r="F576" s="169"/>
      <c r="G576" s="50"/>
      <c r="H576" s="50"/>
      <c r="I576" s="50"/>
      <c r="J576" s="50"/>
      <c r="K576" s="50"/>
    </row>
    <row r="577">
      <c r="A577" s="168"/>
      <c r="B577" s="168"/>
      <c r="C577" s="168"/>
      <c r="D577" s="168"/>
      <c r="E577" s="168" t="b">
        <v>0</v>
      </c>
      <c r="F577" s="169"/>
      <c r="G577" s="50"/>
      <c r="H577" s="50"/>
      <c r="I577" s="50"/>
      <c r="J577" s="50"/>
      <c r="K577" s="50"/>
    </row>
    <row r="578">
      <c r="A578" s="168"/>
      <c r="B578" s="168"/>
      <c r="C578" s="168"/>
      <c r="D578" s="168"/>
      <c r="E578" s="168" t="b">
        <v>0</v>
      </c>
      <c r="F578" s="169"/>
      <c r="G578" s="50"/>
      <c r="H578" s="50"/>
      <c r="I578" s="50"/>
      <c r="J578" s="50"/>
      <c r="K578" s="50"/>
    </row>
    <row r="579">
      <c r="A579" s="168"/>
      <c r="B579" s="168"/>
      <c r="C579" s="168"/>
      <c r="D579" s="168"/>
      <c r="E579" s="168" t="b">
        <v>0</v>
      </c>
      <c r="F579" s="169"/>
      <c r="G579" s="50"/>
      <c r="H579" s="50"/>
      <c r="I579" s="50"/>
      <c r="J579" s="50"/>
      <c r="K579" s="50"/>
    </row>
    <row r="580">
      <c r="A580" s="168"/>
      <c r="B580" s="168"/>
      <c r="C580" s="168"/>
      <c r="D580" s="168"/>
      <c r="E580" s="168" t="b">
        <v>0</v>
      </c>
      <c r="F580" s="169"/>
      <c r="G580" s="50"/>
      <c r="H580" s="50"/>
      <c r="I580" s="50"/>
      <c r="J580" s="50"/>
      <c r="K580" s="50"/>
    </row>
    <row r="581">
      <c r="A581" s="168"/>
      <c r="B581" s="168"/>
      <c r="C581" s="168"/>
      <c r="D581" s="168"/>
      <c r="E581" s="168" t="b">
        <v>0</v>
      </c>
      <c r="F581" s="169"/>
      <c r="G581" s="50"/>
      <c r="H581" s="50"/>
      <c r="I581" s="50"/>
      <c r="J581" s="50"/>
      <c r="K581" s="50"/>
    </row>
    <row r="582">
      <c r="A582" s="168"/>
      <c r="B582" s="168"/>
      <c r="C582" s="168"/>
      <c r="D582" s="168"/>
      <c r="E582" s="168" t="b">
        <v>0</v>
      </c>
      <c r="F582" s="169"/>
      <c r="G582" s="50"/>
      <c r="H582" s="50"/>
      <c r="I582" s="50"/>
      <c r="J582" s="50"/>
      <c r="K582" s="50"/>
    </row>
    <row r="583">
      <c r="A583" s="168"/>
      <c r="B583" s="168"/>
      <c r="C583" s="168"/>
      <c r="D583" s="168"/>
      <c r="E583" s="168" t="b">
        <v>0</v>
      </c>
      <c r="F583" s="169"/>
      <c r="G583" s="50"/>
      <c r="H583" s="50"/>
      <c r="I583" s="50"/>
      <c r="J583" s="50"/>
      <c r="K583" s="50"/>
    </row>
    <row r="584">
      <c r="A584" s="168"/>
      <c r="B584" s="168"/>
      <c r="C584" s="168"/>
      <c r="D584" s="168"/>
      <c r="E584" s="168" t="b">
        <v>0</v>
      </c>
      <c r="F584" s="169"/>
      <c r="G584" s="50"/>
      <c r="H584" s="50"/>
      <c r="I584" s="50"/>
      <c r="J584" s="50"/>
      <c r="K584" s="50"/>
    </row>
    <row r="585">
      <c r="A585" s="168"/>
      <c r="B585" s="168"/>
      <c r="C585" s="168"/>
      <c r="D585" s="168"/>
      <c r="E585" s="168" t="b">
        <v>0</v>
      </c>
      <c r="F585" s="169"/>
      <c r="G585" s="50"/>
      <c r="H585" s="50"/>
      <c r="I585" s="50"/>
      <c r="J585" s="50"/>
      <c r="K585" s="50"/>
    </row>
    <row r="586">
      <c r="A586" s="168"/>
      <c r="B586" s="168"/>
      <c r="C586" s="168"/>
      <c r="D586" s="168"/>
      <c r="E586" s="168" t="b">
        <v>0</v>
      </c>
      <c r="F586" s="169"/>
      <c r="G586" s="50"/>
      <c r="H586" s="50"/>
      <c r="I586" s="50"/>
      <c r="J586" s="50"/>
      <c r="K586" s="50"/>
    </row>
    <row r="587">
      <c r="A587" s="168"/>
      <c r="B587" s="168"/>
      <c r="C587" s="168"/>
      <c r="D587" s="168"/>
      <c r="E587" s="168" t="b">
        <v>0</v>
      </c>
      <c r="F587" s="169"/>
      <c r="G587" s="50"/>
      <c r="H587" s="50"/>
      <c r="I587" s="50"/>
      <c r="J587" s="50"/>
      <c r="K587" s="50"/>
    </row>
    <row r="588">
      <c r="A588" s="168"/>
      <c r="B588" s="168"/>
      <c r="C588" s="168"/>
      <c r="D588" s="168"/>
      <c r="E588" s="168" t="b">
        <v>0</v>
      </c>
      <c r="F588" s="169"/>
      <c r="G588" s="50"/>
      <c r="H588" s="50"/>
      <c r="I588" s="50"/>
      <c r="J588" s="50"/>
      <c r="K588" s="50"/>
    </row>
    <row r="589">
      <c r="A589" s="168"/>
      <c r="B589" s="168"/>
      <c r="C589" s="168"/>
      <c r="D589" s="168"/>
      <c r="E589" s="168" t="b">
        <v>0</v>
      </c>
      <c r="F589" s="169"/>
      <c r="G589" s="50"/>
      <c r="H589" s="50"/>
      <c r="I589" s="50"/>
      <c r="J589" s="50"/>
      <c r="K589" s="50"/>
    </row>
    <row r="590">
      <c r="A590" s="168"/>
      <c r="B590" s="168"/>
      <c r="C590" s="168"/>
      <c r="D590" s="168"/>
      <c r="E590" s="168" t="b">
        <v>0</v>
      </c>
      <c r="F590" s="169"/>
      <c r="G590" s="50"/>
      <c r="H590" s="50"/>
      <c r="I590" s="50"/>
      <c r="J590" s="50"/>
      <c r="K590" s="50"/>
    </row>
    <row r="591">
      <c r="A591" s="168"/>
      <c r="B591" s="168"/>
      <c r="C591" s="168"/>
      <c r="D591" s="168"/>
      <c r="E591" s="168" t="b">
        <v>0</v>
      </c>
      <c r="F591" s="169"/>
      <c r="G591" s="50"/>
      <c r="H591" s="50"/>
      <c r="I591" s="50"/>
      <c r="J591" s="50"/>
      <c r="K591" s="50"/>
    </row>
    <row r="592">
      <c r="A592" s="168"/>
      <c r="B592" s="168"/>
      <c r="C592" s="168"/>
      <c r="D592" s="168"/>
      <c r="E592" s="168" t="b">
        <v>0</v>
      </c>
      <c r="F592" s="169"/>
      <c r="G592" s="50"/>
      <c r="H592" s="50"/>
      <c r="I592" s="50"/>
      <c r="J592" s="50"/>
      <c r="K592" s="50"/>
    </row>
    <row r="593">
      <c r="A593" s="168"/>
      <c r="B593" s="168"/>
      <c r="C593" s="168"/>
      <c r="D593" s="168"/>
      <c r="E593" s="168" t="b">
        <v>0</v>
      </c>
      <c r="F593" s="169"/>
      <c r="G593" s="50"/>
      <c r="H593" s="50"/>
      <c r="I593" s="50"/>
      <c r="J593" s="50"/>
      <c r="K593" s="50"/>
    </row>
    <row r="594">
      <c r="A594" s="168"/>
      <c r="B594" s="168"/>
      <c r="C594" s="168"/>
      <c r="D594" s="168"/>
      <c r="E594" s="168" t="b">
        <v>0</v>
      </c>
      <c r="F594" s="169"/>
      <c r="G594" s="50"/>
      <c r="H594" s="50"/>
      <c r="I594" s="50"/>
      <c r="J594" s="50"/>
      <c r="K594" s="50"/>
    </row>
    <row r="595">
      <c r="A595" s="168"/>
      <c r="B595" s="168"/>
      <c r="C595" s="168"/>
      <c r="D595" s="168"/>
      <c r="E595" s="168" t="b">
        <v>0</v>
      </c>
      <c r="F595" s="169"/>
      <c r="G595" s="50"/>
      <c r="H595" s="50"/>
      <c r="I595" s="50"/>
      <c r="J595" s="50"/>
      <c r="K595" s="50"/>
    </row>
    <row r="596">
      <c r="A596" s="168"/>
      <c r="B596" s="168"/>
      <c r="C596" s="168"/>
      <c r="D596" s="168"/>
      <c r="E596" s="168" t="b">
        <v>0</v>
      </c>
      <c r="F596" s="169"/>
      <c r="G596" s="50"/>
      <c r="H596" s="50"/>
      <c r="I596" s="50"/>
      <c r="J596" s="50"/>
      <c r="K596" s="50"/>
    </row>
    <row r="597">
      <c r="A597" s="168"/>
      <c r="B597" s="168"/>
      <c r="C597" s="168"/>
      <c r="D597" s="168"/>
      <c r="E597" s="168" t="b">
        <v>0</v>
      </c>
      <c r="F597" s="169"/>
      <c r="G597" s="50"/>
      <c r="H597" s="50"/>
      <c r="I597" s="50"/>
      <c r="J597" s="50"/>
      <c r="K597" s="50"/>
    </row>
    <row r="598">
      <c r="A598" s="168"/>
      <c r="B598" s="168"/>
      <c r="C598" s="168"/>
      <c r="D598" s="168"/>
      <c r="E598" s="168" t="b">
        <v>0</v>
      </c>
      <c r="F598" s="169"/>
      <c r="G598" s="50"/>
      <c r="H598" s="50"/>
      <c r="I598" s="50"/>
      <c r="J598" s="50"/>
      <c r="K598" s="50"/>
    </row>
    <row r="599">
      <c r="A599" s="168"/>
      <c r="B599" s="168"/>
      <c r="C599" s="168"/>
      <c r="D599" s="168"/>
      <c r="E599" s="168" t="b">
        <v>0</v>
      </c>
      <c r="F599" s="169"/>
      <c r="G599" s="50"/>
      <c r="H599" s="50"/>
      <c r="I599" s="50"/>
      <c r="J599" s="50"/>
      <c r="K599" s="50"/>
    </row>
    <row r="600">
      <c r="A600" s="168"/>
      <c r="B600" s="168"/>
      <c r="C600" s="168"/>
      <c r="D600" s="168"/>
      <c r="E600" s="168" t="b">
        <v>0</v>
      </c>
      <c r="F600" s="169"/>
      <c r="G600" s="50"/>
      <c r="H600" s="50"/>
      <c r="I600" s="50"/>
      <c r="J600" s="50"/>
      <c r="K600" s="50"/>
    </row>
    <row r="601">
      <c r="A601" s="168"/>
      <c r="B601" s="168"/>
      <c r="C601" s="168"/>
      <c r="D601" s="168"/>
      <c r="E601" s="168" t="b">
        <v>0</v>
      </c>
      <c r="F601" s="169"/>
      <c r="G601" s="50"/>
      <c r="H601" s="50"/>
      <c r="I601" s="50"/>
      <c r="J601" s="50"/>
      <c r="K601" s="50"/>
    </row>
    <row r="602">
      <c r="A602" s="168"/>
      <c r="B602" s="168"/>
      <c r="C602" s="168"/>
      <c r="D602" s="168"/>
      <c r="E602" s="168" t="b">
        <v>0</v>
      </c>
      <c r="F602" s="169"/>
      <c r="G602" s="50"/>
      <c r="H602" s="50"/>
      <c r="I602" s="50"/>
      <c r="J602" s="50"/>
      <c r="K602" s="50"/>
    </row>
    <row r="603">
      <c r="A603" s="168"/>
      <c r="B603" s="168"/>
      <c r="C603" s="168"/>
      <c r="D603" s="168"/>
      <c r="E603" s="168" t="b">
        <v>0</v>
      </c>
      <c r="F603" s="169"/>
      <c r="G603" s="50"/>
      <c r="H603" s="50"/>
      <c r="I603" s="50"/>
      <c r="J603" s="50"/>
      <c r="K603" s="50"/>
    </row>
    <row r="604">
      <c r="A604" s="168"/>
      <c r="B604" s="168"/>
      <c r="C604" s="168"/>
      <c r="D604" s="168"/>
      <c r="E604" s="168" t="b">
        <v>0</v>
      </c>
      <c r="F604" s="169"/>
      <c r="G604" s="50"/>
      <c r="H604" s="50"/>
      <c r="I604" s="50"/>
      <c r="J604" s="50"/>
      <c r="K604" s="50"/>
    </row>
    <row r="605">
      <c r="A605" s="168"/>
      <c r="B605" s="168"/>
      <c r="C605" s="168"/>
      <c r="D605" s="168"/>
      <c r="E605" s="168" t="b">
        <v>0</v>
      </c>
      <c r="F605" s="169"/>
      <c r="G605" s="50"/>
      <c r="H605" s="50"/>
      <c r="I605" s="50"/>
      <c r="J605" s="50"/>
      <c r="K605" s="50"/>
    </row>
    <row r="606">
      <c r="A606" s="168"/>
      <c r="B606" s="168"/>
      <c r="C606" s="168"/>
      <c r="D606" s="168"/>
      <c r="E606" s="168" t="b">
        <v>0</v>
      </c>
      <c r="F606" s="169"/>
      <c r="G606" s="50"/>
      <c r="H606" s="50"/>
      <c r="I606" s="50"/>
      <c r="J606" s="50"/>
      <c r="K606" s="50"/>
    </row>
    <row r="607">
      <c r="A607" s="168"/>
      <c r="B607" s="168"/>
      <c r="C607" s="168"/>
      <c r="D607" s="168"/>
      <c r="E607" s="168" t="b">
        <v>0</v>
      </c>
      <c r="F607" s="169"/>
      <c r="G607" s="50"/>
      <c r="H607" s="50"/>
      <c r="I607" s="50"/>
      <c r="J607" s="50"/>
      <c r="K607" s="50"/>
    </row>
    <row r="608">
      <c r="A608" s="168"/>
      <c r="B608" s="168"/>
      <c r="C608" s="168"/>
      <c r="D608" s="168"/>
      <c r="E608" s="168" t="b">
        <v>0</v>
      </c>
      <c r="F608" s="169"/>
      <c r="G608" s="50"/>
      <c r="H608" s="50"/>
      <c r="I608" s="50"/>
      <c r="J608" s="50"/>
      <c r="K608" s="50"/>
    </row>
    <row r="609">
      <c r="A609" s="168"/>
      <c r="B609" s="168"/>
      <c r="C609" s="168"/>
      <c r="D609" s="168"/>
      <c r="E609" s="168" t="b">
        <v>0</v>
      </c>
      <c r="F609" s="169"/>
      <c r="G609" s="50"/>
      <c r="H609" s="50"/>
      <c r="I609" s="50"/>
      <c r="J609" s="50"/>
      <c r="K609" s="50"/>
    </row>
    <row r="610">
      <c r="A610" s="168"/>
      <c r="B610" s="168"/>
      <c r="C610" s="168"/>
      <c r="D610" s="168"/>
      <c r="E610" s="168" t="b">
        <v>0</v>
      </c>
      <c r="F610" s="169"/>
      <c r="G610" s="50"/>
      <c r="H610" s="50"/>
      <c r="I610" s="50"/>
      <c r="J610" s="50"/>
      <c r="K610" s="50"/>
    </row>
    <row r="611">
      <c r="A611" s="168"/>
      <c r="B611" s="168"/>
      <c r="C611" s="168"/>
      <c r="D611" s="168"/>
      <c r="E611" s="168" t="b">
        <v>0</v>
      </c>
      <c r="F611" s="169"/>
      <c r="G611" s="50"/>
      <c r="H611" s="50"/>
      <c r="I611" s="50"/>
      <c r="J611" s="50"/>
      <c r="K611" s="50"/>
    </row>
    <row r="612">
      <c r="A612" s="168"/>
      <c r="B612" s="168"/>
      <c r="C612" s="168"/>
      <c r="D612" s="168"/>
      <c r="E612" s="168" t="b">
        <v>0</v>
      </c>
      <c r="F612" s="169"/>
      <c r="G612" s="50"/>
      <c r="H612" s="50"/>
      <c r="I612" s="50"/>
      <c r="J612" s="50"/>
      <c r="K612" s="50"/>
    </row>
    <row r="613">
      <c r="A613" s="168"/>
      <c r="B613" s="168"/>
      <c r="C613" s="168"/>
      <c r="D613" s="168"/>
      <c r="E613" s="168" t="b">
        <v>0</v>
      </c>
      <c r="F613" s="169"/>
      <c r="G613" s="50"/>
      <c r="H613" s="50"/>
      <c r="I613" s="50"/>
      <c r="J613" s="50"/>
      <c r="K613" s="50"/>
    </row>
    <row r="614">
      <c r="A614" s="168"/>
      <c r="B614" s="168"/>
      <c r="C614" s="168"/>
      <c r="D614" s="168"/>
      <c r="E614" s="168" t="b">
        <v>0</v>
      </c>
      <c r="F614" s="169"/>
      <c r="G614" s="50"/>
      <c r="H614" s="50"/>
      <c r="I614" s="50"/>
      <c r="J614" s="50"/>
      <c r="K614" s="50"/>
    </row>
    <row r="615">
      <c r="A615" s="168"/>
      <c r="B615" s="168"/>
      <c r="C615" s="168"/>
      <c r="D615" s="168"/>
      <c r="E615" s="168" t="b">
        <v>0</v>
      </c>
      <c r="F615" s="169"/>
      <c r="G615" s="50"/>
      <c r="H615" s="50"/>
      <c r="I615" s="50"/>
      <c r="J615" s="50"/>
      <c r="K615" s="50"/>
    </row>
    <row r="616">
      <c r="A616" s="168"/>
      <c r="B616" s="168"/>
      <c r="C616" s="168"/>
      <c r="D616" s="168"/>
      <c r="E616" s="168" t="b">
        <v>0</v>
      </c>
      <c r="F616" s="169"/>
      <c r="G616" s="50"/>
      <c r="H616" s="50"/>
      <c r="I616" s="50"/>
      <c r="J616" s="50"/>
      <c r="K616" s="50"/>
    </row>
    <row r="617">
      <c r="A617" s="168"/>
      <c r="B617" s="168"/>
      <c r="C617" s="168"/>
      <c r="D617" s="168"/>
      <c r="E617" s="168" t="b">
        <v>0</v>
      </c>
      <c r="F617" s="169"/>
      <c r="G617" s="50"/>
      <c r="H617" s="50"/>
      <c r="I617" s="50"/>
      <c r="J617" s="50"/>
      <c r="K617" s="50"/>
    </row>
    <row r="618">
      <c r="A618" s="168"/>
      <c r="B618" s="168"/>
      <c r="C618" s="168"/>
      <c r="D618" s="168"/>
      <c r="E618" s="168" t="b">
        <v>0</v>
      </c>
      <c r="F618" s="169"/>
      <c r="G618" s="50"/>
      <c r="H618" s="50"/>
      <c r="I618" s="50"/>
      <c r="J618" s="50"/>
      <c r="K618" s="50"/>
    </row>
    <row r="619">
      <c r="A619" s="168"/>
      <c r="B619" s="168"/>
      <c r="C619" s="168"/>
      <c r="D619" s="168"/>
      <c r="E619" s="168" t="b">
        <v>0</v>
      </c>
      <c r="F619" s="169"/>
      <c r="G619" s="50"/>
      <c r="H619" s="50"/>
      <c r="I619" s="50"/>
      <c r="J619" s="50"/>
      <c r="K619" s="50"/>
    </row>
    <row r="620">
      <c r="A620" s="168"/>
      <c r="B620" s="168"/>
      <c r="C620" s="168"/>
      <c r="D620" s="168"/>
      <c r="E620" s="168" t="b">
        <v>0</v>
      </c>
      <c r="F620" s="169"/>
      <c r="G620" s="50"/>
      <c r="H620" s="50"/>
      <c r="I620" s="50"/>
      <c r="J620" s="50"/>
      <c r="K620" s="50"/>
    </row>
    <row r="621">
      <c r="A621" s="168"/>
      <c r="B621" s="168"/>
      <c r="C621" s="168"/>
      <c r="D621" s="168"/>
      <c r="E621" s="168" t="b">
        <v>0</v>
      </c>
      <c r="F621" s="169"/>
      <c r="G621" s="50"/>
      <c r="H621" s="50"/>
      <c r="I621" s="50"/>
      <c r="J621" s="50"/>
      <c r="K621" s="50"/>
    </row>
    <row r="622">
      <c r="A622" s="168"/>
      <c r="B622" s="168"/>
      <c r="C622" s="168"/>
      <c r="D622" s="168"/>
      <c r="E622" s="168" t="b">
        <v>0</v>
      </c>
      <c r="F622" s="169"/>
      <c r="G622" s="50"/>
      <c r="H622" s="50"/>
      <c r="I622" s="50"/>
      <c r="J622" s="50"/>
      <c r="K622" s="50"/>
    </row>
    <row r="623">
      <c r="A623" s="168"/>
      <c r="B623" s="168"/>
      <c r="C623" s="168"/>
      <c r="D623" s="168"/>
      <c r="E623" s="168" t="b">
        <v>0</v>
      </c>
      <c r="F623" s="169"/>
      <c r="G623" s="50"/>
      <c r="H623" s="50"/>
      <c r="I623" s="50"/>
      <c r="J623" s="50"/>
      <c r="K623" s="50"/>
    </row>
    <row r="624">
      <c r="A624" s="168"/>
      <c r="B624" s="168"/>
      <c r="C624" s="168"/>
      <c r="D624" s="168"/>
      <c r="E624" s="168" t="b">
        <v>0</v>
      </c>
      <c r="F624" s="169"/>
      <c r="G624" s="50"/>
      <c r="H624" s="50"/>
      <c r="I624" s="50"/>
      <c r="J624" s="50"/>
      <c r="K624" s="50"/>
    </row>
    <row r="625">
      <c r="A625" s="168"/>
      <c r="B625" s="168"/>
      <c r="C625" s="168"/>
      <c r="D625" s="168"/>
      <c r="E625" s="168" t="b">
        <v>0</v>
      </c>
      <c r="F625" s="169"/>
      <c r="G625" s="50"/>
      <c r="H625" s="50"/>
      <c r="I625" s="50"/>
      <c r="J625" s="50"/>
      <c r="K625" s="50"/>
    </row>
    <row r="626">
      <c r="A626" s="168"/>
      <c r="B626" s="168"/>
      <c r="C626" s="168"/>
      <c r="D626" s="168"/>
      <c r="E626" s="168" t="b">
        <v>0</v>
      </c>
      <c r="F626" s="169"/>
      <c r="G626" s="50"/>
      <c r="H626" s="50"/>
      <c r="I626" s="50"/>
      <c r="J626" s="50"/>
      <c r="K626" s="50"/>
    </row>
    <row r="627">
      <c r="A627" s="168"/>
      <c r="B627" s="168"/>
      <c r="C627" s="168"/>
      <c r="D627" s="168"/>
      <c r="E627" s="168" t="b">
        <v>0</v>
      </c>
      <c r="F627" s="169"/>
      <c r="G627" s="50"/>
      <c r="H627" s="50"/>
      <c r="I627" s="50"/>
      <c r="J627" s="50"/>
      <c r="K627" s="50"/>
    </row>
    <row r="628">
      <c r="A628" s="168"/>
      <c r="B628" s="168"/>
      <c r="C628" s="168"/>
      <c r="D628" s="168"/>
      <c r="E628" s="168" t="b">
        <v>0</v>
      </c>
      <c r="F628" s="169"/>
      <c r="G628" s="50"/>
      <c r="H628" s="50"/>
      <c r="I628" s="50"/>
      <c r="J628" s="50"/>
      <c r="K628" s="50"/>
    </row>
    <row r="629">
      <c r="A629" s="168"/>
      <c r="B629" s="168"/>
      <c r="C629" s="168"/>
      <c r="D629" s="168"/>
      <c r="E629" s="168" t="b">
        <v>0</v>
      </c>
      <c r="F629" s="169"/>
      <c r="G629" s="50"/>
      <c r="H629" s="50"/>
      <c r="I629" s="50"/>
      <c r="J629" s="50"/>
      <c r="K629" s="50"/>
    </row>
    <row r="630">
      <c r="A630" s="168"/>
      <c r="B630" s="168"/>
      <c r="C630" s="168"/>
      <c r="D630" s="168"/>
      <c r="E630" s="168" t="b">
        <v>0</v>
      </c>
      <c r="F630" s="169"/>
      <c r="G630" s="50"/>
      <c r="H630" s="50"/>
      <c r="I630" s="50"/>
      <c r="J630" s="50"/>
      <c r="K630" s="50"/>
    </row>
    <row r="631">
      <c r="A631" s="168"/>
      <c r="B631" s="168"/>
      <c r="C631" s="168"/>
      <c r="D631" s="168"/>
      <c r="E631" s="168" t="b">
        <v>0</v>
      </c>
      <c r="F631" s="169"/>
      <c r="G631" s="50"/>
      <c r="H631" s="50"/>
      <c r="I631" s="50"/>
      <c r="J631" s="50"/>
      <c r="K631" s="50"/>
    </row>
    <row r="632">
      <c r="A632" s="168"/>
      <c r="B632" s="168"/>
      <c r="C632" s="168"/>
      <c r="D632" s="168"/>
      <c r="E632" s="168" t="b">
        <v>0</v>
      </c>
      <c r="F632" s="169"/>
      <c r="G632" s="50"/>
      <c r="H632" s="50"/>
      <c r="I632" s="50"/>
      <c r="J632" s="50"/>
      <c r="K632" s="50"/>
    </row>
    <row r="633">
      <c r="A633" s="168"/>
      <c r="B633" s="168"/>
      <c r="C633" s="168"/>
      <c r="D633" s="168"/>
      <c r="E633" s="168" t="b">
        <v>0</v>
      </c>
      <c r="F633" s="169"/>
      <c r="G633" s="50"/>
      <c r="H633" s="50"/>
      <c r="I633" s="50"/>
      <c r="J633" s="50"/>
      <c r="K633" s="50"/>
    </row>
    <row r="634">
      <c r="A634" s="168"/>
      <c r="B634" s="168"/>
      <c r="C634" s="168"/>
      <c r="D634" s="168"/>
      <c r="E634" s="168" t="b">
        <v>0</v>
      </c>
      <c r="F634" s="169"/>
      <c r="G634" s="50"/>
      <c r="H634" s="50"/>
      <c r="I634" s="50"/>
      <c r="J634" s="50"/>
      <c r="K634" s="50"/>
    </row>
    <row r="635">
      <c r="A635" s="168"/>
      <c r="B635" s="168"/>
      <c r="C635" s="168"/>
      <c r="D635" s="168"/>
      <c r="E635" s="168" t="b">
        <v>0</v>
      </c>
      <c r="F635" s="169"/>
      <c r="G635" s="50"/>
      <c r="H635" s="50"/>
      <c r="I635" s="50"/>
      <c r="J635" s="50"/>
      <c r="K635" s="50"/>
    </row>
    <row r="636">
      <c r="A636" s="168"/>
      <c r="B636" s="168"/>
      <c r="C636" s="168"/>
      <c r="D636" s="168"/>
      <c r="E636" s="168" t="b">
        <v>0</v>
      </c>
      <c r="F636" s="169"/>
      <c r="G636" s="50"/>
      <c r="H636" s="50"/>
      <c r="I636" s="50"/>
      <c r="J636" s="50"/>
      <c r="K636" s="50"/>
    </row>
    <row r="637">
      <c r="A637" s="168"/>
      <c r="B637" s="168"/>
      <c r="C637" s="168"/>
      <c r="D637" s="168"/>
      <c r="E637" s="168" t="b">
        <v>0</v>
      </c>
      <c r="F637" s="169"/>
      <c r="G637" s="50"/>
      <c r="H637" s="50"/>
      <c r="I637" s="50"/>
      <c r="J637" s="50"/>
      <c r="K637" s="50"/>
    </row>
    <row r="638">
      <c r="A638" s="168"/>
      <c r="B638" s="168"/>
      <c r="C638" s="168"/>
      <c r="D638" s="168"/>
      <c r="E638" s="168" t="b">
        <v>0</v>
      </c>
      <c r="F638" s="169"/>
      <c r="G638" s="50"/>
      <c r="H638" s="50"/>
      <c r="I638" s="50"/>
      <c r="J638" s="50"/>
      <c r="K638" s="50"/>
    </row>
    <row r="639">
      <c r="A639" s="168"/>
      <c r="B639" s="168"/>
      <c r="C639" s="168"/>
      <c r="D639" s="168"/>
      <c r="E639" s="168" t="b">
        <v>0</v>
      </c>
      <c r="F639" s="169"/>
      <c r="G639" s="50"/>
      <c r="H639" s="50"/>
      <c r="I639" s="50"/>
      <c r="J639" s="50"/>
      <c r="K639" s="50"/>
    </row>
    <row r="640">
      <c r="A640" s="168"/>
      <c r="B640" s="168"/>
      <c r="C640" s="168"/>
      <c r="D640" s="168"/>
      <c r="E640" s="168" t="b">
        <v>0</v>
      </c>
      <c r="F640" s="169"/>
      <c r="G640" s="50"/>
      <c r="H640" s="50"/>
      <c r="I640" s="50"/>
      <c r="J640" s="50"/>
      <c r="K640" s="50"/>
    </row>
    <row r="641">
      <c r="A641" s="168"/>
      <c r="B641" s="168"/>
      <c r="C641" s="168"/>
      <c r="D641" s="168"/>
      <c r="E641" s="168" t="b">
        <v>0</v>
      </c>
      <c r="F641" s="169"/>
      <c r="G641" s="50"/>
      <c r="H641" s="50"/>
      <c r="I641" s="50"/>
      <c r="J641" s="50"/>
      <c r="K641" s="50"/>
    </row>
    <row r="642">
      <c r="A642" s="168"/>
      <c r="B642" s="168"/>
      <c r="C642" s="168"/>
      <c r="D642" s="168"/>
      <c r="E642" s="168" t="b">
        <v>0</v>
      </c>
      <c r="F642" s="169"/>
      <c r="G642" s="50"/>
      <c r="H642" s="50"/>
      <c r="I642" s="50"/>
      <c r="J642" s="50"/>
      <c r="K642" s="50"/>
    </row>
    <row r="643">
      <c r="A643" s="168"/>
      <c r="B643" s="168"/>
      <c r="C643" s="168"/>
      <c r="D643" s="168"/>
      <c r="E643" s="168" t="b">
        <v>0</v>
      </c>
      <c r="F643" s="169"/>
      <c r="G643" s="50"/>
      <c r="H643" s="50"/>
      <c r="I643" s="50"/>
      <c r="J643" s="50"/>
      <c r="K643" s="50"/>
    </row>
    <row r="644">
      <c r="A644" s="168"/>
      <c r="B644" s="168"/>
      <c r="C644" s="168"/>
      <c r="D644" s="168"/>
      <c r="E644" s="168" t="b">
        <v>0</v>
      </c>
      <c r="F644" s="169"/>
      <c r="G644" s="50"/>
      <c r="H644" s="50"/>
      <c r="I644" s="50"/>
      <c r="J644" s="50"/>
      <c r="K644" s="50"/>
    </row>
    <row r="645">
      <c r="A645" s="168"/>
      <c r="B645" s="168"/>
      <c r="C645" s="168"/>
      <c r="D645" s="168"/>
      <c r="E645" s="168" t="b">
        <v>0</v>
      </c>
      <c r="F645" s="169"/>
      <c r="G645" s="50"/>
      <c r="H645" s="50"/>
      <c r="I645" s="50"/>
      <c r="J645" s="50"/>
      <c r="K645" s="50"/>
    </row>
    <row r="646">
      <c r="A646" s="168"/>
      <c r="B646" s="168"/>
      <c r="C646" s="168"/>
      <c r="D646" s="168"/>
      <c r="E646" s="168" t="b">
        <v>0</v>
      </c>
      <c r="F646" s="169"/>
      <c r="G646" s="50"/>
      <c r="H646" s="50"/>
      <c r="I646" s="50"/>
      <c r="J646" s="50"/>
      <c r="K646" s="50"/>
    </row>
    <row r="647">
      <c r="A647" s="168"/>
      <c r="B647" s="168"/>
      <c r="C647" s="168"/>
      <c r="D647" s="168"/>
      <c r="E647" s="168" t="b">
        <v>0</v>
      </c>
      <c r="F647" s="169"/>
      <c r="G647" s="50"/>
      <c r="H647" s="50"/>
      <c r="I647" s="50"/>
      <c r="J647" s="50"/>
      <c r="K647" s="50"/>
    </row>
    <row r="648">
      <c r="A648" s="168"/>
      <c r="B648" s="168"/>
      <c r="C648" s="168"/>
      <c r="D648" s="168"/>
      <c r="E648" s="168" t="b">
        <v>0</v>
      </c>
      <c r="F648" s="169"/>
      <c r="G648" s="50"/>
      <c r="H648" s="50"/>
      <c r="I648" s="50"/>
      <c r="J648" s="50"/>
      <c r="K648" s="50"/>
    </row>
    <row r="649">
      <c r="A649" s="168"/>
      <c r="B649" s="168"/>
      <c r="C649" s="168"/>
      <c r="D649" s="168"/>
      <c r="E649" s="168" t="b">
        <v>0</v>
      </c>
      <c r="F649" s="169"/>
      <c r="G649" s="50"/>
      <c r="H649" s="50"/>
      <c r="I649" s="50"/>
      <c r="J649" s="50"/>
      <c r="K649" s="50"/>
    </row>
    <row r="650">
      <c r="A650" s="168"/>
      <c r="B650" s="168"/>
      <c r="C650" s="168"/>
      <c r="D650" s="168"/>
      <c r="E650" s="168" t="b">
        <v>0</v>
      </c>
      <c r="F650" s="169"/>
      <c r="G650" s="50"/>
      <c r="H650" s="50"/>
      <c r="I650" s="50"/>
      <c r="J650" s="50"/>
      <c r="K650" s="50"/>
    </row>
    <row r="651">
      <c r="A651" s="168"/>
      <c r="B651" s="168"/>
      <c r="C651" s="168"/>
      <c r="D651" s="168"/>
      <c r="E651" s="168" t="b">
        <v>0</v>
      </c>
      <c r="F651" s="169"/>
      <c r="G651" s="50"/>
      <c r="H651" s="50"/>
      <c r="I651" s="50"/>
      <c r="J651" s="50"/>
      <c r="K651" s="50"/>
    </row>
    <row r="652">
      <c r="A652" s="168"/>
      <c r="B652" s="168"/>
      <c r="C652" s="168"/>
      <c r="D652" s="168"/>
      <c r="E652" s="168" t="b">
        <v>0</v>
      </c>
      <c r="F652" s="169"/>
      <c r="G652" s="50"/>
      <c r="H652" s="50"/>
      <c r="I652" s="50"/>
      <c r="J652" s="50"/>
      <c r="K652" s="50"/>
    </row>
    <row r="653">
      <c r="A653" s="168"/>
      <c r="B653" s="168"/>
      <c r="C653" s="168"/>
      <c r="D653" s="168"/>
      <c r="E653" s="168" t="b">
        <v>0</v>
      </c>
      <c r="F653" s="169"/>
      <c r="G653" s="50"/>
      <c r="H653" s="50"/>
      <c r="I653" s="50"/>
      <c r="J653" s="50"/>
      <c r="K653" s="50"/>
    </row>
    <row r="654">
      <c r="A654" s="168"/>
      <c r="B654" s="168"/>
      <c r="C654" s="168"/>
      <c r="D654" s="168"/>
      <c r="E654" s="168" t="b">
        <v>0</v>
      </c>
      <c r="F654" s="169"/>
      <c r="G654" s="50"/>
      <c r="H654" s="50"/>
      <c r="I654" s="50"/>
      <c r="J654" s="50"/>
      <c r="K654" s="50"/>
    </row>
    <row r="655">
      <c r="A655" s="168"/>
      <c r="B655" s="168"/>
      <c r="C655" s="168"/>
      <c r="D655" s="168"/>
      <c r="E655" s="168" t="b">
        <v>0</v>
      </c>
      <c r="F655" s="169"/>
      <c r="G655" s="50"/>
      <c r="H655" s="50"/>
      <c r="I655" s="50"/>
      <c r="J655" s="50"/>
      <c r="K655" s="50"/>
    </row>
    <row r="656">
      <c r="A656" s="168"/>
      <c r="B656" s="168"/>
      <c r="C656" s="168"/>
      <c r="D656" s="168"/>
      <c r="E656" s="168" t="b">
        <v>0</v>
      </c>
      <c r="F656" s="169"/>
      <c r="G656" s="50"/>
      <c r="H656" s="50"/>
      <c r="I656" s="50"/>
      <c r="J656" s="50"/>
      <c r="K656" s="50"/>
    </row>
    <row r="657">
      <c r="A657" s="168"/>
      <c r="B657" s="168"/>
      <c r="C657" s="168"/>
      <c r="D657" s="168"/>
      <c r="E657" s="168" t="b">
        <v>0</v>
      </c>
      <c r="F657" s="169"/>
      <c r="G657" s="50"/>
      <c r="H657" s="50"/>
      <c r="I657" s="50"/>
      <c r="J657" s="50"/>
      <c r="K657" s="50"/>
    </row>
    <row r="658">
      <c r="A658" s="168"/>
      <c r="B658" s="168"/>
      <c r="C658" s="168"/>
      <c r="D658" s="168"/>
      <c r="E658" s="168" t="b">
        <v>0</v>
      </c>
      <c r="F658" s="169"/>
      <c r="G658" s="50"/>
      <c r="H658" s="50"/>
      <c r="I658" s="50"/>
      <c r="J658" s="50"/>
      <c r="K658" s="50"/>
    </row>
    <row r="659">
      <c r="A659" s="168"/>
      <c r="B659" s="168"/>
      <c r="C659" s="168"/>
      <c r="D659" s="168"/>
      <c r="E659" s="168" t="b">
        <v>0</v>
      </c>
      <c r="F659" s="169"/>
      <c r="G659" s="50"/>
      <c r="H659" s="50"/>
      <c r="I659" s="50"/>
      <c r="J659" s="50"/>
      <c r="K659" s="50"/>
    </row>
    <row r="660">
      <c r="A660" s="168"/>
      <c r="B660" s="168"/>
      <c r="C660" s="168"/>
      <c r="D660" s="168"/>
      <c r="E660" s="168" t="b">
        <v>0</v>
      </c>
      <c r="F660" s="169"/>
      <c r="G660" s="50"/>
      <c r="H660" s="50"/>
      <c r="I660" s="50"/>
      <c r="J660" s="50"/>
      <c r="K660" s="50"/>
    </row>
    <row r="661">
      <c r="A661" s="168"/>
      <c r="B661" s="168"/>
      <c r="C661" s="168"/>
      <c r="D661" s="168"/>
      <c r="E661" s="168" t="b">
        <v>0</v>
      </c>
      <c r="F661" s="169"/>
      <c r="G661" s="50"/>
      <c r="H661" s="50"/>
      <c r="I661" s="50"/>
      <c r="J661" s="50"/>
      <c r="K661" s="50"/>
    </row>
    <row r="662">
      <c r="A662" s="168"/>
      <c r="B662" s="168"/>
      <c r="C662" s="168"/>
      <c r="D662" s="168"/>
      <c r="E662" s="168" t="b">
        <v>0</v>
      </c>
      <c r="F662" s="169"/>
      <c r="G662" s="50"/>
      <c r="H662" s="50"/>
      <c r="I662" s="50"/>
      <c r="J662" s="50"/>
      <c r="K662" s="50"/>
    </row>
    <row r="663">
      <c r="A663" s="168"/>
      <c r="B663" s="168"/>
      <c r="C663" s="168"/>
      <c r="D663" s="168"/>
      <c r="E663" s="168" t="b">
        <v>0</v>
      </c>
      <c r="F663" s="169"/>
      <c r="G663" s="50"/>
      <c r="H663" s="50"/>
      <c r="I663" s="50"/>
      <c r="J663" s="50"/>
      <c r="K663" s="50"/>
    </row>
    <row r="664">
      <c r="A664" s="168"/>
      <c r="B664" s="168"/>
      <c r="C664" s="168"/>
      <c r="D664" s="168"/>
      <c r="E664" s="168" t="b">
        <v>0</v>
      </c>
      <c r="F664" s="169"/>
      <c r="G664" s="50"/>
      <c r="H664" s="50"/>
      <c r="I664" s="50"/>
      <c r="J664" s="50"/>
      <c r="K664" s="50"/>
    </row>
    <row r="665">
      <c r="A665" s="168"/>
      <c r="B665" s="168"/>
      <c r="C665" s="168"/>
      <c r="D665" s="168"/>
      <c r="E665" s="168" t="b">
        <v>0</v>
      </c>
      <c r="F665" s="169"/>
      <c r="G665" s="50"/>
      <c r="H665" s="50"/>
      <c r="I665" s="50"/>
      <c r="J665" s="50"/>
      <c r="K665" s="50"/>
    </row>
    <row r="666">
      <c r="A666" s="168"/>
      <c r="B666" s="168"/>
      <c r="C666" s="168"/>
      <c r="D666" s="168"/>
      <c r="E666" s="168" t="b">
        <v>0</v>
      </c>
      <c r="F666" s="169"/>
      <c r="G666" s="50"/>
      <c r="H666" s="50"/>
      <c r="I666" s="50"/>
      <c r="J666" s="50"/>
      <c r="K666" s="50"/>
    </row>
    <row r="667">
      <c r="A667" s="168"/>
      <c r="B667" s="168"/>
      <c r="C667" s="168"/>
      <c r="D667" s="168"/>
      <c r="E667" s="168" t="b">
        <v>0</v>
      </c>
      <c r="F667" s="169"/>
      <c r="G667" s="50"/>
      <c r="H667" s="50"/>
      <c r="I667" s="50"/>
      <c r="J667" s="50"/>
      <c r="K667" s="50"/>
    </row>
    <row r="668">
      <c r="A668" s="168"/>
      <c r="B668" s="168"/>
      <c r="C668" s="168"/>
      <c r="D668" s="168"/>
      <c r="E668" s="168" t="b">
        <v>0</v>
      </c>
      <c r="F668" s="169"/>
      <c r="G668" s="50"/>
      <c r="H668" s="50"/>
      <c r="I668" s="50"/>
      <c r="J668" s="50"/>
      <c r="K668" s="50"/>
    </row>
    <row r="669">
      <c r="A669" s="168"/>
      <c r="B669" s="168"/>
      <c r="C669" s="168"/>
      <c r="D669" s="168"/>
      <c r="E669" s="168" t="b">
        <v>0</v>
      </c>
      <c r="F669" s="169"/>
      <c r="G669" s="50"/>
      <c r="H669" s="50"/>
      <c r="I669" s="50"/>
      <c r="J669" s="50"/>
      <c r="K669" s="50"/>
    </row>
    <row r="670">
      <c r="A670" s="168"/>
      <c r="B670" s="168"/>
      <c r="C670" s="168"/>
      <c r="D670" s="168"/>
      <c r="E670" s="168" t="b">
        <v>0</v>
      </c>
      <c r="F670" s="169"/>
      <c r="G670" s="50"/>
      <c r="H670" s="50"/>
      <c r="I670" s="50"/>
      <c r="J670" s="50"/>
      <c r="K670" s="50"/>
    </row>
    <row r="671">
      <c r="A671" s="168"/>
      <c r="B671" s="168"/>
      <c r="C671" s="168"/>
      <c r="D671" s="168"/>
      <c r="E671" s="168" t="b">
        <v>0</v>
      </c>
      <c r="F671" s="169"/>
      <c r="G671" s="50"/>
      <c r="H671" s="50"/>
      <c r="I671" s="50"/>
      <c r="J671" s="50"/>
      <c r="K671" s="50"/>
    </row>
    <row r="672">
      <c r="A672" s="168"/>
      <c r="B672" s="168"/>
      <c r="C672" s="168"/>
      <c r="D672" s="168"/>
      <c r="E672" s="168" t="b">
        <v>0</v>
      </c>
      <c r="F672" s="169"/>
      <c r="G672" s="50"/>
      <c r="H672" s="50"/>
      <c r="I672" s="50"/>
      <c r="J672" s="50"/>
      <c r="K672" s="50"/>
    </row>
    <row r="673">
      <c r="A673" s="168"/>
      <c r="B673" s="168"/>
      <c r="C673" s="168"/>
      <c r="D673" s="168"/>
      <c r="E673" s="168" t="b">
        <v>0</v>
      </c>
      <c r="F673" s="169"/>
      <c r="G673" s="50"/>
      <c r="H673" s="50"/>
      <c r="I673" s="50"/>
      <c r="J673" s="50"/>
      <c r="K673" s="50"/>
    </row>
    <row r="674">
      <c r="A674" s="168"/>
      <c r="B674" s="168"/>
      <c r="C674" s="168"/>
      <c r="D674" s="168"/>
      <c r="E674" s="168" t="b">
        <v>0</v>
      </c>
      <c r="F674" s="169"/>
      <c r="G674" s="50"/>
      <c r="H674" s="50"/>
      <c r="I674" s="50"/>
      <c r="J674" s="50"/>
      <c r="K674" s="50"/>
    </row>
    <row r="675">
      <c r="A675" s="168"/>
      <c r="B675" s="168"/>
      <c r="C675" s="168"/>
      <c r="D675" s="168"/>
      <c r="E675" s="168" t="b">
        <v>0</v>
      </c>
      <c r="F675" s="169"/>
      <c r="G675" s="50"/>
      <c r="H675" s="50"/>
      <c r="I675" s="50"/>
      <c r="J675" s="50"/>
      <c r="K675" s="50"/>
    </row>
    <row r="676">
      <c r="A676" s="168"/>
      <c r="B676" s="168"/>
      <c r="C676" s="168"/>
      <c r="D676" s="168"/>
      <c r="E676" s="168" t="b">
        <v>0</v>
      </c>
      <c r="F676" s="169"/>
      <c r="G676" s="50"/>
      <c r="H676" s="50"/>
      <c r="I676" s="50"/>
      <c r="J676" s="50"/>
      <c r="K676" s="50"/>
    </row>
    <row r="677">
      <c r="A677" s="168"/>
      <c r="B677" s="168"/>
      <c r="C677" s="168"/>
      <c r="D677" s="168"/>
      <c r="E677" s="168" t="b">
        <v>0</v>
      </c>
      <c r="F677" s="169"/>
      <c r="G677" s="50"/>
      <c r="H677" s="50"/>
      <c r="I677" s="50"/>
      <c r="J677" s="50"/>
      <c r="K677" s="50"/>
    </row>
    <row r="678">
      <c r="A678" s="168"/>
      <c r="B678" s="168"/>
      <c r="C678" s="168"/>
      <c r="D678" s="168"/>
      <c r="E678" s="168" t="b">
        <v>0</v>
      </c>
      <c r="F678" s="169"/>
      <c r="G678" s="50"/>
      <c r="H678" s="50"/>
      <c r="I678" s="50"/>
      <c r="J678" s="50"/>
      <c r="K678" s="50"/>
    </row>
    <row r="679">
      <c r="A679" s="168"/>
      <c r="B679" s="168"/>
      <c r="C679" s="168"/>
      <c r="D679" s="168"/>
      <c r="E679" s="168" t="b">
        <v>0</v>
      </c>
      <c r="F679" s="169"/>
      <c r="G679" s="50"/>
      <c r="H679" s="50"/>
      <c r="I679" s="50"/>
      <c r="J679" s="50"/>
      <c r="K679" s="50"/>
    </row>
    <row r="680">
      <c r="A680" s="168"/>
      <c r="B680" s="168"/>
      <c r="C680" s="168"/>
      <c r="D680" s="168"/>
      <c r="E680" s="168" t="b">
        <v>0</v>
      </c>
      <c r="F680" s="169"/>
      <c r="G680" s="50"/>
      <c r="H680" s="50"/>
      <c r="I680" s="50"/>
      <c r="J680" s="50"/>
      <c r="K680" s="50"/>
    </row>
    <row r="681">
      <c r="A681" s="168"/>
      <c r="B681" s="168"/>
      <c r="C681" s="168"/>
      <c r="D681" s="168"/>
      <c r="E681" s="168" t="b">
        <v>0</v>
      </c>
      <c r="F681" s="169"/>
      <c r="G681" s="50"/>
      <c r="H681" s="50"/>
      <c r="I681" s="50"/>
      <c r="J681" s="50"/>
      <c r="K681" s="50"/>
    </row>
    <row r="682">
      <c r="A682" s="168"/>
      <c r="B682" s="168"/>
      <c r="C682" s="168"/>
      <c r="D682" s="168"/>
      <c r="E682" s="168" t="b">
        <v>0</v>
      </c>
      <c r="F682" s="169"/>
      <c r="G682" s="50"/>
      <c r="H682" s="50"/>
      <c r="I682" s="50"/>
      <c r="J682" s="50"/>
      <c r="K682" s="50"/>
    </row>
    <row r="683">
      <c r="A683" s="168"/>
      <c r="B683" s="168"/>
      <c r="C683" s="168"/>
      <c r="D683" s="168"/>
      <c r="E683" s="168" t="b">
        <v>0</v>
      </c>
      <c r="F683" s="169"/>
      <c r="G683" s="50"/>
      <c r="H683" s="50"/>
      <c r="I683" s="50"/>
      <c r="J683" s="50"/>
      <c r="K683" s="50"/>
    </row>
    <row r="684">
      <c r="A684" s="168"/>
      <c r="B684" s="168"/>
      <c r="C684" s="168"/>
      <c r="D684" s="168"/>
      <c r="E684" s="168" t="b">
        <v>0</v>
      </c>
      <c r="F684" s="169"/>
      <c r="G684" s="50"/>
      <c r="H684" s="50"/>
      <c r="I684" s="50"/>
      <c r="J684" s="50"/>
      <c r="K684" s="50"/>
    </row>
    <row r="685">
      <c r="A685" s="168"/>
      <c r="B685" s="168"/>
      <c r="C685" s="168"/>
      <c r="D685" s="168"/>
      <c r="E685" s="168" t="b">
        <v>0</v>
      </c>
      <c r="F685" s="169"/>
      <c r="G685" s="50"/>
      <c r="H685" s="50"/>
      <c r="I685" s="50"/>
      <c r="J685" s="50"/>
      <c r="K685" s="50"/>
    </row>
    <row r="686">
      <c r="A686" s="168"/>
      <c r="B686" s="168"/>
      <c r="C686" s="168"/>
      <c r="D686" s="168"/>
      <c r="E686" s="168" t="b">
        <v>0</v>
      </c>
      <c r="F686" s="169"/>
      <c r="G686" s="50"/>
      <c r="H686" s="50"/>
      <c r="I686" s="50"/>
      <c r="J686" s="50"/>
      <c r="K686" s="50"/>
    </row>
    <row r="687">
      <c r="A687" s="168"/>
      <c r="B687" s="168"/>
      <c r="C687" s="168"/>
      <c r="D687" s="168"/>
      <c r="E687" s="168" t="b">
        <v>0</v>
      </c>
      <c r="F687" s="169"/>
      <c r="G687" s="50"/>
      <c r="H687" s="50"/>
      <c r="I687" s="50"/>
      <c r="J687" s="50"/>
      <c r="K687" s="50"/>
    </row>
    <row r="688">
      <c r="A688" s="168"/>
      <c r="B688" s="168"/>
      <c r="C688" s="168"/>
      <c r="D688" s="168"/>
      <c r="E688" s="168" t="b">
        <v>0</v>
      </c>
      <c r="F688" s="169"/>
      <c r="G688" s="50"/>
      <c r="H688" s="50"/>
      <c r="I688" s="50"/>
      <c r="J688" s="50"/>
      <c r="K688" s="50"/>
    </row>
    <row r="689">
      <c r="A689" s="168"/>
      <c r="B689" s="168"/>
      <c r="C689" s="168"/>
      <c r="D689" s="168"/>
      <c r="E689" s="168" t="b">
        <v>0</v>
      </c>
      <c r="F689" s="169"/>
      <c r="G689" s="50"/>
      <c r="H689" s="50"/>
      <c r="I689" s="50"/>
      <c r="J689" s="50"/>
      <c r="K689" s="50"/>
    </row>
    <row r="690">
      <c r="A690" s="168"/>
      <c r="B690" s="168"/>
      <c r="C690" s="168"/>
      <c r="D690" s="168"/>
      <c r="E690" s="168" t="b">
        <v>0</v>
      </c>
      <c r="F690" s="169"/>
      <c r="G690" s="50"/>
      <c r="H690" s="50"/>
      <c r="I690" s="50"/>
      <c r="J690" s="50"/>
      <c r="K690" s="50"/>
    </row>
    <row r="691">
      <c r="A691" s="168"/>
      <c r="B691" s="168"/>
      <c r="C691" s="168"/>
      <c r="D691" s="168"/>
      <c r="E691" s="168" t="b">
        <v>0</v>
      </c>
      <c r="F691" s="169"/>
      <c r="G691" s="50"/>
      <c r="H691" s="50"/>
      <c r="I691" s="50"/>
      <c r="J691" s="50"/>
      <c r="K691" s="50"/>
    </row>
    <row r="692">
      <c r="A692" s="168"/>
      <c r="B692" s="168"/>
      <c r="C692" s="168"/>
      <c r="D692" s="168"/>
      <c r="E692" s="168" t="b">
        <v>0</v>
      </c>
      <c r="F692" s="169"/>
      <c r="G692" s="50"/>
      <c r="H692" s="50"/>
      <c r="I692" s="50"/>
      <c r="J692" s="50"/>
      <c r="K692" s="50"/>
    </row>
    <row r="693">
      <c r="A693" s="168"/>
      <c r="B693" s="168"/>
      <c r="C693" s="168"/>
      <c r="D693" s="168"/>
      <c r="E693" s="168" t="b">
        <v>0</v>
      </c>
      <c r="F693" s="169"/>
      <c r="G693" s="50"/>
      <c r="H693" s="50"/>
      <c r="I693" s="50"/>
      <c r="J693" s="50"/>
      <c r="K693" s="50"/>
    </row>
    <row r="694">
      <c r="A694" s="168"/>
      <c r="B694" s="168"/>
      <c r="C694" s="168"/>
      <c r="D694" s="168"/>
      <c r="E694" s="168" t="b">
        <v>0</v>
      </c>
      <c r="F694" s="169"/>
      <c r="G694" s="50"/>
      <c r="H694" s="50"/>
      <c r="I694" s="50"/>
      <c r="J694" s="50"/>
      <c r="K694" s="50"/>
    </row>
    <row r="695">
      <c r="A695" s="168"/>
      <c r="B695" s="168"/>
      <c r="C695" s="168"/>
      <c r="D695" s="168"/>
      <c r="E695" s="168" t="b">
        <v>0</v>
      </c>
      <c r="F695" s="169"/>
      <c r="G695" s="50"/>
      <c r="H695" s="50"/>
      <c r="I695" s="50"/>
      <c r="J695" s="50"/>
      <c r="K695" s="50"/>
    </row>
    <row r="696">
      <c r="A696" s="168"/>
      <c r="B696" s="168"/>
      <c r="C696" s="168"/>
      <c r="D696" s="168"/>
      <c r="E696" s="168" t="b">
        <v>0</v>
      </c>
      <c r="F696" s="169"/>
      <c r="G696" s="50"/>
      <c r="H696" s="50"/>
      <c r="I696" s="50"/>
      <c r="J696" s="50"/>
      <c r="K696" s="50"/>
    </row>
    <row r="697">
      <c r="A697" s="168"/>
      <c r="B697" s="168"/>
      <c r="C697" s="168"/>
      <c r="D697" s="168"/>
      <c r="E697" s="168" t="b">
        <v>0</v>
      </c>
      <c r="F697" s="169"/>
      <c r="G697" s="50"/>
      <c r="H697" s="50"/>
      <c r="I697" s="50"/>
      <c r="J697" s="50"/>
      <c r="K697" s="50"/>
    </row>
    <row r="698">
      <c r="A698" s="168"/>
      <c r="B698" s="168"/>
      <c r="C698" s="168"/>
      <c r="D698" s="168"/>
      <c r="E698" s="168" t="b">
        <v>0</v>
      </c>
      <c r="F698" s="169"/>
      <c r="G698" s="50"/>
      <c r="H698" s="50"/>
      <c r="I698" s="50"/>
      <c r="J698" s="50"/>
      <c r="K698" s="50"/>
    </row>
    <row r="699">
      <c r="A699" s="168"/>
      <c r="B699" s="168"/>
      <c r="C699" s="168"/>
      <c r="D699" s="168"/>
      <c r="E699" s="168" t="b">
        <v>0</v>
      </c>
      <c r="F699" s="169"/>
      <c r="G699" s="50"/>
      <c r="H699" s="50"/>
      <c r="I699" s="50"/>
      <c r="J699" s="50"/>
      <c r="K699" s="50"/>
    </row>
    <row r="700">
      <c r="A700" s="168"/>
      <c r="B700" s="168"/>
      <c r="C700" s="168"/>
      <c r="D700" s="168"/>
      <c r="E700" s="168" t="b">
        <v>0</v>
      </c>
      <c r="F700" s="169"/>
      <c r="G700" s="50"/>
      <c r="H700" s="50"/>
      <c r="I700" s="50"/>
      <c r="J700" s="50"/>
      <c r="K700" s="50"/>
    </row>
    <row r="701">
      <c r="A701" s="168"/>
      <c r="B701" s="168"/>
      <c r="C701" s="168"/>
      <c r="D701" s="168"/>
      <c r="E701" s="168" t="b">
        <v>0</v>
      </c>
      <c r="F701" s="169"/>
      <c r="G701" s="50"/>
      <c r="H701" s="50"/>
      <c r="I701" s="50"/>
      <c r="J701" s="50"/>
      <c r="K701" s="50"/>
    </row>
    <row r="702">
      <c r="A702" s="168"/>
      <c r="B702" s="168"/>
      <c r="C702" s="168"/>
      <c r="D702" s="168"/>
      <c r="E702" s="168" t="b">
        <v>0</v>
      </c>
      <c r="F702" s="169"/>
      <c r="G702" s="50"/>
      <c r="H702" s="50"/>
      <c r="I702" s="50"/>
      <c r="J702" s="50"/>
      <c r="K702" s="50"/>
    </row>
    <row r="703">
      <c r="A703" s="168"/>
      <c r="B703" s="168"/>
      <c r="C703" s="168"/>
      <c r="D703" s="168"/>
      <c r="E703" s="168" t="b">
        <v>0</v>
      </c>
      <c r="F703" s="169"/>
      <c r="G703" s="50"/>
      <c r="H703" s="50"/>
      <c r="I703" s="50"/>
      <c r="J703" s="50"/>
      <c r="K703" s="50"/>
    </row>
    <row r="704">
      <c r="A704" s="168"/>
      <c r="B704" s="168"/>
      <c r="C704" s="168"/>
      <c r="D704" s="168"/>
      <c r="E704" s="168" t="b">
        <v>0</v>
      </c>
      <c r="F704" s="169"/>
      <c r="G704" s="50"/>
      <c r="H704" s="50"/>
      <c r="I704" s="50"/>
      <c r="J704" s="50"/>
      <c r="K704" s="50"/>
    </row>
    <row r="705">
      <c r="A705" s="168"/>
      <c r="B705" s="168"/>
      <c r="C705" s="168"/>
      <c r="D705" s="168"/>
      <c r="E705" s="168" t="b">
        <v>0</v>
      </c>
      <c r="F705" s="169"/>
      <c r="G705" s="50"/>
      <c r="H705" s="50"/>
      <c r="I705" s="50"/>
      <c r="J705" s="50"/>
      <c r="K705" s="50"/>
    </row>
    <row r="706">
      <c r="A706" s="168"/>
      <c r="B706" s="168"/>
      <c r="C706" s="168"/>
      <c r="D706" s="168"/>
      <c r="E706" s="168" t="b">
        <v>0</v>
      </c>
      <c r="F706" s="169"/>
      <c r="G706" s="50"/>
      <c r="H706" s="50"/>
      <c r="I706" s="50"/>
      <c r="J706" s="50"/>
      <c r="K706" s="50"/>
    </row>
    <row r="707">
      <c r="A707" s="168"/>
      <c r="B707" s="168"/>
      <c r="C707" s="168"/>
      <c r="D707" s="168"/>
      <c r="E707" s="168" t="b">
        <v>0</v>
      </c>
      <c r="F707" s="169"/>
      <c r="G707" s="50"/>
      <c r="H707" s="50"/>
      <c r="I707" s="50"/>
      <c r="J707" s="50"/>
      <c r="K707" s="50"/>
    </row>
    <row r="708">
      <c r="A708" s="168"/>
      <c r="B708" s="168"/>
      <c r="C708" s="168"/>
      <c r="D708" s="168"/>
      <c r="E708" s="168" t="b">
        <v>0</v>
      </c>
      <c r="F708" s="169"/>
      <c r="G708" s="50"/>
      <c r="H708" s="50"/>
      <c r="I708" s="50"/>
      <c r="J708" s="50"/>
      <c r="K708" s="50"/>
    </row>
    <row r="709">
      <c r="A709" s="168"/>
      <c r="B709" s="168"/>
      <c r="C709" s="168"/>
      <c r="D709" s="168"/>
      <c r="E709" s="168" t="b">
        <v>0</v>
      </c>
      <c r="F709" s="169"/>
      <c r="G709" s="50"/>
      <c r="H709" s="50"/>
      <c r="I709" s="50"/>
      <c r="J709" s="50"/>
      <c r="K709" s="50"/>
    </row>
    <row r="710">
      <c r="A710" s="168"/>
      <c r="B710" s="168"/>
      <c r="C710" s="168"/>
      <c r="D710" s="168"/>
      <c r="E710" s="168" t="b">
        <v>0</v>
      </c>
      <c r="F710" s="169"/>
      <c r="G710" s="50"/>
      <c r="H710" s="50"/>
      <c r="I710" s="50"/>
      <c r="J710" s="50"/>
      <c r="K710" s="50"/>
    </row>
    <row r="711">
      <c r="A711" s="168"/>
      <c r="B711" s="168"/>
      <c r="C711" s="168"/>
      <c r="D711" s="168"/>
      <c r="E711" s="168" t="b">
        <v>0</v>
      </c>
      <c r="F711" s="169"/>
      <c r="G711" s="50"/>
      <c r="H711" s="50"/>
      <c r="I711" s="50"/>
      <c r="J711" s="50"/>
      <c r="K711" s="50"/>
    </row>
    <row r="712">
      <c r="A712" s="168"/>
      <c r="B712" s="168"/>
      <c r="C712" s="168"/>
      <c r="D712" s="168"/>
      <c r="E712" s="168" t="b">
        <v>0</v>
      </c>
      <c r="F712" s="169"/>
      <c r="G712" s="50"/>
      <c r="H712" s="50"/>
      <c r="I712" s="50"/>
      <c r="J712" s="50"/>
      <c r="K712" s="50"/>
    </row>
    <row r="713">
      <c r="A713" s="168"/>
      <c r="B713" s="168"/>
      <c r="C713" s="168"/>
      <c r="D713" s="168"/>
      <c r="E713" s="168" t="b">
        <v>0</v>
      </c>
      <c r="F713" s="169"/>
      <c r="G713" s="50"/>
      <c r="H713" s="50"/>
      <c r="I713" s="50"/>
      <c r="J713" s="50"/>
      <c r="K713" s="50"/>
    </row>
    <row r="714">
      <c r="A714" s="168"/>
      <c r="B714" s="168"/>
      <c r="C714" s="168"/>
      <c r="D714" s="168"/>
      <c r="E714" s="168" t="b">
        <v>0</v>
      </c>
      <c r="F714" s="169"/>
      <c r="G714" s="50"/>
      <c r="H714" s="50"/>
      <c r="I714" s="50"/>
      <c r="J714" s="50"/>
      <c r="K714" s="50"/>
    </row>
    <row r="715">
      <c r="A715" s="168"/>
      <c r="B715" s="168"/>
      <c r="C715" s="168"/>
      <c r="D715" s="168"/>
      <c r="E715" s="168" t="b">
        <v>0</v>
      </c>
      <c r="F715" s="169"/>
      <c r="G715" s="50"/>
      <c r="H715" s="50"/>
      <c r="I715" s="50"/>
      <c r="J715" s="50"/>
      <c r="K715" s="50"/>
    </row>
    <row r="716">
      <c r="A716" s="168"/>
      <c r="B716" s="168"/>
      <c r="C716" s="168"/>
      <c r="D716" s="168"/>
      <c r="E716" s="168" t="b">
        <v>0</v>
      </c>
      <c r="F716" s="169"/>
      <c r="G716" s="50"/>
      <c r="H716" s="50"/>
      <c r="I716" s="50"/>
      <c r="J716" s="50"/>
      <c r="K716" s="50"/>
    </row>
    <row r="717">
      <c r="A717" s="168"/>
      <c r="B717" s="168"/>
      <c r="C717" s="168"/>
      <c r="D717" s="168"/>
      <c r="E717" s="168" t="b">
        <v>0</v>
      </c>
      <c r="F717" s="169"/>
      <c r="G717" s="50"/>
      <c r="H717" s="50"/>
      <c r="I717" s="50"/>
      <c r="J717" s="50"/>
      <c r="K717" s="50"/>
    </row>
    <row r="718">
      <c r="A718" s="168"/>
      <c r="B718" s="168"/>
      <c r="C718" s="168"/>
      <c r="D718" s="168"/>
      <c r="E718" s="168" t="b">
        <v>0</v>
      </c>
      <c r="F718" s="169"/>
      <c r="G718" s="50"/>
      <c r="H718" s="50"/>
      <c r="I718" s="50"/>
      <c r="J718" s="50"/>
      <c r="K718" s="50"/>
    </row>
    <row r="719">
      <c r="A719" s="168"/>
      <c r="B719" s="168"/>
      <c r="C719" s="168"/>
      <c r="D719" s="168"/>
      <c r="E719" s="168" t="b">
        <v>0</v>
      </c>
      <c r="F719" s="169"/>
      <c r="G719" s="50"/>
      <c r="H719" s="50"/>
      <c r="I719" s="50"/>
      <c r="J719" s="50"/>
      <c r="K719" s="50"/>
    </row>
    <row r="720">
      <c r="A720" s="168"/>
      <c r="B720" s="168"/>
      <c r="C720" s="168"/>
      <c r="D720" s="168"/>
      <c r="E720" s="168" t="b">
        <v>0</v>
      </c>
      <c r="F720" s="169"/>
      <c r="G720" s="50"/>
      <c r="H720" s="50"/>
      <c r="I720" s="50"/>
      <c r="J720" s="50"/>
      <c r="K720" s="50"/>
    </row>
    <row r="721">
      <c r="A721" s="168"/>
      <c r="B721" s="168"/>
      <c r="C721" s="168"/>
      <c r="D721" s="168"/>
      <c r="E721" s="168" t="b">
        <v>0</v>
      </c>
      <c r="F721" s="169"/>
      <c r="G721" s="50"/>
      <c r="H721" s="50"/>
      <c r="I721" s="50"/>
      <c r="J721" s="50"/>
      <c r="K721" s="50"/>
    </row>
    <row r="722">
      <c r="A722" s="168"/>
      <c r="B722" s="168"/>
      <c r="C722" s="168"/>
      <c r="D722" s="168"/>
      <c r="E722" s="168" t="b">
        <v>0</v>
      </c>
      <c r="F722" s="169"/>
      <c r="G722" s="50"/>
      <c r="H722" s="50"/>
      <c r="I722" s="50"/>
      <c r="J722" s="50"/>
      <c r="K722" s="50"/>
    </row>
    <row r="723">
      <c r="A723" s="168"/>
      <c r="B723" s="168"/>
      <c r="C723" s="168"/>
      <c r="D723" s="168"/>
      <c r="E723" s="168" t="b">
        <v>0</v>
      </c>
      <c r="F723" s="169"/>
      <c r="G723" s="50"/>
      <c r="H723" s="50"/>
      <c r="I723" s="50"/>
      <c r="J723" s="50"/>
      <c r="K723" s="50"/>
    </row>
    <row r="724">
      <c r="A724" s="168"/>
      <c r="B724" s="168"/>
      <c r="C724" s="168"/>
      <c r="D724" s="168"/>
      <c r="E724" s="168" t="b">
        <v>0</v>
      </c>
      <c r="F724" s="169"/>
      <c r="G724" s="50"/>
      <c r="H724" s="50"/>
      <c r="I724" s="50"/>
      <c r="J724" s="50"/>
      <c r="K724" s="50"/>
    </row>
    <row r="725">
      <c r="A725" s="168"/>
      <c r="B725" s="168"/>
      <c r="C725" s="168"/>
      <c r="D725" s="168"/>
      <c r="E725" s="168" t="b">
        <v>0</v>
      </c>
      <c r="F725" s="169"/>
      <c r="G725" s="50"/>
      <c r="H725" s="50"/>
      <c r="I725" s="50"/>
      <c r="J725" s="50"/>
      <c r="K725" s="50"/>
    </row>
    <row r="726">
      <c r="A726" s="168"/>
      <c r="B726" s="168"/>
      <c r="C726" s="168"/>
      <c r="D726" s="168"/>
      <c r="E726" s="168" t="b">
        <v>0</v>
      </c>
      <c r="F726" s="169"/>
      <c r="G726" s="50"/>
      <c r="H726" s="50"/>
      <c r="I726" s="50"/>
      <c r="J726" s="50"/>
      <c r="K726" s="50"/>
    </row>
    <row r="727">
      <c r="A727" s="168"/>
      <c r="B727" s="168"/>
      <c r="C727" s="168"/>
      <c r="D727" s="168"/>
      <c r="E727" s="168" t="b">
        <v>0</v>
      </c>
      <c r="F727" s="169"/>
      <c r="G727" s="50"/>
      <c r="H727" s="50"/>
      <c r="I727" s="50"/>
      <c r="J727" s="50"/>
      <c r="K727" s="50"/>
    </row>
    <row r="728">
      <c r="A728" s="168"/>
      <c r="B728" s="168"/>
      <c r="C728" s="168"/>
      <c r="D728" s="168"/>
      <c r="E728" s="168" t="b">
        <v>0</v>
      </c>
      <c r="F728" s="169"/>
      <c r="G728" s="50"/>
      <c r="H728" s="50"/>
      <c r="I728" s="50"/>
      <c r="J728" s="50"/>
      <c r="K728" s="50"/>
    </row>
    <row r="729">
      <c r="A729" s="168"/>
      <c r="B729" s="168"/>
      <c r="C729" s="168"/>
      <c r="D729" s="168"/>
      <c r="E729" s="168" t="b">
        <v>0</v>
      </c>
      <c r="F729" s="169"/>
      <c r="G729" s="50"/>
      <c r="H729" s="50"/>
      <c r="I729" s="50"/>
      <c r="J729" s="50"/>
      <c r="K729" s="50"/>
    </row>
    <row r="730">
      <c r="A730" s="168"/>
      <c r="B730" s="168"/>
      <c r="C730" s="168"/>
      <c r="D730" s="168"/>
      <c r="E730" s="168" t="b">
        <v>0</v>
      </c>
      <c r="F730" s="169"/>
      <c r="G730" s="50"/>
      <c r="H730" s="50"/>
      <c r="I730" s="50"/>
      <c r="J730" s="50"/>
      <c r="K730" s="50"/>
    </row>
    <row r="731">
      <c r="A731" s="168"/>
      <c r="B731" s="168"/>
      <c r="C731" s="168"/>
      <c r="D731" s="168"/>
      <c r="E731" s="168" t="b">
        <v>0</v>
      </c>
      <c r="F731" s="169"/>
      <c r="G731" s="50"/>
      <c r="H731" s="50"/>
      <c r="I731" s="50"/>
      <c r="J731" s="50"/>
      <c r="K731" s="50"/>
    </row>
    <row r="732">
      <c r="A732" s="168"/>
      <c r="B732" s="168"/>
      <c r="C732" s="168"/>
      <c r="D732" s="168"/>
      <c r="E732" s="168" t="b">
        <v>0</v>
      </c>
      <c r="F732" s="169"/>
      <c r="G732" s="50"/>
      <c r="H732" s="50"/>
      <c r="I732" s="50"/>
      <c r="J732" s="50"/>
      <c r="K732" s="50"/>
    </row>
    <row r="733">
      <c r="A733" s="168"/>
      <c r="B733" s="168"/>
      <c r="C733" s="168"/>
      <c r="D733" s="168"/>
      <c r="E733" s="168" t="b">
        <v>0</v>
      </c>
      <c r="F733" s="169"/>
      <c r="G733" s="50"/>
      <c r="H733" s="50"/>
      <c r="I733" s="50"/>
      <c r="J733" s="50"/>
      <c r="K733" s="50"/>
    </row>
    <row r="734">
      <c r="A734" s="168"/>
      <c r="B734" s="168"/>
      <c r="C734" s="168"/>
      <c r="D734" s="168"/>
      <c r="E734" s="168" t="b">
        <v>0</v>
      </c>
      <c r="F734" s="169"/>
      <c r="G734" s="50"/>
      <c r="H734" s="50"/>
      <c r="I734" s="50"/>
      <c r="J734" s="50"/>
      <c r="K734" s="50"/>
    </row>
    <row r="735">
      <c r="A735" s="168"/>
      <c r="B735" s="168"/>
      <c r="C735" s="168"/>
      <c r="D735" s="168"/>
      <c r="E735" s="168" t="b">
        <v>0</v>
      </c>
      <c r="F735" s="169"/>
      <c r="G735" s="50"/>
      <c r="H735" s="50"/>
      <c r="I735" s="50"/>
      <c r="J735" s="50"/>
      <c r="K735" s="50"/>
    </row>
    <row r="736">
      <c r="A736" s="168"/>
      <c r="B736" s="168"/>
      <c r="C736" s="168"/>
      <c r="D736" s="168"/>
      <c r="E736" s="168" t="b">
        <v>0</v>
      </c>
      <c r="F736" s="169"/>
      <c r="G736" s="50"/>
      <c r="H736" s="50"/>
      <c r="I736" s="50"/>
      <c r="J736" s="50"/>
      <c r="K736" s="50"/>
    </row>
    <row r="737">
      <c r="A737" s="168"/>
      <c r="B737" s="168"/>
      <c r="C737" s="168"/>
      <c r="D737" s="168"/>
      <c r="E737" s="168" t="b">
        <v>0</v>
      </c>
      <c r="F737" s="169"/>
      <c r="G737" s="50"/>
      <c r="H737" s="50"/>
      <c r="I737" s="50"/>
      <c r="J737" s="50"/>
      <c r="K737" s="50"/>
    </row>
    <row r="738">
      <c r="A738" s="168"/>
      <c r="B738" s="168"/>
      <c r="C738" s="168"/>
      <c r="D738" s="168"/>
      <c r="E738" s="168" t="b">
        <v>0</v>
      </c>
      <c r="F738" s="169"/>
      <c r="G738" s="50"/>
      <c r="H738" s="50"/>
      <c r="I738" s="50"/>
      <c r="J738" s="50"/>
      <c r="K738" s="50"/>
    </row>
    <row r="739">
      <c r="A739" s="168"/>
      <c r="B739" s="168"/>
      <c r="C739" s="168"/>
      <c r="D739" s="168"/>
      <c r="E739" s="168" t="b">
        <v>0</v>
      </c>
      <c r="F739" s="169"/>
      <c r="G739" s="50"/>
      <c r="H739" s="50"/>
      <c r="I739" s="50"/>
      <c r="J739" s="50"/>
      <c r="K739" s="50"/>
    </row>
    <row r="740">
      <c r="A740" s="168"/>
      <c r="B740" s="168"/>
      <c r="C740" s="168"/>
      <c r="D740" s="168"/>
      <c r="E740" s="168" t="b">
        <v>0</v>
      </c>
      <c r="F740" s="169"/>
      <c r="G740" s="50"/>
      <c r="H740" s="50"/>
      <c r="I740" s="50"/>
      <c r="J740" s="50"/>
      <c r="K740" s="50"/>
    </row>
    <row r="741">
      <c r="A741" s="168"/>
      <c r="B741" s="168"/>
      <c r="C741" s="168"/>
      <c r="D741" s="168"/>
      <c r="E741" s="168" t="b">
        <v>0</v>
      </c>
      <c r="F741" s="169"/>
      <c r="G741" s="50"/>
      <c r="H741" s="50"/>
      <c r="I741" s="50"/>
      <c r="J741" s="50"/>
      <c r="K741" s="50"/>
    </row>
    <row r="742">
      <c r="A742" s="168"/>
      <c r="B742" s="168"/>
      <c r="C742" s="168"/>
      <c r="D742" s="168"/>
      <c r="E742" s="168" t="b">
        <v>0</v>
      </c>
      <c r="F742" s="169"/>
      <c r="G742" s="50"/>
      <c r="H742" s="50"/>
      <c r="I742" s="50"/>
      <c r="J742" s="50"/>
      <c r="K742" s="50"/>
    </row>
    <row r="743">
      <c r="A743" s="168"/>
      <c r="B743" s="168"/>
      <c r="C743" s="168"/>
      <c r="D743" s="168"/>
      <c r="E743" s="168" t="b">
        <v>0</v>
      </c>
      <c r="F743" s="169"/>
      <c r="G743" s="50"/>
      <c r="H743" s="50"/>
      <c r="I743" s="50"/>
      <c r="J743" s="50"/>
      <c r="K743" s="50"/>
    </row>
    <row r="744">
      <c r="A744" s="168"/>
      <c r="B744" s="168"/>
      <c r="C744" s="168"/>
      <c r="D744" s="168"/>
      <c r="E744" s="168" t="b">
        <v>0</v>
      </c>
      <c r="F744" s="169"/>
      <c r="G744" s="50"/>
      <c r="H744" s="50"/>
      <c r="I744" s="50"/>
      <c r="J744" s="50"/>
      <c r="K744" s="50"/>
    </row>
    <row r="745">
      <c r="A745" s="168"/>
      <c r="B745" s="168"/>
      <c r="C745" s="168"/>
      <c r="D745" s="168"/>
      <c r="E745" s="168" t="b">
        <v>0</v>
      </c>
      <c r="F745" s="169"/>
      <c r="G745" s="50"/>
      <c r="H745" s="50"/>
      <c r="I745" s="50"/>
      <c r="J745" s="50"/>
      <c r="K745" s="50"/>
    </row>
    <row r="746">
      <c r="A746" s="168"/>
      <c r="B746" s="168"/>
      <c r="C746" s="168"/>
      <c r="D746" s="168"/>
      <c r="E746" s="168" t="b">
        <v>0</v>
      </c>
      <c r="F746" s="169"/>
      <c r="G746" s="50"/>
      <c r="H746" s="50"/>
      <c r="I746" s="50"/>
      <c r="J746" s="50"/>
      <c r="K746" s="50"/>
    </row>
    <row r="747">
      <c r="A747" s="168"/>
      <c r="B747" s="168"/>
      <c r="C747" s="168"/>
      <c r="D747" s="168"/>
      <c r="E747" s="168" t="b">
        <v>0</v>
      </c>
      <c r="F747" s="169"/>
      <c r="G747" s="50"/>
      <c r="H747" s="50"/>
      <c r="I747" s="50"/>
      <c r="J747" s="50"/>
      <c r="K747" s="50"/>
    </row>
    <row r="748">
      <c r="A748" s="168"/>
      <c r="B748" s="168"/>
      <c r="C748" s="168"/>
      <c r="D748" s="168"/>
      <c r="E748" s="168" t="b">
        <v>0</v>
      </c>
      <c r="F748" s="169"/>
      <c r="G748" s="50"/>
      <c r="H748" s="50"/>
      <c r="I748" s="50"/>
      <c r="J748" s="50"/>
      <c r="K748" s="50"/>
    </row>
    <row r="749">
      <c r="A749" s="168"/>
      <c r="B749" s="168"/>
      <c r="C749" s="168"/>
      <c r="D749" s="168"/>
      <c r="E749" s="168" t="b">
        <v>0</v>
      </c>
      <c r="F749" s="169"/>
      <c r="G749" s="50"/>
      <c r="H749" s="50"/>
      <c r="I749" s="50"/>
      <c r="J749" s="50"/>
      <c r="K749" s="50"/>
    </row>
    <row r="750">
      <c r="A750" s="168"/>
      <c r="B750" s="168"/>
      <c r="C750" s="168"/>
      <c r="D750" s="168"/>
      <c r="E750" s="168" t="b">
        <v>0</v>
      </c>
      <c r="F750" s="169"/>
      <c r="G750" s="50"/>
      <c r="H750" s="50"/>
      <c r="I750" s="50"/>
      <c r="J750" s="50"/>
      <c r="K750" s="50"/>
    </row>
    <row r="751">
      <c r="A751" s="168"/>
      <c r="B751" s="168"/>
      <c r="C751" s="168"/>
      <c r="D751" s="168"/>
      <c r="E751" s="168" t="b">
        <v>0</v>
      </c>
      <c r="F751" s="169"/>
      <c r="G751" s="50"/>
      <c r="H751" s="50"/>
      <c r="I751" s="50"/>
      <c r="J751" s="50"/>
      <c r="K751" s="50"/>
    </row>
    <row r="752">
      <c r="A752" s="168"/>
      <c r="B752" s="168"/>
      <c r="C752" s="168"/>
      <c r="D752" s="168"/>
      <c r="E752" s="168" t="b">
        <v>0</v>
      </c>
      <c r="F752" s="169"/>
      <c r="G752" s="50"/>
      <c r="H752" s="50"/>
      <c r="I752" s="50"/>
      <c r="J752" s="50"/>
      <c r="K752" s="50"/>
    </row>
    <row r="753">
      <c r="A753" s="168"/>
      <c r="B753" s="168"/>
      <c r="C753" s="168"/>
      <c r="D753" s="168"/>
      <c r="E753" s="168" t="b">
        <v>0</v>
      </c>
      <c r="F753" s="169"/>
      <c r="G753" s="50"/>
      <c r="H753" s="50"/>
      <c r="I753" s="50"/>
      <c r="J753" s="50"/>
      <c r="K753" s="50"/>
    </row>
    <row r="754">
      <c r="A754" s="168"/>
      <c r="B754" s="168"/>
      <c r="C754" s="168"/>
      <c r="D754" s="168"/>
      <c r="E754" s="168" t="b">
        <v>0</v>
      </c>
      <c r="F754" s="169"/>
      <c r="G754" s="50"/>
      <c r="H754" s="50"/>
      <c r="I754" s="50"/>
      <c r="J754" s="50"/>
      <c r="K754" s="50"/>
    </row>
    <row r="755">
      <c r="A755" s="168"/>
      <c r="B755" s="168"/>
      <c r="C755" s="168"/>
      <c r="D755" s="168"/>
      <c r="E755" s="168" t="b">
        <v>0</v>
      </c>
      <c r="F755" s="169"/>
      <c r="G755" s="50"/>
      <c r="H755" s="50"/>
      <c r="I755" s="50"/>
      <c r="J755" s="50"/>
      <c r="K755" s="50"/>
    </row>
    <row r="756">
      <c r="A756" s="168"/>
      <c r="B756" s="168"/>
      <c r="C756" s="168"/>
      <c r="D756" s="168"/>
      <c r="E756" s="168" t="b">
        <v>0</v>
      </c>
      <c r="F756" s="169"/>
      <c r="G756" s="50"/>
      <c r="H756" s="50"/>
      <c r="I756" s="50"/>
      <c r="J756" s="50"/>
      <c r="K756" s="50"/>
    </row>
    <row r="757">
      <c r="A757" s="168"/>
      <c r="B757" s="168"/>
      <c r="C757" s="168"/>
      <c r="D757" s="168"/>
      <c r="E757" s="168" t="b">
        <v>0</v>
      </c>
      <c r="F757" s="169"/>
      <c r="G757" s="50"/>
      <c r="H757" s="50"/>
      <c r="I757" s="50"/>
      <c r="J757" s="50"/>
      <c r="K757" s="50"/>
    </row>
    <row r="758">
      <c r="A758" s="168"/>
      <c r="B758" s="168"/>
      <c r="C758" s="168"/>
      <c r="D758" s="168"/>
      <c r="E758" s="168" t="b">
        <v>0</v>
      </c>
      <c r="F758" s="169"/>
      <c r="G758" s="50"/>
      <c r="H758" s="50"/>
      <c r="I758" s="50"/>
      <c r="J758" s="50"/>
      <c r="K758" s="50"/>
    </row>
    <row r="759">
      <c r="A759" s="168"/>
      <c r="B759" s="168"/>
      <c r="C759" s="168"/>
      <c r="D759" s="168"/>
      <c r="E759" s="168" t="b">
        <v>0</v>
      </c>
      <c r="F759" s="169"/>
      <c r="G759" s="50"/>
      <c r="H759" s="50"/>
      <c r="I759" s="50"/>
      <c r="J759" s="50"/>
      <c r="K759" s="50"/>
    </row>
    <row r="760">
      <c r="A760" s="168"/>
      <c r="B760" s="168"/>
      <c r="C760" s="168"/>
      <c r="D760" s="168"/>
      <c r="E760" s="168" t="b">
        <v>0</v>
      </c>
      <c r="F760" s="169"/>
      <c r="G760" s="50"/>
      <c r="H760" s="50"/>
      <c r="I760" s="50"/>
      <c r="J760" s="50"/>
      <c r="K760" s="50"/>
    </row>
    <row r="761">
      <c r="A761" s="168"/>
      <c r="B761" s="168"/>
      <c r="C761" s="168"/>
      <c r="D761" s="168"/>
      <c r="E761" s="168" t="b">
        <v>0</v>
      </c>
      <c r="F761" s="169"/>
      <c r="G761" s="50"/>
      <c r="H761" s="50"/>
      <c r="I761" s="50"/>
      <c r="J761" s="50"/>
      <c r="K761" s="50"/>
    </row>
    <row r="762">
      <c r="A762" s="168"/>
      <c r="B762" s="168"/>
      <c r="C762" s="168"/>
      <c r="D762" s="168"/>
      <c r="E762" s="168" t="b">
        <v>0</v>
      </c>
      <c r="F762" s="169"/>
      <c r="G762" s="50"/>
      <c r="H762" s="50"/>
      <c r="I762" s="50"/>
      <c r="J762" s="50"/>
      <c r="K762" s="50"/>
    </row>
    <row r="763">
      <c r="A763" s="168"/>
      <c r="B763" s="168"/>
      <c r="C763" s="168"/>
      <c r="D763" s="168"/>
      <c r="E763" s="168" t="b">
        <v>0</v>
      </c>
      <c r="F763" s="169"/>
      <c r="G763" s="50"/>
      <c r="H763" s="50"/>
      <c r="I763" s="50"/>
      <c r="J763" s="50"/>
      <c r="K763" s="50"/>
    </row>
    <row r="764">
      <c r="A764" s="168"/>
      <c r="B764" s="168"/>
      <c r="C764" s="168"/>
      <c r="D764" s="168"/>
      <c r="E764" s="168" t="b">
        <v>0</v>
      </c>
      <c r="F764" s="169"/>
      <c r="G764" s="50"/>
      <c r="H764" s="50"/>
      <c r="I764" s="50"/>
      <c r="J764" s="50"/>
      <c r="K764" s="50"/>
    </row>
    <row r="765">
      <c r="A765" s="168"/>
      <c r="B765" s="168"/>
      <c r="C765" s="168"/>
      <c r="D765" s="168"/>
      <c r="E765" s="168" t="b">
        <v>0</v>
      </c>
      <c r="F765" s="169"/>
      <c r="G765" s="50"/>
      <c r="H765" s="50"/>
      <c r="I765" s="50"/>
      <c r="J765" s="50"/>
      <c r="K765" s="50"/>
    </row>
    <row r="766">
      <c r="A766" s="168"/>
      <c r="B766" s="168"/>
      <c r="C766" s="168"/>
      <c r="D766" s="168"/>
      <c r="E766" s="168" t="b">
        <v>0</v>
      </c>
      <c r="F766" s="169"/>
      <c r="G766" s="50"/>
      <c r="H766" s="50"/>
      <c r="I766" s="50"/>
      <c r="J766" s="50"/>
      <c r="K766" s="50"/>
    </row>
    <row r="767">
      <c r="A767" s="168"/>
      <c r="B767" s="168"/>
      <c r="C767" s="168"/>
      <c r="D767" s="168"/>
      <c r="E767" s="168" t="b">
        <v>0</v>
      </c>
      <c r="F767" s="169"/>
      <c r="G767" s="50"/>
      <c r="H767" s="50"/>
      <c r="I767" s="50"/>
      <c r="J767" s="50"/>
      <c r="K767" s="50"/>
    </row>
    <row r="768">
      <c r="A768" s="168"/>
      <c r="B768" s="168"/>
      <c r="C768" s="168"/>
      <c r="D768" s="168"/>
      <c r="E768" s="168" t="b">
        <v>0</v>
      </c>
      <c r="F768" s="169"/>
      <c r="G768" s="50"/>
      <c r="H768" s="50"/>
      <c r="I768" s="50"/>
      <c r="J768" s="50"/>
      <c r="K768" s="50"/>
    </row>
    <row r="769">
      <c r="A769" s="168"/>
      <c r="B769" s="168"/>
      <c r="C769" s="168"/>
      <c r="D769" s="168"/>
      <c r="E769" s="168" t="b">
        <v>0</v>
      </c>
      <c r="F769" s="169"/>
      <c r="G769" s="50"/>
      <c r="H769" s="50"/>
      <c r="I769" s="50"/>
      <c r="J769" s="50"/>
      <c r="K769" s="50"/>
    </row>
    <row r="770">
      <c r="A770" s="168"/>
      <c r="B770" s="168"/>
      <c r="C770" s="168"/>
      <c r="D770" s="168"/>
      <c r="E770" s="168" t="b">
        <v>0</v>
      </c>
      <c r="F770" s="169"/>
      <c r="G770" s="50"/>
      <c r="H770" s="50"/>
      <c r="I770" s="50"/>
      <c r="J770" s="50"/>
      <c r="K770" s="50"/>
    </row>
    <row r="771">
      <c r="A771" s="168"/>
      <c r="B771" s="168"/>
      <c r="C771" s="168"/>
      <c r="D771" s="168"/>
      <c r="E771" s="168" t="b">
        <v>0</v>
      </c>
      <c r="F771" s="169"/>
      <c r="G771" s="50"/>
      <c r="H771" s="50"/>
      <c r="I771" s="50"/>
      <c r="J771" s="50"/>
      <c r="K771" s="50"/>
    </row>
    <row r="772">
      <c r="A772" s="168"/>
      <c r="B772" s="168"/>
      <c r="C772" s="168"/>
      <c r="D772" s="168"/>
      <c r="E772" s="168" t="b">
        <v>0</v>
      </c>
      <c r="F772" s="169"/>
      <c r="G772" s="50"/>
      <c r="H772" s="50"/>
      <c r="I772" s="50"/>
      <c r="J772" s="50"/>
      <c r="K772" s="50"/>
    </row>
    <row r="773">
      <c r="A773" s="168"/>
      <c r="B773" s="168"/>
      <c r="C773" s="168"/>
      <c r="D773" s="168"/>
      <c r="E773" s="168" t="b">
        <v>0</v>
      </c>
      <c r="F773" s="169"/>
      <c r="G773" s="50"/>
      <c r="H773" s="50"/>
      <c r="I773" s="50"/>
      <c r="J773" s="50"/>
      <c r="K773" s="50"/>
    </row>
    <row r="774">
      <c r="A774" s="168"/>
      <c r="B774" s="168"/>
      <c r="C774" s="168"/>
      <c r="D774" s="168"/>
      <c r="E774" s="168" t="b">
        <v>0</v>
      </c>
      <c r="F774" s="169"/>
      <c r="G774" s="50"/>
      <c r="H774" s="50"/>
      <c r="I774" s="50"/>
      <c r="J774" s="50"/>
      <c r="K774" s="50"/>
    </row>
    <row r="775">
      <c r="A775" s="168"/>
      <c r="B775" s="168"/>
      <c r="C775" s="168"/>
      <c r="D775" s="168"/>
      <c r="E775" s="168" t="b">
        <v>0</v>
      </c>
      <c r="F775" s="169"/>
      <c r="G775" s="50"/>
      <c r="H775" s="50"/>
      <c r="I775" s="50"/>
      <c r="J775" s="50"/>
      <c r="K775" s="50"/>
    </row>
    <row r="776">
      <c r="A776" s="168"/>
      <c r="B776" s="168"/>
      <c r="C776" s="168"/>
      <c r="D776" s="168"/>
      <c r="E776" s="168" t="b">
        <v>0</v>
      </c>
      <c r="F776" s="169"/>
      <c r="G776" s="50"/>
      <c r="H776" s="50"/>
      <c r="I776" s="50"/>
      <c r="J776" s="50"/>
      <c r="K776" s="50"/>
    </row>
    <row r="777">
      <c r="A777" s="168"/>
      <c r="B777" s="168"/>
      <c r="C777" s="168"/>
      <c r="D777" s="168"/>
      <c r="E777" s="168" t="b">
        <v>0</v>
      </c>
      <c r="F777" s="169"/>
      <c r="G777" s="50"/>
      <c r="H777" s="50"/>
      <c r="I777" s="50"/>
      <c r="J777" s="50"/>
      <c r="K777" s="50"/>
    </row>
    <row r="778">
      <c r="A778" s="168"/>
      <c r="B778" s="168"/>
      <c r="C778" s="168"/>
      <c r="D778" s="168"/>
      <c r="E778" s="168" t="b">
        <v>0</v>
      </c>
      <c r="F778" s="169"/>
      <c r="G778" s="50"/>
      <c r="H778" s="50"/>
      <c r="I778" s="50"/>
      <c r="J778" s="50"/>
      <c r="K778" s="50"/>
    </row>
    <row r="779">
      <c r="A779" s="168"/>
      <c r="B779" s="168"/>
      <c r="C779" s="168"/>
      <c r="D779" s="168"/>
      <c r="E779" s="168" t="b">
        <v>0</v>
      </c>
      <c r="F779" s="169"/>
      <c r="G779" s="50"/>
      <c r="H779" s="50"/>
      <c r="I779" s="50"/>
      <c r="J779" s="50"/>
      <c r="K779" s="50"/>
    </row>
    <row r="780">
      <c r="A780" s="168"/>
      <c r="B780" s="168"/>
      <c r="C780" s="168"/>
      <c r="D780" s="168"/>
      <c r="E780" s="168" t="b">
        <v>0</v>
      </c>
      <c r="F780" s="169"/>
      <c r="G780" s="50"/>
      <c r="H780" s="50"/>
      <c r="I780" s="50"/>
      <c r="J780" s="50"/>
      <c r="K780" s="50"/>
    </row>
    <row r="781">
      <c r="A781" s="168"/>
      <c r="B781" s="168"/>
      <c r="C781" s="168"/>
      <c r="D781" s="168"/>
      <c r="E781" s="168" t="b">
        <v>0</v>
      </c>
      <c r="F781" s="169"/>
      <c r="G781" s="50"/>
      <c r="H781" s="50"/>
      <c r="I781" s="50"/>
      <c r="J781" s="50"/>
      <c r="K781" s="50"/>
    </row>
    <row r="782">
      <c r="A782" s="168"/>
      <c r="B782" s="168"/>
      <c r="C782" s="168"/>
      <c r="D782" s="168"/>
      <c r="E782" s="168" t="b">
        <v>0</v>
      </c>
      <c r="F782" s="169"/>
      <c r="G782" s="50"/>
      <c r="H782" s="50"/>
      <c r="I782" s="50"/>
      <c r="J782" s="50"/>
      <c r="K782" s="50"/>
    </row>
    <row r="783">
      <c r="A783" s="168"/>
      <c r="B783" s="168"/>
      <c r="C783" s="168"/>
      <c r="D783" s="168"/>
      <c r="E783" s="168" t="b">
        <v>0</v>
      </c>
      <c r="F783" s="169"/>
      <c r="G783" s="50"/>
      <c r="H783" s="50"/>
      <c r="I783" s="50"/>
      <c r="J783" s="50"/>
      <c r="K783" s="50"/>
    </row>
    <row r="784">
      <c r="A784" s="168"/>
      <c r="B784" s="168"/>
      <c r="C784" s="168"/>
      <c r="D784" s="168"/>
      <c r="E784" s="168" t="b">
        <v>0</v>
      </c>
      <c r="F784" s="169"/>
      <c r="G784" s="50"/>
      <c r="H784" s="50"/>
      <c r="I784" s="50"/>
      <c r="J784" s="50"/>
      <c r="K784" s="50"/>
    </row>
    <row r="785">
      <c r="A785" s="168"/>
      <c r="B785" s="168"/>
      <c r="C785" s="168"/>
      <c r="D785" s="168"/>
      <c r="E785" s="168" t="b">
        <v>0</v>
      </c>
      <c r="F785" s="169"/>
      <c r="G785" s="50"/>
      <c r="H785" s="50"/>
      <c r="I785" s="50"/>
      <c r="J785" s="50"/>
      <c r="K785" s="50"/>
    </row>
    <row r="786">
      <c r="A786" s="168"/>
      <c r="B786" s="168"/>
      <c r="C786" s="168"/>
      <c r="D786" s="168"/>
      <c r="E786" s="168" t="b">
        <v>0</v>
      </c>
      <c r="F786" s="169"/>
      <c r="G786" s="50"/>
      <c r="H786" s="50"/>
      <c r="I786" s="50"/>
      <c r="J786" s="50"/>
      <c r="K786" s="50"/>
    </row>
    <row r="787">
      <c r="A787" s="168"/>
      <c r="B787" s="168"/>
      <c r="C787" s="168"/>
      <c r="D787" s="168"/>
      <c r="E787" s="168" t="b">
        <v>0</v>
      </c>
      <c r="F787" s="169"/>
      <c r="G787" s="50"/>
      <c r="H787" s="50"/>
      <c r="I787" s="50"/>
      <c r="J787" s="50"/>
      <c r="K787" s="50"/>
    </row>
    <row r="788">
      <c r="A788" s="168"/>
      <c r="B788" s="168"/>
      <c r="C788" s="168"/>
      <c r="D788" s="168"/>
      <c r="E788" s="168" t="b">
        <v>0</v>
      </c>
      <c r="F788" s="169"/>
      <c r="G788" s="50"/>
      <c r="H788" s="50"/>
      <c r="I788" s="50"/>
      <c r="J788" s="50"/>
      <c r="K788" s="50"/>
    </row>
    <row r="789">
      <c r="A789" s="168"/>
      <c r="B789" s="168"/>
      <c r="C789" s="168"/>
      <c r="D789" s="168"/>
      <c r="E789" s="168" t="b">
        <v>0</v>
      </c>
      <c r="F789" s="169"/>
      <c r="G789" s="50"/>
      <c r="H789" s="50"/>
      <c r="I789" s="50"/>
      <c r="J789" s="50"/>
      <c r="K789" s="50"/>
    </row>
    <row r="790">
      <c r="A790" s="168"/>
      <c r="B790" s="168"/>
      <c r="C790" s="168"/>
      <c r="D790" s="168"/>
      <c r="E790" s="168" t="b">
        <v>0</v>
      </c>
      <c r="F790" s="169"/>
      <c r="G790" s="50"/>
      <c r="H790" s="50"/>
      <c r="I790" s="50"/>
      <c r="J790" s="50"/>
      <c r="K790" s="50"/>
    </row>
    <row r="791">
      <c r="A791" s="168"/>
      <c r="B791" s="168"/>
      <c r="C791" s="168"/>
      <c r="D791" s="168"/>
      <c r="E791" s="168" t="b">
        <v>0</v>
      </c>
      <c r="F791" s="169"/>
      <c r="G791" s="50"/>
      <c r="H791" s="50"/>
      <c r="I791" s="50"/>
      <c r="J791" s="50"/>
      <c r="K791" s="50"/>
    </row>
    <row r="792">
      <c r="A792" s="168"/>
      <c r="B792" s="168"/>
      <c r="C792" s="168"/>
      <c r="D792" s="168"/>
      <c r="E792" s="168" t="b">
        <v>0</v>
      </c>
      <c r="F792" s="169"/>
      <c r="G792" s="50"/>
      <c r="H792" s="50"/>
      <c r="I792" s="50"/>
      <c r="J792" s="50"/>
      <c r="K792" s="50"/>
    </row>
    <row r="793">
      <c r="A793" s="168"/>
      <c r="B793" s="168"/>
      <c r="C793" s="168"/>
      <c r="D793" s="168"/>
      <c r="E793" s="168" t="b">
        <v>0</v>
      </c>
      <c r="F793" s="169"/>
      <c r="G793" s="50"/>
      <c r="H793" s="50"/>
      <c r="I793" s="50"/>
      <c r="J793" s="50"/>
      <c r="K793" s="50"/>
    </row>
    <row r="794">
      <c r="A794" s="168"/>
      <c r="B794" s="168"/>
      <c r="C794" s="168"/>
      <c r="D794" s="168"/>
      <c r="E794" s="168" t="b">
        <v>0</v>
      </c>
      <c r="F794" s="169"/>
      <c r="G794" s="50"/>
      <c r="H794" s="50"/>
      <c r="I794" s="50"/>
      <c r="J794" s="50"/>
      <c r="K794" s="50"/>
    </row>
    <row r="795">
      <c r="A795" s="168"/>
      <c r="B795" s="168"/>
      <c r="C795" s="168"/>
      <c r="D795" s="168"/>
      <c r="E795" s="168" t="b">
        <v>0</v>
      </c>
      <c r="F795" s="169"/>
      <c r="G795" s="50"/>
      <c r="H795" s="50"/>
      <c r="I795" s="50"/>
      <c r="J795" s="50"/>
      <c r="K795" s="50"/>
    </row>
    <row r="796">
      <c r="A796" s="168"/>
      <c r="B796" s="168"/>
      <c r="C796" s="168"/>
      <c r="D796" s="168"/>
      <c r="E796" s="168" t="b">
        <v>0</v>
      </c>
      <c r="F796" s="169"/>
      <c r="G796" s="50"/>
      <c r="H796" s="50"/>
      <c r="I796" s="50"/>
      <c r="J796" s="50"/>
      <c r="K796" s="50"/>
    </row>
    <row r="797">
      <c r="A797" s="168"/>
      <c r="B797" s="168"/>
      <c r="C797" s="168"/>
      <c r="D797" s="168"/>
      <c r="E797" s="168" t="b">
        <v>0</v>
      </c>
      <c r="F797" s="169"/>
      <c r="G797" s="50"/>
      <c r="H797" s="50"/>
      <c r="I797" s="50"/>
      <c r="J797" s="50"/>
      <c r="K797" s="50"/>
    </row>
    <row r="798">
      <c r="A798" s="168"/>
      <c r="B798" s="168"/>
      <c r="C798" s="168"/>
      <c r="D798" s="168"/>
      <c r="E798" s="168" t="b">
        <v>0</v>
      </c>
      <c r="F798" s="169"/>
      <c r="G798" s="50"/>
      <c r="H798" s="50"/>
      <c r="I798" s="50"/>
      <c r="J798" s="50"/>
      <c r="K798" s="50"/>
    </row>
    <row r="799">
      <c r="A799" s="168"/>
      <c r="B799" s="168"/>
      <c r="C799" s="168"/>
      <c r="D799" s="168"/>
      <c r="E799" s="168" t="b">
        <v>0</v>
      </c>
      <c r="F799" s="169"/>
      <c r="G799" s="50"/>
      <c r="H799" s="50"/>
      <c r="I799" s="50"/>
      <c r="J799" s="50"/>
      <c r="K799" s="50"/>
    </row>
    <row r="800">
      <c r="A800" s="168"/>
      <c r="B800" s="168"/>
      <c r="C800" s="168"/>
      <c r="D800" s="168"/>
      <c r="E800" s="168" t="b">
        <v>0</v>
      </c>
      <c r="F800" s="169"/>
      <c r="G800" s="50"/>
      <c r="H800" s="50"/>
      <c r="I800" s="50"/>
      <c r="J800" s="50"/>
      <c r="K800" s="50"/>
    </row>
    <row r="801">
      <c r="A801" s="168"/>
      <c r="B801" s="168"/>
      <c r="C801" s="168"/>
      <c r="D801" s="168"/>
      <c r="E801" s="168" t="b">
        <v>0</v>
      </c>
      <c r="F801" s="169"/>
      <c r="G801" s="50"/>
      <c r="H801" s="50"/>
      <c r="I801" s="50"/>
      <c r="J801" s="50"/>
      <c r="K801" s="50"/>
    </row>
    <row r="802">
      <c r="A802" s="168"/>
      <c r="B802" s="168"/>
      <c r="C802" s="168"/>
      <c r="D802" s="168"/>
      <c r="E802" s="168" t="b">
        <v>0</v>
      </c>
      <c r="F802" s="169"/>
      <c r="G802" s="50"/>
      <c r="H802" s="50"/>
      <c r="I802" s="50"/>
      <c r="J802" s="50"/>
      <c r="K802" s="50"/>
    </row>
    <row r="803">
      <c r="A803" s="168"/>
      <c r="B803" s="168"/>
      <c r="C803" s="168"/>
      <c r="D803" s="168"/>
      <c r="E803" s="168" t="b">
        <v>0</v>
      </c>
      <c r="F803" s="169"/>
      <c r="G803" s="50"/>
      <c r="H803" s="50"/>
      <c r="I803" s="50"/>
      <c r="J803" s="50"/>
      <c r="K803" s="50"/>
    </row>
    <row r="804">
      <c r="A804" s="168"/>
      <c r="B804" s="168"/>
      <c r="C804" s="168"/>
      <c r="D804" s="168"/>
      <c r="E804" s="168" t="b">
        <v>0</v>
      </c>
      <c r="F804" s="169"/>
      <c r="G804" s="50"/>
      <c r="H804" s="50"/>
      <c r="I804" s="50"/>
      <c r="J804" s="50"/>
      <c r="K804" s="50"/>
    </row>
    <row r="805">
      <c r="A805" s="168"/>
      <c r="B805" s="168"/>
      <c r="C805" s="168"/>
      <c r="D805" s="168"/>
      <c r="E805" s="168" t="b">
        <v>0</v>
      </c>
      <c r="F805" s="169"/>
      <c r="G805" s="50"/>
      <c r="H805" s="50"/>
      <c r="I805" s="50"/>
      <c r="J805" s="50"/>
      <c r="K805" s="50"/>
    </row>
    <row r="806">
      <c r="A806" s="168"/>
      <c r="B806" s="168"/>
      <c r="C806" s="168"/>
      <c r="D806" s="168"/>
      <c r="E806" s="168" t="b">
        <v>0</v>
      </c>
      <c r="F806" s="169"/>
      <c r="G806" s="50"/>
      <c r="H806" s="50"/>
      <c r="I806" s="50"/>
      <c r="J806" s="50"/>
      <c r="K806" s="50"/>
    </row>
    <row r="807">
      <c r="A807" s="168"/>
      <c r="B807" s="168"/>
      <c r="C807" s="168"/>
      <c r="D807" s="168"/>
      <c r="E807" s="168" t="b">
        <v>0</v>
      </c>
      <c r="F807" s="169"/>
      <c r="G807" s="50"/>
      <c r="H807" s="50"/>
      <c r="I807" s="50"/>
      <c r="J807" s="50"/>
      <c r="K807" s="50"/>
    </row>
    <row r="808">
      <c r="A808" s="168"/>
      <c r="B808" s="168"/>
      <c r="C808" s="168"/>
      <c r="D808" s="168"/>
      <c r="E808" s="168" t="b">
        <v>0</v>
      </c>
      <c r="F808" s="169"/>
      <c r="G808" s="50"/>
      <c r="H808" s="50"/>
      <c r="I808" s="50"/>
      <c r="J808" s="50"/>
      <c r="K808" s="50"/>
    </row>
    <row r="809">
      <c r="A809" s="168"/>
      <c r="B809" s="168"/>
      <c r="C809" s="168"/>
      <c r="D809" s="168"/>
      <c r="E809" s="168" t="b">
        <v>0</v>
      </c>
      <c r="F809" s="169"/>
      <c r="G809" s="50"/>
      <c r="H809" s="50"/>
      <c r="I809" s="50"/>
      <c r="J809" s="50"/>
      <c r="K809" s="50"/>
    </row>
    <row r="810">
      <c r="A810" s="168"/>
      <c r="B810" s="168"/>
      <c r="C810" s="168"/>
      <c r="D810" s="168"/>
      <c r="E810" s="168" t="b">
        <v>0</v>
      </c>
      <c r="F810" s="169"/>
      <c r="G810" s="50"/>
      <c r="H810" s="50"/>
      <c r="I810" s="50"/>
      <c r="J810" s="50"/>
      <c r="K810" s="50"/>
    </row>
    <row r="811">
      <c r="A811" s="168"/>
      <c r="B811" s="168"/>
      <c r="C811" s="168"/>
      <c r="D811" s="168"/>
      <c r="E811" s="168" t="b">
        <v>0</v>
      </c>
      <c r="F811" s="169"/>
      <c r="G811" s="50"/>
      <c r="H811" s="50"/>
      <c r="I811" s="50"/>
      <c r="J811" s="50"/>
      <c r="K811" s="50"/>
    </row>
    <row r="812">
      <c r="A812" s="168"/>
      <c r="B812" s="168"/>
      <c r="C812" s="168"/>
      <c r="D812" s="168"/>
      <c r="E812" s="168" t="b">
        <v>0</v>
      </c>
      <c r="F812" s="169"/>
      <c r="G812" s="50"/>
      <c r="H812" s="50"/>
      <c r="I812" s="50"/>
      <c r="J812" s="50"/>
      <c r="K812" s="50"/>
    </row>
    <row r="813">
      <c r="A813" s="168"/>
      <c r="B813" s="168"/>
      <c r="C813" s="168"/>
      <c r="D813" s="168"/>
      <c r="E813" s="168" t="b">
        <v>0</v>
      </c>
      <c r="F813" s="169"/>
      <c r="G813" s="50"/>
      <c r="H813" s="50"/>
      <c r="I813" s="50"/>
      <c r="J813" s="50"/>
      <c r="K813" s="50"/>
    </row>
    <row r="814">
      <c r="A814" s="168"/>
      <c r="B814" s="168"/>
      <c r="C814" s="168"/>
      <c r="D814" s="168"/>
      <c r="E814" s="168" t="b">
        <v>0</v>
      </c>
      <c r="F814" s="169"/>
      <c r="G814" s="50"/>
      <c r="H814" s="50"/>
      <c r="I814" s="50"/>
      <c r="J814" s="50"/>
      <c r="K814" s="50"/>
    </row>
    <row r="815">
      <c r="A815" s="168"/>
      <c r="B815" s="168"/>
      <c r="C815" s="168"/>
      <c r="D815" s="168"/>
      <c r="E815" s="168" t="b">
        <v>0</v>
      </c>
      <c r="F815" s="169"/>
      <c r="G815" s="50"/>
      <c r="H815" s="50"/>
      <c r="I815" s="50"/>
      <c r="J815" s="50"/>
      <c r="K815" s="50"/>
    </row>
    <row r="816">
      <c r="A816" s="168"/>
      <c r="B816" s="168"/>
      <c r="C816" s="168"/>
      <c r="D816" s="168"/>
      <c r="E816" s="168" t="b">
        <v>0</v>
      </c>
      <c r="F816" s="169"/>
      <c r="G816" s="50"/>
      <c r="H816" s="50"/>
      <c r="I816" s="50"/>
      <c r="J816" s="50"/>
      <c r="K816" s="50"/>
    </row>
    <row r="817">
      <c r="A817" s="168"/>
      <c r="B817" s="168"/>
      <c r="C817" s="168"/>
      <c r="D817" s="168"/>
      <c r="E817" s="168" t="b">
        <v>0</v>
      </c>
      <c r="F817" s="169"/>
      <c r="G817" s="50"/>
      <c r="H817" s="50"/>
      <c r="I817" s="50"/>
      <c r="J817" s="50"/>
      <c r="K817" s="50"/>
    </row>
    <row r="818">
      <c r="A818" s="168"/>
      <c r="B818" s="168"/>
      <c r="C818" s="168"/>
      <c r="D818" s="168"/>
      <c r="E818" s="168" t="b">
        <v>0</v>
      </c>
      <c r="F818" s="169"/>
      <c r="G818" s="50"/>
      <c r="H818" s="50"/>
      <c r="I818" s="50"/>
      <c r="J818" s="50"/>
      <c r="K818" s="50"/>
    </row>
    <row r="819">
      <c r="A819" s="168"/>
      <c r="B819" s="168"/>
      <c r="C819" s="168"/>
      <c r="D819" s="168"/>
      <c r="E819" s="168" t="b">
        <v>0</v>
      </c>
      <c r="F819" s="169"/>
      <c r="G819" s="50"/>
      <c r="H819" s="50"/>
      <c r="I819" s="50"/>
      <c r="J819" s="50"/>
      <c r="K819" s="50"/>
    </row>
    <row r="820">
      <c r="A820" s="168"/>
      <c r="B820" s="168"/>
      <c r="C820" s="168"/>
      <c r="D820" s="168"/>
      <c r="E820" s="168" t="b">
        <v>0</v>
      </c>
      <c r="F820" s="169"/>
      <c r="G820" s="50"/>
      <c r="H820" s="50"/>
      <c r="I820" s="50"/>
      <c r="J820" s="50"/>
      <c r="K820" s="50"/>
    </row>
    <row r="821">
      <c r="A821" s="168"/>
      <c r="B821" s="168"/>
      <c r="C821" s="168"/>
      <c r="D821" s="168"/>
      <c r="E821" s="168" t="b">
        <v>0</v>
      </c>
      <c r="F821" s="169"/>
      <c r="G821" s="50"/>
      <c r="H821" s="50"/>
      <c r="I821" s="50"/>
      <c r="J821" s="50"/>
      <c r="K821" s="50"/>
    </row>
    <row r="822">
      <c r="A822" s="168"/>
      <c r="B822" s="168"/>
      <c r="C822" s="168"/>
      <c r="D822" s="168"/>
      <c r="E822" s="168" t="b">
        <v>0</v>
      </c>
      <c r="F822" s="169"/>
      <c r="G822" s="50"/>
      <c r="H822" s="50"/>
      <c r="I822" s="50"/>
      <c r="J822" s="50"/>
      <c r="K822" s="50"/>
    </row>
    <row r="823">
      <c r="A823" s="168"/>
      <c r="B823" s="168"/>
      <c r="C823" s="168"/>
      <c r="D823" s="168"/>
      <c r="E823" s="168" t="b">
        <v>0</v>
      </c>
      <c r="F823" s="169"/>
      <c r="G823" s="50"/>
      <c r="H823" s="50"/>
      <c r="I823" s="50"/>
      <c r="J823" s="50"/>
      <c r="K823" s="50"/>
    </row>
    <row r="824">
      <c r="A824" s="168"/>
      <c r="B824" s="168"/>
      <c r="C824" s="168"/>
      <c r="D824" s="168"/>
      <c r="E824" s="168" t="b">
        <v>0</v>
      </c>
      <c r="F824" s="169"/>
      <c r="G824" s="50"/>
      <c r="H824" s="50"/>
      <c r="I824" s="50"/>
      <c r="J824" s="50"/>
      <c r="K824" s="50"/>
    </row>
    <row r="825">
      <c r="A825" s="168"/>
      <c r="B825" s="168"/>
      <c r="C825" s="168"/>
      <c r="D825" s="168"/>
      <c r="E825" s="168" t="b">
        <v>0</v>
      </c>
      <c r="F825" s="169"/>
      <c r="G825" s="50"/>
      <c r="H825" s="50"/>
      <c r="I825" s="50"/>
      <c r="J825" s="50"/>
      <c r="K825" s="50"/>
    </row>
    <row r="826">
      <c r="A826" s="168"/>
      <c r="B826" s="168"/>
      <c r="C826" s="168"/>
      <c r="D826" s="168"/>
      <c r="E826" s="168" t="b">
        <v>0</v>
      </c>
      <c r="F826" s="169"/>
      <c r="G826" s="50"/>
      <c r="H826" s="50"/>
      <c r="I826" s="50"/>
      <c r="J826" s="50"/>
      <c r="K826" s="50"/>
    </row>
    <row r="827">
      <c r="A827" s="168"/>
      <c r="B827" s="168"/>
      <c r="C827" s="168"/>
      <c r="D827" s="168"/>
      <c r="E827" s="168" t="b">
        <v>0</v>
      </c>
      <c r="F827" s="169"/>
      <c r="G827" s="50"/>
      <c r="H827" s="50"/>
      <c r="I827" s="50"/>
      <c r="J827" s="50"/>
      <c r="K827" s="50"/>
    </row>
    <row r="828">
      <c r="A828" s="168"/>
      <c r="B828" s="168"/>
      <c r="C828" s="168"/>
      <c r="D828" s="168"/>
      <c r="E828" s="168" t="b">
        <v>0</v>
      </c>
      <c r="F828" s="169"/>
      <c r="G828" s="50"/>
      <c r="H828" s="50"/>
      <c r="I828" s="50"/>
      <c r="J828" s="50"/>
      <c r="K828" s="50"/>
    </row>
    <row r="829">
      <c r="A829" s="168"/>
      <c r="B829" s="168"/>
      <c r="C829" s="168"/>
      <c r="D829" s="168"/>
      <c r="E829" s="168" t="b">
        <v>0</v>
      </c>
      <c r="F829" s="169"/>
      <c r="G829" s="50"/>
      <c r="H829" s="50"/>
      <c r="I829" s="50"/>
      <c r="J829" s="50"/>
      <c r="K829" s="50"/>
    </row>
    <row r="830">
      <c r="A830" s="168"/>
      <c r="B830" s="168"/>
      <c r="C830" s="168"/>
      <c r="D830" s="168"/>
      <c r="E830" s="168" t="b">
        <v>0</v>
      </c>
      <c r="F830" s="169"/>
      <c r="G830" s="50"/>
      <c r="H830" s="50"/>
      <c r="I830" s="50"/>
      <c r="J830" s="50"/>
      <c r="K830" s="50"/>
    </row>
    <row r="831">
      <c r="A831" s="168"/>
      <c r="B831" s="168"/>
      <c r="C831" s="168"/>
      <c r="D831" s="168"/>
      <c r="E831" s="168" t="b">
        <v>0</v>
      </c>
      <c r="F831" s="169"/>
      <c r="G831" s="50"/>
      <c r="H831" s="50"/>
      <c r="I831" s="50"/>
      <c r="J831" s="50"/>
      <c r="K831" s="50"/>
    </row>
    <row r="832">
      <c r="A832" s="168"/>
      <c r="B832" s="168"/>
      <c r="C832" s="168"/>
      <c r="D832" s="168"/>
      <c r="E832" s="168" t="b">
        <v>0</v>
      </c>
      <c r="F832" s="169"/>
      <c r="G832" s="50"/>
      <c r="H832" s="50"/>
      <c r="I832" s="50"/>
      <c r="J832" s="50"/>
      <c r="K832" s="50"/>
    </row>
    <row r="833">
      <c r="A833" s="168"/>
      <c r="B833" s="168"/>
      <c r="C833" s="168"/>
      <c r="D833" s="168"/>
      <c r="E833" s="168" t="b">
        <v>0</v>
      </c>
      <c r="F833" s="169"/>
      <c r="G833" s="50"/>
      <c r="H833" s="50"/>
      <c r="I833" s="50"/>
      <c r="J833" s="50"/>
      <c r="K833" s="50"/>
    </row>
    <row r="834">
      <c r="A834" s="168"/>
      <c r="B834" s="168"/>
      <c r="C834" s="168"/>
      <c r="D834" s="168"/>
      <c r="E834" s="168" t="b">
        <v>0</v>
      </c>
      <c r="F834" s="169"/>
      <c r="G834" s="50"/>
      <c r="H834" s="50"/>
      <c r="I834" s="50"/>
      <c r="J834" s="50"/>
      <c r="K834" s="50"/>
    </row>
    <row r="835">
      <c r="A835" s="168"/>
      <c r="B835" s="168"/>
      <c r="C835" s="168"/>
      <c r="D835" s="168"/>
      <c r="E835" s="168" t="b">
        <v>0</v>
      </c>
      <c r="F835" s="169"/>
      <c r="G835" s="50"/>
      <c r="H835" s="50"/>
      <c r="I835" s="50"/>
      <c r="J835" s="50"/>
      <c r="K835" s="50"/>
    </row>
    <row r="836">
      <c r="A836" s="168"/>
      <c r="B836" s="168"/>
      <c r="C836" s="168"/>
      <c r="D836" s="168"/>
      <c r="E836" s="168" t="b">
        <v>0</v>
      </c>
      <c r="F836" s="169"/>
      <c r="G836" s="50"/>
      <c r="H836" s="50"/>
      <c r="I836" s="50"/>
      <c r="J836" s="50"/>
      <c r="K836" s="50"/>
    </row>
    <row r="837">
      <c r="A837" s="168"/>
      <c r="B837" s="168"/>
      <c r="C837" s="168"/>
      <c r="D837" s="168"/>
      <c r="E837" s="168" t="b">
        <v>0</v>
      </c>
      <c r="F837" s="169"/>
      <c r="G837" s="50"/>
      <c r="H837" s="50"/>
      <c r="I837" s="50"/>
      <c r="J837" s="50"/>
      <c r="K837" s="50"/>
    </row>
    <row r="838">
      <c r="A838" s="168"/>
      <c r="B838" s="168"/>
      <c r="C838" s="168"/>
      <c r="D838" s="168"/>
      <c r="E838" s="168" t="b">
        <v>0</v>
      </c>
      <c r="F838" s="169"/>
      <c r="G838" s="50"/>
      <c r="H838" s="50"/>
      <c r="I838" s="50"/>
      <c r="J838" s="50"/>
      <c r="K838" s="50"/>
    </row>
    <row r="839">
      <c r="A839" s="168"/>
      <c r="B839" s="168"/>
      <c r="C839" s="168"/>
      <c r="D839" s="168"/>
      <c r="E839" s="168" t="b">
        <v>0</v>
      </c>
      <c r="F839" s="169"/>
      <c r="G839" s="50"/>
      <c r="H839" s="50"/>
      <c r="I839" s="50"/>
      <c r="J839" s="50"/>
      <c r="K839" s="50"/>
    </row>
    <row r="840">
      <c r="A840" s="168"/>
      <c r="B840" s="168"/>
      <c r="C840" s="168"/>
      <c r="D840" s="168"/>
      <c r="E840" s="168" t="b">
        <v>0</v>
      </c>
      <c r="F840" s="169"/>
      <c r="G840" s="50"/>
      <c r="H840" s="50"/>
      <c r="I840" s="50"/>
      <c r="J840" s="50"/>
      <c r="K840" s="50"/>
    </row>
    <row r="841">
      <c r="A841" s="168"/>
      <c r="B841" s="168"/>
      <c r="C841" s="168"/>
      <c r="D841" s="168"/>
      <c r="E841" s="168" t="b">
        <v>0</v>
      </c>
      <c r="F841" s="169"/>
      <c r="G841" s="50"/>
      <c r="H841" s="50"/>
      <c r="I841" s="50"/>
      <c r="J841" s="50"/>
      <c r="K841" s="50"/>
    </row>
    <row r="842">
      <c r="A842" s="168"/>
      <c r="B842" s="168"/>
      <c r="C842" s="168"/>
      <c r="D842" s="168"/>
      <c r="E842" s="168" t="b">
        <v>0</v>
      </c>
      <c r="F842" s="169"/>
      <c r="G842" s="50"/>
      <c r="H842" s="50"/>
      <c r="I842" s="50"/>
      <c r="J842" s="50"/>
      <c r="K842" s="50"/>
    </row>
    <row r="843">
      <c r="A843" s="168"/>
      <c r="B843" s="168"/>
      <c r="C843" s="168"/>
      <c r="D843" s="168"/>
      <c r="E843" s="168" t="b">
        <v>0</v>
      </c>
      <c r="F843" s="169"/>
      <c r="G843" s="50"/>
      <c r="H843" s="50"/>
      <c r="I843" s="50"/>
      <c r="J843" s="50"/>
      <c r="K843" s="50"/>
    </row>
    <row r="844">
      <c r="A844" s="168"/>
      <c r="B844" s="168"/>
      <c r="C844" s="168"/>
      <c r="D844" s="168"/>
      <c r="E844" s="168" t="b">
        <v>0</v>
      </c>
      <c r="F844" s="169"/>
      <c r="G844" s="50"/>
      <c r="H844" s="50"/>
      <c r="I844" s="50"/>
      <c r="J844" s="50"/>
      <c r="K844" s="50"/>
    </row>
    <row r="845">
      <c r="A845" s="168"/>
      <c r="B845" s="168"/>
      <c r="C845" s="168"/>
      <c r="D845" s="168"/>
      <c r="E845" s="168" t="b">
        <v>0</v>
      </c>
      <c r="F845" s="169"/>
      <c r="G845" s="50"/>
      <c r="H845" s="50"/>
      <c r="I845" s="50"/>
      <c r="J845" s="50"/>
      <c r="K845" s="50"/>
    </row>
    <row r="846">
      <c r="A846" s="168"/>
      <c r="B846" s="168"/>
      <c r="C846" s="168"/>
      <c r="D846" s="168"/>
      <c r="E846" s="168" t="b">
        <v>0</v>
      </c>
      <c r="F846" s="169"/>
      <c r="G846" s="50"/>
      <c r="H846" s="50"/>
      <c r="I846" s="50"/>
      <c r="J846" s="50"/>
      <c r="K846" s="50"/>
    </row>
    <row r="847">
      <c r="A847" s="168"/>
      <c r="B847" s="168"/>
      <c r="C847" s="168"/>
      <c r="D847" s="168"/>
      <c r="E847" s="168" t="b">
        <v>0</v>
      </c>
      <c r="F847" s="169"/>
      <c r="G847" s="50"/>
      <c r="H847" s="50"/>
      <c r="I847" s="50"/>
      <c r="J847" s="50"/>
      <c r="K847" s="50"/>
    </row>
    <row r="848">
      <c r="A848" s="168"/>
      <c r="B848" s="168"/>
      <c r="C848" s="168"/>
      <c r="D848" s="168"/>
      <c r="E848" s="168" t="b">
        <v>0</v>
      </c>
      <c r="F848" s="169"/>
      <c r="G848" s="50"/>
      <c r="H848" s="50"/>
      <c r="I848" s="50"/>
      <c r="J848" s="50"/>
      <c r="K848" s="50"/>
    </row>
    <row r="849">
      <c r="A849" s="168"/>
      <c r="B849" s="168"/>
      <c r="C849" s="168"/>
      <c r="D849" s="168"/>
      <c r="E849" s="168" t="b">
        <v>0</v>
      </c>
      <c r="F849" s="169"/>
      <c r="G849" s="50"/>
      <c r="H849" s="50"/>
      <c r="I849" s="50"/>
      <c r="J849" s="50"/>
      <c r="K849" s="50"/>
    </row>
    <row r="850">
      <c r="A850" s="168"/>
      <c r="B850" s="168"/>
      <c r="C850" s="168"/>
      <c r="D850" s="168"/>
      <c r="E850" s="168" t="b">
        <v>0</v>
      </c>
      <c r="F850" s="169"/>
      <c r="G850" s="50"/>
      <c r="H850" s="50"/>
      <c r="I850" s="50"/>
      <c r="J850" s="50"/>
      <c r="K850" s="50"/>
    </row>
    <row r="851">
      <c r="A851" s="168"/>
      <c r="B851" s="168"/>
      <c r="C851" s="168"/>
      <c r="D851" s="168"/>
      <c r="E851" s="168" t="b">
        <v>0</v>
      </c>
      <c r="F851" s="169"/>
      <c r="G851" s="50"/>
      <c r="H851" s="50"/>
      <c r="I851" s="50"/>
      <c r="J851" s="50"/>
      <c r="K851" s="50"/>
    </row>
    <row r="852">
      <c r="A852" s="168"/>
      <c r="B852" s="168"/>
      <c r="C852" s="168"/>
      <c r="D852" s="168"/>
      <c r="E852" s="168" t="b">
        <v>0</v>
      </c>
      <c r="F852" s="169"/>
      <c r="G852" s="50"/>
      <c r="H852" s="50"/>
      <c r="I852" s="50"/>
      <c r="J852" s="50"/>
      <c r="K852" s="50"/>
    </row>
    <row r="853">
      <c r="A853" s="168"/>
      <c r="B853" s="168"/>
      <c r="C853" s="168"/>
      <c r="D853" s="168"/>
      <c r="E853" s="168" t="b">
        <v>0</v>
      </c>
      <c r="F853" s="169"/>
      <c r="G853" s="50"/>
      <c r="H853" s="50"/>
      <c r="I853" s="50"/>
      <c r="J853" s="50"/>
      <c r="K853" s="50"/>
    </row>
    <row r="854">
      <c r="A854" s="168"/>
      <c r="B854" s="168"/>
      <c r="C854" s="168"/>
      <c r="D854" s="168"/>
      <c r="E854" s="168" t="b">
        <v>0</v>
      </c>
      <c r="F854" s="169"/>
      <c r="G854" s="50"/>
      <c r="H854" s="50"/>
      <c r="I854" s="50"/>
      <c r="J854" s="50"/>
      <c r="K854" s="50"/>
    </row>
    <row r="855">
      <c r="A855" s="168"/>
      <c r="B855" s="168"/>
      <c r="C855" s="168"/>
      <c r="D855" s="168"/>
      <c r="E855" s="168" t="b">
        <v>0</v>
      </c>
      <c r="F855" s="169"/>
      <c r="G855" s="50"/>
      <c r="H855" s="50"/>
      <c r="I855" s="50"/>
      <c r="J855" s="50"/>
      <c r="K855" s="50"/>
    </row>
    <row r="856">
      <c r="A856" s="168"/>
      <c r="B856" s="168"/>
      <c r="C856" s="168"/>
      <c r="D856" s="168"/>
      <c r="E856" s="168" t="b">
        <v>0</v>
      </c>
      <c r="F856" s="169"/>
      <c r="G856" s="50"/>
      <c r="H856" s="50"/>
      <c r="I856" s="50"/>
      <c r="J856" s="50"/>
      <c r="K856" s="50"/>
    </row>
    <row r="857">
      <c r="A857" s="168"/>
      <c r="B857" s="168"/>
      <c r="C857" s="168"/>
      <c r="D857" s="168"/>
      <c r="E857" s="168" t="b">
        <v>0</v>
      </c>
      <c r="F857" s="169"/>
      <c r="G857" s="50"/>
      <c r="H857" s="50"/>
      <c r="I857" s="50"/>
      <c r="J857" s="50"/>
      <c r="K857" s="50"/>
    </row>
    <row r="858">
      <c r="A858" s="168"/>
      <c r="B858" s="168"/>
      <c r="C858" s="168"/>
      <c r="D858" s="168"/>
      <c r="E858" s="168" t="b">
        <v>0</v>
      </c>
      <c r="F858" s="169"/>
      <c r="G858" s="50"/>
      <c r="H858" s="50"/>
      <c r="I858" s="50"/>
      <c r="J858" s="50"/>
      <c r="K858" s="50"/>
    </row>
    <row r="859">
      <c r="A859" s="168"/>
      <c r="B859" s="168"/>
      <c r="C859" s="168"/>
      <c r="D859" s="168"/>
      <c r="E859" s="168" t="b">
        <v>0</v>
      </c>
      <c r="F859" s="169"/>
      <c r="G859" s="50"/>
      <c r="H859" s="50"/>
      <c r="I859" s="50"/>
      <c r="J859" s="50"/>
      <c r="K859" s="50"/>
    </row>
    <row r="860">
      <c r="A860" s="168"/>
      <c r="B860" s="168"/>
      <c r="C860" s="168"/>
      <c r="D860" s="168"/>
      <c r="E860" s="168" t="b">
        <v>0</v>
      </c>
      <c r="F860" s="169"/>
      <c r="G860" s="50"/>
      <c r="H860" s="50"/>
      <c r="I860" s="50"/>
      <c r="J860" s="50"/>
      <c r="K860" s="50"/>
    </row>
    <row r="861">
      <c r="A861" s="168"/>
      <c r="B861" s="168"/>
      <c r="C861" s="168"/>
      <c r="D861" s="168"/>
      <c r="E861" s="168" t="b">
        <v>0</v>
      </c>
      <c r="F861" s="169"/>
      <c r="G861" s="50"/>
      <c r="H861" s="50"/>
      <c r="I861" s="50"/>
      <c r="J861" s="50"/>
      <c r="K861" s="50"/>
    </row>
    <row r="862">
      <c r="A862" s="168"/>
      <c r="B862" s="168"/>
      <c r="C862" s="168"/>
      <c r="D862" s="168"/>
      <c r="E862" s="168" t="b">
        <v>0</v>
      </c>
      <c r="F862" s="169"/>
      <c r="G862" s="50"/>
      <c r="H862" s="50"/>
      <c r="I862" s="50"/>
      <c r="J862" s="50"/>
      <c r="K862" s="50"/>
    </row>
    <row r="863">
      <c r="A863" s="168"/>
      <c r="B863" s="168"/>
      <c r="C863" s="168"/>
      <c r="D863" s="168"/>
      <c r="E863" s="168" t="b">
        <v>0</v>
      </c>
      <c r="F863" s="169"/>
      <c r="G863" s="50"/>
      <c r="H863" s="50"/>
      <c r="I863" s="50"/>
      <c r="J863" s="50"/>
      <c r="K863" s="50"/>
    </row>
    <row r="864">
      <c r="A864" s="168"/>
      <c r="B864" s="168"/>
      <c r="C864" s="168"/>
      <c r="D864" s="168"/>
      <c r="E864" s="168" t="b">
        <v>0</v>
      </c>
      <c r="F864" s="169"/>
      <c r="G864" s="50"/>
      <c r="H864" s="50"/>
      <c r="I864" s="50"/>
      <c r="J864" s="50"/>
      <c r="K864" s="50"/>
    </row>
    <row r="865">
      <c r="A865" s="168"/>
      <c r="B865" s="168"/>
      <c r="C865" s="168"/>
      <c r="D865" s="168"/>
      <c r="E865" s="168" t="b">
        <v>0</v>
      </c>
      <c r="F865" s="169"/>
      <c r="G865" s="50"/>
      <c r="H865" s="50"/>
      <c r="I865" s="50"/>
      <c r="J865" s="50"/>
      <c r="K865" s="50"/>
    </row>
    <row r="866">
      <c r="A866" s="168"/>
      <c r="B866" s="168"/>
      <c r="C866" s="168"/>
      <c r="D866" s="168"/>
      <c r="E866" s="168" t="b">
        <v>0</v>
      </c>
      <c r="F866" s="169"/>
      <c r="G866" s="50"/>
      <c r="H866" s="50"/>
      <c r="I866" s="50"/>
      <c r="J866" s="50"/>
      <c r="K866" s="50"/>
    </row>
    <row r="867">
      <c r="A867" s="168"/>
      <c r="B867" s="168"/>
      <c r="C867" s="168"/>
      <c r="D867" s="168"/>
      <c r="E867" s="168" t="b">
        <v>0</v>
      </c>
      <c r="F867" s="169"/>
      <c r="G867" s="50"/>
      <c r="H867" s="50"/>
      <c r="I867" s="50"/>
      <c r="J867" s="50"/>
      <c r="K867" s="50"/>
    </row>
    <row r="868">
      <c r="A868" s="168"/>
      <c r="B868" s="168"/>
      <c r="C868" s="168"/>
      <c r="D868" s="168"/>
      <c r="E868" s="168" t="b">
        <v>0</v>
      </c>
      <c r="F868" s="169"/>
      <c r="G868" s="50"/>
      <c r="H868" s="50"/>
      <c r="I868" s="50"/>
      <c r="J868" s="50"/>
      <c r="K868" s="50"/>
    </row>
    <row r="869">
      <c r="A869" s="168"/>
      <c r="B869" s="168"/>
      <c r="C869" s="168"/>
      <c r="D869" s="168"/>
      <c r="E869" s="168" t="b">
        <v>0</v>
      </c>
      <c r="F869" s="169"/>
      <c r="G869" s="50"/>
      <c r="H869" s="50"/>
      <c r="I869" s="50"/>
      <c r="J869" s="50"/>
      <c r="K869" s="50"/>
    </row>
    <row r="870">
      <c r="A870" s="168"/>
      <c r="B870" s="168"/>
      <c r="C870" s="168"/>
      <c r="D870" s="168"/>
      <c r="E870" s="168" t="b">
        <v>0</v>
      </c>
      <c r="F870" s="169"/>
      <c r="G870" s="50"/>
      <c r="H870" s="50"/>
      <c r="I870" s="50"/>
      <c r="J870" s="50"/>
      <c r="K870" s="50"/>
    </row>
    <row r="871">
      <c r="A871" s="168"/>
      <c r="B871" s="168"/>
      <c r="C871" s="168"/>
      <c r="D871" s="168"/>
      <c r="E871" s="168" t="b">
        <v>0</v>
      </c>
      <c r="F871" s="169"/>
      <c r="G871" s="50"/>
      <c r="H871" s="50"/>
      <c r="I871" s="50"/>
      <c r="J871" s="50"/>
      <c r="K871" s="50"/>
    </row>
    <row r="872">
      <c r="A872" s="168"/>
      <c r="B872" s="168"/>
      <c r="C872" s="168"/>
      <c r="D872" s="168"/>
      <c r="E872" s="168" t="b">
        <v>0</v>
      </c>
      <c r="F872" s="169"/>
      <c r="G872" s="50"/>
      <c r="H872" s="50"/>
      <c r="I872" s="50"/>
      <c r="J872" s="50"/>
      <c r="K872" s="50"/>
    </row>
    <row r="873">
      <c r="A873" s="168"/>
      <c r="B873" s="168"/>
      <c r="C873" s="168"/>
      <c r="D873" s="168"/>
      <c r="E873" s="168" t="b">
        <v>0</v>
      </c>
      <c r="F873" s="169"/>
      <c r="G873" s="50"/>
      <c r="H873" s="50"/>
      <c r="I873" s="50"/>
      <c r="J873" s="50"/>
      <c r="K873" s="50"/>
    </row>
    <row r="874">
      <c r="A874" s="168"/>
      <c r="B874" s="168"/>
      <c r="C874" s="168"/>
      <c r="D874" s="168"/>
      <c r="E874" s="168" t="b">
        <v>0</v>
      </c>
      <c r="F874" s="169"/>
      <c r="G874" s="50"/>
      <c r="H874" s="50"/>
      <c r="I874" s="50"/>
      <c r="J874" s="50"/>
      <c r="K874" s="50"/>
    </row>
    <row r="875">
      <c r="A875" s="168"/>
      <c r="B875" s="168"/>
      <c r="C875" s="168"/>
      <c r="D875" s="168"/>
      <c r="E875" s="168" t="b">
        <v>0</v>
      </c>
      <c r="F875" s="169"/>
      <c r="G875" s="50"/>
      <c r="H875" s="50"/>
      <c r="I875" s="50"/>
      <c r="J875" s="50"/>
      <c r="K875" s="50"/>
    </row>
    <row r="876">
      <c r="A876" s="168"/>
      <c r="B876" s="168"/>
      <c r="C876" s="168"/>
      <c r="D876" s="168"/>
      <c r="E876" s="168" t="b">
        <v>0</v>
      </c>
      <c r="F876" s="169"/>
      <c r="G876" s="50"/>
      <c r="H876" s="50"/>
      <c r="I876" s="50"/>
      <c r="J876" s="50"/>
      <c r="K876" s="50"/>
    </row>
    <row r="877">
      <c r="A877" s="168"/>
      <c r="B877" s="168"/>
      <c r="C877" s="168"/>
      <c r="D877" s="168"/>
      <c r="E877" s="168" t="b">
        <v>0</v>
      </c>
      <c r="F877" s="169"/>
      <c r="G877" s="50"/>
      <c r="H877" s="50"/>
      <c r="I877" s="50"/>
      <c r="J877" s="50"/>
      <c r="K877" s="50"/>
    </row>
    <row r="878">
      <c r="A878" s="168"/>
      <c r="B878" s="168"/>
      <c r="C878" s="168"/>
      <c r="D878" s="168"/>
      <c r="E878" s="168" t="b">
        <v>0</v>
      </c>
      <c r="F878" s="169"/>
      <c r="G878" s="50"/>
      <c r="H878" s="50"/>
      <c r="I878" s="50"/>
      <c r="J878" s="50"/>
      <c r="K878" s="50"/>
    </row>
    <row r="879">
      <c r="A879" s="168"/>
      <c r="B879" s="168"/>
      <c r="C879" s="168"/>
      <c r="D879" s="168"/>
      <c r="E879" s="168" t="b">
        <v>0</v>
      </c>
      <c r="F879" s="169"/>
      <c r="G879" s="50"/>
      <c r="H879" s="50"/>
      <c r="I879" s="50"/>
      <c r="J879" s="50"/>
      <c r="K879" s="50"/>
    </row>
    <row r="880">
      <c r="A880" s="168"/>
      <c r="B880" s="168"/>
      <c r="C880" s="168"/>
      <c r="D880" s="168"/>
      <c r="E880" s="168" t="b">
        <v>0</v>
      </c>
      <c r="F880" s="169"/>
      <c r="G880" s="50"/>
      <c r="H880" s="50"/>
      <c r="I880" s="50"/>
      <c r="J880" s="50"/>
      <c r="K880" s="50"/>
    </row>
    <row r="881">
      <c r="A881" s="168"/>
      <c r="B881" s="168"/>
      <c r="C881" s="168"/>
      <c r="D881" s="168"/>
      <c r="E881" s="168" t="b">
        <v>0</v>
      </c>
      <c r="F881" s="169"/>
      <c r="G881" s="50"/>
      <c r="H881" s="50"/>
      <c r="I881" s="50"/>
      <c r="J881" s="50"/>
      <c r="K881" s="50"/>
    </row>
    <row r="882">
      <c r="A882" s="168"/>
      <c r="B882" s="168"/>
      <c r="C882" s="168"/>
      <c r="D882" s="168"/>
      <c r="E882" s="168" t="b">
        <v>0</v>
      </c>
      <c r="F882" s="169"/>
      <c r="G882" s="50"/>
      <c r="H882" s="50"/>
      <c r="I882" s="50"/>
      <c r="J882" s="50"/>
      <c r="K882" s="50"/>
    </row>
    <row r="883">
      <c r="A883" s="168"/>
      <c r="B883" s="168"/>
      <c r="C883" s="168"/>
      <c r="D883" s="168"/>
      <c r="E883" s="168" t="b">
        <v>0</v>
      </c>
      <c r="F883" s="169"/>
      <c r="G883" s="50"/>
      <c r="H883" s="50"/>
      <c r="I883" s="50"/>
      <c r="J883" s="50"/>
      <c r="K883" s="50"/>
    </row>
    <row r="884">
      <c r="A884" s="168"/>
      <c r="B884" s="168"/>
      <c r="C884" s="168"/>
      <c r="D884" s="168"/>
      <c r="E884" s="168" t="b">
        <v>0</v>
      </c>
      <c r="F884" s="169"/>
      <c r="G884" s="50"/>
      <c r="H884" s="50"/>
      <c r="I884" s="50"/>
      <c r="J884" s="50"/>
      <c r="K884" s="50"/>
    </row>
    <row r="885">
      <c r="A885" s="168"/>
      <c r="B885" s="168"/>
      <c r="C885" s="168"/>
      <c r="D885" s="168"/>
      <c r="E885" s="168" t="b">
        <v>0</v>
      </c>
      <c r="F885" s="169"/>
      <c r="G885" s="50"/>
      <c r="H885" s="50"/>
      <c r="I885" s="50"/>
      <c r="J885" s="50"/>
      <c r="K885" s="50"/>
    </row>
    <row r="886">
      <c r="A886" s="168"/>
      <c r="B886" s="168"/>
      <c r="C886" s="168"/>
      <c r="D886" s="168"/>
      <c r="E886" s="168" t="b">
        <v>0</v>
      </c>
      <c r="F886" s="169"/>
      <c r="G886" s="50"/>
      <c r="H886" s="50"/>
      <c r="I886" s="50"/>
      <c r="J886" s="50"/>
      <c r="K886" s="50"/>
    </row>
    <row r="887">
      <c r="A887" s="168"/>
      <c r="B887" s="168"/>
      <c r="C887" s="168"/>
      <c r="D887" s="168"/>
      <c r="E887" s="168" t="b">
        <v>0</v>
      </c>
      <c r="F887" s="169"/>
      <c r="G887" s="50"/>
      <c r="H887" s="50"/>
      <c r="I887" s="50"/>
      <c r="J887" s="50"/>
      <c r="K887" s="50"/>
    </row>
    <row r="888">
      <c r="A888" s="168"/>
      <c r="B888" s="168"/>
      <c r="C888" s="168"/>
      <c r="D888" s="168"/>
      <c r="E888" s="168" t="b">
        <v>0</v>
      </c>
      <c r="F888" s="169"/>
      <c r="G888" s="50"/>
      <c r="H888" s="50"/>
      <c r="I888" s="50"/>
      <c r="J888" s="50"/>
      <c r="K888" s="50"/>
    </row>
    <row r="889">
      <c r="A889" s="168"/>
      <c r="B889" s="168"/>
      <c r="C889" s="168"/>
      <c r="D889" s="168"/>
      <c r="E889" s="168" t="b">
        <v>0</v>
      </c>
      <c r="F889" s="169"/>
      <c r="G889" s="50"/>
      <c r="H889" s="50"/>
      <c r="I889" s="50"/>
      <c r="J889" s="50"/>
      <c r="K889" s="50"/>
    </row>
    <row r="890">
      <c r="A890" s="168"/>
      <c r="B890" s="168"/>
      <c r="C890" s="168"/>
      <c r="D890" s="168"/>
      <c r="E890" s="168" t="b">
        <v>0</v>
      </c>
      <c r="F890" s="169"/>
      <c r="G890" s="50"/>
      <c r="H890" s="50"/>
      <c r="I890" s="50"/>
      <c r="J890" s="50"/>
      <c r="K890" s="50"/>
    </row>
    <row r="891">
      <c r="A891" s="168"/>
      <c r="B891" s="168"/>
      <c r="C891" s="168"/>
      <c r="D891" s="168"/>
      <c r="E891" s="168" t="b">
        <v>0</v>
      </c>
      <c r="F891" s="169"/>
      <c r="G891" s="50"/>
      <c r="H891" s="50"/>
      <c r="I891" s="50"/>
      <c r="J891" s="50"/>
      <c r="K891" s="50"/>
    </row>
    <row r="892">
      <c r="A892" s="168"/>
      <c r="B892" s="168"/>
      <c r="C892" s="168"/>
      <c r="D892" s="168"/>
      <c r="E892" s="168" t="b">
        <v>0</v>
      </c>
      <c r="F892" s="169"/>
      <c r="G892" s="50"/>
      <c r="H892" s="50"/>
      <c r="I892" s="50"/>
      <c r="J892" s="50"/>
      <c r="K892" s="50"/>
    </row>
    <row r="893">
      <c r="A893" s="168"/>
      <c r="B893" s="168"/>
      <c r="C893" s="168"/>
      <c r="D893" s="168"/>
      <c r="E893" s="168" t="b">
        <v>0</v>
      </c>
      <c r="F893" s="169"/>
      <c r="G893" s="50"/>
      <c r="H893" s="50"/>
      <c r="I893" s="50"/>
      <c r="J893" s="50"/>
      <c r="K893" s="50"/>
    </row>
    <row r="894">
      <c r="A894" s="168"/>
      <c r="B894" s="168"/>
      <c r="C894" s="168"/>
      <c r="D894" s="168"/>
      <c r="E894" s="168" t="b">
        <v>0</v>
      </c>
      <c r="F894" s="169"/>
      <c r="G894" s="50"/>
      <c r="H894" s="50"/>
      <c r="I894" s="50"/>
      <c r="J894" s="50"/>
      <c r="K894" s="50"/>
    </row>
    <row r="895">
      <c r="A895" s="168"/>
      <c r="B895" s="168"/>
      <c r="C895" s="168"/>
      <c r="D895" s="168"/>
      <c r="E895" s="168" t="b">
        <v>0</v>
      </c>
      <c r="F895" s="169"/>
      <c r="G895" s="50"/>
      <c r="H895" s="50"/>
      <c r="I895" s="50"/>
      <c r="J895" s="50"/>
      <c r="K895" s="50"/>
    </row>
    <row r="896">
      <c r="A896" s="168"/>
      <c r="B896" s="168"/>
      <c r="C896" s="168"/>
      <c r="D896" s="168"/>
      <c r="E896" s="168" t="b">
        <v>0</v>
      </c>
      <c r="F896" s="169"/>
      <c r="G896" s="50"/>
      <c r="H896" s="50"/>
      <c r="I896" s="50"/>
      <c r="J896" s="50"/>
      <c r="K896" s="50"/>
    </row>
    <row r="897">
      <c r="A897" s="168"/>
      <c r="B897" s="168"/>
      <c r="C897" s="168"/>
      <c r="D897" s="168"/>
      <c r="E897" s="168" t="b">
        <v>0</v>
      </c>
      <c r="F897" s="169"/>
      <c r="G897" s="50"/>
      <c r="H897" s="50"/>
      <c r="I897" s="50"/>
      <c r="J897" s="50"/>
      <c r="K897" s="50"/>
    </row>
    <row r="898">
      <c r="A898" s="168"/>
      <c r="B898" s="168"/>
      <c r="C898" s="168"/>
      <c r="D898" s="168"/>
      <c r="E898" s="168" t="b">
        <v>0</v>
      </c>
      <c r="F898" s="169"/>
      <c r="G898" s="50"/>
      <c r="H898" s="50"/>
      <c r="I898" s="50"/>
      <c r="J898" s="50"/>
      <c r="K898" s="50"/>
    </row>
    <row r="899">
      <c r="A899" s="168"/>
      <c r="B899" s="168"/>
      <c r="C899" s="168"/>
      <c r="D899" s="168"/>
      <c r="E899" s="168" t="b">
        <v>0</v>
      </c>
      <c r="F899" s="169"/>
      <c r="G899" s="50"/>
      <c r="H899" s="50"/>
      <c r="I899" s="50"/>
      <c r="J899" s="50"/>
      <c r="K899" s="50"/>
    </row>
    <row r="900">
      <c r="A900" s="168"/>
      <c r="B900" s="168"/>
      <c r="C900" s="168"/>
      <c r="D900" s="168"/>
      <c r="E900" s="168" t="b">
        <v>0</v>
      </c>
      <c r="F900" s="169"/>
      <c r="G900" s="50"/>
      <c r="H900" s="50"/>
      <c r="I900" s="50"/>
      <c r="J900" s="50"/>
      <c r="K900" s="50"/>
    </row>
    <row r="901">
      <c r="A901" s="168"/>
      <c r="B901" s="168"/>
      <c r="C901" s="168"/>
      <c r="D901" s="168"/>
      <c r="E901" s="168" t="b">
        <v>0</v>
      </c>
      <c r="F901" s="169"/>
      <c r="G901" s="50"/>
      <c r="H901" s="50"/>
      <c r="I901" s="50"/>
      <c r="J901" s="50"/>
      <c r="K901" s="50"/>
    </row>
    <row r="902">
      <c r="A902" s="168"/>
      <c r="B902" s="168"/>
      <c r="C902" s="168"/>
      <c r="D902" s="168"/>
      <c r="E902" s="168" t="b">
        <v>0</v>
      </c>
      <c r="F902" s="169"/>
      <c r="G902" s="50"/>
      <c r="H902" s="50"/>
      <c r="I902" s="50"/>
      <c r="J902" s="50"/>
      <c r="K902" s="50"/>
    </row>
    <row r="903">
      <c r="A903" s="168"/>
      <c r="B903" s="168"/>
      <c r="C903" s="168"/>
      <c r="D903" s="168"/>
      <c r="E903" s="168" t="b">
        <v>0</v>
      </c>
      <c r="F903" s="169"/>
      <c r="G903" s="50"/>
      <c r="H903" s="50"/>
      <c r="I903" s="50"/>
      <c r="J903" s="50"/>
      <c r="K903" s="50"/>
    </row>
    <row r="904">
      <c r="A904" s="168"/>
      <c r="B904" s="168"/>
      <c r="C904" s="168"/>
      <c r="D904" s="168"/>
      <c r="E904" s="168" t="b">
        <v>0</v>
      </c>
      <c r="F904" s="169"/>
      <c r="G904" s="50"/>
      <c r="H904" s="50"/>
      <c r="I904" s="50"/>
      <c r="J904" s="50"/>
      <c r="K904" s="50"/>
    </row>
    <row r="905">
      <c r="A905" s="168"/>
      <c r="B905" s="168"/>
      <c r="C905" s="168"/>
      <c r="D905" s="168"/>
      <c r="E905" s="168" t="b">
        <v>0</v>
      </c>
      <c r="F905" s="169"/>
      <c r="G905" s="50"/>
      <c r="H905" s="50"/>
      <c r="I905" s="50"/>
      <c r="J905" s="50"/>
      <c r="K905" s="50"/>
    </row>
    <row r="906">
      <c r="A906" s="168"/>
      <c r="B906" s="168"/>
      <c r="C906" s="168"/>
      <c r="D906" s="168"/>
      <c r="E906" s="168" t="b">
        <v>0</v>
      </c>
      <c r="F906" s="169"/>
      <c r="G906" s="50"/>
      <c r="H906" s="50"/>
      <c r="I906" s="50"/>
      <c r="J906" s="50"/>
      <c r="K906" s="50"/>
    </row>
    <row r="907">
      <c r="A907" s="168"/>
      <c r="B907" s="168"/>
      <c r="C907" s="168"/>
      <c r="D907" s="168"/>
      <c r="E907" s="168" t="b">
        <v>0</v>
      </c>
      <c r="F907" s="169"/>
      <c r="G907" s="50"/>
      <c r="H907" s="50"/>
      <c r="I907" s="50"/>
      <c r="J907" s="50"/>
      <c r="K907" s="50"/>
    </row>
    <row r="908">
      <c r="A908" s="168"/>
      <c r="B908" s="168"/>
      <c r="C908" s="168"/>
      <c r="D908" s="168"/>
      <c r="E908" s="168" t="b">
        <v>0</v>
      </c>
      <c r="F908" s="169"/>
      <c r="G908" s="50"/>
      <c r="H908" s="50"/>
      <c r="I908" s="50"/>
      <c r="J908" s="50"/>
      <c r="K908" s="50"/>
    </row>
    <row r="909">
      <c r="A909" s="168"/>
      <c r="B909" s="168"/>
      <c r="C909" s="168"/>
      <c r="D909" s="168"/>
      <c r="E909" s="168" t="b">
        <v>0</v>
      </c>
      <c r="F909" s="169"/>
      <c r="G909" s="50"/>
      <c r="H909" s="50"/>
      <c r="I909" s="50"/>
      <c r="J909" s="50"/>
      <c r="K909" s="50"/>
    </row>
    <row r="910">
      <c r="A910" s="168"/>
      <c r="B910" s="168"/>
      <c r="C910" s="168"/>
      <c r="D910" s="168"/>
      <c r="E910" s="168" t="b">
        <v>0</v>
      </c>
      <c r="F910" s="169"/>
      <c r="G910" s="50"/>
      <c r="H910" s="50"/>
      <c r="I910" s="50"/>
      <c r="J910" s="50"/>
      <c r="K910" s="50"/>
    </row>
    <row r="911">
      <c r="A911" s="168"/>
      <c r="B911" s="168"/>
      <c r="C911" s="168"/>
      <c r="D911" s="168"/>
      <c r="E911" s="168" t="b">
        <v>0</v>
      </c>
      <c r="F911" s="169"/>
      <c r="G911" s="50"/>
      <c r="H911" s="50"/>
      <c r="I911" s="50"/>
      <c r="J911" s="50"/>
      <c r="K911" s="50"/>
    </row>
    <row r="912">
      <c r="A912" s="168"/>
      <c r="B912" s="168"/>
      <c r="C912" s="168"/>
      <c r="D912" s="168"/>
      <c r="E912" s="168" t="b">
        <v>0</v>
      </c>
      <c r="F912" s="169"/>
      <c r="G912" s="50"/>
      <c r="H912" s="50"/>
      <c r="I912" s="50"/>
      <c r="J912" s="50"/>
      <c r="K912" s="50"/>
    </row>
    <row r="913">
      <c r="A913" s="168"/>
      <c r="B913" s="168"/>
      <c r="C913" s="168"/>
      <c r="D913" s="168"/>
      <c r="E913" s="168" t="b">
        <v>0</v>
      </c>
      <c r="F913" s="169"/>
      <c r="G913" s="50"/>
      <c r="H913" s="50"/>
      <c r="I913" s="50"/>
      <c r="J913" s="50"/>
      <c r="K913" s="50"/>
    </row>
    <row r="914">
      <c r="A914" s="168"/>
      <c r="B914" s="168"/>
      <c r="C914" s="168"/>
      <c r="D914" s="168"/>
      <c r="E914" s="168" t="b">
        <v>0</v>
      </c>
      <c r="F914" s="169"/>
      <c r="G914" s="50"/>
      <c r="H914" s="50"/>
      <c r="I914" s="50"/>
      <c r="J914" s="50"/>
      <c r="K914" s="50"/>
    </row>
    <row r="915">
      <c r="A915" s="168"/>
      <c r="B915" s="168"/>
      <c r="C915" s="168"/>
      <c r="D915" s="168"/>
      <c r="E915" s="168" t="b">
        <v>0</v>
      </c>
      <c r="F915" s="169"/>
      <c r="G915" s="50"/>
      <c r="H915" s="50"/>
      <c r="I915" s="50"/>
      <c r="J915" s="50"/>
      <c r="K915" s="50"/>
    </row>
    <row r="916">
      <c r="A916" s="168"/>
      <c r="B916" s="168"/>
      <c r="C916" s="168"/>
      <c r="D916" s="168"/>
      <c r="E916" s="168" t="b">
        <v>0</v>
      </c>
      <c r="F916" s="169"/>
      <c r="G916" s="50"/>
      <c r="H916" s="50"/>
      <c r="I916" s="50"/>
      <c r="J916" s="50"/>
      <c r="K916" s="50"/>
    </row>
    <row r="917">
      <c r="A917" s="168"/>
      <c r="B917" s="168"/>
      <c r="C917" s="168"/>
      <c r="D917" s="168"/>
      <c r="E917" s="168" t="b">
        <v>0</v>
      </c>
      <c r="F917" s="169"/>
      <c r="G917" s="50"/>
      <c r="H917" s="50"/>
      <c r="I917" s="50"/>
      <c r="J917" s="50"/>
      <c r="K917" s="50"/>
    </row>
    <row r="918">
      <c r="A918" s="168"/>
      <c r="B918" s="168"/>
      <c r="C918" s="168"/>
      <c r="D918" s="168"/>
      <c r="E918" s="168" t="b">
        <v>0</v>
      </c>
      <c r="F918" s="169"/>
      <c r="G918" s="50"/>
      <c r="H918" s="50"/>
      <c r="I918" s="50"/>
      <c r="J918" s="50"/>
      <c r="K918" s="50"/>
    </row>
    <row r="919">
      <c r="A919" s="168"/>
      <c r="B919" s="168"/>
      <c r="C919" s="168"/>
      <c r="D919" s="168"/>
      <c r="E919" s="168" t="b">
        <v>0</v>
      </c>
      <c r="F919" s="169"/>
      <c r="G919" s="50"/>
      <c r="H919" s="50"/>
      <c r="I919" s="50"/>
      <c r="J919" s="50"/>
      <c r="K919" s="50"/>
    </row>
    <row r="920">
      <c r="A920" s="168"/>
      <c r="B920" s="168"/>
      <c r="C920" s="168"/>
      <c r="D920" s="168"/>
      <c r="E920" s="168" t="b">
        <v>0</v>
      </c>
      <c r="F920" s="169"/>
      <c r="G920" s="50"/>
      <c r="H920" s="50"/>
      <c r="I920" s="50"/>
      <c r="J920" s="50"/>
      <c r="K920" s="50"/>
    </row>
    <row r="921">
      <c r="A921" s="168"/>
      <c r="B921" s="168"/>
      <c r="C921" s="168"/>
      <c r="D921" s="168"/>
      <c r="E921" s="168" t="b">
        <v>0</v>
      </c>
      <c r="F921" s="169"/>
      <c r="G921" s="50"/>
      <c r="H921" s="50"/>
      <c r="I921" s="50"/>
      <c r="J921" s="50"/>
      <c r="K921" s="50"/>
    </row>
    <row r="922">
      <c r="A922" s="168"/>
      <c r="B922" s="168"/>
      <c r="C922" s="168"/>
      <c r="D922" s="168"/>
      <c r="E922" s="168" t="b">
        <v>0</v>
      </c>
      <c r="F922" s="169"/>
      <c r="G922" s="50"/>
      <c r="H922" s="50"/>
      <c r="I922" s="50"/>
      <c r="J922" s="50"/>
      <c r="K922" s="50"/>
    </row>
    <row r="923">
      <c r="A923" s="168"/>
      <c r="B923" s="168"/>
      <c r="C923" s="168"/>
      <c r="D923" s="168"/>
      <c r="E923" s="168" t="b">
        <v>0</v>
      </c>
      <c r="F923" s="169"/>
      <c r="G923" s="50"/>
      <c r="H923" s="50"/>
      <c r="I923" s="50"/>
      <c r="J923" s="50"/>
      <c r="K923" s="50"/>
    </row>
    <row r="924">
      <c r="A924" s="168"/>
      <c r="B924" s="168"/>
      <c r="C924" s="168"/>
      <c r="D924" s="168"/>
      <c r="E924" s="168" t="b">
        <v>0</v>
      </c>
      <c r="F924" s="169"/>
      <c r="G924" s="50"/>
      <c r="H924" s="50"/>
      <c r="I924" s="50"/>
      <c r="J924" s="50"/>
      <c r="K924" s="50"/>
    </row>
    <row r="925">
      <c r="A925" s="168"/>
      <c r="B925" s="168"/>
      <c r="C925" s="168"/>
      <c r="D925" s="168"/>
      <c r="E925" s="168" t="b">
        <v>0</v>
      </c>
      <c r="F925" s="169"/>
      <c r="G925" s="50"/>
      <c r="H925" s="50"/>
      <c r="I925" s="50"/>
      <c r="J925" s="50"/>
      <c r="K925" s="50"/>
    </row>
    <row r="926">
      <c r="A926" s="168"/>
      <c r="B926" s="168"/>
      <c r="C926" s="168"/>
      <c r="D926" s="168"/>
      <c r="E926" s="168" t="b">
        <v>0</v>
      </c>
      <c r="F926" s="169"/>
      <c r="G926" s="50"/>
      <c r="H926" s="50"/>
      <c r="I926" s="50"/>
      <c r="J926" s="50"/>
      <c r="K926" s="50"/>
    </row>
    <row r="927">
      <c r="A927" s="168"/>
      <c r="B927" s="168"/>
      <c r="C927" s="168"/>
      <c r="D927" s="168"/>
      <c r="E927" s="168" t="b">
        <v>0</v>
      </c>
      <c r="F927" s="169"/>
      <c r="G927" s="50"/>
      <c r="H927" s="50"/>
      <c r="I927" s="50"/>
      <c r="J927" s="50"/>
      <c r="K927" s="50"/>
    </row>
    <row r="928">
      <c r="A928" s="168"/>
      <c r="B928" s="168"/>
      <c r="C928" s="168"/>
      <c r="D928" s="168"/>
      <c r="E928" s="168" t="b">
        <v>0</v>
      </c>
      <c r="F928" s="169"/>
      <c r="G928" s="50"/>
      <c r="H928" s="50"/>
      <c r="I928" s="50"/>
      <c r="J928" s="50"/>
      <c r="K928" s="50"/>
    </row>
    <row r="929">
      <c r="A929" s="168"/>
      <c r="B929" s="168"/>
      <c r="C929" s="168"/>
      <c r="D929" s="168"/>
      <c r="E929" s="168" t="b">
        <v>0</v>
      </c>
      <c r="F929" s="169"/>
      <c r="G929" s="50"/>
      <c r="H929" s="50"/>
      <c r="I929" s="50"/>
      <c r="J929" s="50"/>
      <c r="K929" s="50"/>
    </row>
    <row r="930">
      <c r="A930" s="168"/>
      <c r="B930" s="168"/>
      <c r="C930" s="168"/>
      <c r="D930" s="168"/>
      <c r="E930" s="168" t="b">
        <v>0</v>
      </c>
      <c r="F930" s="169"/>
      <c r="G930" s="50"/>
      <c r="H930" s="50"/>
      <c r="I930" s="50"/>
      <c r="J930" s="50"/>
      <c r="K930" s="50"/>
    </row>
    <row r="931">
      <c r="A931" s="168"/>
      <c r="B931" s="168"/>
      <c r="C931" s="168"/>
      <c r="D931" s="168"/>
      <c r="E931" s="168" t="b">
        <v>0</v>
      </c>
      <c r="F931" s="169"/>
      <c r="G931" s="50"/>
      <c r="H931" s="50"/>
      <c r="I931" s="50"/>
      <c r="J931" s="50"/>
      <c r="K931" s="50"/>
    </row>
    <row r="932">
      <c r="A932" s="168"/>
      <c r="B932" s="168"/>
      <c r="C932" s="168"/>
      <c r="D932" s="168"/>
      <c r="E932" s="168" t="b">
        <v>0</v>
      </c>
      <c r="F932" s="169"/>
      <c r="G932" s="50"/>
      <c r="H932" s="50"/>
      <c r="I932" s="50"/>
      <c r="J932" s="50"/>
      <c r="K932" s="50"/>
    </row>
    <row r="933">
      <c r="A933" s="168"/>
      <c r="B933" s="168"/>
      <c r="C933" s="168"/>
      <c r="D933" s="168"/>
      <c r="E933" s="168" t="b">
        <v>0</v>
      </c>
      <c r="F933" s="169"/>
      <c r="G933" s="50"/>
      <c r="H933" s="50"/>
      <c r="I933" s="50"/>
      <c r="J933" s="50"/>
      <c r="K933" s="50"/>
    </row>
    <row r="934">
      <c r="A934" s="168"/>
      <c r="B934" s="168"/>
      <c r="C934" s="168"/>
      <c r="D934" s="168"/>
      <c r="E934" s="168" t="b">
        <v>0</v>
      </c>
      <c r="F934" s="169"/>
      <c r="G934" s="50"/>
      <c r="H934" s="50"/>
      <c r="I934" s="50"/>
      <c r="J934" s="50"/>
      <c r="K934" s="50"/>
    </row>
    <row r="935">
      <c r="A935" s="168"/>
      <c r="B935" s="168"/>
      <c r="C935" s="168"/>
      <c r="D935" s="168"/>
      <c r="E935" s="168" t="b">
        <v>0</v>
      </c>
      <c r="F935" s="169"/>
      <c r="G935" s="50"/>
      <c r="H935" s="50"/>
      <c r="I935" s="50"/>
      <c r="J935" s="50"/>
      <c r="K935" s="50"/>
    </row>
    <row r="936">
      <c r="A936" s="168"/>
      <c r="B936" s="168"/>
      <c r="C936" s="168"/>
      <c r="D936" s="168"/>
      <c r="E936" s="168" t="b">
        <v>0</v>
      </c>
      <c r="F936" s="169"/>
      <c r="G936" s="50"/>
      <c r="H936" s="50"/>
      <c r="I936" s="50"/>
      <c r="J936" s="50"/>
      <c r="K936" s="50"/>
    </row>
    <row r="937">
      <c r="A937" s="168"/>
      <c r="B937" s="168"/>
      <c r="C937" s="168"/>
      <c r="D937" s="168"/>
      <c r="E937" s="168" t="b">
        <v>0</v>
      </c>
      <c r="F937" s="169"/>
      <c r="G937" s="50"/>
      <c r="H937" s="50"/>
      <c r="I937" s="50"/>
      <c r="J937" s="50"/>
      <c r="K937" s="50"/>
    </row>
    <row r="938">
      <c r="A938" s="168"/>
      <c r="B938" s="168"/>
      <c r="C938" s="168"/>
      <c r="D938" s="168"/>
      <c r="E938" s="168" t="b">
        <v>0</v>
      </c>
      <c r="F938" s="169"/>
      <c r="G938" s="50"/>
      <c r="H938" s="50"/>
      <c r="I938" s="50"/>
      <c r="J938" s="50"/>
      <c r="K938" s="50"/>
    </row>
    <row r="939">
      <c r="A939" s="168"/>
      <c r="B939" s="168"/>
      <c r="C939" s="168"/>
      <c r="D939" s="168"/>
      <c r="E939" s="168" t="b">
        <v>0</v>
      </c>
      <c r="F939" s="169"/>
      <c r="G939" s="50"/>
      <c r="H939" s="50"/>
      <c r="I939" s="50"/>
      <c r="J939" s="50"/>
      <c r="K939" s="50"/>
    </row>
    <row r="940">
      <c r="A940" s="168"/>
      <c r="B940" s="168"/>
      <c r="C940" s="168"/>
      <c r="D940" s="168"/>
      <c r="E940" s="168" t="b">
        <v>0</v>
      </c>
      <c r="F940" s="169"/>
      <c r="G940" s="50"/>
      <c r="H940" s="50"/>
      <c r="I940" s="50"/>
      <c r="J940" s="50"/>
      <c r="K940" s="50"/>
    </row>
    <row r="941">
      <c r="A941" s="168"/>
      <c r="B941" s="168"/>
      <c r="C941" s="168"/>
      <c r="D941" s="168"/>
      <c r="E941" s="168" t="b">
        <v>0</v>
      </c>
      <c r="F941" s="169"/>
      <c r="G941" s="50"/>
      <c r="H941" s="50"/>
      <c r="I941" s="50"/>
      <c r="J941" s="50"/>
      <c r="K941" s="50"/>
    </row>
    <row r="942">
      <c r="A942" s="168"/>
      <c r="B942" s="168"/>
      <c r="C942" s="168"/>
      <c r="D942" s="168"/>
      <c r="E942" s="168" t="b">
        <v>0</v>
      </c>
      <c r="F942" s="169"/>
      <c r="G942" s="50"/>
      <c r="H942" s="50"/>
      <c r="I942" s="50"/>
      <c r="J942" s="50"/>
      <c r="K942" s="50"/>
    </row>
    <row r="943">
      <c r="A943" s="168"/>
      <c r="B943" s="168"/>
      <c r="C943" s="168"/>
      <c r="D943" s="168"/>
      <c r="E943" s="168" t="b">
        <v>0</v>
      </c>
      <c r="F943" s="169"/>
      <c r="G943" s="50"/>
      <c r="H943" s="50"/>
      <c r="I943" s="50"/>
      <c r="J943" s="50"/>
      <c r="K943" s="50"/>
    </row>
    <row r="944">
      <c r="A944" s="168"/>
      <c r="B944" s="168"/>
      <c r="C944" s="168"/>
      <c r="D944" s="168"/>
      <c r="E944" s="168" t="b">
        <v>0</v>
      </c>
      <c r="F944" s="169"/>
      <c r="G944" s="50"/>
      <c r="H944" s="50"/>
      <c r="I944" s="50"/>
      <c r="J944" s="50"/>
      <c r="K944" s="50"/>
    </row>
    <row r="945">
      <c r="A945" s="168"/>
      <c r="B945" s="168"/>
      <c r="C945" s="168"/>
      <c r="D945" s="168"/>
      <c r="E945" s="168" t="b">
        <v>0</v>
      </c>
      <c r="F945" s="169"/>
      <c r="G945" s="50"/>
      <c r="H945" s="50"/>
      <c r="I945" s="50"/>
      <c r="J945" s="50"/>
      <c r="K945" s="50"/>
    </row>
    <row r="946">
      <c r="A946" s="168"/>
      <c r="B946" s="168"/>
      <c r="C946" s="168"/>
      <c r="D946" s="168"/>
      <c r="E946" s="168" t="b">
        <v>0</v>
      </c>
      <c r="F946" s="169"/>
      <c r="G946" s="50"/>
      <c r="H946" s="50"/>
      <c r="I946" s="50"/>
      <c r="J946" s="50"/>
      <c r="K946" s="50"/>
    </row>
    <row r="947">
      <c r="A947" s="168"/>
      <c r="B947" s="168"/>
      <c r="C947" s="168"/>
      <c r="D947" s="168"/>
      <c r="E947" s="168" t="b">
        <v>0</v>
      </c>
      <c r="F947" s="169"/>
      <c r="G947" s="50"/>
      <c r="H947" s="50"/>
      <c r="I947" s="50"/>
      <c r="J947" s="50"/>
      <c r="K947" s="50"/>
    </row>
    <row r="948">
      <c r="A948" s="168"/>
      <c r="B948" s="168"/>
      <c r="C948" s="168"/>
      <c r="D948" s="168"/>
      <c r="E948" s="168" t="b">
        <v>0</v>
      </c>
      <c r="F948" s="169"/>
      <c r="G948" s="50"/>
      <c r="H948" s="50"/>
      <c r="I948" s="50"/>
      <c r="J948" s="50"/>
      <c r="K948" s="50"/>
    </row>
    <row r="949">
      <c r="A949" s="168"/>
      <c r="B949" s="168"/>
      <c r="C949" s="168"/>
      <c r="D949" s="168"/>
      <c r="E949" s="168" t="b">
        <v>0</v>
      </c>
      <c r="F949" s="169"/>
      <c r="G949" s="50"/>
      <c r="H949" s="50"/>
      <c r="I949" s="50"/>
      <c r="J949" s="50"/>
      <c r="K949" s="50"/>
    </row>
    <row r="950">
      <c r="A950" s="168"/>
      <c r="B950" s="168"/>
      <c r="C950" s="168"/>
      <c r="D950" s="168"/>
      <c r="E950" s="168" t="b">
        <v>0</v>
      </c>
      <c r="F950" s="169"/>
      <c r="G950" s="50"/>
      <c r="H950" s="50"/>
      <c r="I950" s="50"/>
      <c r="J950" s="50"/>
      <c r="K950" s="50"/>
    </row>
    <row r="951">
      <c r="A951" s="168"/>
      <c r="B951" s="168"/>
      <c r="C951" s="168"/>
      <c r="D951" s="168"/>
      <c r="E951" s="168" t="b">
        <v>0</v>
      </c>
      <c r="F951" s="169"/>
      <c r="G951" s="50"/>
      <c r="H951" s="50"/>
      <c r="I951" s="50"/>
      <c r="J951" s="50"/>
      <c r="K951" s="50"/>
    </row>
    <row r="952">
      <c r="A952" s="168"/>
      <c r="B952" s="168"/>
      <c r="C952" s="168"/>
      <c r="D952" s="168"/>
      <c r="E952" s="168" t="b">
        <v>0</v>
      </c>
      <c r="F952" s="169"/>
      <c r="G952" s="50"/>
      <c r="H952" s="50"/>
      <c r="I952" s="50"/>
      <c r="J952" s="50"/>
      <c r="K952" s="50"/>
    </row>
    <row r="953">
      <c r="A953" s="168"/>
      <c r="B953" s="168"/>
      <c r="C953" s="168"/>
      <c r="D953" s="168"/>
      <c r="E953" s="168" t="b">
        <v>0</v>
      </c>
      <c r="F953" s="169"/>
      <c r="G953" s="50"/>
      <c r="H953" s="50"/>
      <c r="I953" s="50"/>
      <c r="J953" s="50"/>
      <c r="K953" s="50"/>
    </row>
    <row r="954">
      <c r="A954" s="168"/>
      <c r="B954" s="168"/>
      <c r="C954" s="168"/>
      <c r="D954" s="168"/>
      <c r="E954" s="168" t="b">
        <v>0</v>
      </c>
      <c r="F954" s="169"/>
      <c r="G954" s="50"/>
      <c r="H954" s="50"/>
      <c r="I954" s="50"/>
      <c r="J954" s="50"/>
      <c r="K954" s="50"/>
    </row>
    <row r="955">
      <c r="A955" s="168"/>
      <c r="B955" s="168"/>
      <c r="C955" s="168"/>
      <c r="D955" s="168"/>
      <c r="E955" s="168" t="b">
        <v>0</v>
      </c>
      <c r="F955" s="169"/>
      <c r="G955" s="50"/>
      <c r="H955" s="50"/>
      <c r="I955" s="50"/>
      <c r="J955" s="50"/>
      <c r="K955" s="50"/>
    </row>
    <row r="956">
      <c r="A956" s="168"/>
      <c r="B956" s="168"/>
      <c r="C956" s="168"/>
      <c r="D956" s="168"/>
      <c r="E956" s="168" t="b">
        <v>0</v>
      </c>
      <c r="F956" s="169"/>
      <c r="G956" s="50"/>
      <c r="H956" s="50"/>
      <c r="I956" s="50"/>
      <c r="J956" s="50"/>
      <c r="K956" s="50"/>
    </row>
    <row r="957">
      <c r="A957" s="168"/>
      <c r="B957" s="168"/>
      <c r="C957" s="168"/>
      <c r="D957" s="168"/>
      <c r="E957" s="168" t="b">
        <v>0</v>
      </c>
      <c r="F957" s="169"/>
      <c r="G957" s="50"/>
      <c r="H957" s="50"/>
      <c r="I957" s="50"/>
      <c r="J957" s="50"/>
      <c r="K957" s="50"/>
    </row>
    <row r="958">
      <c r="A958" s="168"/>
      <c r="B958" s="168"/>
      <c r="C958" s="168"/>
      <c r="D958" s="168"/>
      <c r="E958" s="168" t="b">
        <v>0</v>
      </c>
      <c r="F958" s="169"/>
      <c r="G958" s="50"/>
      <c r="H958" s="50"/>
      <c r="I958" s="50"/>
      <c r="J958" s="50"/>
      <c r="K958" s="50"/>
    </row>
    <row r="959">
      <c r="A959" s="168"/>
      <c r="B959" s="168"/>
      <c r="C959" s="168"/>
      <c r="D959" s="168"/>
      <c r="E959" s="168" t="b">
        <v>0</v>
      </c>
      <c r="F959" s="169"/>
      <c r="G959" s="50"/>
      <c r="H959" s="50"/>
      <c r="I959" s="50"/>
      <c r="J959" s="50"/>
      <c r="K959" s="50"/>
    </row>
    <row r="960">
      <c r="A960" s="168"/>
      <c r="B960" s="168"/>
      <c r="C960" s="168"/>
      <c r="D960" s="168"/>
      <c r="E960" s="168" t="b">
        <v>0</v>
      </c>
      <c r="F960" s="169"/>
      <c r="G960" s="50"/>
      <c r="H960" s="50"/>
      <c r="I960" s="50"/>
      <c r="J960" s="50"/>
      <c r="K960" s="50"/>
    </row>
    <row r="961">
      <c r="A961" s="168"/>
      <c r="B961" s="168"/>
      <c r="C961" s="168"/>
      <c r="D961" s="168"/>
      <c r="E961" s="168" t="b">
        <v>0</v>
      </c>
      <c r="F961" s="169"/>
      <c r="G961" s="50"/>
      <c r="H961" s="50"/>
      <c r="I961" s="50"/>
      <c r="J961" s="50"/>
      <c r="K961" s="50"/>
    </row>
    <row r="962">
      <c r="A962" s="168"/>
      <c r="B962" s="168"/>
      <c r="C962" s="168"/>
      <c r="D962" s="168"/>
      <c r="E962" s="168" t="b">
        <v>0</v>
      </c>
      <c r="F962" s="169"/>
      <c r="G962" s="50"/>
      <c r="H962" s="50"/>
      <c r="I962" s="50"/>
      <c r="J962" s="50"/>
      <c r="K962" s="50"/>
    </row>
    <row r="963">
      <c r="A963" s="168"/>
      <c r="B963" s="168"/>
      <c r="C963" s="168"/>
      <c r="D963" s="168"/>
      <c r="E963" s="168" t="b">
        <v>0</v>
      </c>
      <c r="F963" s="169"/>
      <c r="G963" s="50"/>
      <c r="H963" s="50"/>
      <c r="I963" s="50"/>
      <c r="J963" s="50"/>
      <c r="K963" s="50"/>
    </row>
    <row r="964">
      <c r="A964" s="168"/>
      <c r="B964" s="168"/>
      <c r="C964" s="168"/>
      <c r="D964" s="168"/>
      <c r="E964" s="168" t="b">
        <v>0</v>
      </c>
      <c r="F964" s="169"/>
      <c r="G964" s="50"/>
      <c r="H964" s="50"/>
      <c r="I964" s="50"/>
      <c r="J964" s="50"/>
      <c r="K964" s="50"/>
    </row>
    <row r="965">
      <c r="A965" s="168"/>
      <c r="B965" s="168"/>
      <c r="C965" s="168"/>
      <c r="D965" s="168"/>
      <c r="E965" s="168" t="b">
        <v>0</v>
      </c>
      <c r="F965" s="169"/>
      <c r="G965" s="50"/>
      <c r="H965" s="50"/>
      <c r="I965" s="50"/>
      <c r="J965" s="50"/>
      <c r="K965" s="50"/>
    </row>
    <row r="966">
      <c r="A966" s="168"/>
      <c r="B966" s="168"/>
      <c r="C966" s="168"/>
      <c r="D966" s="168"/>
      <c r="E966" s="168" t="b">
        <v>0</v>
      </c>
      <c r="F966" s="169"/>
      <c r="G966" s="50"/>
      <c r="H966" s="50"/>
      <c r="I966" s="50"/>
      <c r="J966" s="50"/>
      <c r="K966" s="50"/>
    </row>
    <row r="967">
      <c r="A967" s="168"/>
      <c r="B967" s="168"/>
      <c r="C967" s="168"/>
      <c r="D967" s="168"/>
      <c r="E967" s="168" t="b">
        <v>0</v>
      </c>
      <c r="F967" s="169"/>
      <c r="G967" s="50"/>
      <c r="H967" s="50"/>
      <c r="I967" s="50"/>
      <c r="J967" s="50"/>
      <c r="K967" s="50"/>
    </row>
    <row r="968">
      <c r="A968" s="168"/>
      <c r="B968" s="168"/>
      <c r="C968" s="168"/>
      <c r="D968" s="168"/>
      <c r="E968" s="168" t="b">
        <v>0</v>
      </c>
      <c r="F968" s="169"/>
      <c r="G968" s="50"/>
      <c r="H968" s="50"/>
      <c r="I968" s="50"/>
      <c r="J968" s="50"/>
      <c r="K968" s="50"/>
    </row>
    <row r="969">
      <c r="A969" s="168"/>
      <c r="B969" s="168"/>
      <c r="C969" s="168"/>
      <c r="D969" s="168"/>
      <c r="E969" s="168" t="b">
        <v>0</v>
      </c>
      <c r="F969" s="169"/>
      <c r="G969" s="50"/>
      <c r="H969" s="50"/>
      <c r="I969" s="50"/>
      <c r="J969" s="50"/>
      <c r="K969" s="50"/>
    </row>
    <row r="970">
      <c r="A970" s="168"/>
      <c r="B970" s="168"/>
      <c r="C970" s="168"/>
      <c r="D970" s="168"/>
      <c r="E970" s="168" t="b">
        <v>0</v>
      </c>
      <c r="F970" s="169"/>
      <c r="G970" s="50"/>
      <c r="H970" s="50"/>
      <c r="I970" s="50"/>
      <c r="J970" s="50"/>
      <c r="K970" s="50"/>
    </row>
    <row r="971">
      <c r="A971" s="168"/>
      <c r="B971" s="168"/>
      <c r="C971" s="168"/>
      <c r="D971" s="168"/>
      <c r="E971" s="168" t="b">
        <v>0</v>
      </c>
      <c r="F971" s="169"/>
      <c r="G971" s="50"/>
      <c r="H971" s="50"/>
      <c r="I971" s="50"/>
      <c r="J971" s="50"/>
      <c r="K971" s="50"/>
    </row>
    <row r="972">
      <c r="A972" s="168"/>
      <c r="B972" s="168"/>
      <c r="C972" s="168"/>
      <c r="D972" s="168"/>
      <c r="E972" s="168" t="b">
        <v>0</v>
      </c>
      <c r="F972" s="169"/>
      <c r="G972" s="50"/>
      <c r="H972" s="50"/>
      <c r="I972" s="50"/>
      <c r="J972" s="50"/>
      <c r="K972" s="50"/>
    </row>
    <row r="973">
      <c r="A973" s="168"/>
      <c r="B973" s="168"/>
      <c r="C973" s="168"/>
      <c r="D973" s="168"/>
      <c r="E973" s="168" t="b">
        <v>0</v>
      </c>
      <c r="F973" s="169"/>
      <c r="G973" s="50"/>
      <c r="H973" s="50"/>
      <c r="I973" s="50"/>
      <c r="J973" s="50"/>
      <c r="K973" s="50"/>
    </row>
    <row r="974">
      <c r="A974" s="168"/>
      <c r="B974" s="168"/>
      <c r="C974" s="168"/>
      <c r="D974" s="168"/>
      <c r="E974" s="168" t="b">
        <v>0</v>
      </c>
      <c r="F974" s="169"/>
      <c r="G974" s="50"/>
      <c r="H974" s="50"/>
      <c r="I974" s="50"/>
      <c r="J974" s="50"/>
      <c r="K974" s="50"/>
    </row>
    <row r="975">
      <c r="A975" s="168"/>
      <c r="B975" s="168"/>
      <c r="C975" s="168"/>
      <c r="D975" s="168"/>
      <c r="E975" s="168" t="b">
        <v>0</v>
      </c>
      <c r="F975" s="169"/>
      <c r="G975" s="50"/>
      <c r="H975" s="50"/>
      <c r="I975" s="50"/>
      <c r="J975" s="50"/>
      <c r="K975" s="50"/>
    </row>
    <row r="976">
      <c r="A976" s="168"/>
      <c r="B976" s="168"/>
      <c r="C976" s="168"/>
      <c r="D976" s="168"/>
      <c r="E976" s="168" t="b">
        <v>0</v>
      </c>
      <c r="F976" s="169"/>
      <c r="G976" s="50"/>
      <c r="H976" s="50"/>
      <c r="I976" s="50"/>
      <c r="J976" s="50"/>
      <c r="K976" s="50"/>
    </row>
    <row r="977">
      <c r="A977" s="168"/>
      <c r="B977" s="168"/>
      <c r="C977" s="168"/>
      <c r="D977" s="168"/>
      <c r="E977" s="168" t="b">
        <v>0</v>
      </c>
      <c r="F977" s="169"/>
      <c r="G977" s="50"/>
      <c r="H977" s="50"/>
      <c r="I977" s="50"/>
      <c r="J977" s="50"/>
      <c r="K977" s="50"/>
    </row>
    <row r="978">
      <c r="A978" s="168"/>
      <c r="B978" s="168"/>
      <c r="C978" s="168"/>
      <c r="D978" s="168"/>
      <c r="E978" s="168" t="b">
        <v>0</v>
      </c>
      <c r="F978" s="169"/>
      <c r="G978" s="50"/>
      <c r="H978" s="50"/>
      <c r="I978" s="50"/>
      <c r="J978" s="50"/>
      <c r="K978" s="50"/>
    </row>
    <row r="979">
      <c r="A979" s="168"/>
      <c r="B979" s="168"/>
      <c r="C979" s="168"/>
      <c r="D979" s="168"/>
      <c r="E979" s="168" t="b">
        <v>0</v>
      </c>
      <c r="F979" s="169"/>
      <c r="G979" s="50"/>
      <c r="H979" s="50"/>
      <c r="I979" s="50"/>
      <c r="J979" s="50"/>
      <c r="K979" s="50"/>
    </row>
    <row r="980">
      <c r="A980" s="168"/>
      <c r="B980" s="168"/>
      <c r="C980" s="168"/>
      <c r="D980" s="168"/>
      <c r="E980" s="168" t="b">
        <v>0</v>
      </c>
      <c r="F980" s="169"/>
      <c r="G980" s="50"/>
      <c r="H980" s="50"/>
      <c r="I980" s="50"/>
      <c r="J980" s="50"/>
      <c r="K980" s="50"/>
    </row>
    <row r="981">
      <c r="A981" s="168"/>
      <c r="B981" s="168"/>
      <c r="C981" s="168"/>
      <c r="D981" s="168"/>
      <c r="E981" s="168" t="b">
        <v>0</v>
      </c>
      <c r="F981" s="169"/>
      <c r="G981" s="50"/>
      <c r="H981" s="50"/>
      <c r="I981" s="50"/>
      <c r="J981" s="50"/>
      <c r="K981" s="50"/>
    </row>
    <row r="982">
      <c r="A982" s="168"/>
      <c r="B982" s="168"/>
      <c r="C982" s="168"/>
      <c r="D982" s="168"/>
      <c r="E982" s="168" t="b">
        <v>0</v>
      </c>
      <c r="F982" s="169"/>
      <c r="G982" s="50"/>
      <c r="H982" s="50"/>
      <c r="I982" s="50"/>
      <c r="J982" s="50"/>
      <c r="K982" s="50"/>
    </row>
    <row r="983">
      <c r="A983" s="168"/>
      <c r="B983" s="168"/>
      <c r="C983" s="168"/>
      <c r="D983" s="168"/>
      <c r="E983" s="168" t="b">
        <v>0</v>
      </c>
      <c r="F983" s="169"/>
      <c r="G983" s="50"/>
      <c r="H983" s="50"/>
      <c r="I983" s="50"/>
      <c r="J983" s="50"/>
      <c r="K983" s="50"/>
    </row>
    <row r="984">
      <c r="A984" s="168"/>
      <c r="B984" s="168"/>
      <c r="C984" s="168"/>
      <c r="D984" s="168"/>
      <c r="E984" s="168" t="b">
        <v>0</v>
      </c>
      <c r="F984" s="169"/>
      <c r="G984" s="50"/>
      <c r="H984" s="50"/>
      <c r="I984" s="50"/>
      <c r="J984" s="50"/>
      <c r="K984" s="50"/>
    </row>
    <row r="985">
      <c r="A985" s="168"/>
      <c r="B985" s="168"/>
      <c r="C985" s="168"/>
      <c r="D985" s="168"/>
      <c r="E985" s="168" t="b">
        <v>0</v>
      </c>
      <c r="F985" s="169"/>
      <c r="G985" s="50"/>
      <c r="H985" s="50"/>
      <c r="I985" s="50"/>
      <c r="J985" s="50"/>
      <c r="K985" s="50"/>
    </row>
    <row r="986">
      <c r="A986" s="168"/>
      <c r="B986" s="168"/>
      <c r="C986" s="168"/>
      <c r="D986" s="168"/>
      <c r="E986" s="168" t="b">
        <v>0</v>
      </c>
      <c r="F986" s="169"/>
      <c r="G986" s="50"/>
      <c r="H986" s="50"/>
      <c r="I986" s="50"/>
      <c r="J986" s="50"/>
      <c r="K986" s="50"/>
    </row>
    <row r="987">
      <c r="A987" s="168"/>
      <c r="B987" s="168"/>
      <c r="C987" s="168"/>
      <c r="D987" s="168"/>
      <c r="E987" s="168" t="b">
        <v>0</v>
      </c>
      <c r="F987" s="169"/>
      <c r="G987" s="50"/>
      <c r="H987" s="50"/>
      <c r="I987" s="50"/>
      <c r="J987" s="50"/>
      <c r="K987" s="50"/>
    </row>
    <row r="988">
      <c r="A988" s="168"/>
      <c r="B988" s="168"/>
      <c r="C988" s="168"/>
      <c r="D988" s="168"/>
      <c r="E988" s="168" t="b">
        <v>0</v>
      </c>
      <c r="F988" s="169"/>
      <c r="G988" s="50"/>
      <c r="H988" s="50"/>
      <c r="I988" s="50"/>
      <c r="J988" s="50"/>
      <c r="K988" s="50"/>
    </row>
    <row r="989">
      <c r="A989" s="168"/>
      <c r="B989" s="168"/>
      <c r="C989" s="168"/>
      <c r="D989" s="168"/>
      <c r="E989" s="168" t="b">
        <v>0</v>
      </c>
      <c r="F989" s="169"/>
      <c r="G989" s="50"/>
      <c r="H989" s="50"/>
      <c r="I989" s="50"/>
      <c r="J989" s="50"/>
      <c r="K989" s="50"/>
    </row>
    <row r="990">
      <c r="A990" s="168"/>
      <c r="B990" s="168"/>
      <c r="C990" s="168"/>
      <c r="D990" s="168"/>
      <c r="E990" s="168" t="b">
        <v>0</v>
      </c>
      <c r="F990" s="169"/>
      <c r="G990" s="50"/>
      <c r="H990" s="50"/>
      <c r="I990" s="50"/>
      <c r="J990" s="50"/>
      <c r="K990" s="50"/>
    </row>
    <row r="991">
      <c r="A991" s="168"/>
      <c r="B991" s="168"/>
      <c r="C991" s="168"/>
      <c r="D991" s="168"/>
      <c r="E991" s="168" t="b">
        <v>0</v>
      </c>
      <c r="F991" s="169"/>
      <c r="G991" s="50"/>
      <c r="H991" s="50"/>
      <c r="I991" s="50"/>
      <c r="J991" s="50"/>
      <c r="K991" s="50"/>
    </row>
    <row r="992">
      <c r="A992" s="168"/>
      <c r="B992" s="168"/>
      <c r="C992" s="168"/>
      <c r="D992" s="168"/>
      <c r="E992" s="168" t="b">
        <v>0</v>
      </c>
      <c r="F992" s="169"/>
      <c r="G992" s="50"/>
      <c r="H992" s="50"/>
      <c r="I992" s="50"/>
      <c r="J992" s="50"/>
      <c r="K992" s="50"/>
    </row>
    <row r="993">
      <c r="A993" s="168"/>
      <c r="B993" s="168"/>
      <c r="C993" s="168"/>
      <c r="D993" s="168"/>
      <c r="E993" s="168" t="b">
        <v>0</v>
      </c>
      <c r="F993" s="169"/>
      <c r="G993" s="50"/>
      <c r="H993" s="50"/>
      <c r="I993" s="50"/>
      <c r="J993" s="50"/>
      <c r="K993" s="50"/>
    </row>
    <row r="994">
      <c r="A994" s="168"/>
      <c r="B994" s="168"/>
      <c r="C994" s="168"/>
      <c r="D994" s="168"/>
      <c r="E994" s="168" t="b">
        <v>0</v>
      </c>
      <c r="F994" s="169"/>
      <c r="G994" s="50"/>
      <c r="H994" s="50"/>
      <c r="I994" s="50"/>
      <c r="J994" s="50"/>
      <c r="K994" s="50"/>
    </row>
    <row r="995">
      <c r="A995" s="168"/>
      <c r="B995" s="168"/>
      <c r="C995" s="168"/>
      <c r="D995" s="168"/>
      <c r="E995" s="168" t="b">
        <v>0</v>
      </c>
      <c r="F995" s="169"/>
      <c r="G995" s="50"/>
      <c r="H995" s="50"/>
      <c r="I995" s="50"/>
      <c r="J995" s="50"/>
      <c r="K995" s="50"/>
    </row>
    <row r="996">
      <c r="A996" s="168"/>
      <c r="B996" s="168"/>
      <c r="C996" s="168"/>
      <c r="D996" s="168"/>
      <c r="E996" s="168" t="b">
        <v>0</v>
      </c>
      <c r="F996" s="169"/>
      <c r="G996" s="50"/>
      <c r="H996" s="50"/>
      <c r="I996" s="50"/>
      <c r="J996" s="50"/>
      <c r="K996" s="50"/>
    </row>
    <row r="997">
      <c r="A997" s="168"/>
      <c r="B997" s="168"/>
      <c r="C997" s="168"/>
      <c r="D997" s="168"/>
      <c r="E997" s="168" t="b">
        <v>0</v>
      </c>
      <c r="F997" s="169"/>
      <c r="G997" s="50"/>
      <c r="H997" s="50"/>
      <c r="I997" s="50"/>
      <c r="J997" s="50"/>
      <c r="K997" s="50"/>
    </row>
    <row r="998">
      <c r="A998" s="168"/>
      <c r="B998" s="168"/>
      <c r="C998" s="168"/>
      <c r="D998" s="168"/>
      <c r="E998" s="168" t="b">
        <v>0</v>
      </c>
      <c r="F998" s="169"/>
      <c r="G998" s="50"/>
      <c r="H998" s="50"/>
      <c r="I998" s="50"/>
      <c r="J998" s="50"/>
      <c r="K998" s="50"/>
    </row>
    <row r="999">
      <c r="A999" s="168"/>
      <c r="B999" s="168"/>
      <c r="C999" s="168"/>
      <c r="D999" s="168"/>
      <c r="E999" s="168" t="b">
        <v>0</v>
      </c>
      <c r="F999" s="169"/>
      <c r="G999" s="50"/>
      <c r="H999" s="50"/>
      <c r="I999" s="50"/>
      <c r="J999" s="50"/>
      <c r="K999" s="50"/>
    </row>
    <row r="1000">
      <c r="A1000" s="168"/>
      <c r="B1000" s="168"/>
      <c r="C1000" s="168"/>
      <c r="D1000" s="168"/>
      <c r="E1000" s="168" t="b">
        <v>0</v>
      </c>
      <c r="F1000" s="169"/>
      <c r="G1000" s="50"/>
      <c r="H1000" s="50"/>
      <c r="I1000" s="50"/>
      <c r="J1000" s="50"/>
      <c r="K1000" s="5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124" t="s">
        <v>4397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7.63"/>
    <col customWidth="1" min="6" max="6" width="24.38"/>
  </cols>
  <sheetData>
    <row r="1">
      <c r="A1" s="172" t="s">
        <v>4400</v>
      </c>
      <c r="B1" s="172" t="s">
        <v>4401</v>
      </c>
      <c r="C1" s="173" t="s">
        <v>4402</v>
      </c>
      <c r="D1" s="172" t="s">
        <v>4404</v>
      </c>
      <c r="E1" s="172" t="s">
        <v>3305</v>
      </c>
      <c r="F1" s="172" t="str">
        <f t="array" ref="F1:F17">IF(D:D&lt;&gt;"",D:D&amp;" "&amp;E:E,)</f>
        <v>PRENOM NOM</v>
      </c>
    </row>
    <row r="2">
      <c r="A2" s="172"/>
      <c r="B2" s="172"/>
      <c r="C2" s="173"/>
      <c r="D2" s="172"/>
      <c r="E2" s="172"/>
      <c r="F2" s="172"/>
    </row>
    <row r="3">
      <c r="A3" s="172"/>
      <c r="B3" s="172"/>
      <c r="C3" s="173"/>
      <c r="D3" s="172"/>
      <c r="E3" s="172"/>
      <c r="F3" s="172"/>
    </row>
    <row r="4">
      <c r="A4" s="172"/>
      <c r="B4" s="172"/>
      <c r="C4" s="173"/>
      <c r="D4" s="172"/>
      <c r="E4" s="172"/>
      <c r="F4" s="172"/>
    </row>
    <row r="5">
      <c r="A5" s="172"/>
      <c r="B5" s="172"/>
      <c r="C5" s="173"/>
      <c r="D5" s="172"/>
      <c r="E5" s="172"/>
      <c r="F5" s="172"/>
    </row>
    <row r="6">
      <c r="A6" s="172"/>
      <c r="B6" s="172"/>
      <c r="C6" s="173"/>
      <c r="D6" s="172"/>
      <c r="E6" s="172"/>
      <c r="F6" s="172"/>
    </row>
    <row r="7">
      <c r="A7" s="172"/>
      <c r="B7" s="172"/>
      <c r="C7" s="173"/>
      <c r="D7" s="172"/>
      <c r="E7" s="172"/>
      <c r="F7" s="172"/>
    </row>
    <row r="8">
      <c r="A8" s="172"/>
      <c r="B8" s="172"/>
      <c r="C8" s="173"/>
      <c r="D8" s="172"/>
      <c r="E8" s="172"/>
      <c r="F8" s="172"/>
    </row>
    <row r="9">
      <c r="A9" s="174"/>
      <c r="B9" s="174"/>
      <c r="C9" s="175"/>
      <c r="D9" s="174"/>
      <c r="E9" s="174"/>
      <c r="F9" s="174"/>
    </row>
    <row r="10">
      <c r="A10" s="174"/>
      <c r="B10" s="174"/>
      <c r="C10" s="175"/>
      <c r="D10" s="174"/>
      <c r="E10" s="174"/>
      <c r="F10" s="174"/>
    </row>
    <row r="11">
      <c r="A11" s="174"/>
      <c r="B11" s="174"/>
      <c r="C11" s="175"/>
      <c r="D11" s="174"/>
      <c r="E11" s="174"/>
      <c r="F11" s="174"/>
    </row>
    <row r="12">
      <c r="A12" s="174"/>
      <c r="B12" s="174"/>
      <c r="C12" s="175"/>
      <c r="D12" s="174"/>
      <c r="E12" s="174"/>
      <c r="F12" s="174"/>
    </row>
    <row r="13">
      <c r="A13" s="174"/>
      <c r="B13" s="174"/>
      <c r="C13" s="175"/>
      <c r="D13" s="174"/>
      <c r="E13" s="174"/>
      <c r="F13" s="174"/>
    </row>
    <row r="14">
      <c r="A14" s="174"/>
      <c r="B14" s="174"/>
      <c r="C14" s="175"/>
      <c r="D14" s="174"/>
      <c r="E14" s="174"/>
      <c r="F14" s="174"/>
    </row>
    <row r="15">
      <c r="A15" s="174"/>
      <c r="B15" s="174"/>
      <c r="C15" s="175"/>
      <c r="D15" s="174"/>
      <c r="E15" s="174"/>
      <c r="F15" s="174"/>
    </row>
    <row r="16">
      <c r="A16" s="174"/>
      <c r="B16" s="174"/>
      <c r="C16" s="175"/>
      <c r="D16" s="174"/>
      <c r="E16" s="174"/>
      <c r="F16" s="174"/>
    </row>
    <row r="17">
      <c r="A17" s="174"/>
      <c r="B17" s="174"/>
      <c r="C17" s="175"/>
      <c r="D17" s="174"/>
      <c r="E17" s="174"/>
      <c r="F17" s="174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27.25"/>
    <col customWidth="1" min="3" max="3" width="20.75"/>
    <col customWidth="1" min="4" max="4" width="15.25"/>
    <col customWidth="1" min="5" max="6" width="19.5"/>
    <col customWidth="1" min="7" max="7" width="32.0"/>
    <col customWidth="1" min="8" max="8" width="7.13"/>
    <col customWidth="1" min="9" max="9" width="11.5"/>
    <col customWidth="1" min="10" max="10" width="12.5"/>
    <col customWidth="1" min="11" max="12" width="26.0"/>
  </cols>
  <sheetData>
    <row r="1">
      <c r="A1" s="176" t="s">
        <v>4416</v>
      </c>
      <c r="B1" s="177" t="str">
        <f t="array" ref="B1:B19">IF(C:C&lt;&gt;"",IF(C:C=C1,"DENOMINATION",C:C&amp;IF(D:D&lt;&gt;""," / "&amp;D:D,)&amp;" ["&amp;A:A&amp;"]"),)</f>
        <v>DENOMINATION</v>
      </c>
      <c r="C1" s="177" t="s">
        <v>3305</v>
      </c>
      <c r="D1" s="177" t="s">
        <v>4420</v>
      </c>
      <c r="E1" s="177" t="s">
        <v>4421</v>
      </c>
      <c r="F1" s="177" t="s">
        <v>4422</v>
      </c>
      <c r="G1" s="177" t="s">
        <v>4423</v>
      </c>
      <c r="H1" s="177" t="s">
        <v>3938</v>
      </c>
      <c r="I1" s="177" t="s">
        <v>4424</v>
      </c>
      <c r="J1" s="177" t="s">
        <v>4425</v>
      </c>
      <c r="K1" s="177" t="s">
        <v>3941</v>
      </c>
      <c r="L1" s="178" t="str">
        <f>IFERROR(__xludf.DUMMYFUNCTION("ArrayFormula(IF(G:G&lt;&gt;"""",REGEXEXTRACT(G:G,""[a-zA-z0-9-]{33}""),))"),"#N/A")</f>
        <v>#N/A</v>
      </c>
    </row>
    <row r="2">
      <c r="A2" s="179">
        <v>1.0</v>
      </c>
      <c r="B2" s="180" t="s">
        <v>4427</v>
      </c>
      <c r="C2" s="181" t="s">
        <v>4428</v>
      </c>
      <c r="D2" s="181" t="s">
        <v>4429</v>
      </c>
      <c r="E2" s="181"/>
      <c r="F2" s="181"/>
      <c r="G2" s="182"/>
      <c r="H2" s="180"/>
      <c r="I2" s="183"/>
      <c r="J2" s="180"/>
      <c r="K2" s="180"/>
      <c r="L2" s="178"/>
    </row>
    <row r="3">
      <c r="A3" s="179">
        <v>2.0</v>
      </c>
      <c r="B3" s="183"/>
      <c r="C3" s="181"/>
      <c r="D3" s="181"/>
      <c r="E3" s="181"/>
      <c r="F3" s="181"/>
      <c r="G3" s="182"/>
      <c r="H3" s="180"/>
      <c r="I3" s="183"/>
      <c r="J3" s="180"/>
      <c r="K3" s="180"/>
      <c r="L3" s="178"/>
    </row>
    <row r="4">
      <c r="A4" s="179">
        <v>3.0</v>
      </c>
      <c r="B4" s="183"/>
      <c r="C4" s="181"/>
      <c r="D4" s="181"/>
      <c r="E4" s="181"/>
      <c r="F4" s="181"/>
      <c r="G4" s="182"/>
      <c r="H4" s="180"/>
      <c r="I4" s="183"/>
      <c r="J4" s="180"/>
      <c r="K4" s="180"/>
      <c r="L4" s="178"/>
    </row>
    <row r="5">
      <c r="A5" s="179">
        <v>4.0</v>
      </c>
      <c r="B5" s="183"/>
      <c r="C5" s="181"/>
      <c r="D5" s="181"/>
      <c r="E5" s="181"/>
      <c r="F5" s="181"/>
      <c r="G5" s="182"/>
      <c r="H5" s="180"/>
      <c r="I5" s="183"/>
      <c r="J5" s="180"/>
      <c r="K5" s="180"/>
      <c r="L5" s="178"/>
    </row>
    <row r="6">
      <c r="A6" s="179">
        <v>5.0</v>
      </c>
      <c r="B6" s="183"/>
      <c r="C6" s="181"/>
      <c r="D6" s="181"/>
      <c r="E6" s="181"/>
      <c r="F6" s="181"/>
      <c r="G6" s="182"/>
      <c r="H6" s="180"/>
      <c r="I6" s="183"/>
      <c r="J6" s="180"/>
      <c r="K6" s="180"/>
      <c r="L6" s="178"/>
    </row>
    <row r="7">
      <c r="A7" s="179">
        <v>6.0</v>
      </c>
      <c r="B7" s="183"/>
      <c r="C7" s="180"/>
      <c r="D7" s="183"/>
      <c r="E7" s="181"/>
      <c r="F7" s="181"/>
      <c r="G7" s="182"/>
      <c r="H7" s="183"/>
      <c r="I7" s="183"/>
      <c r="J7" s="183"/>
      <c r="K7" s="183"/>
      <c r="L7" s="184"/>
    </row>
    <row r="8">
      <c r="A8" s="179">
        <v>7.0</v>
      </c>
      <c r="B8" s="183"/>
      <c r="C8" s="180"/>
      <c r="D8" s="180"/>
      <c r="E8" s="180"/>
      <c r="F8" s="180"/>
      <c r="G8" s="177"/>
      <c r="H8" s="180"/>
      <c r="I8" s="183"/>
      <c r="J8" s="180"/>
      <c r="K8" s="180"/>
      <c r="L8" s="178"/>
    </row>
    <row r="9">
      <c r="A9" s="179">
        <v>8.0</v>
      </c>
      <c r="B9" s="183"/>
      <c r="C9" s="180"/>
      <c r="D9" s="180"/>
      <c r="E9" s="180"/>
      <c r="F9" s="180"/>
      <c r="G9" s="177"/>
      <c r="H9" s="180"/>
      <c r="I9" s="183"/>
      <c r="J9" s="180"/>
      <c r="K9" s="180"/>
      <c r="L9" s="178"/>
    </row>
    <row r="10">
      <c r="A10" s="179">
        <v>9.0</v>
      </c>
      <c r="B10" s="183"/>
      <c r="C10" s="180"/>
      <c r="D10" s="180"/>
      <c r="E10" s="180"/>
      <c r="F10" s="180"/>
      <c r="G10" s="177"/>
      <c r="H10" s="180"/>
      <c r="I10" s="183"/>
      <c r="J10" s="180"/>
      <c r="K10" s="180"/>
      <c r="L10" s="185"/>
    </row>
    <row r="11">
      <c r="A11" s="179">
        <v>10.0</v>
      </c>
      <c r="B11" s="183"/>
      <c r="C11" s="180"/>
      <c r="D11" s="180"/>
      <c r="E11" s="180"/>
      <c r="F11" s="180"/>
      <c r="G11" s="177"/>
      <c r="H11" s="180"/>
      <c r="I11" s="183"/>
      <c r="J11" s="180"/>
      <c r="K11" s="180"/>
      <c r="L11" s="178"/>
    </row>
    <row r="12">
      <c r="A12" s="179">
        <v>11.0</v>
      </c>
      <c r="B12" s="183"/>
      <c r="C12" s="180"/>
      <c r="D12" s="180"/>
      <c r="E12" s="180"/>
      <c r="F12" s="180"/>
      <c r="G12" s="177"/>
      <c r="H12" s="180"/>
      <c r="I12" s="183"/>
      <c r="J12" s="180"/>
      <c r="K12" s="180"/>
      <c r="L12" s="178"/>
    </row>
    <row r="13">
      <c r="A13" s="179">
        <v>12.0</v>
      </c>
      <c r="B13" s="183"/>
      <c r="C13" s="183"/>
      <c r="D13" s="183"/>
      <c r="E13" s="183"/>
      <c r="F13" s="183"/>
      <c r="G13" s="182"/>
      <c r="H13" s="183"/>
      <c r="I13" s="183"/>
      <c r="J13" s="183"/>
      <c r="K13" s="183"/>
      <c r="L13" s="184"/>
    </row>
    <row r="14">
      <c r="A14" s="179">
        <v>13.0</v>
      </c>
      <c r="B14" s="183"/>
      <c r="C14" s="183"/>
      <c r="D14" s="183"/>
      <c r="E14" s="183"/>
      <c r="F14" s="183"/>
      <c r="G14" s="182"/>
      <c r="H14" s="183"/>
      <c r="I14" s="183"/>
      <c r="J14" s="183"/>
      <c r="K14" s="183"/>
      <c r="L14" s="184"/>
    </row>
    <row r="15">
      <c r="A15" s="179">
        <v>14.0</v>
      </c>
      <c r="B15" s="183"/>
      <c r="C15" s="183"/>
      <c r="D15" s="183"/>
      <c r="E15" s="183"/>
      <c r="F15" s="183"/>
      <c r="G15" s="182"/>
      <c r="H15" s="183"/>
      <c r="I15" s="183"/>
      <c r="J15" s="183"/>
      <c r="K15" s="183"/>
      <c r="L15" s="184"/>
    </row>
    <row r="16">
      <c r="A16" s="179">
        <v>15.0</v>
      </c>
      <c r="B16" s="183"/>
      <c r="C16" s="183"/>
      <c r="D16" s="183"/>
      <c r="E16" s="183"/>
      <c r="F16" s="183"/>
      <c r="G16" s="182"/>
      <c r="H16" s="183"/>
      <c r="I16" s="183"/>
      <c r="J16" s="183"/>
      <c r="K16" s="183"/>
      <c r="L16" s="184"/>
    </row>
    <row r="17">
      <c r="A17" s="179">
        <v>16.0</v>
      </c>
      <c r="B17" s="183"/>
      <c r="C17" s="183"/>
      <c r="D17" s="183"/>
      <c r="E17" s="183"/>
      <c r="F17" s="183"/>
      <c r="G17" s="182"/>
      <c r="H17" s="183"/>
      <c r="I17" s="183"/>
      <c r="J17" s="183"/>
      <c r="K17" s="183"/>
      <c r="L17" s="184"/>
    </row>
    <row r="18">
      <c r="A18" s="179">
        <v>17.0</v>
      </c>
      <c r="B18" s="183"/>
      <c r="C18" s="183"/>
      <c r="D18" s="183"/>
      <c r="E18" s="183"/>
      <c r="F18" s="183"/>
      <c r="G18" s="182"/>
      <c r="H18" s="183"/>
      <c r="I18" s="183"/>
      <c r="J18" s="183"/>
      <c r="K18" s="183"/>
      <c r="L18" s="184"/>
    </row>
    <row r="19">
      <c r="A19" s="179">
        <v>18.0</v>
      </c>
      <c r="B19" s="183"/>
      <c r="C19" s="183"/>
      <c r="D19" s="183"/>
      <c r="E19" s="183"/>
      <c r="F19" s="183"/>
      <c r="G19" s="182"/>
      <c r="H19" s="183"/>
      <c r="I19" s="183"/>
      <c r="J19" s="183"/>
      <c r="K19" s="183"/>
      <c r="L19" s="184"/>
    </row>
  </sheetData>
  <dataValidations>
    <dataValidation type="list" allowBlank="1" sqref="F2:F19">
      <formula1>'CHARGES DE FORMATION'!$A$2:$A$17</formula1>
    </dataValidation>
    <dataValidation type="list" allowBlank="1" sqref="E2:E19">
      <formula1>'CHARGES DE FORMATION'!$A$2:$A19</formula1>
    </dataValidation>
  </dataValidations>
  <drawing r:id="rId1"/>
  <tableParts count="3">
    <tablePart r:id="rId5"/>
    <tablePart r:id="rId6"/>
    <tablePart r:id="rId7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4" t="s">
        <v>79</v>
      </c>
      <c r="B1" s="124" t="s">
        <v>4446</v>
      </c>
      <c r="C1" s="124" t="s">
        <v>4447</v>
      </c>
      <c r="D1" s="124" t="s">
        <v>3305</v>
      </c>
      <c r="E1" s="124" t="s">
        <v>4448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7.0"/>
    <col customWidth="1" min="2" max="2" width="52.5"/>
    <col customWidth="1" min="3" max="3" width="8.0"/>
  </cols>
  <sheetData>
    <row r="1">
      <c r="A1" s="186" t="s">
        <v>2500</v>
      </c>
      <c r="B1" s="186" t="s">
        <v>4458</v>
      </c>
      <c r="C1" s="186"/>
    </row>
    <row r="2" ht="158.25" customHeight="1">
      <c r="A2" s="186" t="s">
        <v>4459</v>
      </c>
      <c r="B2" s="186" t="s">
        <v>4460</v>
      </c>
      <c r="C2" s="186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75"/>
    <col customWidth="1" min="4" max="4" width="26.75"/>
    <col customWidth="1" min="5" max="5" width="36.13"/>
  </cols>
  <sheetData>
    <row r="1">
      <c r="A1" s="187" t="str">
        <f>IFERROR(__xludf.DUMMYFUNCTION("IMPORTRANGE(""https://docs.google.com/spreadsheets/d/1VickvZbV2a4o36GCKa_LEedw10twi1RY5F671ONb7c8/edit?usp=sharing"",""APPLI_TITRE"")"),"TITRE")</f>
        <v>TITRE</v>
      </c>
      <c r="B1" s="188" t="str">
        <f>IFERROR(__xludf.DUMMYFUNCTION("IMPORTRANGE(""https://docs.google.com/spreadsheets/d/10wK9Lw8Oq_Fv9LaMPEQMmvsDiqSRNOWnDGbtIqgqOFM/edit?usp=sharing"",""APPLI_IMG_URL"")"),"#REF!")</f>
        <v>#REF!</v>
      </c>
      <c r="C1" s="187" t="str">
        <f>IFERROR(__xludf.DUMMYFUNCTION("IMPORTRANGE(""https://docs.google.com/spreadsheets/d/10wK9Lw8Oq_Fv9LaMPEQMmvsDiqSRNOWnDGbtIqgqOFM/edit?usp=sharing"",""APPLI_COULEUR"")"),"COULEUR")</f>
        <v>COULEUR</v>
      </c>
      <c r="D1" s="189" t="s">
        <v>2504</v>
      </c>
      <c r="E1" s="190" t="str">
        <f>IFERROR(__xludf.DUMMYFUNCTION("IMPORTRANGE(""https://docs.google.com/spreadsheets/d/10wK9Lw8Oq_Fv9LaMPEQMmvsDiqSRNOWnDGbtIqgqOFM/edit?usp=sharing"",""APPLIS_IMG_64"")"),"#REF!")</f>
        <v>#REF!</v>
      </c>
    </row>
    <row r="2">
      <c r="A2" s="187" t="str">
        <f>IFERROR(__xludf.DUMMYFUNCTION("""COMPUTED_VALUE"""),"CONSOLE ADMIN")</f>
        <v>CONSOLE ADMIN</v>
      </c>
      <c r="B2" s="191" t="str">
        <f>IFERROR(__xludf.DUMMYFUNCTION("""COMPUTED_VALUE"""),"https://thierryvanoffe.com/numiel/GCP.png")</f>
        <v>https://thierryvanoffe.com/numiel/GCP.png</v>
      </c>
      <c r="C2" s="187" t="str">
        <f>IFERROR(__xludf.DUMMYFUNCTION("""COMPUTED_VALUE"""),"396BD7")</f>
        <v>396BD7</v>
      </c>
      <c r="D2" s="187" t="str">
        <f>IFERROR(__xludf.DUMMYFUNCTION("IF(A2&lt;&gt;"""", IFNA(""- ""&amp;JOIN(CHAR(10)&amp;""- "",FILTER('IMPORT COMPETENCES'!C:C,'IMPORT COMPETENCES'!A:A=A2))),)"),"- PARAMÉTRER LES SERVICES GOOGLE WORKSPACE
- SÉCURISER LA CONSOLE D'ADMINISTRATION
- IDENTIFIER LES CONNECTEURS ET LEURS FONCTIONS
- DÉCOUVRIR LA CONSOLE D'ADMINISTRATION
- UTILISER LA CONSOLE DE FAÇON AVANCÉE
- GÉRER UNE FLOTTE MOBILE
- GÉRER DES CHROMEB"&amp;"OOKS")</f>
        <v>- PARAMÉTRER LES SERVICES GOOGLE WORKSPACE
- SÉCURISER LA CONSOLE D'ADMINISTRATION
- IDENTIFIER LES CONNECTEURS ET LEURS FONCTIONS
- DÉCOUVRIR LA CONSOLE D'ADMINISTRATION
- UTILISER LA CONSOLE DE FAÇON AVANCÉE
- GÉRER UNE FLOTTE MOBILE
- GÉRER DES CHROMEBOOKS</v>
      </c>
      <c r="E2" s="192"/>
    </row>
    <row r="3">
      <c r="A3" s="187" t="str">
        <f>IFERROR(__xludf.DUMMYFUNCTION("""COMPUTED_VALUE"""),"AGENDA")</f>
        <v>AGENDA</v>
      </c>
      <c r="B3" s="191" t="str">
        <f>IFERROR(__xludf.DUMMYFUNCTION("""COMPUTED_VALUE"""),"https://thierryvanoffe.com/numiel/calendar.png")</f>
        <v>https://thierryvanoffe.com/numiel/calendar.png</v>
      </c>
      <c r="C3" s="187" t="str">
        <f>IFERROR(__xludf.DUMMYFUNCTION("""COMPUTED_VALUE"""),"4285F4")</f>
        <v>4285F4</v>
      </c>
      <c r="D3" s="187" t="str">
        <f>IFERROR(__xludf.DUMMYFUNCTION("IF(A3&lt;&gt;"""", IFNA(""- ""&amp;JOIN(CHAR(10)&amp;""- "",FILTER('IMPORT COMPETENCES'!C:C,'IMPORT COMPETENCES'!A:A=A3))),)"),"- GÉRER SES AGENDAS
- COLLABORER AVEC LES AGENDAS
- GÉRER DES ÉVÉNEMENTS")</f>
        <v>- GÉRER SES AGENDAS
- COLLABORER AVEC LES AGENDAS
- GÉRER DES ÉVÉNEMENTS</v>
      </c>
      <c r="E3" s="192"/>
    </row>
    <row r="4">
      <c r="A4" s="187" t="str">
        <f>IFERROR(__xludf.DUMMYFUNCTION("""COMPUTED_VALUE"""),"Agenda Gmail Meet")</f>
        <v>Agenda Gmail Meet</v>
      </c>
      <c r="B4" s="191" t="str">
        <f>IFERROR(__xludf.DUMMYFUNCTION("""COMPUTED_VALUE"""),"https://thierryvanoffe.com/numiel/CalendarGmailMeet.png")</f>
        <v>https://thierryvanoffe.com/numiel/CalendarGmailMeet.png</v>
      </c>
      <c r="C4" s="187" t="str">
        <f>IFERROR(__xludf.DUMMYFUNCTION("""COMPUTED_VALUE"""),"ea4335")</f>
        <v>ea4335</v>
      </c>
      <c r="D4" s="187" t="str">
        <f>IFERROR(__xludf.DUMMYFUNCTION("IF(A4&lt;&gt;"""", IFNA(""- ""&amp;JOIN(CHAR(10)&amp;""- "",FILTER('IMPORT COMPETENCES'!C:C,'IMPORT COMPETENCES'!A:A=A4))),)"),"")</f>
        <v/>
      </c>
      <c r="E4" s="192"/>
    </row>
    <row r="5">
      <c r="A5" s="187" t="str">
        <f>IFERROR(__xludf.DUMMYFUNCTION("""COMPUTED_VALUE"""),"ANALYTICS")</f>
        <v>ANALYTICS</v>
      </c>
      <c r="B5" s="191" t="str">
        <f>IFERROR(__xludf.DUMMYFUNCTION("""COMPUTED_VALUE"""),"https://thierryvanoffe.com/numiel/analytics.png")</f>
        <v>https://thierryvanoffe.com/numiel/analytics.png</v>
      </c>
      <c r="C5" s="187" t="str">
        <f>IFERROR(__xludf.DUMMYFUNCTION("""COMPUTED_VALUE"""),"396BD7")</f>
        <v>396BD7</v>
      </c>
      <c r="D5" s="187" t="str">
        <f>IFERROR(__xludf.DUMMYFUNCTION("IF(A5&lt;&gt;"""", IFNA(""- ""&amp;JOIN(CHAR(10)&amp;""- "",FILTER('IMPORT COMPETENCES'!C:C,'IMPORT COMPETENCES'!A:A=A5))),)"),"- UTILISER LA CONSOLE GOOGLE ANALYTICS")</f>
        <v>- UTILISER LA CONSOLE GOOGLE ANALYTICS</v>
      </c>
      <c r="E5" s="192"/>
    </row>
    <row r="6">
      <c r="A6" s="187" t="str">
        <f>IFERROR(__xludf.DUMMYFUNCTION("""COMPUTED_VALUE"""),"APPSHEET")</f>
        <v>APPSHEET</v>
      </c>
      <c r="B6" s="191" t="str">
        <f>IFERROR(__xludf.DUMMYFUNCTION("""COMPUTED_VALUE"""),"https://thierryvanoffe.com/numiel/AppSheet.png")</f>
        <v>https://thierryvanoffe.com/numiel/AppSheet.png</v>
      </c>
      <c r="C6" s="187"/>
      <c r="D6" s="187" t="str">
        <f>IFERROR(__xludf.DUMMYFUNCTION("IF(A6&lt;&gt;"""", IFNA(""- ""&amp;JOIN(CHAR(10)&amp;""- "",FILTER('IMPORT COMPETENCES'!C:C,'IMPORT COMPETENCES'!A:A=A6))),)"),"- CREER UNE APPLICATION
- DÉCOUVRIR APPSHEET
- OPTIMISER SON UTILISATION
- PARAMÉTRER APPSHEET")</f>
        <v>- CREER UNE APPLICATION
- DÉCOUVRIR APPSHEET
- OPTIMISER SON UTILISATION
- PARAMÉTRER APPSHEET</v>
      </c>
      <c r="E6" s="192"/>
    </row>
    <row r="7">
      <c r="A7" s="187" t="str">
        <f>IFERROR(__xludf.DUMMYFUNCTION("""COMPUTED_VALUE"""),"CHAT")</f>
        <v>CHAT</v>
      </c>
      <c r="B7" s="191" t="str">
        <f>IFERROR(__xludf.DUMMYFUNCTION("""COMPUTED_VALUE"""),"https://thierryvanoffe.com/numiel/chat.png")</f>
        <v>https://thierryvanoffe.com/numiel/chat.png</v>
      </c>
      <c r="C7" s="187" t="str">
        <f>IFERROR(__xludf.DUMMYFUNCTION("""COMPUTED_VALUE"""),"396BD7")</f>
        <v>396BD7</v>
      </c>
      <c r="D7" s="187" t="str">
        <f>IFERROR(__xludf.DUMMYFUNCTION("IF(A7&lt;&gt;"""", IFNA(""- ""&amp;JOIN(CHAR(10)&amp;""- "",FILTER('IMPORT COMPETENCES'!C:C,'IMPORT COMPETENCES'!A:A=A7))),)"),"- COMMUNIQUER AVEC GOOGLE CHAT
- UTILISER GOOGLE CHAT POUR COMMUNIQUER")</f>
        <v>- COMMUNIQUER AVEC GOOGLE CHAT
- UTILISER GOOGLE CHAT POUR COMMUNIQUER</v>
      </c>
      <c r="E7" s="192"/>
    </row>
    <row r="8">
      <c r="A8" s="187" t="str">
        <f>IFERROR(__xludf.DUMMYFUNCTION("""COMPUTED_VALUE"""),"CHROME")</f>
        <v>CHROME</v>
      </c>
      <c r="B8" s="191" t="str">
        <f>IFERROR(__xludf.DUMMYFUNCTION("""COMPUTED_VALUE"""),"https://thierryvanoffe.com/numiel/chrome.png")</f>
        <v>https://thierryvanoffe.com/numiel/chrome.png</v>
      </c>
      <c r="C8" s="187" t="str">
        <f>IFERROR(__xludf.DUMMYFUNCTION("""COMPUTED_VALUE"""),"5390CB")</f>
        <v>5390CB</v>
      </c>
      <c r="D8" s="187" t="str">
        <f>IFERROR(__xludf.DUMMYFUNCTION("IF(A8&lt;&gt;"""", IFNA(""- ""&amp;JOIN(CHAR(10)&amp;""- "",FILTER('IMPORT COMPETENCES'!C:C,'IMPORT COMPETENCES'!A:A=A8))),)"),"- OPTIMISER L'UTILISATION DU NAVIGATEUR GOOGLE CHROME 
- UTILISER GOOGLE CHROME EN TOUTE SÉCURITÉ")</f>
        <v>- OPTIMISER L'UTILISATION DU NAVIGATEUR GOOGLE CHROME 
- UTILISER GOOGLE CHROME EN TOUTE SÉCURITÉ</v>
      </c>
      <c r="E8" s="192"/>
    </row>
    <row r="9">
      <c r="A9" s="187" t="str">
        <f>IFERROR(__xludf.DUMMYFUNCTION("""COMPUTED_VALUE"""),"CHROME BOOK")</f>
        <v>CHROME BOOK</v>
      </c>
      <c r="B9" s="191" t="str">
        <f>IFERROR(__xludf.DUMMYFUNCTION("""COMPUTED_VALUE"""),"https://thierryvanoffe.com/numiel/chrome.png")</f>
        <v>https://thierryvanoffe.com/numiel/chrome.png</v>
      </c>
      <c r="C9" s="187" t="str">
        <f>IFERROR(__xludf.DUMMYFUNCTION("""COMPUTED_VALUE"""),"396BD7")</f>
        <v>396BD7</v>
      </c>
      <c r="D9" s="187" t="str">
        <f>IFERROR(__xludf.DUMMYFUNCTION("IF(A9&lt;&gt;"""", IFNA(""- ""&amp;JOIN(CHAR(10)&amp;""- "",FILTER('IMPORT COMPETENCES'!C:C,'IMPORT COMPETENCES'!A:A=A9))),)"),"- UTILISER UN CHROME BOOK
- DÉCOUVRIR LE CHROMEBOOK
- UTILISER LE CLAVIER ET LES FONCTIONNALITÉS CHROMEBOOK
- DÉCOUVRIR LES APPLICATIONS GOOGLE WORKSPACE SUR CHROMEBOOK
- EXPLOITER PLEINEMENT LE NAVIGATEUR CHROME SUR CHROMEBOOK")</f>
        <v>- UTILISER UN CHROME BOOK
- DÉCOUVRIR LE CHROMEBOOK
- UTILISER LE CLAVIER ET LES FONCTIONNALITÉS CHROMEBOOK
- DÉCOUVRIR LES APPLICATIONS GOOGLE WORKSPACE SUR CHROMEBOOK
- EXPLOITER PLEINEMENT LE NAVIGATEUR CHROME SUR CHROMEBOOK</v>
      </c>
      <c r="E9" s="192"/>
    </row>
    <row r="10">
      <c r="A10" s="187" t="str">
        <f>IFERROR(__xludf.DUMMYFUNCTION("""COMPUTED_VALUE"""),"CLASSROOM")</f>
        <v>CLASSROOM</v>
      </c>
      <c r="B10" s="191" t="str">
        <f>IFERROR(__xludf.DUMMYFUNCTION("""COMPUTED_VALUE"""),"https://thierryvanoffe.com/numiel/Classroom.png")</f>
        <v>https://thierryvanoffe.com/numiel/Classroom.png</v>
      </c>
      <c r="C10" s="187" t="str">
        <f>IFERROR(__xludf.DUMMYFUNCTION("""COMPUTED_VALUE"""),"396BD7")</f>
        <v>396BD7</v>
      </c>
      <c r="D10" s="187" t="str">
        <f>IFERROR(__xludf.DUMMYFUNCTION("IF(A10&lt;&gt;"""", IFNA(""- ""&amp;JOIN(CHAR(10)&amp;""- "",FILTER('IMPORT COMPETENCES'!C:C,'IMPORT COMPETENCES'!A:A=A10))),)"),"- UTILISER CLASSROOM")</f>
        <v>- UTILISER CLASSROOM</v>
      </c>
      <c r="E10" s="192"/>
    </row>
    <row r="11">
      <c r="A11" s="187" t="str">
        <f>IFERROR(__xludf.DUMMYFUNCTION("""COMPUTED_VALUE"""),"CLOUD PLATFORM")</f>
        <v>CLOUD PLATFORM</v>
      </c>
      <c r="B11" s="191" t="str">
        <f>IFERROR(__xludf.DUMMYFUNCTION("""COMPUTED_VALUE"""),"https://thierryvanoffe.com/numiel/Cloud.png")</f>
        <v>https://thierryvanoffe.com/numiel/Cloud.png</v>
      </c>
      <c r="C11" s="187"/>
      <c r="D11" s="187" t="str">
        <f>IFERROR(__xludf.DUMMYFUNCTION("IF(A11&lt;&gt;"""", IFNA(""- ""&amp;JOIN(CHAR(10)&amp;""- "",FILTER('IMPORT COMPETENCES'!C:C,'IMPORT COMPETENCES'!A:A=A11))),)"),"- DÉFINIR GOOGLE CLOUD PLATFORM
- CRÉER UN PROJET
- IDENTIFIER LES PRINCIPAUX SERVICES
- UTILISER BIGQUERY
- ANALYSER LA FACTURATION")</f>
        <v>- DÉFINIR GOOGLE CLOUD PLATFORM
- CRÉER UN PROJET
- IDENTIFIER LES PRINCIPAUX SERVICES
- UTILISER BIGQUERY
- ANALYSER LA FACTURATION</v>
      </c>
      <c r="E11" s="192"/>
    </row>
    <row r="12">
      <c r="A12" s="187" t="str">
        <f>IFERROR(__xludf.DUMMYFUNCTION("""COMPUTED_VALUE"""),"CONTACTS")</f>
        <v>CONTACTS</v>
      </c>
      <c r="B12" s="191" t="str">
        <f>IFERROR(__xludf.DUMMYFUNCTION("""COMPUTED_VALUE"""),"https://thierryvanoffe.com/numiel/contacts.png")</f>
        <v>https://thierryvanoffe.com/numiel/contacts.png</v>
      </c>
      <c r="C12" s="187" t="str">
        <f>IFERROR(__xludf.DUMMYFUNCTION("""COMPUTED_VALUE"""),"396BD7")</f>
        <v>396BD7</v>
      </c>
      <c r="D12" s="187" t="str">
        <f>IFERROR(__xludf.DUMMYFUNCTION("IF(A12&lt;&gt;"""", IFNA(""- ""&amp;JOIN(CHAR(10)&amp;""- "",FILTER('IMPORT COMPETENCES'!C:C,'IMPORT COMPETENCES'!A:A=A12))),)"),"- UTILISER GOOGLE CONTACTS")</f>
        <v>- UTILISER GOOGLE CONTACTS</v>
      </c>
      <c r="E12" s="192"/>
    </row>
    <row r="13">
      <c r="A13" s="187" t="str">
        <f>IFERROR(__xludf.DUMMYFUNCTION("""COMPUTED_VALUE"""),"LOOKER STUDIO")</f>
        <v>LOOKER STUDIO</v>
      </c>
      <c r="B13" s="191" t="str">
        <f>IFERROR(__xludf.DUMMYFUNCTION("""COMPUTED_VALUE"""),"https://thierryvanoffe.com/numiel/looker.png")</f>
        <v>https://thierryvanoffe.com/numiel/looker.png</v>
      </c>
      <c r="C13" s="187" t="str">
        <f>IFERROR(__xludf.DUMMYFUNCTION("""COMPUTED_VALUE"""),"396BD7")</f>
        <v>396BD7</v>
      </c>
      <c r="D13" s="187" t="str">
        <f>IFERROR(__xludf.DUMMYFUNCTION("IF(A13&lt;&gt;"""", IFNA(""- ""&amp;JOIN(CHAR(10)&amp;""- "",FILTER('IMPORT COMPETENCES'!C:C,'IMPORT COMPETENCES'!A:A=A13))),)"),"- GÉRER LES SOURCES DE DONNÉES
- CREER SES GRAPHIQUES
- CREER, METTRE EN FORME SON RAPPORT ET SES OBJETS
- COMMUNIQUER SON RAPPORT
- DECOUVRIR LOOKER STUDIO")</f>
        <v>- GÉRER LES SOURCES DE DONNÉES
- CREER SES GRAPHIQUES
- CREER, METTRE EN FORME SON RAPPORT ET SES OBJETS
- COMMUNIQUER SON RAPPORT
- DECOUVRIR LOOKER STUDIO</v>
      </c>
      <c r="E13" s="192"/>
    </row>
    <row r="14">
      <c r="A14" s="187" t="str">
        <f>IFERROR(__xludf.DUMMYFUNCTION("""COMPUTED_VALUE"""),"DOCS")</f>
        <v>DOCS</v>
      </c>
      <c r="B14" s="191" t="str">
        <f>IFERROR(__xludf.DUMMYFUNCTION("""COMPUTED_VALUE"""),"https://thierryvanoffe.com/numiel/docs.png")</f>
        <v>https://thierryvanoffe.com/numiel/docs.png</v>
      </c>
      <c r="C14" s="187" t="str">
        <f>IFERROR(__xludf.DUMMYFUNCTION("""COMPUTED_VALUE"""),"5390CB")</f>
        <v>5390CB</v>
      </c>
      <c r="D14" s="187" t="str">
        <f>IFERROR(__xludf.DUMMYFUNCTION("IF(A14&lt;&gt;"""", IFNA(""- ""&amp;JOIN(CHAR(10)&amp;""- "",FILTER('IMPORT COMPETENCES'!C:C,'IMPORT COMPETENCES'!A:A=A14))),)"),"- METTRE EN FORME UN DOCUMENT
- MANIPULER DES OBJETS (IMAGES, TABLEAUX...) DANS UN DOCUMENT
- COLLABORER AU SEIN D'UN DOCUMENT")</f>
        <v>- METTRE EN FORME UN DOCUMENT
- MANIPULER DES OBJETS (IMAGES, TABLEAUX...) DANS UN DOCUMENT
- COLLABORER AU SEIN D'UN DOCUMENT</v>
      </c>
      <c r="E14" s="192"/>
    </row>
    <row r="15">
      <c r="A15" s="187" t="str">
        <f>IFERROR(__xludf.DUMMYFUNCTION("""COMPUTED_VALUE"""),"DRAWINGS")</f>
        <v>DRAWINGS</v>
      </c>
      <c r="B15" s="191" t="str">
        <f>IFERROR(__xludf.DUMMYFUNCTION("""COMPUTED_VALUE"""),"https://thierryvanoffe.com/numiel/draw.png")</f>
        <v>https://thierryvanoffe.com/numiel/draw.png</v>
      </c>
      <c r="C15" s="187" t="str">
        <f>IFERROR(__xludf.DUMMYFUNCTION("""COMPUTED_VALUE"""),"D33D33")</f>
        <v>D33D33</v>
      </c>
      <c r="D15" s="187" t="str">
        <f>IFERROR(__xludf.DUMMYFUNCTION("IF(A15&lt;&gt;"""", IFNA(""- ""&amp;JOIN(CHAR(10)&amp;""- "",FILTER('IMPORT COMPETENCES'!C:C,'IMPORT COMPETENCES'!A:A=A15))),)"),"- UTILISER DRAWINGS")</f>
        <v>- UTILISER DRAWINGS</v>
      </c>
      <c r="E15" s="192"/>
    </row>
    <row r="16">
      <c r="A16" s="187" t="str">
        <f>IFERROR(__xludf.DUMMYFUNCTION("""COMPUTED_VALUE"""),"DRIVE")</f>
        <v>DRIVE</v>
      </c>
      <c r="B16" s="191" t="str">
        <f>IFERROR(__xludf.DUMMYFUNCTION("""COMPUTED_VALUE"""),"https://thierryvanoffe.com/numiel/drive.png")</f>
        <v>https://thierryvanoffe.com/numiel/drive.png</v>
      </c>
      <c r="C16" s="187" t="str">
        <f>IFERROR(__xludf.DUMMYFUNCTION("""COMPUTED_VALUE"""),"FDD04F")</f>
        <v>FDD04F</v>
      </c>
      <c r="D16" s="187" t="str">
        <f>IFERROR(__xludf.DUMMYFUNCTION("IF(A16&lt;&gt;"""", IFNA(""- ""&amp;JOIN(CHAR(10)&amp;""- "",FILTER('IMPORT COMPETENCES'!C:C,'IMPORT COMPETENCES'!A:A=A16))),)"),"- PARTAGER AU SEIN DU DRIVE
- STOCKER AU SEIN DU DRIVE
- CRÉER AU SEIN DU DRIVE
- S'ORGANISER AU SEIN DU DRIVE
- COLLABORER AU SEIN DU DRIVE
- ORGANISER SON ESPACE DANS DRIVE PARTAGÉS
- ADMINISTRER UN DRIVE PARTAGÉS")</f>
        <v>- PARTAGER AU SEIN DU DRIVE
- STOCKER AU SEIN DU DRIVE
- CRÉER AU SEIN DU DRIVE
- S'ORGANISER AU SEIN DU DRIVE
- COLLABORER AU SEIN DU DRIVE
- ORGANISER SON ESPACE DANS DRIVE PARTAGÉS
- ADMINISTRER UN DRIVE PARTAGÉS</v>
      </c>
      <c r="E16" s="192"/>
    </row>
    <row r="17">
      <c r="A17" s="187" t="str">
        <f>IFERROR(__xludf.DUMMYFUNCTION("""COMPUTED_VALUE"""),"DUO")</f>
        <v>DUO</v>
      </c>
      <c r="B17" s="191" t="str">
        <f>IFERROR(__xludf.DUMMYFUNCTION("""COMPUTED_VALUE"""),"https://thierryvanoffe.com/numiel/duo.png")</f>
        <v>https://thierryvanoffe.com/numiel/duo.png</v>
      </c>
      <c r="C17" s="187" t="str">
        <f>IFERROR(__xludf.DUMMYFUNCTION("""COMPUTED_VALUE"""),"396BD7")</f>
        <v>396BD7</v>
      </c>
      <c r="D17" s="187" t="str">
        <f>IFERROR(__xludf.DUMMYFUNCTION("IF(A17&lt;&gt;"""", IFNA(""- ""&amp;JOIN(CHAR(10)&amp;""- "",FILTER('IMPORT COMPETENCES'!C:C,'IMPORT COMPETENCES'!A:A=A17))),)"),"- UTILISER DUO")</f>
        <v>- UTILISER DUO</v>
      </c>
      <c r="E17" s="192"/>
    </row>
    <row r="18">
      <c r="A18" s="187" t="str">
        <f>IFERROR(__xludf.DUMMYFUNCTION("""COMPUTED_VALUE"""),"EDITORS")</f>
        <v>EDITORS</v>
      </c>
      <c r="B18" s="191" t="str">
        <f>IFERROR(__xludf.DUMMYFUNCTION("""COMPUTED_VALUE"""),"https://thierryvanoffe.com/numiel/editors.png")</f>
        <v>https://thierryvanoffe.com/numiel/editors.png</v>
      </c>
      <c r="C18" s="187" t="str">
        <f>IFERROR(__xludf.DUMMYFUNCTION("""COMPUTED_VALUE"""),"396BD7")</f>
        <v>396BD7</v>
      </c>
      <c r="D18" s="187" t="str">
        <f>IFERROR(__xludf.DUMMYFUNCTION("IF(A18&lt;&gt;"""", IFNA(""- ""&amp;JOIN(CHAR(10)&amp;""- "",FILTER('IMPORT COMPETENCES'!C:C,'IMPORT COMPETENCES'!A:A=A18))),)"),"")</f>
        <v/>
      </c>
      <c r="E18" s="192"/>
    </row>
    <row r="19">
      <c r="A19" s="187" t="str">
        <f>IFERROR(__xludf.DUMMYFUNCTION("""COMPUTED_VALUE"""),"FORMS")</f>
        <v>FORMS</v>
      </c>
      <c r="B19" s="191" t="str">
        <f>IFERROR(__xludf.DUMMYFUNCTION("""COMPUTED_VALUE"""),"https://thierryvanoffe.com/numiel/Forms.png")</f>
        <v>https://thierryvanoffe.com/numiel/Forms.png</v>
      </c>
      <c r="C19" s="187" t="str">
        <f>IFERROR(__xludf.DUMMYFUNCTION("""COMPUTED_VALUE"""),"7249BC")</f>
        <v>7249BC</v>
      </c>
      <c r="D19" s="187" t="str">
        <f>IFERROR(__xludf.DUMMYFUNCTION("IF(A19&lt;&gt;"""", IFNA(""- ""&amp;JOIN(CHAR(10)&amp;""- "",FILTER('IMPORT COMPETENCES'!C:C,'IMPORT COMPETENCES'!A:A=A19))),)"),"- CRÉER ET ORGANISER LE FORMULAIRE
- METTRE EN FORME UN FORMULAIRE
- ENVOYER LE FORMULAIRE ET GÉRER LES REPONSES
- COLLABORER AU SEIN D'UN FORMULAIRE
- CRÉER ET ORGANISER UN QUESTIONNAIRE
- EXPLOITER LES RESULTATS D'UN FORMULAIRE")</f>
        <v>- CRÉER ET ORGANISER LE FORMULAIRE
- METTRE EN FORME UN FORMULAIRE
- ENVOYER LE FORMULAIRE ET GÉRER LES REPONSES
- COLLABORER AU SEIN D'UN FORMULAIRE
- CRÉER ET ORGANISER UN QUESTIONNAIRE
- EXPLOITER LES RESULTATS D'UN FORMULAIRE</v>
      </c>
      <c r="E19" s="192"/>
    </row>
    <row r="20">
      <c r="A20" s="187" t="str">
        <f>IFERROR(__xludf.DUMMYFUNCTION("""COMPUTED_VALUE"""),"GMAIL")</f>
        <v>GMAIL</v>
      </c>
      <c r="B20" s="191" t="str">
        <f>IFERROR(__xludf.DUMMYFUNCTION("""COMPUTED_VALUE"""),"https://thierryvanoffe.com/numiel/Gmail.png")</f>
        <v>https://thierryvanoffe.com/numiel/Gmail.png</v>
      </c>
      <c r="C20" s="187" t="str">
        <f>IFERROR(__xludf.DUMMYFUNCTION("""COMPUTED_VALUE"""),"B23121")</f>
        <v>B23121</v>
      </c>
      <c r="D20" s="187" t="str">
        <f>IFERROR(__xludf.DUMMYFUNCTION("IF(A20&lt;&gt;"""", IFNA(""- ""&amp;JOIN(CHAR(10)&amp;""- "",FILTER('IMPORT COMPETENCES'!C:C,'IMPORT COMPETENCES'!A:A=A20))),)"),"- CONFIGURER SON INTERFACE DE MESSAGERIE
- PARAMÉTRER SA MESSAGERIE
- GÉRER LE CONTENU DES E-MAILS
- GÉRER LE FLUX DES E-MAILS")</f>
        <v>- CONFIGURER SON INTERFACE DE MESSAGERIE
- PARAMÉTRER SA MESSAGERIE
- GÉRER LE CONTENU DES E-MAILS
- GÉRER LE FLUX DES E-MAILS</v>
      </c>
      <c r="E20" s="192"/>
    </row>
    <row r="21">
      <c r="A21" s="187" t="str">
        <f>IFERROR(__xludf.DUMMYFUNCTION("""COMPUTED_VALUE"""),"GOOGLE +")</f>
        <v>GOOGLE +</v>
      </c>
      <c r="B21" s="191" t="str">
        <f>IFERROR(__xludf.DUMMYFUNCTION("""COMPUTED_VALUE"""),"https://thierryvanoffe.com/numiel/Gplus.png")</f>
        <v>https://thierryvanoffe.com/numiel/Gplus.png</v>
      </c>
      <c r="C21" s="187" t="str">
        <f>IFERROR(__xludf.DUMMYFUNCTION("""COMPUTED_VALUE"""),"396BD7")</f>
        <v>396BD7</v>
      </c>
      <c r="D21" s="187" t="str">
        <f>IFERROR(__xludf.DUMMYFUNCTION("IF(A21&lt;&gt;"""", IFNA(""- ""&amp;JOIN(CHAR(10)&amp;""- "",FILTER('IMPORT COMPETENCES'!C:C,'IMPORT COMPETENCES'!A:A=A21))),)"),"- UTILISER GOOGLE +")</f>
        <v>- UTILISER GOOGLE +</v>
      </c>
      <c r="E21" s="192"/>
    </row>
    <row r="22">
      <c r="A22" s="187" t="str">
        <f>IFERROR(__xludf.DUMMYFUNCTION("""COMPUTED_VALUE"""),"GOOGLE APPS SCRIPT")</f>
        <v>GOOGLE APPS SCRIPT</v>
      </c>
      <c r="B22" s="191" t="str">
        <f>IFERROR(__xludf.DUMMYFUNCTION("""COMPUTED_VALUE"""),"https://thierryvanoffe.com/numiel/GAS.png")</f>
        <v>https://thierryvanoffe.com/numiel/GAS.png</v>
      </c>
      <c r="C22" s="187" t="str">
        <f>IFERROR(__xludf.DUMMYFUNCTION("""COMPUTED_VALUE"""),"2D74EC")</f>
        <v>2D74EC</v>
      </c>
      <c r="D22" s="187" t="str">
        <f>IFERROR(__xludf.DUMMYFUNCTION("IF(A22&lt;&gt;"""", IFNA(""- ""&amp;JOIN(CHAR(10)&amp;""- "",FILTER('IMPORT COMPETENCES'!C:C,'IMPORT COMPETENCES'!A:A=A22))),)"),"- CONNAITRE ET UTILISER JAVA SCRIPT
- CONNAITRE ET UTILISER  L'ENVIRONNEMENT GOOGLE APPS SCRIPT
- INTERAGIR AVEC GOOGLE SHEETS
- INTERAGIR AVEC LES APPLICATION DOCS, SLIDES, AGENDA, FORMS, GMAIL
- CREER ET DIFFUSER UNE APPLICATION WEB
- APPROFONDIR SES CO"&amp;"NNAISSANCES EN PROGRAMMATION
- LIRE ET ÉCRIRE DANS UN SHEETS
- MANIPULER LES DONNÉES DANS UN SHEETS
- PERSONNALISER L'INTERFACE DE SHEETS
- DIALOGUER AVEC L'UTILISATEUR ET GÉRER LES DÉCLENCHEURS
- ENVOYER DES MAILS DEPUIS SHEETS
- INTERAGIR AVEC D'AUTRES "&amp;"APPLICATIONS GOOGLE
- CRÉER UN MODULE WEB")</f>
        <v>- CONNAITRE ET UTILISER JAVA SCRIPT
- CONNAITRE ET UTILISER  L'ENVIRONNEMENT GOOGLE APPS SCRIPT
- INTERAGIR AVEC GOOGLE SHEETS
- INTERAGIR AVEC LES APPLICATION DOCS, SLIDES, AGENDA, FORMS, GMAIL
- CREER ET DIFFUSER UNE APPLICATION WEB
- APPROFONDIR SES CONNAISSANCES EN PROGRAMMATION
- LIRE ET ÉCRIRE DANS UN SHEETS
- MANIPULER LES DONNÉES DANS UN SHEETS
- PERSONNALISER L'INTERFACE DE SHEETS
- DIALOGUER AVEC L'UTILISATEUR ET GÉRER LES DÉCLENCHEURS
- ENVOYER DES MAILS DEPUIS SHEETS
- INTERAGIR AVEC D'AUTRES APPLICATIONS GOOGLE
- CRÉER UN MODULE WEB</v>
      </c>
      <c r="E22" s="192"/>
    </row>
    <row r="23">
      <c r="A23" s="187" t="str">
        <f>IFERROR(__xludf.DUMMYFUNCTION("""COMPUTED_VALUE"""),"GOOGLE WORKSPACE")</f>
        <v>GOOGLE WORKSPACE</v>
      </c>
      <c r="B23" s="191" t="str">
        <f>IFERROR(__xludf.DUMMYFUNCTION("""COMPUTED_VALUE"""),"https://thierryvanoffe.com/numiel/GWorkspace.png")</f>
        <v>https://thierryvanoffe.com/numiel/GWorkspace.png</v>
      </c>
      <c r="C23" s="187"/>
      <c r="D23" s="187" t="str">
        <f>IFERROR(__xludf.DUMMYFUNCTION("IF(A23&lt;&gt;"""", IFNA(""- ""&amp;JOIN(CHAR(10)&amp;""- "",FILTER('IMPORT COMPETENCES'!C:C,'IMPORT COMPETENCES'!A:A=A23))),)"),"- UTILISER GOOGLE WORKSPACE POUR UNE ORGANISATION PROFESSIONNELLE
- CONFIGURER GOOGLE WORKSPACE
- AUTOMATISER AVEC EXPLORER")</f>
        <v>- UTILISER GOOGLE WORKSPACE POUR UNE ORGANISATION PROFESSIONNELLE
- CONFIGURER GOOGLE WORKSPACE
- AUTOMATISER AVEC EXPLORER</v>
      </c>
      <c r="E23" s="192"/>
    </row>
    <row r="24">
      <c r="A24" s="187" t="str">
        <f>IFERROR(__xludf.DUMMYFUNCTION("""COMPUTED_VALUE"""),"GROUPS")</f>
        <v>GROUPS</v>
      </c>
      <c r="B24" s="191" t="str">
        <f>IFERROR(__xludf.DUMMYFUNCTION("""COMPUTED_VALUE"""),"https://thierryvanoffe.com/numiel/Groups.png")</f>
        <v>https://thierryvanoffe.com/numiel/Groups.png</v>
      </c>
      <c r="C24" s="187" t="str">
        <f>IFERROR(__xludf.DUMMYFUNCTION("""COMPUTED_VALUE"""),"396BD7")</f>
        <v>396BD7</v>
      </c>
      <c r="D24" s="187" t="str">
        <f>IFERROR(__xludf.DUMMYFUNCTION("IF(A24&lt;&gt;"""", IFNA(""- ""&amp;JOIN(CHAR(10)&amp;""- "",FILTER('IMPORT COMPETENCES'!C:C,'IMPORT COMPETENCES'!A:A=A24))),)"),"- CRÉER ET GÉRER LES GROUPES
- DÉCOUVRIR L'APPLICATION GOOGLE GROUPS
- GÉRER LES UTILISATEURS ET LEURS RÔLES
- GÉRER ET MODÉRER LES CONVERSATIONS")</f>
        <v>- CRÉER ET GÉRER LES GROUPES
- DÉCOUVRIR L'APPLICATION GOOGLE GROUPS
- GÉRER LES UTILISATEURS ET LEURS RÔLES
- GÉRER ET MODÉRER LES CONVERSATIONS</v>
      </c>
      <c r="E24" s="192"/>
    </row>
    <row r="25">
      <c r="A25" s="187" t="str">
        <f>IFERROR(__xludf.DUMMYFUNCTION("""COMPUTED_VALUE"""),"GOOGLE WORKSPACE")</f>
        <v>GOOGLE WORKSPACE</v>
      </c>
      <c r="B25" s="191" t="str">
        <f>IFERROR(__xludf.DUMMYFUNCTION("""COMPUTED_VALUE"""),"https://thierryvanoffe.com/numiel/GWorkspace.png")</f>
        <v>https://thierryvanoffe.com/numiel/GWorkspace.png</v>
      </c>
      <c r="C25" s="187" t="str">
        <f>IFERROR(__xludf.DUMMYFUNCTION("""COMPUTED_VALUE"""),"396BD7")</f>
        <v>396BD7</v>
      </c>
      <c r="D25" s="187" t="str">
        <f>IFERROR(__xludf.DUMMYFUNCTION("IF(A25&lt;&gt;"""", IFNA(""- ""&amp;JOIN(CHAR(10)&amp;""- "",FILTER('IMPORT COMPETENCES'!C:C,'IMPORT COMPETENCES'!A:A=A25))),)"),"- UTILISER GOOGLE WORKSPACE POUR UNE ORGANISATION PROFESSIONNELLE
- CONFIGURER GOOGLE WORKSPACE
- AUTOMATISER AVEC EXPLORER")</f>
        <v>- UTILISER GOOGLE WORKSPACE POUR UNE ORGANISATION PROFESSIONNELLE
- CONFIGURER GOOGLE WORKSPACE
- AUTOMATISER AVEC EXPLORER</v>
      </c>
      <c r="E25" s="192"/>
    </row>
    <row r="26">
      <c r="A26" s="187" t="str">
        <f>IFERROR(__xludf.DUMMYFUNCTION("""COMPUTED_VALUE"""),"HANGOUTS")</f>
        <v>HANGOUTS</v>
      </c>
      <c r="B26" s="191" t="str">
        <f>IFERROR(__xludf.DUMMYFUNCTION("""COMPUTED_VALUE"""),"https://thierryvanoffe.com/numiel/Hangouts.png")</f>
        <v>https://thierryvanoffe.com/numiel/Hangouts.png</v>
      </c>
      <c r="C26" s="187" t="str">
        <f>IFERROR(__xludf.DUMMYFUNCTION("""COMPUTED_VALUE"""),"396BD7")</f>
        <v>396BD7</v>
      </c>
      <c r="D26" s="187" t="str">
        <f>IFERROR(__xludf.DUMMYFUNCTION("IF(A26&lt;&gt;"""", IFNA(""- ""&amp;JOIN(CHAR(10)&amp;""- "",FILTER('IMPORT COMPETENCES'!C:C,'IMPORT COMPETENCES'!A:A=A26))),)"),"")</f>
        <v/>
      </c>
      <c r="E26" s="192"/>
    </row>
    <row r="27">
      <c r="A27" s="187" t="str">
        <f>IFERROR(__xludf.DUMMYFUNCTION("""COMPUTED_VALUE"""),"JAMBOARD")</f>
        <v>JAMBOARD</v>
      </c>
      <c r="B27" s="191" t="str">
        <f>IFERROR(__xludf.DUMMYFUNCTION("""COMPUTED_VALUE"""),"https://thierryvanoffe.com/numiel/jamboard.png")</f>
        <v>https://thierryvanoffe.com/numiel/jamboard.png</v>
      </c>
      <c r="C27" s="187" t="str">
        <f>IFERROR(__xludf.DUMMYFUNCTION("""COMPUTED_VALUE"""),"396BD7")</f>
        <v>396BD7</v>
      </c>
      <c r="D27" s="187" t="str">
        <f>IFERROR(__xludf.DUMMYFUNCTION("IF(A27&lt;&gt;"""", IFNA(""- ""&amp;JOIN(CHAR(10)&amp;""- "",FILTER('IMPORT COMPETENCES'!C:C,'IMPORT COMPETENCES'!A:A=A27))),)"),"- UTILISER JAMBOARD")</f>
        <v>- UTILISER JAMBOARD</v>
      </c>
      <c r="E27" s="192"/>
    </row>
    <row r="28">
      <c r="A28" s="187" t="str">
        <f>IFERROR(__xludf.DUMMYFUNCTION("""COMPUTED_VALUE"""),"KEEP")</f>
        <v>KEEP</v>
      </c>
      <c r="B28" s="191" t="str">
        <f>IFERROR(__xludf.DUMMYFUNCTION("""COMPUTED_VALUE"""),"https://thierryvanoffe.com/numiel/Keep.png")</f>
        <v>https://thierryvanoffe.com/numiel/Keep.png</v>
      </c>
      <c r="C28" s="187" t="str">
        <f>IFERROR(__xludf.DUMMYFUNCTION("""COMPUTED_VALUE"""),"396BD7")</f>
        <v>396BD7</v>
      </c>
      <c r="D28" s="187" t="str">
        <f>IFERROR(__xludf.DUMMYFUNCTION("IF(A28&lt;&gt;"""", IFNA(""- ""&amp;JOIN(CHAR(10)&amp;""- "",FILTER('IMPORT COMPETENCES'!C:C,'IMPORT COMPETENCES'!A:A=A28))),)"),"- GÉRER DES NOTES AVEC KEEP
- COLLABORER AVEC KEEP")</f>
        <v>- GÉRER DES NOTES AVEC KEEP
- COLLABORER AVEC KEEP</v>
      </c>
      <c r="E28" s="192"/>
    </row>
    <row r="29">
      <c r="A29" s="187" t="str">
        <f>IFERROR(__xludf.DUMMYFUNCTION("""COMPUTED_VALUE"""),"KITE")</f>
        <v>KITE</v>
      </c>
      <c r="B29" s="191" t="str">
        <f>IFERROR(__xludf.DUMMYFUNCTION("""COMPUTED_VALUE"""),"https://thierryvanoffe.com/numiel/kite.png")</f>
        <v>https://thierryvanoffe.com/numiel/kite.png</v>
      </c>
      <c r="C29" s="187" t="str">
        <f>IFERROR(__xludf.DUMMYFUNCTION("""COMPUTED_VALUE"""),"9A369C")</f>
        <v>9A369C</v>
      </c>
      <c r="D29" s="187" t="str">
        <f>IFERROR(__xludf.DUMMYFUNCTION("IF(A29&lt;&gt;"""", IFNA(""- ""&amp;JOIN(CHAR(10)&amp;""- "",FILTER('IMPORT COMPETENCES'!C:C,'IMPORT COMPETENCES'!A:A=A29))),)"),"")</f>
        <v/>
      </c>
      <c r="E29" s="192"/>
    </row>
    <row r="30">
      <c r="A30" s="187" t="str">
        <f>IFERROR(__xludf.DUMMYFUNCTION("""COMPUTED_VALUE"""),"MAPS")</f>
        <v>MAPS</v>
      </c>
      <c r="B30" s="191" t="str">
        <f>IFERROR(__xludf.DUMMYFUNCTION("""COMPUTED_VALUE"""),"https://thierryvanoffe.com/numiel/maps.png")</f>
        <v>https://thierryvanoffe.com/numiel/maps.png</v>
      </c>
      <c r="C30" s="187" t="str">
        <f>IFERROR(__xludf.DUMMYFUNCTION("""COMPUTED_VALUE"""),"396BD7")</f>
        <v>396BD7</v>
      </c>
      <c r="D30" s="187" t="str">
        <f>IFERROR(__xludf.DUMMYFUNCTION("IF(A30&lt;&gt;"""", IFNA(""- ""&amp;JOIN(CHAR(10)&amp;""- "",FILTER('IMPORT COMPETENCES'!C:C,'IMPORT COMPETENCES'!A:A=A30))),)"),"- UTILISER GOOGLE MAPS")</f>
        <v>- UTILISER GOOGLE MAPS</v>
      </c>
      <c r="E30" s="192"/>
    </row>
    <row r="31">
      <c r="A31" s="187" t="str">
        <f>IFERROR(__xludf.DUMMYFUNCTION("""COMPUTED_VALUE"""),"MEET")</f>
        <v>MEET</v>
      </c>
      <c r="B31" s="191" t="str">
        <f>IFERROR(__xludf.DUMMYFUNCTION("""COMPUTED_VALUE"""),"https://thierryvanoffe.com/numiel/meet.png")</f>
        <v>https://thierryvanoffe.com/numiel/meet.png</v>
      </c>
      <c r="C31" s="187" t="str">
        <f>IFERROR(__xludf.DUMMYFUNCTION("""COMPUTED_VALUE"""),"396BD7")</f>
        <v>396BD7</v>
      </c>
      <c r="D31" s="187" t="str">
        <f>IFERROR(__xludf.DUMMYFUNCTION("IF(A31&lt;&gt;"""", IFNA(""- ""&amp;JOIN(CHAR(10)&amp;""- "",FILTER('IMPORT COMPETENCES'!C:C,'IMPORT COMPETENCES'!A:A=A31))),)"),"- CREER ET ANIMER UNE VISIO CONFERENCE
- GÉRER LES PARTICIPANTS D'UNE VISIOCONFÉRENCE
- COLLABORER AU SEIN D'UNE VISIOCONFÉRENCE")</f>
        <v>- CREER ET ANIMER UNE VISIO CONFERENCE
- GÉRER LES PARTICIPANTS D'UNE VISIOCONFÉRENCE
- COLLABORER AU SEIN D'UNE VISIOCONFÉRENCE</v>
      </c>
      <c r="E31" s="192"/>
    </row>
    <row r="32">
      <c r="A32" s="187" t="str">
        <f>IFERROR(__xludf.DUMMYFUNCTION("""COMPUTED_VALUE"""),"PHOTOS")</f>
        <v>PHOTOS</v>
      </c>
      <c r="B32" s="191" t="str">
        <f>IFERROR(__xludf.DUMMYFUNCTION("""COMPUTED_VALUE"""),"https://thierryvanoffe.com/numiel/googlePhotos.png")</f>
        <v>https://thierryvanoffe.com/numiel/googlePhotos.png</v>
      </c>
      <c r="C32" s="187" t="str">
        <f>IFERROR(__xludf.DUMMYFUNCTION("""COMPUTED_VALUE"""),"396BD7")</f>
        <v>396BD7</v>
      </c>
      <c r="D32" s="187" t="str">
        <f>IFERROR(__xludf.DUMMYFUNCTION("IF(A32&lt;&gt;"""", IFNA(""- ""&amp;JOIN(CHAR(10)&amp;""- "",FILTER('IMPORT COMPETENCES'!C:C,'IMPORT COMPETENCES'!A:A=A32))),)"),"- UTILISER GOOGLE PHOTOS")</f>
        <v>- UTILISER GOOGLE PHOTOS</v>
      </c>
      <c r="E32" s="192"/>
    </row>
    <row r="33">
      <c r="A33" s="187" t="str">
        <f>IFERROR(__xludf.DUMMYFUNCTION("""COMPUTED_VALUE"""),"SHEETS")</f>
        <v>SHEETS</v>
      </c>
      <c r="B33" s="191" t="str">
        <f>IFERROR(__xludf.DUMMYFUNCTION("""COMPUTED_VALUE"""),"https://thierryvanoffe.com/numiel/Sheets.png")</f>
        <v>https://thierryvanoffe.com/numiel/Sheets.png</v>
      </c>
      <c r="C33" s="187" t="str">
        <f>IFERROR(__xludf.DUMMYFUNCTION("""COMPUTED_VALUE"""),"0BA45B")</f>
        <v>0BA45B</v>
      </c>
      <c r="D33" s="187" t="str">
        <f>IFERROR(__xludf.DUMMYFUNCTION("IF(A33&lt;&gt;"""", IFNA(""- ""&amp;JOIN(CHAR(10)&amp;""- "",FILTER('IMPORT COMPETENCES'!C:C,'IMPORT COMPETENCES'!A:A=A33))),)"),"- NAVIGUER DANS SA BASE DE DONNÉES
- METTRE EN FORME SA BASE DE DONNÉES
- COLLABORER AVEC DES BASES DE DONNÉES
- SYNTHETISER DES DONNÉES POUR LES PRÉSENTER
- ALIMENTER UNE BASE DE DONNÉES
- UTILISER DES FONCTIONS
- CONSTRUIRE UNE BASE DE DONNÉES CONSÉQUEN"&amp;"TE
- RÉALISER DES CALCULS ÉLABORÉES
- NETTOYER UNE BASE DE DONNÉES ET LA RENDRE DYNAMIQUE
- CONSOLIDER DES DONNÉES ENTRE PLUSIEURS FEUILLES DE CALCUL
- BONNES PRATIQUES ET FONDAMENTAUX
- DATA CLEANING ET BUSINESS INTELLIGENCE
- CONSOLIDATIONS DE DONNÉES
-"&amp;" AUTOMATISATION DES PROCESS
- REPORTING ET PROMOTION
- REPORTING ET BUSINESS INTELLIGENCE
- RENFORCER SES CONNAISSANCES SUR SHEETS
- DEFINIR LES BONNES PRATIQUES ET LES FONDAMENTAUX")</f>
        <v>- NAVIGUER DANS SA BASE DE DONNÉES
- METTRE EN FORME SA BASE DE DONNÉES
- COLLABORER AVEC DES BASES DE DONNÉES
- SYNTHETISER DES DONNÉES POUR LES PRÉSENTER
- ALIMENTER UNE BASE DE DONNÉES
- UTILISER DES FONCTIONS
- CONSTRUIRE UNE BASE DE DONNÉES CONSÉQUENTE
- RÉALISER DES CALCULS ÉLABORÉES
- NETTOYER UNE BASE DE DONNÉES ET LA RENDRE DYNAMIQUE
- CONSOLIDER DES DONNÉES ENTRE PLUSIEURS FEUILLES DE CALCUL
- BONNES PRATIQUES ET FONDAMENTAUX
- DATA CLEANING ET BUSINESS INTELLIGENCE
- CONSOLIDATIONS DE DONNÉES
- AUTOMATISATION DES PROCESS
- REPORTING ET PROMOTION
- REPORTING ET BUSINESS INTELLIGENCE
- RENFORCER SES CONNAISSANCES SUR SHEETS
- DEFINIR LES BONNES PRATIQUES ET LES FONDAMENTAUX</v>
      </c>
      <c r="E33" s="192"/>
    </row>
    <row r="34">
      <c r="A34" s="187" t="str">
        <f>IFERROR(__xludf.DUMMYFUNCTION("""COMPUTED_VALUE"""),"SITES")</f>
        <v>SITES</v>
      </c>
      <c r="B34" s="191" t="str">
        <f>IFERROR(__xludf.DUMMYFUNCTION("""COMPUTED_VALUE"""),"https://thierryvanoffe.com/numiel/Sites.png")</f>
        <v>https://thierryvanoffe.com/numiel/Sites.png</v>
      </c>
      <c r="C34" s="187" t="str">
        <f>IFERROR(__xludf.DUMMYFUNCTION("""COMPUTED_VALUE"""),"396BD7")</f>
        <v>396BD7</v>
      </c>
      <c r="D34" s="187" t="str">
        <f>IFERROR(__xludf.DUMMYFUNCTION("IF(A34&lt;&gt;"""", IFNA(""- ""&amp;JOIN(CHAR(10)&amp;""- "",FILTER('IMPORT COMPETENCES'!C:C,'IMPORT COMPETENCES'!A:A=A34))),)"),"- CREER UN SITE INTERNET AVEC GOOGLE SITES
- INSERER ET METTRE EN FORME DES ÉLÉMENTS SUR UNE PAGE
- DIFFUSER SON SITE")</f>
        <v>- CREER UN SITE INTERNET AVEC GOOGLE SITES
- INSERER ET METTRE EN FORME DES ÉLÉMENTS SUR UNE PAGE
- DIFFUSER SON SITE</v>
      </c>
      <c r="E34" s="192"/>
    </row>
    <row r="35">
      <c r="A35" s="187" t="str">
        <f>IFERROR(__xludf.DUMMYFUNCTION("""COMPUTED_VALUE"""),"SLIDES")</f>
        <v>SLIDES</v>
      </c>
      <c r="B35" s="191" t="str">
        <f>IFERROR(__xludf.DUMMYFUNCTION("""COMPUTED_VALUE"""),"https://thierryvanoffe.com/numiel/Slides.png")</f>
        <v>https://thierryvanoffe.com/numiel/Slides.png</v>
      </c>
      <c r="C35" s="187" t="str">
        <f>IFERROR(__xludf.DUMMYFUNCTION("""COMPUTED_VALUE"""),"F4B400")</f>
        <v>F4B400</v>
      </c>
      <c r="D35" s="187" t="str">
        <f>IFERROR(__xludf.DUMMYFUNCTION("IF(A35&lt;&gt;"""", IFNA(""- ""&amp;JOIN(CHAR(10)&amp;""- "",FILTER('IMPORT COMPETENCES'!C:C,'IMPORT COMPETENCES'!A:A=A35))),)"),"- CREER ET METTRE EN FORME UNE PRÉSENTATION
- ANIMER ET PRÉSENTER SA PRÉSENTATION")</f>
        <v>- CREER ET METTRE EN FORME UNE PRÉSENTATION
- ANIMER ET PRÉSENTER SA PRÉSENTATION</v>
      </c>
      <c r="E35" s="192"/>
    </row>
    <row r="36">
      <c r="A36" s="187" t="str">
        <f>IFERROR(__xludf.DUMMYFUNCTION("""COMPUTED_VALUE"""),"TASKS")</f>
        <v>TASKS</v>
      </c>
      <c r="B36" s="191" t="str">
        <f>IFERROR(__xludf.DUMMYFUNCTION("""COMPUTED_VALUE"""),"https://thierryvanoffe.com/numiel/tasks.png")</f>
        <v>https://thierryvanoffe.com/numiel/tasks.png</v>
      </c>
      <c r="C36" s="187" t="str">
        <f>IFERROR(__xludf.DUMMYFUNCTION("""COMPUTED_VALUE"""),"396BD7")</f>
        <v>396BD7</v>
      </c>
      <c r="D36" s="187" t="str">
        <f>IFERROR(__xludf.DUMMYFUNCTION("IF(A36&lt;&gt;"""", IFNA(""- ""&amp;JOIN(CHAR(10)&amp;""- "",FILTER('IMPORT COMPETENCES'!C:C,'IMPORT COMPETENCES'!A:A=A36))),)"),"- UTILISER TASKS")</f>
        <v>- UTILISER TASKS</v>
      </c>
      <c r="E36" s="192"/>
    </row>
    <row r="37">
      <c r="A37" s="187" t="str">
        <f>IFERROR(__xludf.DUMMYFUNCTION("""COMPUTED_VALUE"""),"YOUTUBE")</f>
        <v>YOUTUBE</v>
      </c>
      <c r="B37" s="191" t="str">
        <f>IFERROR(__xludf.DUMMYFUNCTION("""COMPUTED_VALUE"""),"https://thierryvanoffe.com/numiel/youtube.png")</f>
        <v>https://thierryvanoffe.com/numiel/youtube.png</v>
      </c>
      <c r="C37" s="187" t="str">
        <f>IFERROR(__xludf.DUMMYFUNCTION("""COMPUTED_VALUE"""),"396BD7")</f>
        <v>396BD7</v>
      </c>
      <c r="D37" s="187" t="str">
        <f>IFERROR(__xludf.DUMMYFUNCTION("IF(A37&lt;&gt;"""", IFNA(""- ""&amp;JOIN(CHAR(10)&amp;""- "",FILTER('IMPORT COMPETENCES'!C:C,'IMPORT COMPETENCES'!A:A=A37))),)"),"- UTILISER YOUTUBE")</f>
        <v>- UTILISER YOUTUBE</v>
      </c>
      <c r="E37" s="192"/>
    </row>
    <row r="38">
      <c r="A38" s="187" t="str">
        <f>IFERROR(__xludf.DUMMYFUNCTION("""COMPUTED_VALUE"""),"CURRENTS")</f>
        <v>CURRENTS</v>
      </c>
      <c r="B38" s="191" t="str">
        <f>IFERROR(__xludf.DUMMYFUNCTION("""COMPUTED_VALUE"""),"https://thierryvanoffe.com/numiel/currents.png")</f>
        <v>https://thierryvanoffe.com/numiel/currents.png</v>
      </c>
      <c r="C38" s="187"/>
      <c r="D38" s="187" t="str">
        <f>IFERROR(__xludf.DUMMYFUNCTION("IF(A38&lt;&gt;"""", IFNA(""- ""&amp;JOIN(CHAR(10)&amp;""- "",FILTER('IMPORT COMPETENCES'!C:C,'IMPORT COMPETENCES'!A:A=A38))),)"),"- UTILISER GOOGLE CURRENTS
- CRÉER UNE COMMUNAUTÉ
- GÉRER UNE COMMUNAUTÉ")</f>
        <v>- UTILISER GOOGLE CURRENTS
- CRÉER UNE COMMUNAUTÉ
- GÉRER UNE COMMUNAUTÉ</v>
      </c>
      <c r="E38" s="192"/>
    </row>
    <row r="39">
      <c r="A39" s="187" t="str">
        <f>IFERROR(__xludf.DUMMYFUNCTION("""COMPUTED_VALUE"""),"BIGQUERY")</f>
        <v>BIGQUERY</v>
      </c>
      <c r="B39" s="191" t="str">
        <f>IFERROR(__xludf.DUMMYFUNCTION("""COMPUTED_VALUE"""),"https://thierryvanoffe.com/numiel/BigQuery.png")</f>
        <v>https://thierryvanoffe.com/numiel/BigQuery.png</v>
      </c>
      <c r="C39" s="187" t="str">
        <f>IFERROR(__xludf.DUMMYFUNCTION("""COMPUTED_VALUE"""),"396BD7")</f>
        <v>396BD7</v>
      </c>
      <c r="D39" s="187" t="str">
        <f>IFERROR(__xludf.DUMMYFUNCTION("IF(A39&lt;&gt;"""", IFNA(""- ""&amp;JOIN(CHAR(10)&amp;""- "",FILTER('IMPORT COMPETENCES'!C:C,'IMPORT COMPETENCES'!A:A=A39))),)"),"- IDENTIFIER DES LANGAGES INFORMATIQUES
- CONCEVOIR DES REQUÊTES SQL
- ANALYSER DES DONNÉES")</f>
        <v>- IDENTIFIER DES LANGAGES INFORMATIQUES
- CONCEVOIR DES REQUÊTES SQL
- ANALYSER DES DONNÉES</v>
      </c>
      <c r="E39" s="192"/>
    </row>
    <row r="40">
      <c r="A40" s="189" t="str">
        <f>IFERROR(__xludf.DUMMYFUNCTION("""COMPUTED_VALUE"""),"GEMINI")</f>
        <v>GEMINI</v>
      </c>
      <c r="B40" s="188"/>
      <c r="C40" s="187"/>
      <c r="D40" s="187" t="str">
        <f>IFERROR(__xludf.DUMMYFUNCTION("IF(A40&lt;&gt;"""", IFNA(""- ""&amp;JOIN(CHAR(10)&amp;""- "",FILTER('IMPORT COMPETENCES'!C:C,'IMPORT COMPETENCES'!A:A=A40))),)"),"")</f>
        <v/>
      </c>
      <c r="E40" s="192"/>
    </row>
    <row r="41">
      <c r="A41" s="187"/>
      <c r="B41" s="188"/>
      <c r="C41" s="187"/>
      <c r="D41" s="187" t="str">
        <f>IFERROR(__xludf.DUMMYFUNCTION("IF(A41&lt;&gt;"""", IFNA(""- ""&amp;JOIN(CHAR(10)&amp;""- "",FILTER('IMPORT COMPETENCES'!C:C,'IMPORT COMPETENCES'!A:A=A41))),)"),"")</f>
        <v/>
      </c>
      <c r="E41" s="192"/>
    </row>
    <row r="42">
      <c r="A42" s="187"/>
      <c r="B42" s="188"/>
      <c r="C42" s="187"/>
      <c r="D42" s="187" t="str">
        <f>IFERROR(__xludf.DUMMYFUNCTION("IF(A42&lt;&gt;"""", IFNA(""- ""&amp;JOIN(CHAR(10)&amp;""- "",FILTER('IMPORT COMPETENCES'!C:C,'IMPORT COMPETENCES'!A:A=A42))),)"),"")</f>
        <v/>
      </c>
      <c r="E42" s="192"/>
    </row>
    <row r="43">
      <c r="A43" s="187"/>
      <c r="B43" s="188"/>
      <c r="C43" s="187"/>
      <c r="D43" s="187" t="str">
        <f>IFERROR(__xludf.DUMMYFUNCTION("IF(A43&lt;&gt;"""", IFNA(""- ""&amp;JOIN(CHAR(10)&amp;""- "",FILTER('IMPORT COMPETENCES'!C:C,'IMPORT COMPETENCES'!A:A=A43))),)"),"")</f>
        <v/>
      </c>
      <c r="E43" s="192"/>
    </row>
    <row r="44">
      <c r="A44" s="187"/>
      <c r="B44" s="188"/>
      <c r="C44" s="187"/>
      <c r="D44" s="187" t="str">
        <f>IFERROR(__xludf.DUMMYFUNCTION("IF(A44&lt;&gt;"""", IFNA(""- ""&amp;JOIN(CHAR(10)&amp;""- "",FILTER('IMPORT COMPETENCES'!C:C,'IMPORT COMPETENCES'!A:A=A44))),)"),"")</f>
        <v/>
      </c>
      <c r="E44" s="192"/>
    </row>
    <row r="45">
      <c r="A45" s="187"/>
      <c r="B45" s="188"/>
      <c r="C45" s="187"/>
      <c r="D45" s="187" t="str">
        <f>IFERROR(__xludf.DUMMYFUNCTION("IF(A45&lt;&gt;"""", IFNA(""- ""&amp;JOIN(CHAR(10)&amp;""- "",FILTER('IMPORT COMPETENCES'!C:C,'IMPORT COMPETENCES'!A:A=A45))),)"),"")</f>
        <v/>
      </c>
      <c r="E45" s="192"/>
    </row>
    <row r="46">
      <c r="A46" s="187"/>
      <c r="B46" s="188"/>
      <c r="C46" s="187"/>
      <c r="D46" s="187" t="str">
        <f>IFERROR(__xludf.DUMMYFUNCTION("IF(A46&lt;&gt;"""", IFNA(""- ""&amp;JOIN(CHAR(10)&amp;""- "",FILTER('IMPORT COMPETENCES'!C:C,'IMPORT COMPETENCES'!A:A=A46))),)"),"")</f>
        <v/>
      </c>
      <c r="E46" s="192"/>
    </row>
    <row r="47">
      <c r="A47" s="187"/>
      <c r="B47" s="188"/>
      <c r="C47" s="187"/>
      <c r="D47" s="187" t="str">
        <f>IFERROR(__xludf.DUMMYFUNCTION("IF(A47&lt;&gt;"""", IFNA(""- ""&amp;JOIN(CHAR(10)&amp;""- "",FILTER('IMPORT COMPETENCES'!C:C,'IMPORT COMPETENCES'!A:A=A47))),)"),"")</f>
        <v/>
      </c>
      <c r="E47" s="192"/>
    </row>
    <row r="48">
      <c r="A48" s="187"/>
      <c r="B48" s="188"/>
      <c r="C48" s="187"/>
      <c r="D48" s="187" t="str">
        <f>IFERROR(__xludf.DUMMYFUNCTION("IF(A48&lt;&gt;"""", IFNA(""- ""&amp;JOIN(CHAR(10)&amp;""- "",FILTER('IMPORT COMPETENCES'!C:C,'IMPORT COMPETENCES'!A:A=A48))),)"),"")</f>
        <v/>
      </c>
      <c r="E48" s="192"/>
    </row>
    <row r="49">
      <c r="A49" s="187"/>
      <c r="B49" s="188"/>
      <c r="C49" s="187"/>
      <c r="D49" s="187" t="str">
        <f>IFERROR(__xludf.DUMMYFUNCTION("IF(A49&lt;&gt;"""", IFNA(""- ""&amp;JOIN(CHAR(10)&amp;""- "",FILTER('IMPORT COMPETENCES'!C:C,'IMPORT COMPETENCES'!A:A=A49))),)"),"")</f>
        <v/>
      </c>
      <c r="E49" s="192"/>
    </row>
    <row r="50">
      <c r="A50" s="187"/>
      <c r="B50" s="188"/>
      <c r="C50" s="187"/>
      <c r="D50" s="187" t="str">
        <f>IFERROR(__xludf.DUMMYFUNCTION("IF(A50&lt;&gt;"""", IFNA(""- ""&amp;JOIN(CHAR(10)&amp;""- "",FILTER('IMPORT COMPETENCES'!C:C,'IMPORT COMPETENCES'!A:A=A50))),)"),"")</f>
        <v/>
      </c>
      <c r="E50" s="192"/>
    </row>
    <row r="51">
      <c r="A51" s="187"/>
      <c r="B51" s="188"/>
      <c r="C51" s="187"/>
      <c r="D51" s="187" t="str">
        <f>IFERROR(__xludf.DUMMYFUNCTION("IF(A51&lt;&gt;"""", IFNA(""- ""&amp;JOIN(CHAR(10)&amp;""- "",FILTER('IMPORT COMPETENCES'!C:C,'IMPORT COMPETENCES'!A:A=A51))),)"),"")</f>
        <v/>
      </c>
      <c r="E51" s="192"/>
    </row>
    <row r="52">
      <c r="A52" s="187"/>
      <c r="B52" s="188"/>
      <c r="C52" s="187"/>
      <c r="D52" s="187" t="str">
        <f>IFERROR(__xludf.DUMMYFUNCTION("IF(A52&lt;&gt;"""", IFNA(""- ""&amp;JOIN(CHAR(10)&amp;""- "",FILTER('IMPORT COMPETENCES'!C:C,'IMPORT COMPETENCES'!A:A=A52))),)"),"")</f>
        <v/>
      </c>
      <c r="E52" s="192"/>
    </row>
    <row r="53">
      <c r="A53" s="187"/>
      <c r="B53" s="188"/>
      <c r="C53" s="187"/>
      <c r="D53" s="187" t="str">
        <f>IFERROR(__xludf.DUMMYFUNCTION("IF(A53&lt;&gt;"""", IFNA(""- ""&amp;JOIN(CHAR(10)&amp;""- "",FILTER('IMPORT COMPETENCES'!C:C,'IMPORT COMPETENCES'!A:A=A53))),)"),"")</f>
        <v/>
      </c>
      <c r="E53" s="192"/>
    </row>
    <row r="54">
      <c r="A54" s="187"/>
      <c r="B54" s="188"/>
      <c r="C54" s="187"/>
      <c r="D54" s="187" t="str">
        <f>IFERROR(__xludf.DUMMYFUNCTION("IF(A54&lt;&gt;"""", IFNA(""- ""&amp;JOIN(CHAR(10)&amp;""- "",FILTER('IMPORT COMPETENCES'!C:C,'IMPORT COMPETENCES'!A:A=A54))),)"),"")</f>
        <v/>
      </c>
      <c r="E54" s="192"/>
    </row>
    <row r="55">
      <c r="A55" s="187"/>
      <c r="B55" s="188"/>
      <c r="C55" s="187"/>
      <c r="D55" s="187" t="str">
        <f>IFERROR(__xludf.DUMMYFUNCTION("IF(A55&lt;&gt;"""", IFNA(""- ""&amp;JOIN(CHAR(10)&amp;""- "",FILTER('IMPORT COMPETENCES'!C:C,'IMPORT COMPETENCES'!A:A=A55))),)"),"")</f>
        <v/>
      </c>
      <c r="E55" s="192"/>
    </row>
    <row r="56">
      <c r="A56" s="187"/>
      <c r="B56" s="188"/>
      <c r="C56" s="187"/>
      <c r="D56" s="187" t="str">
        <f>IFERROR(__xludf.DUMMYFUNCTION("IF(A56&lt;&gt;"""", IFNA(""- ""&amp;JOIN(CHAR(10)&amp;""- "",FILTER('IMPORT COMPETENCES'!C:C,'IMPORT COMPETENCES'!A:A=A56))),)"),"")</f>
        <v/>
      </c>
      <c r="E56" s="192"/>
    </row>
    <row r="57">
      <c r="A57" s="187"/>
      <c r="B57" s="188"/>
      <c r="C57" s="187"/>
      <c r="D57" s="187" t="str">
        <f>IFERROR(__xludf.DUMMYFUNCTION("IF(A57&lt;&gt;"""", IFNA(""- ""&amp;JOIN(CHAR(10)&amp;""- "",FILTER('IMPORT COMPETENCES'!C:C,'IMPORT COMPETENCES'!A:A=A57))),)"),"")</f>
        <v/>
      </c>
      <c r="E57" s="192"/>
    </row>
    <row r="58">
      <c r="A58" s="187"/>
      <c r="B58" s="188"/>
      <c r="C58" s="187"/>
      <c r="D58" s="187" t="str">
        <f>IFERROR(__xludf.DUMMYFUNCTION("IF(A58&lt;&gt;"""", IFNA(""- ""&amp;JOIN(CHAR(10)&amp;""- "",FILTER('IMPORT COMPETENCES'!C:C,'IMPORT COMPETENCES'!A:A=A58))),)"),"")</f>
        <v/>
      </c>
      <c r="E58" s="192"/>
    </row>
    <row r="59">
      <c r="A59" s="187"/>
      <c r="B59" s="188"/>
      <c r="C59" s="187"/>
      <c r="D59" s="187" t="str">
        <f>IFERROR(__xludf.DUMMYFUNCTION("IF(A59&lt;&gt;"""", IFNA(""- ""&amp;JOIN(CHAR(10)&amp;""- "",FILTER('IMPORT COMPETENCES'!C:C,'IMPORT COMPETENCES'!A:A=A59))),)"),"")</f>
        <v/>
      </c>
      <c r="E59" s="192"/>
    </row>
    <row r="60">
      <c r="A60" s="187"/>
      <c r="B60" s="188"/>
      <c r="C60" s="187"/>
      <c r="D60" s="187" t="str">
        <f>IFERROR(__xludf.DUMMYFUNCTION("IF(A60&lt;&gt;"""", IFNA(""- ""&amp;JOIN(CHAR(10)&amp;""- "",FILTER('IMPORT COMPETENCES'!C:C,'IMPORT COMPETENCES'!A:A=A60))),)"),"")</f>
        <v/>
      </c>
      <c r="E60" s="192"/>
    </row>
    <row r="61">
      <c r="A61" s="187"/>
      <c r="B61" s="188"/>
      <c r="C61" s="187"/>
      <c r="D61" s="187" t="str">
        <f>IFERROR(__xludf.DUMMYFUNCTION("IF(A61&lt;&gt;"""", IFNA(""- ""&amp;JOIN(CHAR(10)&amp;""- "",FILTER('IMPORT COMPETENCES'!C:C,'IMPORT COMPETENCES'!A:A=A61))),)"),"")</f>
        <v/>
      </c>
      <c r="E61" s="192"/>
    </row>
    <row r="62">
      <c r="A62" s="187"/>
      <c r="B62" s="188"/>
      <c r="C62" s="187"/>
      <c r="D62" s="187" t="str">
        <f>IFERROR(__xludf.DUMMYFUNCTION("IF(A62&lt;&gt;"""", IFNA(""- ""&amp;JOIN(CHAR(10)&amp;""- "",FILTER('IMPORT COMPETENCES'!C:C,'IMPORT COMPETENCES'!A:A=A62))),)"),"")</f>
        <v/>
      </c>
      <c r="E62" s="192"/>
    </row>
    <row r="63">
      <c r="A63" s="187"/>
      <c r="B63" s="188"/>
      <c r="C63" s="187"/>
      <c r="D63" s="187" t="str">
        <f>IFERROR(__xludf.DUMMYFUNCTION("IF(A63&lt;&gt;"""", IFNA(""- ""&amp;JOIN(CHAR(10)&amp;""- "",FILTER('IMPORT COMPETENCES'!C:C,'IMPORT COMPETENCES'!A:A=A63))),)"),"")</f>
        <v/>
      </c>
      <c r="E63" s="192"/>
    </row>
    <row r="64">
      <c r="A64" s="187"/>
      <c r="B64" s="188"/>
      <c r="C64" s="187"/>
      <c r="D64" s="187" t="str">
        <f>IFERROR(__xludf.DUMMYFUNCTION("IF(A64&lt;&gt;"""", IFNA(""- ""&amp;JOIN(CHAR(10)&amp;""- "",FILTER('IMPORT COMPETENCES'!C:C,'IMPORT COMPETENCES'!A:A=A64))),)"),"")</f>
        <v/>
      </c>
      <c r="E64" s="192"/>
    </row>
    <row r="65">
      <c r="A65" s="187"/>
      <c r="B65" s="188"/>
      <c r="C65" s="187"/>
      <c r="D65" s="187" t="str">
        <f>IFERROR(__xludf.DUMMYFUNCTION("IF(A65&lt;&gt;"""", IFNA(""- ""&amp;JOIN(CHAR(10)&amp;""- "",FILTER('IMPORT COMPETENCES'!C:C,'IMPORT COMPETENCES'!A:A=A65))),)"),"")</f>
        <v/>
      </c>
      <c r="E65" s="192"/>
    </row>
    <row r="66">
      <c r="A66" s="187"/>
      <c r="B66" s="188"/>
      <c r="C66" s="187"/>
      <c r="D66" s="187" t="str">
        <f>IFERROR(__xludf.DUMMYFUNCTION("IF(A66&lt;&gt;"""", IFNA(""- ""&amp;JOIN(CHAR(10)&amp;""- "",FILTER('IMPORT COMPETENCES'!C:C,'IMPORT COMPETENCES'!A:A=A66))),)"),"")</f>
        <v/>
      </c>
      <c r="E66" s="192"/>
    </row>
    <row r="67">
      <c r="A67" s="187"/>
      <c r="B67" s="188"/>
      <c r="C67" s="187"/>
      <c r="D67" s="187" t="str">
        <f>IFERROR(__xludf.DUMMYFUNCTION("IF(A67&lt;&gt;"""", IFNA(""- ""&amp;JOIN(CHAR(10)&amp;""- "",FILTER('IMPORT COMPETENCES'!C:C,'IMPORT COMPETENCES'!A:A=A67))),)"),"")</f>
        <v/>
      </c>
      <c r="E67" s="192"/>
    </row>
    <row r="68">
      <c r="A68" s="187"/>
      <c r="B68" s="188"/>
      <c r="C68" s="187"/>
      <c r="D68" s="187" t="str">
        <f>IFERROR(__xludf.DUMMYFUNCTION("IF(A68&lt;&gt;"""", IFNA(""- ""&amp;JOIN(CHAR(10)&amp;""- "",FILTER('IMPORT COMPETENCES'!C:C,'IMPORT COMPETENCES'!A:A=A68))),)"),"")</f>
        <v/>
      </c>
      <c r="E68" s="192"/>
    </row>
    <row r="69">
      <c r="A69" s="187"/>
      <c r="B69" s="188"/>
      <c r="C69" s="187"/>
      <c r="D69" s="187" t="str">
        <f>IFERROR(__xludf.DUMMYFUNCTION("IF(A69&lt;&gt;"""", IFNA(""- ""&amp;JOIN(CHAR(10)&amp;""- "",FILTER('IMPORT COMPETENCES'!C:C,'IMPORT COMPETENCES'!A:A=A69))),)"),"")</f>
        <v/>
      </c>
      <c r="E69" s="192"/>
    </row>
    <row r="70">
      <c r="A70" s="187"/>
      <c r="B70" s="188"/>
      <c r="C70" s="187"/>
      <c r="D70" s="187" t="str">
        <f>IFERROR(__xludf.DUMMYFUNCTION("IF(A70&lt;&gt;"""", IFNA(""- ""&amp;JOIN(CHAR(10)&amp;""- "",FILTER('IMPORT COMPETENCES'!C:C,'IMPORT COMPETENCES'!A:A=A70))),)"),"")</f>
        <v/>
      </c>
      <c r="E70" s="192"/>
    </row>
    <row r="71">
      <c r="A71" s="187"/>
      <c r="B71" s="188"/>
      <c r="C71" s="187"/>
      <c r="D71" s="187" t="str">
        <f>IFERROR(__xludf.DUMMYFUNCTION("IF(A71&lt;&gt;"""", IFNA(""- ""&amp;JOIN(CHAR(10)&amp;""- "",FILTER('IMPORT COMPETENCES'!C:C,'IMPORT COMPETENCES'!A:A=A71))),)"),"")</f>
        <v/>
      </c>
      <c r="E71" s="192"/>
    </row>
    <row r="72">
      <c r="A72" s="187"/>
      <c r="B72" s="188"/>
      <c r="C72" s="187"/>
      <c r="D72" s="187" t="str">
        <f>IFERROR(__xludf.DUMMYFUNCTION("IF(A72&lt;&gt;"""", IFNA(""- ""&amp;JOIN(CHAR(10)&amp;""- "",FILTER('IMPORT COMPETENCES'!C:C,'IMPORT COMPETENCES'!A:A=A72))),)"),"")</f>
        <v/>
      </c>
      <c r="E72" s="192"/>
    </row>
    <row r="73">
      <c r="A73" s="187"/>
      <c r="B73" s="188"/>
      <c r="C73" s="187"/>
      <c r="D73" s="187" t="str">
        <f>IFERROR(__xludf.DUMMYFUNCTION("IF(A73&lt;&gt;"""", IFNA(""- ""&amp;JOIN(CHAR(10)&amp;""- "",FILTER('IMPORT COMPETENCES'!C:C,'IMPORT COMPETENCES'!A:A=A73))),)"),"")</f>
        <v/>
      </c>
      <c r="E73" s="192"/>
    </row>
    <row r="74">
      <c r="A74" s="187"/>
      <c r="B74" s="188"/>
      <c r="C74" s="187"/>
      <c r="D74" s="187" t="str">
        <f>IFERROR(__xludf.DUMMYFUNCTION("IF(A74&lt;&gt;"""", IFNA(""- ""&amp;JOIN(CHAR(10)&amp;""- "",FILTER('IMPORT COMPETENCES'!C:C,'IMPORT COMPETENCES'!A:A=A74))),)"),"")</f>
        <v/>
      </c>
      <c r="E74" s="192"/>
    </row>
    <row r="75">
      <c r="A75" s="187"/>
      <c r="B75" s="188"/>
      <c r="C75" s="187"/>
      <c r="D75" s="187" t="str">
        <f>IFERROR(__xludf.DUMMYFUNCTION("IF(A75&lt;&gt;"""", IFNA(""- ""&amp;JOIN(CHAR(10)&amp;""- "",FILTER('IMPORT COMPETENCES'!C:C,'IMPORT COMPETENCES'!A:A=A75))),)"),"")</f>
        <v/>
      </c>
      <c r="E75" s="192"/>
    </row>
    <row r="76">
      <c r="A76" s="187"/>
      <c r="B76" s="188"/>
      <c r="C76" s="187"/>
      <c r="D76" s="187" t="str">
        <f>IFERROR(__xludf.DUMMYFUNCTION("IF(A76&lt;&gt;"""", IFNA(""- ""&amp;JOIN(CHAR(10)&amp;""- "",FILTER('IMPORT COMPETENCES'!C:C,'IMPORT COMPETENCES'!A:A=A76))),)"),"")</f>
        <v/>
      </c>
      <c r="E76" s="192"/>
    </row>
    <row r="77">
      <c r="A77" s="187"/>
      <c r="B77" s="188"/>
      <c r="C77" s="187"/>
      <c r="D77" s="187" t="str">
        <f>IFERROR(__xludf.DUMMYFUNCTION("IF(A77&lt;&gt;"""", IFNA(""- ""&amp;JOIN(CHAR(10)&amp;""- "",FILTER('IMPORT COMPETENCES'!C:C,'IMPORT COMPETENCES'!A:A=A77))),)"),"")</f>
        <v/>
      </c>
      <c r="E77" s="192"/>
    </row>
    <row r="78">
      <c r="A78" s="187"/>
      <c r="B78" s="188"/>
      <c r="C78" s="187"/>
      <c r="D78" s="187" t="str">
        <f>IFERROR(__xludf.DUMMYFUNCTION("IF(A78&lt;&gt;"""", IFNA(""- ""&amp;JOIN(CHAR(10)&amp;""- "",FILTER('IMPORT COMPETENCES'!C:C,'IMPORT COMPETENCES'!A:A=A78))),)"),"")</f>
        <v/>
      </c>
      <c r="E78" s="192"/>
    </row>
    <row r="79">
      <c r="A79" s="187"/>
      <c r="B79" s="188"/>
      <c r="C79" s="187"/>
      <c r="D79" s="187" t="str">
        <f>IFERROR(__xludf.DUMMYFUNCTION("IF(A79&lt;&gt;"""", IFNA(""- ""&amp;JOIN(CHAR(10)&amp;""- "",FILTER('IMPORT COMPETENCES'!C:C,'IMPORT COMPETENCES'!A:A=A79))),)"),"")</f>
        <v/>
      </c>
      <c r="E79" s="192"/>
    </row>
    <row r="80">
      <c r="A80" s="187"/>
      <c r="B80" s="188"/>
      <c r="C80" s="187"/>
      <c r="D80" s="187" t="str">
        <f>IFERROR(__xludf.DUMMYFUNCTION("IF(A80&lt;&gt;"""", IFNA(""- ""&amp;JOIN(CHAR(10)&amp;""- "",FILTER('IMPORT COMPETENCES'!C:C,'IMPORT COMPETENCES'!A:A=A80))),)"),"")</f>
        <v/>
      </c>
      <c r="E80" s="192"/>
    </row>
    <row r="81">
      <c r="A81" s="187"/>
      <c r="B81" s="188"/>
      <c r="C81" s="187"/>
      <c r="D81" s="187" t="str">
        <f>IFERROR(__xludf.DUMMYFUNCTION("IF(A81&lt;&gt;"""", IFNA(""- ""&amp;JOIN(CHAR(10)&amp;""- "",FILTER('IMPORT COMPETENCES'!C:C,'IMPORT COMPETENCES'!A:A=A81))),)"),"")</f>
        <v/>
      </c>
      <c r="E81" s="192"/>
    </row>
    <row r="82">
      <c r="A82" s="187"/>
      <c r="B82" s="188"/>
      <c r="C82" s="187"/>
      <c r="D82" s="187" t="str">
        <f>IFERROR(__xludf.DUMMYFUNCTION("IF(A82&lt;&gt;"""", IFNA(""- ""&amp;JOIN(CHAR(10)&amp;""- "",FILTER('IMPORT COMPETENCES'!C:C,'IMPORT COMPETENCES'!A:A=A82))),)"),"")</f>
        <v/>
      </c>
      <c r="E82" s="192"/>
    </row>
    <row r="83">
      <c r="A83" s="187"/>
      <c r="B83" s="188"/>
      <c r="C83" s="187"/>
      <c r="D83" s="187" t="str">
        <f>IFERROR(__xludf.DUMMYFUNCTION("IF(A83&lt;&gt;"""", IFNA(""- ""&amp;JOIN(CHAR(10)&amp;""- "",FILTER('IMPORT COMPETENCES'!C:C,'IMPORT COMPETENCES'!A:A=A83))),)"),"")</f>
        <v/>
      </c>
      <c r="E83" s="192"/>
    </row>
    <row r="84">
      <c r="A84" s="187"/>
      <c r="B84" s="188"/>
      <c r="C84" s="187"/>
      <c r="D84" s="187" t="str">
        <f>IFERROR(__xludf.DUMMYFUNCTION("IF(A84&lt;&gt;"""", IFNA(""- ""&amp;JOIN(CHAR(10)&amp;""- "",FILTER('IMPORT COMPETENCES'!C:C,'IMPORT COMPETENCES'!A:A=A84))),)"),"")</f>
        <v/>
      </c>
      <c r="E84" s="192"/>
    </row>
    <row r="85">
      <c r="A85" s="187"/>
      <c r="B85" s="188"/>
      <c r="C85" s="187"/>
      <c r="D85" s="187" t="str">
        <f>IFERROR(__xludf.DUMMYFUNCTION("IF(A85&lt;&gt;"""", IFNA(""- ""&amp;JOIN(CHAR(10)&amp;""- "",FILTER('IMPORT COMPETENCES'!C:C,'IMPORT COMPETENCES'!A:A=A85))),)"),"")</f>
        <v/>
      </c>
      <c r="E85" s="192"/>
    </row>
    <row r="86">
      <c r="A86" s="187"/>
      <c r="B86" s="188"/>
      <c r="C86" s="187"/>
      <c r="D86" s="187" t="str">
        <f>IFERROR(__xludf.DUMMYFUNCTION("IF(A86&lt;&gt;"""", IFNA(""- ""&amp;JOIN(CHAR(10)&amp;""- "",FILTER('IMPORT COMPETENCES'!C:C,'IMPORT COMPETENCES'!A:A=A86))),)"),"")</f>
        <v/>
      </c>
      <c r="E86" s="192"/>
    </row>
    <row r="87">
      <c r="A87" s="187"/>
      <c r="B87" s="188"/>
      <c r="C87" s="187"/>
      <c r="D87" s="187" t="str">
        <f>IFERROR(__xludf.DUMMYFUNCTION("IF(A87&lt;&gt;"""", IFNA(""- ""&amp;JOIN(CHAR(10)&amp;""- "",FILTER('IMPORT COMPETENCES'!C:C,'IMPORT COMPETENCES'!A:A=A87))),)"),"")</f>
        <v/>
      </c>
      <c r="E87" s="192"/>
    </row>
    <row r="88">
      <c r="A88" s="187"/>
      <c r="B88" s="188"/>
      <c r="C88" s="187"/>
      <c r="D88" s="187" t="str">
        <f>IFERROR(__xludf.DUMMYFUNCTION("IF(A88&lt;&gt;"""", IFNA(""- ""&amp;JOIN(CHAR(10)&amp;""- "",FILTER('IMPORT COMPETENCES'!C:C,'IMPORT COMPETENCES'!A:A=A88))),)"),"")</f>
        <v/>
      </c>
      <c r="E88" s="192"/>
    </row>
    <row r="89">
      <c r="A89" s="187"/>
      <c r="B89" s="188"/>
      <c r="C89" s="187"/>
      <c r="D89" s="187" t="str">
        <f>IFERROR(__xludf.DUMMYFUNCTION("IF(A89&lt;&gt;"""", IFNA(""- ""&amp;JOIN(CHAR(10)&amp;""- "",FILTER('IMPORT COMPETENCES'!C:C,'IMPORT COMPETENCES'!A:A=A89))),)"),"")</f>
        <v/>
      </c>
      <c r="E89" s="192"/>
    </row>
    <row r="90">
      <c r="A90" s="187"/>
      <c r="B90" s="188"/>
      <c r="C90" s="187"/>
      <c r="D90" s="187" t="str">
        <f>IFERROR(__xludf.DUMMYFUNCTION("IF(A90&lt;&gt;"""", IFNA(""- ""&amp;JOIN(CHAR(10)&amp;""- "",FILTER('IMPORT COMPETENCES'!C:C,'IMPORT COMPETENCES'!A:A=A90))),)"),"")</f>
        <v/>
      </c>
      <c r="E90" s="192"/>
    </row>
    <row r="91">
      <c r="A91" s="187"/>
      <c r="B91" s="188"/>
      <c r="C91" s="187"/>
      <c r="D91" s="187" t="str">
        <f>IFERROR(__xludf.DUMMYFUNCTION("IF(A91&lt;&gt;"""", IFNA(""- ""&amp;JOIN(CHAR(10)&amp;""- "",FILTER('IMPORT COMPETENCES'!C:C,'IMPORT COMPETENCES'!A:A=A91))),)"),"")</f>
        <v/>
      </c>
      <c r="E91" s="192"/>
    </row>
    <row r="92">
      <c r="A92" s="187"/>
      <c r="B92" s="188"/>
      <c r="C92" s="187"/>
      <c r="D92" s="187" t="str">
        <f>IFERROR(__xludf.DUMMYFUNCTION("IF(A92&lt;&gt;"""", IFNA(""- ""&amp;JOIN(CHAR(10)&amp;""- "",FILTER('IMPORT COMPETENCES'!C:C,'IMPORT COMPETENCES'!A:A=A92))),)"),"")</f>
        <v/>
      </c>
      <c r="E92" s="192"/>
    </row>
    <row r="93">
      <c r="A93" s="187"/>
      <c r="B93" s="188"/>
      <c r="C93" s="187"/>
      <c r="D93" s="187" t="str">
        <f>IFERROR(__xludf.DUMMYFUNCTION("IF(A93&lt;&gt;"""", IFNA(""- ""&amp;JOIN(CHAR(10)&amp;""- "",FILTER('IMPORT COMPETENCES'!C:C,'IMPORT COMPETENCES'!A:A=A93))),)"),"")</f>
        <v/>
      </c>
      <c r="E93" s="192"/>
    </row>
    <row r="94">
      <c r="A94" s="187"/>
      <c r="B94" s="188"/>
      <c r="C94" s="187"/>
      <c r="D94" s="187" t="str">
        <f>IFERROR(__xludf.DUMMYFUNCTION("IF(A94&lt;&gt;"""", IFNA(""- ""&amp;JOIN(CHAR(10)&amp;""- "",FILTER('IMPORT COMPETENCES'!C:C,'IMPORT COMPETENCES'!A:A=A94))),)"),"")</f>
        <v/>
      </c>
      <c r="E94" s="192"/>
    </row>
    <row r="95">
      <c r="A95" s="187"/>
      <c r="B95" s="188"/>
      <c r="C95" s="187"/>
      <c r="D95" s="187" t="str">
        <f>IFERROR(__xludf.DUMMYFUNCTION("IF(A95&lt;&gt;"""", IFNA(""- ""&amp;JOIN(CHAR(10)&amp;""- "",FILTER('IMPORT COMPETENCES'!C:C,'IMPORT COMPETENCES'!A:A=A95))),)"),"")</f>
        <v/>
      </c>
      <c r="E95" s="192"/>
    </row>
    <row r="96">
      <c r="A96" s="187"/>
      <c r="B96" s="188"/>
      <c r="C96" s="187"/>
      <c r="D96" s="187" t="str">
        <f>IFERROR(__xludf.DUMMYFUNCTION("IF(A96&lt;&gt;"""", IFNA(""- ""&amp;JOIN(CHAR(10)&amp;""- "",FILTER('IMPORT COMPETENCES'!C:C,'IMPORT COMPETENCES'!A:A=A96))),)"),"")</f>
        <v/>
      </c>
      <c r="E96" s="192"/>
    </row>
    <row r="97">
      <c r="A97" s="187"/>
      <c r="B97" s="188"/>
      <c r="C97" s="187"/>
      <c r="D97" s="187" t="str">
        <f>IFERROR(__xludf.DUMMYFUNCTION("IF(A97&lt;&gt;"""", IFNA(""- ""&amp;JOIN(CHAR(10)&amp;""- "",FILTER('IMPORT COMPETENCES'!C:C,'IMPORT COMPETENCES'!A:A=A97))),)"),"")</f>
        <v/>
      </c>
      <c r="E97" s="192"/>
    </row>
    <row r="98">
      <c r="A98" s="187"/>
      <c r="B98" s="188"/>
      <c r="C98" s="187"/>
      <c r="D98" s="187" t="str">
        <f>IFERROR(__xludf.DUMMYFUNCTION("IF(A98&lt;&gt;"""", IFNA(""- ""&amp;JOIN(CHAR(10)&amp;""- "",FILTER('IMPORT COMPETENCES'!C:C,'IMPORT COMPETENCES'!A:A=A98))),)"),"")</f>
        <v/>
      </c>
      <c r="E98" s="192"/>
    </row>
    <row r="99">
      <c r="A99" s="187"/>
      <c r="B99" s="188"/>
      <c r="C99" s="187"/>
      <c r="D99" s="187" t="str">
        <f>IFERROR(__xludf.DUMMYFUNCTION("IF(A99&lt;&gt;"""", IFNA(""- ""&amp;JOIN(CHAR(10)&amp;""- "",FILTER('IMPORT COMPETENCES'!C:C,'IMPORT COMPETENCES'!A:A=A99))),)"),"")</f>
        <v/>
      </c>
      <c r="E99" s="192"/>
    </row>
    <row r="100">
      <c r="A100" s="187"/>
      <c r="B100" s="188"/>
      <c r="C100" s="187"/>
      <c r="D100" s="187" t="str">
        <f>IFERROR(__xludf.DUMMYFUNCTION("IF(A100&lt;&gt;"""", IFNA(""- ""&amp;JOIN(CHAR(10)&amp;""- "",FILTER('IMPORT COMPETENCES'!C:C,'IMPORT COMPETENCES'!A:A=A100))),)"),"")</f>
        <v/>
      </c>
      <c r="E100" s="192"/>
    </row>
    <row r="101">
      <c r="A101" s="187"/>
      <c r="B101" s="188"/>
      <c r="C101" s="187"/>
      <c r="D101" s="187" t="str">
        <f>IFERROR(__xludf.DUMMYFUNCTION("IF(A101&lt;&gt;"""", IFNA(""- ""&amp;JOIN(CHAR(10)&amp;""- "",FILTER('IMPORT COMPETENCES'!C:C,'IMPORT COMPETENCES'!A:A=A101))),)"),"")</f>
        <v/>
      </c>
      <c r="E101" s="192"/>
    </row>
    <row r="102">
      <c r="A102" s="187"/>
      <c r="B102" s="188"/>
      <c r="C102" s="187"/>
      <c r="D102" s="187" t="str">
        <f>IFERROR(__xludf.DUMMYFUNCTION("IF(A102&lt;&gt;"""", IFNA(""- ""&amp;JOIN(CHAR(10)&amp;""- "",FILTER('IMPORT COMPETENCES'!C:C,'IMPORT COMPETENCES'!A:A=A102))),)"),"")</f>
        <v/>
      </c>
      <c r="E102" s="192"/>
    </row>
    <row r="103">
      <c r="A103" s="187"/>
      <c r="B103" s="188"/>
      <c r="C103" s="187"/>
      <c r="D103" s="187" t="str">
        <f>IFERROR(__xludf.DUMMYFUNCTION("IF(A103&lt;&gt;"""", IFNA(""- ""&amp;JOIN(CHAR(10)&amp;""- "",FILTER('IMPORT COMPETENCES'!C:C,'IMPORT COMPETENCES'!A:A=A103))),)"),"")</f>
        <v/>
      </c>
      <c r="E103" s="192"/>
    </row>
    <row r="104">
      <c r="A104" s="187"/>
      <c r="B104" s="188"/>
      <c r="C104" s="187"/>
      <c r="D104" s="187" t="str">
        <f>IFERROR(__xludf.DUMMYFUNCTION("IF(A104&lt;&gt;"""", IFNA(""- ""&amp;JOIN(CHAR(10)&amp;""- "",FILTER('IMPORT COMPETENCES'!C:C,'IMPORT COMPETENCES'!A:A=A104))),)"),"")</f>
        <v/>
      </c>
      <c r="E104" s="192"/>
    </row>
    <row r="105">
      <c r="A105" s="187"/>
      <c r="B105" s="188"/>
      <c r="C105" s="187"/>
      <c r="D105" s="187" t="str">
        <f>IFERROR(__xludf.DUMMYFUNCTION("IF(A105&lt;&gt;"""", IFNA(""- ""&amp;JOIN(CHAR(10)&amp;""- "",FILTER('IMPORT COMPETENCES'!C:C,'IMPORT COMPETENCES'!A:A=A105))),)"),"")</f>
        <v/>
      </c>
      <c r="E105" s="192"/>
    </row>
    <row r="106">
      <c r="A106" s="187"/>
      <c r="B106" s="188"/>
      <c r="C106" s="187"/>
      <c r="D106" s="187" t="str">
        <f>IFERROR(__xludf.DUMMYFUNCTION("IF(A106&lt;&gt;"""", IFNA(""- ""&amp;JOIN(CHAR(10)&amp;""- "",FILTER('IMPORT COMPETENCES'!C:C,'IMPORT COMPETENCES'!A:A=A106))),)"),"")</f>
        <v/>
      </c>
      <c r="E106" s="192"/>
    </row>
    <row r="107">
      <c r="A107" s="187"/>
      <c r="B107" s="188"/>
      <c r="C107" s="187"/>
      <c r="D107" s="187" t="str">
        <f>IFERROR(__xludf.DUMMYFUNCTION("IF(A107&lt;&gt;"""", IFNA(""- ""&amp;JOIN(CHAR(10)&amp;""- "",FILTER('IMPORT COMPETENCES'!C:C,'IMPORT COMPETENCES'!A:A=A107))),)"),"")</f>
        <v/>
      </c>
      <c r="E107" s="192"/>
    </row>
    <row r="108">
      <c r="A108" s="187"/>
      <c r="B108" s="188"/>
      <c r="C108" s="187"/>
      <c r="D108" s="187" t="str">
        <f>IFERROR(__xludf.DUMMYFUNCTION("IF(A108&lt;&gt;"""", IFNA(""- ""&amp;JOIN(CHAR(10)&amp;""- "",FILTER('IMPORT COMPETENCES'!C:C,'IMPORT COMPETENCES'!A:A=A108))),)"),"")</f>
        <v/>
      </c>
      <c r="E108" s="192"/>
    </row>
    <row r="109">
      <c r="A109" s="187"/>
      <c r="B109" s="188"/>
      <c r="C109" s="187"/>
      <c r="D109" s="187" t="str">
        <f>IFERROR(__xludf.DUMMYFUNCTION("IF(A109&lt;&gt;"""", IFNA(""- ""&amp;JOIN(CHAR(10)&amp;""- "",FILTER('IMPORT COMPETENCES'!C:C,'IMPORT COMPETENCES'!A:A=A109))),)"),"")</f>
        <v/>
      </c>
      <c r="E109" s="192"/>
    </row>
    <row r="110">
      <c r="A110" s="187"/>
      <c r="B110" s="188"/>
      <c r="C110" s="187"/>
      <c r="D110" s="187" t="str">
        <f>IFERROR(__xludf.DUMMYFUNCTION("IF(A110&lt;&gt;"""", IFNA(""- ""&amp;JOIN(CHAR(10)&amp;""- "",FILTER('IMPORT COMPETENCES'!C:C,'IMPORT COMPETENCES'!A:A=A110))),)"),"")</f>
        <v/>
      </c>
      <c r="E110" s="192"/>
    </row>
    <row r="111">
      <c r="A111" s="187"/>
      <c r="B111" s="188"/>
      <c r="C111" s="187"/>
      <c r="D111" s="187" t="str">
        <f>IFERROR(__xludf.DUMMYFUNCTION("IF(A111&lt;&gt;"""", IFNA(""- ""&amp;JOIN(CHAR(10)&amp;""- "",FILTER('IMPORT COMPETENCES'!C:C,'IMPORT COMPETENCES'!A:A=A111))),)"),"")</f>
        <v/>
      </c>
      <c r="E111" s="192"/>
    </row>
    <row r="112">
      <c r="A112" s="187"/>
      <c r="B112" s="188"/>
      <c r="C112" s="187"/>
      <c r="D112" s="187" t="str">
        <f>IFERROR(__xludf.DUMMYFUNCTION("IF(A112&lt;&gt;"""", IFNA(""- ""&amp;JOIN(CHAR(10)&amp;""- "",FILTER('IMPORT COMPETENCES'!C:C,'IMPORT COMPETENCES'!A:A=A112))),)"),"")</f>
        <v/>
      </c>
      <c r="E112" s="192"/>
    </row>
    <row r="113">
      <c r="A113" s="187"/>
      <c r="B113" s="188"/>
      <c r="C113" s="187"/>
      <c r="D113" s="187" t="str">
        <f>IFERROR(__xludf.DUMMYFUNCTION("IF(A113&lt;&gt;"""", IFNA(""- ""&amp;JOIN(CHAR(10)&amp;""- "",FILTER('IMPORT COMPETENCES'!C:C,'IMPORT COMPETENCES'!A:A=A113))),)"),"")</f>
        <v/>
      </c>
      <c r="E113" s="192"/>
    </row>
    <row r="114">
      <c r="A114" s="187"/>
      <c r="B114" s="188"/>
      <c r="C114" s="187"/>
      <c r="D114" s="187" t="str">
        <f>IFERROR(__xludf.DUMMYFUNCTION("IF(A114&lt;&gt;"""", IFNA(""- ""&amp;JOIN(CHAR(10)&amp;""- "",FILTER('IMPORT COMPETENCES'!C:C,'IMPORT COMPETENCES'!A:A=A114))),)"),"")</f>
        <v/>
      </c>
      <c r="E114" s="192"/>
    </row>
    <row r="115">
      <c r="A115" s="187"/>
      <c r="B115" s="188"/>
      <c r="C115" s="187"/>
      <c r="D115" s="187" t="str">
        <f>IFERROR(__xludf.DUMMYFUNCTION("IF(A115&lt;&gt;"""", IFNA(""- ""&amp;JOIN(CHAR(10)&amp;""- "",FILTER('IMPORT COMPETENCES'!C:C,'IMPORT COMPETENCES'!A:A=A115))),)"),"")</f>
        <v/>
      </c>
      <c r="E115" s="192"/>
    </row>
    <row r="116">
      <c r="A116" s="187"/>
      <c r="B116" s="188"/>
      <c r="C116" s="187"/>
      <c r="D116" s="187" t="str">
        <f>IFERROR(__xludf.DUMMYFUNCTION("IF(A116&lt;&gt;"""", IFNA(""- ""&amp;JOIN(CHAR(10)&amp;""- "",FILTER('IMPORT COMPETENCES'!C:C,'IMPORT COMPETENCES'!A:A=A116))),)"),"")</f>
        <v/>
      </c>
      <c r="E116" s="192"/>
    </row>
    <row r="117">
      <c r="A117" s="187"/>
      <c r="B117" s="188"/>
      <c r="C117" s="187"/>
      <c r="D117" s="187" t="str">
        <f>IFERROR(__xludf.DUMMYFUNCTION("IF(A117&lt;&gt;"""", IFNA(""- ""&amp;JOIN(CHAR(10)&amp;""- "",FILTER('IMPORT COMPETENCES'!C:C,'IMPORT COMPETENCES'!A:A=A117))),)"),"")</f>
        <v/>
      </c>
      <c r="E117" s="192"/>
    </row>
    <row r="118">
      <c r="A118" s="187"/>
      <c r="B118" s="188"/>
      <c r="C118" s="187"/>
      <c r="D118" s="187" t="str">
        <f>IFERROR(__xludf.DUMMYFUNCTION("IF(A118&lt;&gt;"""", IFNA(""- ""&amp;JOIN(CHAR(10)&amp;""- "",FILTER('IMPORT COMPETENCES'!C:C,'IMPORT COMPETENCES'!A:A=A118))),)"),"")</f>
        <v/>
      </c>
      <c r="E118" s="192"/>
    </row>
    <row r="119">
      <c r="A119" s="187"/>
      <c r="B119" s="188"/>
      <c r="C119" s="187"/>
      <c r="D119" s="187" t="str">
        <f>IFERROR(__xludf.DUMMYFUNCTION("IF(A119&lt;&gt;"""", IFNA(""- ""&amp;JOIN(CHAR(10)&amp;""- "",FILTER('IMPORT COMPETENCES'!C:C,'IMPORT COMPETENCES'!A:A=A119))),)"),"")</f>
        <v/>
      </c>
      <c r="E119" s="192"/>
    </row>
    <row r="120">
      <c r="A120" s="187"/>
      <c r="B120" s="188"/>
      <c r="C120" s="187"/>
      <c r="D120" s="187" t="str">
        <f>IFERROR(__xludf.DUMMYFUNCTION("IF(A120&lt;&gt;"""", IFNA(""- ""&amp;JOIN(CHAR(10)&amp;""- "",FILTER('IMPORT COMPETENCES'!C:C,'IMPORT COMPETENCES'!A:A=A120))),)"),"")</f>
        <v/>
      </c>
      <c r="E120" s="192"/>
    </row>
    <row r="121">
      <c r="A121" s="187"/>
      <c r="B121" s="188"/>
      <c r="C121" s="187"/>
      <c r="D121" s="187" t="str">
        <f>IFERROR(__xludf.DUMMYFUNCTION("IF(A121&lt;&gt;"""", IFNA(""- ""&amp;JOIN(CHAR(10)&amp;""- "",FILTER('IMPORT COMPETENCES'!C:C,'IMPORT COMPETENCES'!A:A=A121))),)"),"")</f>
        <v/>
      </c>
      <c r="E121" s="192"/>
    </row>
    <row r="122">
      <c r="A122" s="187"/>
      <c r="B122" s="188"/>
      <c r="C122" s="187"/>
      <c r="D122" s="187" t="str">
        <f>IFERROR(__xludf.DUMMYFUNCTION("IF(A122&lt;&gt;"""", IFNA(""- ""&amp;JOIN(CHAR(10)&amp;""- "",FILTER('IMPORT COMPETENCES'!C:C,'IMPORT COMPETENCES'!A:A=A122))),)"),"")</f>
        <v/>
      </c>
      <c r="E122" s="192"/>
    </row>
    <row r="123">
      <c r="A123" s="187"/>
      <c r="B123" s="188"/>
      <c r="C123" s="187"/>
      <c r="D123" s="187" t="str">
        <f>IFERROR(__xludf.DUMMYFUNCTION("IF(A123&lt;&gt;"""", IFNA(""- ""&amp;JOIN(CHAR(10)&amp;""- "",FILTER('IMPORT COMPETENCES'!C:C,'IMPORT COMPETENCES'!A:A=A123))),)"),"")</f>
        <v/>
      </c>
      <c r="E123" s="192"/>
    </row>
    <row r="124">
      <c r="A124" s="187"/>
      <c r="B124" s="188"/>
      <c r="C124" s="187"/>
      <c r="D124" s="187" t="str">
        <f>IFERROR(__xludf.DUMMYFUNCTION("IF(A124&lt;&gt;"""", IFNA(""- ""&amp;JOIN(CHAR(10)&amp;""- "",FILTER('IMPORT COMPETENCES'!C:C,'IMPORT COMPETENCES'!A:A=A124))),)"),"")</f>
        <v/>
      </c>
      <c r="E124" s="192"/>
    </row>
    <row r="125">
      <c r="A125" s="187"/>
      <c r="B125" s="188"/>
      <c r="C125" s="187"/>
      <c r="D125" s="187" t="str">
        <f>IFERROR(__xludf.DUMMYFUNCTION("IF(A125&lt;&gt;"""", IFNA(""- ""&amp;JOIN(CHAR(10)&amp;""- "",FILTER('IMPORT COMPETENCES'!C:C,'IMPORT COMPETENCES'!A:A=A125))),)"),"")</f>
        <v/>
      </c>
      <c r="E125" s="192"/>
    </row>
    <row r="126">
      <c r="A126" s="187"/>
      <c r="B126" s="188"/>
      <c r="C126" s="187"/>
      <c r="D126" s="187" t="str">
        <f>IFERROR(__xludf.DUMMYFUNCTION("IF(A126&lt;&gt;"""", IFNA(""- ""&amp;JOIN(CHAR(10)&amp;""- "",FILTER('IMPORT COMPETENCES'!C:C,'IMPORT COMPETENCES'!A:A=A126))),)"),"")</f>
        <v/>
      </c>
      <c r="E126" s="192"/>
    </row>
    <row r="127">
      <c r="A127" s="187"/>
      <c r="B127" s="188"/>
      <c r="C127" s="187"/>
      <c r="D127" s="187" t="str">
        <f>IFERROR(__xludf.DUMMYFUNCTION("IF(A127&lt;&gt;"""", IFNA(""- ""&amp;JOIN(CHAR(10)&amp;""- "",FILTER('IMPORT COMPETENCES'!C:C,'IMPORT COMPETENCES'!A:A=A127))),)"),"")</f>
        <v/>
      </c>
      <c r="E127" s="192"/>
    </row>
    <row r="128">
      <c r="A128" s="187"/>
      <c r="B128" s="188"/>
      <c r="C128" s="187"/>
      <c r="D128" s="187" t="str">
        <f>IFERROR(__xludf.DUMMYFUNCTION("IF(A128&lt;&gt;"""", IFNA(""- ""&amp;JOIN(CHAR(10)&amp;""- "",FILTER('IMPORT COMPETENCES'!C:C,'IMPORT COMPETENCES'!A:A=A128))),)"),"")</f>
        <v/>
      </c>
      <c r="E128" s="192"/>
    </row>
    <row r="129">
      <c r="A129" s="187"/>
      <c r="B129" s="188"/>
      <c r="C129" s="187"/>
      <c r="D129" s="187" t="str">
        <f>IFERROR(__xludf.DUMMYFUNCTION("IF(A129&lt;&gt;"""", IFNA(""- ""&amp;JOIN(CHAR(10)&amp;""- "",FILTER('IMPORT COMPETENCES'!C:C,'IMPORT COMPETENCES'!A:A=A129))),)"),"")</f>
        <v/>
      </c>
      <c r="E129" s="192"/>
    </row>
    <row r="130">
      <c r="A130" s="187"/>
      <c r="B130" s="188"/>
      <c r="C130" s="187"/>
      <c r="D130" s="187" t="str">
        <f>IFERROR(__xludf.DUMMYFUNCTION("IF(A130&lt;&gt;"""", IFNA(""- ""&amp;JOIN(CHAR(10)&amp;""- "",FILTER('IMPORT COMPETENCES'!C:C,'IMPORT COMPETENCES'!A:A=A130))),)"),"")</f>
        <v/>
      </c>
      <c r="E130" s="192"/>
    </row>
    <row r="131">
      <c r="A131" s="187"/>
      <c r="B131" s="188"/>
      <c r="C131" s="187"/>
      <c r="D131" s="187" t="str">
        <f>IFERROR(__xludf.DUMMYFUNCTION("IF(A131&lt;&gt;"""", IFNA(""- ""&amp;JOIN(CHAR(10)&amp;""- "",FILTER('IMPORT COMPETENCES'!C:C,'IMPORT COMPETENCES'!A:A=A131))),)"),"")</f>
        <v/>
      </c>
      <c r="E131" s="192"/>
    </row>
    <row r="132">
      <c r="A132" s="187"/>
      <c r="B132" s="188"/>
      <c r="C132" s="187"/>
      <c r="D132" s="187" t="str">
        <f>IFERROR(__xludf.DUMMYFUNCTION("IF(A132&lt;&gt;"""", IFNA(""- ""&amp;JOIN(CHAR(10)&amp;""- "",FILTER('IMPORT COMPETENCES'!C:C,'IMPORT COMPETENCES'!A:A=A132))),)"),"")</f>
        <v/>
      </c>
      <c r="E132" s="192"/>
    </row>
    <row r="133">
      <c r="A133" s="187"/>
      <c r="B133" s="188"/>
      <c r="C133" s="187"/>
      <c r="D133" s="187" t="str">
        <f>IFERROR(__xludf.DUMMYFUNCTION("IF(A133&lt;&gt;"""", IFNA(""- ""&amp;JOIN(CHAR(10)&amp;""- "",FILTER('IMPORT COMPETENCES'!C:C,'IMPORT COMPETENCES'!A:A=A133))),)"),"")</f>
        <v/>
      </c>
      <c r="E133" s="192"/>
    </row>
    <row r="134">
      <c r="A134" s="187"/>
      <c r="B134" s="188"/>
      <c r="C134" s="187"/>
      <c r="D134" s="187" t="str">
        <f>IFERROR(__xludf.DUMMYFUNCTION("IF(A134&lt;&gt;"""", IFNA(""- ""&amp;JOIN(CHAR(10)&amp;""- "",FILTER('IMPORT COMPETENCES'!C:C,'IMPORT COMPETENCES'!A:A=A134))),)"),"")</f>
        <v/>
      </c>
      <c r="E134" s="192"/>
    </row>
    <row r="135">
      <c r="A135" s="187"/>
      <c r="B135" s="188"/>
      <c r="C135" s="187"/>
      <c r="D135" s="187" t="str">
        <f>IFERROR(__xludf.DUMMYFUNCTION("IF(A135&lt;&gt;"""", IFNA(""- ""&amp;JOIN(CHAR(10)&amp;""- "",FILTER('IMPORT COMPETENCES'!C:C,'IMPORT COMPETENCES'!A:A=A135))),)"),"")</f>
        <v/>
      </c>
      <c r="E135" s="192"/>
    </row>
    <row r="136">
      <c r="A136" s="187"/>
      <c r="B136" s="188"/>
      <c r="C136" s="187"/>
      <c r="D136" s="187" t="str">
        <f>IFERROR(__xludf.DUMMYFUNCTION("IF(A136&lt;&gt;"""", IFNA(""- ""&amp;JOIN(CHAR(10)&amp;""- "",FILTER('IMPORT COMPETENCES'!C:C,'IMPORT COMPETENCES'!A:A=A136))),)"),"")</f>
        <v/>
      </c>
      <c r="E136" s="192"/>
    </row>
    <row r="137">
      <c r="A137" s="187"/>
      <c r="B137" s="188"/>
      <c r="C137" s="187"/>
      <c r="D137" s="187" t="str">
        <f>IFERROR(__xludf.DUMMYFUNCTION("IF(A137&lt;&gt;"""", IFNA(""- ""&amp;JOIN(CHAR(10)&amp;""- "",FILTER('IMPORT COMPETENCES'!C:C,'IMPORT COMPETENCES'!A:A=A137))),)"),"")</f>
        <v/>
      </c>
      <c r="E137" s="192"/>
    </row>
    <row r="138">
      <c r="A138" s="187"/>
      <c r="B138" s="188"/>
      <c r="C138" s="187"/>
      <c r="D138" s="187" t="str">
        <f>IFERROR(__xludf.DUMMYFUNCTION("IF(A138&lt;&gt;"""", IFNA(""- ""&amp;JOIN(CHAR(10)&amp;""- "",FILTER('IMPORT COMPETENCES'!C:C,'IMPORT COMPETENCES'!A:A=A138))),)"),"")</f>
        <v/>
      </c>
      <c r="E138" s="192"/>
    </row>
    <row r="139">
      <c r="A139" s="187"/>
      <c r="B139" s="188"/>
      <c r="C139" s="187"/>
      <c r="D139" s="187" t="str">
        <f>IFERROR(__xludf.DUMMYFUNCTION("IF(A139&lt;&gt;"""", IFNA(""- ""&amp;JOIN(CHAR(10)&amp;""- "",FILTER('IMPORT COMPETENCES'!C:C,'IMPORT COMPETENCES'!A:A=A139))),)"),"")</f>
        <v/>
      </c>
      <c r="E139" s="192"/>
    </row>
    <row r="140">
      <c r="A140" s="187"/>
      <c r="B140" s="188"/>
      <c r="C140" s="187"/>
      <c r="D140" s="187" t="str">
        <f>IFERROR(__xludf.DUMMYFUNCTION("IF(A140&lt;&gt;"""", IFNA(""- ""&amp;JOIN(CHAR(10)&amp;""- "",FILTER('IMPORT COMPETENCES'!C:C,'IMPORT COMPETENCES'!A:A=A140))),)"),"")</f>
        <v/>
      </c>
      <c r="E140" s="192"/>
    </row>
    <row r="141">
      <c r="A141" s="187"/>
      <c r="B141" s="188"/>
      <c r="C141" s="187"/>
      <c r="D141" s="187" t="str">
        <f>IFERROR(__xludf.DUMMYFUNCTION("IF(A141&lt;&gt;"""", IFNA(""- ""&amp;JOIN(CHAR(10)&amp;""- "",FILTER('IMPORT COMPETENCES'!C:C,'IMPORT COMPETENCES'!A:A=A141))),)"),"")</f>
        <v/>
      </c>
      <c r="E141" s="192"/>
    </row>
    <row r="142">
      <c r="A142" s="187"/>
      <c r="B142" s="188"/>
      <c r="C142" s="187"/>
      <c r="D142" s="187" t="str">
        <f>IFERROR(__xludf.DUMMYFUNCTION("IF(A142&lt;&gt;"""", IFNA(""- ""&amp;JOIN(CHAR(10)&amp;""- "",FILTER('IMPORT COMPETENCES'!C:C,'IMPORT COMPETENCES'!A:A=A142))),)"),"")</f>
        <v/>
      </c>
      <c r="E142" s="192"/>
    </row>
    <row r="143">
      <c r="A143" s="187"/>
      <c r="B143" s="188"/>
      <c r="C143" s="187"/>
      <c r="D143" s="187" t="str">
        <f>IFERROR(__xludf.DUMMYFUNCTION("IF(A143&lt;&gt;"""", IFNA(""- ""&amp;JOIN(CHAR(10)&amp;""- "",FILTER('IMPORT COMPETENCES'!C:C,'IMPORT COMPETENCES'!A:A=A143))),)"),"")</f>
        <v/>
      </c>
      <c r="E143" s="192"/>
    </row>
    <row r="144">
      <c r="A144" s="187"/>
      <c r="B144" s="188"/>
      <c r="C144" s="187"/>
      <c r="D144" s="187" t="str">
        <f>IFERROR(__xludf.DUMMYFUNCTION("IF(A144&lt;&gt;"""", IFNA(""- ""&amp;JOIN(CHAR(10)&amp;""- "",FILTER('IMPORT COMPETENCES'!C:C,'IMPORT COMPETENCES'!A:A=A144))),)"),"")</f>
        <v/>
      </c>
      <c r="E144" s="192"/>
    </row>
    <row r="145">
      <c r="A145" s="187"/>
      <c r="B145" s="188"/>
      <c r="C145" s="187"/>
      <c r="D145" s="187" t="str">
        <f>IFERROR(__xludf.DUMMYFUNCTION("IF(A145&lt;&gt;"""", IFNA(""- ""&amp;JOIN(CHAR(10)&amp;""- "",FILTER('IMPORT COMPETENCES'!C:C,'IMPORT COMPETENCES'!A:A=A145))),)"),"")</f>
        <v/>
      </c>
      <c r="E145" s="192"/>
    </row>
    <row r="146">
      <c r="A146" s="187"/>
      <c r="B146" s="188"/>
      <c r="C146" s="187"/>
      <c r="D146" s="187" t="str">
        <f>IFERROR(__xludf.DUMMYFUNCTION("IF(A146&lt;&gt;"""", IFNA(""- ""&amp;JOIN(CHAR(10)&amp;""- "",FILTER('IMPORT COMPETENCES'!C:C,'IMPORT COMPETENCES'!A:A=A146))),)"),"")</f>
        <v/>
      </c>
      <c r="E146" s="192"/>
    </row>
    <row r="147">
      <c r="A147" s="187"/>
      <c r="B147" s="188"/>
      <c r="C147" s="187"/>
      <c r="D147" s="187" t="str">
        <f>IFERROR(__xludf.DUMMYFUNCTION("IF(A147&lt;&gt;"""", IFNA(""- ""&amp;JOIN(CHAR(10)&amp;""- "",FILTER('IMPORT COMPETENCES'!C:C,'IMPORT COMPETENCES'!A:A=A147))),)"),"")</f>
        <v/>
      </c>
      <c r="E147" s="192"/>
    </row>
    <row r="148">
      <c r="A148" s="187"/>
      <c r="B148" s="188"/>
      <c r="C148" s="187"/>
      <c r="D148" s="187" t="str">
        <f>IFERROR(__xludf.DUMMYFUNCTION("IF(A148&lt;&gt;"""", IFNA(""- ""&amp;JOIN(CHAR(10)&amp;""- "",FILTER('IMPORT COMPETENCES'!C:C,'IMPORT COMPETENCES'!A:A=A148))),)"),"")</f>
        <v/>
      </c>
      <c r="E148" s="192"/>
    </row>
    <row r="149">
      <c r="A149" s="187"/>
      <c r="B149" s="188"/>
      <c r="C149" s="187"/>
      <c r="D149" s="187" t="str">
        <f>IFERROR(__xludf.DUMMYFUNCTION("IF(A149&lt;&gt;"""", IFNA(""- ""&amp;JOIN(CHAR(10)&amp;""- "",FILTER('IMPORT COMPETENCES'!C:C,'IMPORT COMPETENCES'!A:A=A149))),)"),"")</f>
        <v/>
      </c>
      <c r="E149" s="192"/>
    </row>
    <row r="150">
      <c r="A150" s="187"/>
      <c r="B150" s="188"/>
      <c r="C150" s="187"/>
      <c r="D150" s="187" t="str">
        <f>IFERROR(__xludf.DUMMYFUNCTION("IF(A150&lt;&gt;"""", IFNA(""- ""&amp;JOIN(CHAR(10)&amp;""- "",FILTER('IMPORT COMPETENCES'!C:C,'IMPORT COMPETENCES'!A:A=A150))),)"),"")</f>
        <v/>
      </c>
      <c r="E150" s="192"/>
    </row>
    <row r="151">
      <c r="A151" s="187"/>
      <c r="B151" s="188"/>
      <c r="C151" s="187"/>
      <c r="D151" s="187" t="str">
        <f>IFERROR(__xludf.DUMMYFUNCTION("IF(A151&lt;&gt;"""", IFNA(""- ""&amp;JOIN(CHAR(10)&amp;""- "",FILTER('IMPORT COMPETENCES'!C:C,'IMPORT COMPETENCES'!A:A=A151))),)"),"")</f>
        <v/>
      </c>
      <c r="E151" s="192"/>
    </row>
    <row r="152">
      <c r="A152" s="187"/>
      <c r="B152" s="188"/>
      <c r="C152" s="187"/>
      <c r="D152" s="187" t="str">
        <f>IFERROR(__xludf.DUMMYFUNCTION("IF(A152&lt;&gt;"""", IFNA(""- ""&amp;JOIN(CHAR(10)&amp;""- "",FILTER('IMPORT COMPETENCES'!C:C,'IMPORT COMPETENCES'!A:A=A152))),)"),"")</f>
        <v/>
      </c>
      <c r="E152" s="192"/>
    </row>
    <row r="153">
      <c r="A153" s="187"/>
      <c r="B153" s="188"/>
      <c r="C153" s="187"/>
      <c r="D153" s="187" t="str">
        <f>IFERROR(__xludf.DUMMYFUNCTION("IF(A153&lt;&gt;"""", IFNA(""- ""&amp;JOIN(CHAR(10)&amp;""- "",FILTER('IMPORT COMPETENCES'!C:C,'IMPORT COMPETENCES'!A:A=A153))),)"),"")</f>
        <v/>
      </c>
      <c r="E153" s="192"/>
    </row>
    <row r="154">
      <c r="A154" s="187"/>
      <c r="B154" s="188"/>
      <c r="C154" s="187"/>
      <c r="D154" s="187" t="str">
        <f>IFERROR(__xludf.DUMMYFUNCTION("IF(A154&lt;&gt;"""", IFNA(""- ""&amp;JOIN(CHAR(10)&amp;""- "",FILTER('IMPORT COMPETENCES'!C:C,'IMPORT COMPETENCES'!A:A=A154))),)"),"")</f>
        <v/>
      </c>
      <c r="E154" s="192"/>
    </row>
    <row r="155">
      <c r="A155" s="187"/>
      <c r="B155" s="188"/>
      <c r="C155" s="187"/>
      <c r="D155" s="187" t="str">
        <f>IFERROR(__xludf.DUMMYFUNCTION("IF(A155&lt;&gt;"""", IFNA(""- ""&amp;JOIN(CHAR(10)&amp;""- "",FILTER('IMPORT COMPETENCES'!C:C,'IMPORT COMPETENCES'!A:A=A155))),)"),"")</f>
        <v/>
      </c>
      <c r="E155" s="192"/>
    </row>
    <row r="156">
      <c r="A156" s="187"/>
      <c r="B156" s="188"/>
      <c r="C156" s="187"/>
      <c r="D156" s="187" t="str">
        <f>IFERROR(__xludf.DUMMYFUNCTION("IF(A156&lt;&gt;"""", IFNA(""- ""&amp;JOIN(CHAR(10)&amp;""- "",FILTER('IMPORT COMPETENCES'!C:C,'IMPORT COMPETENCES'!A:A=A156))),)"),"")</f>
        <v/>
      </c>
      <c r="E156" s="192"/>
    </row>
    <row r="157">
      <c r="A157" s="187"/>
      <c r="B157" s="188"/>
      <c r="C157" s="187"/>
      <c r="D157" s="187" t="str">
        <f>IFERROR(__xludf.DUMMYFUNCTION("IF(A157&lt;&gt;"""", IFNA(""- ""&amp;JOIN(CHAR(10)&amp;""- "",FILTER('IMPORT COMPETENCES'!C:C,'IMPORT COMPETENCES'!A:A=A157))),)"),"")</f>
        <v/>
      </c>
      <c r="E157" s="192"/>
    </row>
    <row r="158">
      <c r="A158" s="187"/>
      <c r="B158" s="188"/>
      <c r="C158" s="187"/>
      <c r="D158" s="187" t="str">
        <f>IFERROR(__xludf.DUMMYFUNCTION("IF(A158&lt;&gt;"""", IFNA(""- ""&amp;JOIN(CHAR(10)&amp;""- "",FILTER('IMPORT COMPETENCES'!C:C,'IMPORT COMPETENCES'!A:A=A158))),)"),"")</f>
        <v/>
      </c>
      <c r="E158" s="192"/>
    </row>
    <row r="159">
      <c r="A159" s="187"/>
      <c r="B159" s="188"/>
      <c r="C159" s="187"/>
      <c r="D159" s="187" t="str">
        <f>IFERROR(__xludf.DUMMYFUNCTION("IF(A159&lt;&gt;"""", IFNA(""- ""&amp;JOIN(CHAR(10)&amp;""- "",FILTER('IMPORT COMPETENCES'!C:C,'IMPORT COMPETENCES'!A:A=A159))),)"),"")</f>
        <v/>
      </c>
      <c r="E159" s="192"/>
    </row>
    <row r="160">
      <c r="A160" s="187"/>
      <c r="B160" s="188"/>
      <c r="C160" s="187"/>
      <c r="D160" s="187" t="str">
        <f>IFERROR(__xludf.DUMMYFUNCTION("IF(A160&lt;&gt;"""", IFNA(""- ""&amp;JOIN(CHAR(10)&amp;""- "",FILTER('IMPORT COMPETENCES'!C:C,'IMPORT COMPETENCES'!A:A=A160))),)"),"")</f>
        <v/>
      </c>
      <c r="E160" s="192"/>
    </row>
    <row r="161">
      <c r="A161" s="187"/>
      <c r="B161" s="188"/>
      <c r="C161" s="187"/>
      <c r="D161" s="187" t="str">
        <f>IFERROR(__xludf.DUMMYFUNCTION("IF(A161&lt;&gt;"""", IFNA(""- ""&amp;JOIN(CHAR(10)&amp;""- "",FILTER('IMPORT COMPETENCES'!C:C,'IMPORT COMPETENCES'!A:A=A161))),)"),"")</f>
        <v/>
      </c>
      <c r="E161" s="192"/>
    </row>
    <row r="162">
      <c r="A162" s="187"/>
      <c r="B162" s="188"/>
      <c r="C162" s="187"/>
      <c r="D162" s="187" t="str">
        <f>IFERROR(__xludf.DUMMYFUNCTION("IF(A162&lt;&gt;"""", IFNA(""- ""&amp;JOIN(CHAR(10)&amp;""- "",FILTER('IMPORT COMPETENCES'!C:C,'IMPORT COMPETENCES'!A:A=A162))),)"),"")</f>
        <v/>
      </c>
      <c r="E162" s="192"/>
    </row>
    <row r="163">
      <c r="A163" s="187"/>
      <c r="B163" s="188"/>
      <c r="C163" s="187"/>
      <c r="D163" s="187" t="str">
        <f>IFERROR(__xludf.DUMMYFUNCTION("IF(A163&lt;&gt;"""", IFNA(""- ""&amp;JOIN(CHAR(10)&amp;""- "",FILTER('IMPORT COMPETENCES'!C:C,'IMPORT COMPETENCES'!A:A=A163))),)"),"")</f>
        <v/>
      </c>
      <c r="E163" s="192"/>
    </row>
    <row r="164">
      <c r="A164" s="187"/>
      <c r="B164" s="188"/>
      <c r="C164" s="187"/>
      <c r="D164" s="187" t="str">
        <f>IFERROR(__xludf.DUMMYFUNCTION("IF(A164&lt;&gt;"""", IFNA(""- ""&amp;JOIN(CHAR(10)&amp;""- "",FILTER('IMPORT COMPETENCES'!C:C,'IMPORT COMPETENCES'!A:A=A164))),)"),"")</f>
        <v/>
      </c>
      <c r="E164" s="192"/>
    </row>
    <row r="165">
      <c r="A165" s="187"/>
      <c r="B165" s="188"/>
      <c r="C165" s="187"/>
      <c r="D165" s="187" t="str">
        <f>IFERROR(__xludf.DUMMYFUNCTION("IF(A165&lt;&gt;"""", IFNA(""- ""&amp;JOIN(CHAR(10)&amp;""- "",FILTER('IMPORT COMPETENCES'!C:C,'IMPORT COMPETENCES'!A:A=A165))),)"),"")</f>
        <v/>
      </c>
      <c r="E165" s="192"/>
    </row>
    <row r="166">
      <c r="A166" s="187"/>
      <c r="B166" s="188"/>
      <c r="C166" s="187"/>
      <c r="D166" s="187" t="str">
        <f>IFERROR(__xludf.DUMMYFUNCTION("IF(A166&lt;&gt;"""", IFNA(""- ""&amp;JOIN(CHAR(10)&amp;""- "",FILTER('IMPORT COMPETENCES'!C:C,'IMPORT COMPETENCES'!A:A=A166))),)"),"")</f>
        <v/>
      </c>
      <c r="E166" s="192"/>
    </row>
    <row r="167">
      <c r="A167" s="187"/>
      <c r="B167" s="188"/>
      <c r="C167" s="187"/>
      <c r="D167" s="187" t="str">
        <f>IFERROR(__xludf.DUMMYFUNCTION("IF(A167&lt;&gt;"""", IFNA(""- ""&amp;JOIN(CHAR(10)&amp;""- "",FILTER('IMPORT COMPETENCES'!C:C,'IMPORT COMPETENCES'!A:A=A167))),)"),"")</f>
        <v/>
      </c>
      <c r="E167" s="192"/>
    </row>
    <row r="168">
      <c r="A168" s="187"/>
      <c r="B168" s="188"/>
      <c r="C168" s="187"/>
      <c r="D168" s="187" t="str">
        <f>IFERROR(__xludf.DUMMYFUNCTION("IF(A168&lt;&gt;"""", IFNA(""- ""&amp;JOIN(CHAR(10)&amp;""- "",FILTER('IMPORT COMPETENCES'!C:C,'IMPORT COMPETENCES'!A:A=A168))),)"),"")</f>
        <v/>
      </c>
      <c r="E168" s="192"/>
    </row>
    <row r="169">
      <c r="A169" s="187"/>
      <c r="B169" s="188"/>
      <c r="C169" s="187"/>
      <c r="D169" s="187" t="str">
        <f>IFERROR(__xludf.DUMMYFUNCTION("IF(A169&lt;&gt;"""", IFNA(""- ""&amp;JOIN(CHAR(10)&amp;""- "",FILTER('IMPORT COMPETENCES'!C:C,'IMPORT COMPETENCES'!A:A=A169))),)"),"")</f>
        <v/>
      </c>
      <c r="E169" s="192"/>
    </row>
    <row r="170">
      <c r="A170" s="187"/>
      <c r="B170" s="188"/>
      <c r="C170" s="187"/>
      <c r="D170" s="187" t="str">
        <f>IFERROR(__xludf.DUMMYFUNCTION("IF(A170&lt;&gt;"""", IFNA(""- ""&amp;JOIN(CHAR(10)&amp;""- "",FILTER('IMPORT COMPETENCES'!C:C,'IMPORT COMPETENCES'!A:A=A170))),)"),"")</f>
        <v/>
      </c>
      <c r="E170" s="192"/>
    </row>
    <row r="171">
      <c r="A171" s="187"/>
      <c r="B171" s="188"/>
      <c r="C171" s="187"/>
      <c r="D171" s="187" t="str">
        <f>IFERROR(__xludf.DUMMYFUNCTION("IF(A171&lt;&gt;"""", IFNA(""- ""&amp;JOIN(CHAR(10)&amp;""- "",FILTER('IMPORT COMPETENCES'!C:C,'IMPORT COMPETENCES'!A:A=A171))),)"),"")</f>
        <v/>
      </c>
      <c r="E171" s="192"/>
    </row>
    <row r="172">
      <c r="A172" s="187"/>
      <c r="B172" s="188"/>
      <c r="C172" s="187"/>
      <c r="D172" s="187" t="str">
        <f>IFERROR(__xludf.DUMMYFUNCTION("IF(A172&lt;&gt;"""", IFNA(""- ""&amp;JOIN(CHAR(10)&amp;""- "",FILTER('IMPORT COMPETENCES'!C:C,'IMPORT COMPETENCES'!A:A=A172))),)"),"")</f>
        <v/>
      </c>
      <c r="E172" s="192"/>
    </row>
    <row r="173">
      <c r="A173" s="187"/>
      <c r="B173" s="188"/>
      <c r="C173" s="187"/>
      <c r="D173" s="187" t="str">
        <f>IFERROR(__xludf.DUMMYFUNCTION("IF(A173&lt;&gt;"""", IFNA(""- ""&amp;JOIN(CHAR(10)&amp;""- "",FILTER('IMPORT COMPETENCES'!C:C,'IMPORT COMPETENCES'!A:A=A173))),)"),"")</f>
        <v/>
      </c>
      <c r="E173" s="192"/>
    </row>
    <row r="174">
      <c r="A174" s="187"/>
      <c r="B174" s="188"/>
      <c r="C174" s="187"/>
      <c r="D174" s="187" t="str">
        <f>IFERROR(__xludf.DUMMYFUNCTION("IF(A174&lt;&gt;"""", IFNA(""- ""&amp;JOIN(CHAR(10)&amp;""- "",FILTER('IMPORT COMPETENCES'!C:C,'IMPORT COMPETENCES'!A:A=A174))),)"),"")</f>
        <v/>
      </c>
      <c r="E174" s="192"/>
    </row>
    <row r="175">
      <c r="A175" s="187"/>
      <c r="B175" s="188"/>
      <c r="C175" s="187"/>
      <c r="D175" s="187" t="str">
        <f>IFERROR(__xludf.DUMMYFUNCTION("IF(A175&lt;&gt;"""", IFNA(""- ""&amp;JOIN(CHAR(10)&amp;""- "",FILTER('IMPORT COMPETENCES'!C:C,'IMPORT COMPETENCES'!A:A=A175))),)"),"")</f>
        <v/>
      </c>
      <c r="E175" s="192"/>
    </row>
    <row r="176">
      <c r="A176" s="187"/>
      <c r="B176" s="188"/>
      <c r="C176" s="187"/>
      <c r="D176" s="187" t="str">
        <f>IFERROR(__xludf.DUMMYFUNCTION("IF(A176&lt;&gt;"""", IFNA(""- ""&amp;JOIN(CHAR(10)&amp;""- "",FILTER('IMPORT COMPETENCES'!C:C,'IMPORT COMPETENCES'!A:A=A176))),)"),"")</f>
        <v/>
      </c>
      <c r="E176" s="192"/>
    </row>
    <row r="177">
      <c r="A177" s="187"/>
      <c r="B177" s="188"/>
      <c r="C177" s="187"/>
      <c r="D177" s="187" t="str">
        <f>IFERROR(__xludf.DUMMYFUNCTION("IF(A177&lt;&gt;"""", IFNA(""- ""&amp;JOIN(CHAR(10)&amp;""- "",FILTER('IMPORT COMPETENCES'!C:C,'IMPORT COMPETENCES'!A:A=A177))),)"),"")</f>
        <v/>
      </c>
      <c r="E177" s="192"/>
    </row>
    <row r="178">
      <c r="A178" s="187"/>
      <c r="B178" s="188"/>
      <c r="C178" s="187"/>
      <c r="D178" s="187" t="str">
        <f>IFERROR(__xludf.DUMMYFUNCTION("IF(A178&lt;&gt;"""", IFNA(""- ""&amp;JOIN(CHAR(10)&amp;""- "",FILTER('IMPORT COMPETENCES'!C:C,'IMPORT COMPETENCES'!A:A=A178))),)"),"")</f>
        <v/>
      </c>
      <c r="E178" s="192"/>
    </row>
    <row r="179">
      <c r="A179" s="187"/>
      <c r="B179" s="188"/>
      <c r="C179" s="187"/>
      <c r="D179" s="187" t="str">
        <f>IFERROR(__xludf.DUMMYFUNCTION("IF(A179&lt;&gt;"""", IFNA(""- ""&amp;JOIN(CHAR(10)&amp;""- "",FILTER('IMPORT COMPETENCES'!C:C,'IMPORT COMPETENCES'!A:A=A179))),)"),"")</f>
        <v/>
      </c>
      <c r="E179" s="192"/>
    </row>
    <row r="180">
      <c r="A180" s="187"/>
      <c r="B180" s="188"/>
      <c r="C180" s="187"/>
      <c r="D180" s="187" t="str">
        <f>IFERROR(__xludf.DUMMYFUNCTION("IF(A180&lt;&gt;"""", IFNA(""- ""&amp;JOIN(CHAR(10)&amp;""- "",FILTER('IMPORT COMPETENCES'!C:C,'IMPORT COMPETENCES'!A:A=A180))),)"),"")</f>
        <v/>
      </c>
      <c r="E180" s="192"/>
    </row>
    <row r="181">
      <c r="A181" s="187"/>
      <c r="B181" s="188"/>
      <c r="C181" s="187"/>
      <c r="D181" s="187" t="str">
        <f>IFERROR(__xludf.DUMMYFUNCTION("IF(A181&lt;&gt;"""", IFNA(""- ""&amp;JOIN(CHAR(10)&amp;""- "",FILTER('IMPORT COMPETENCES'!C:C,'IMPORT COMPETENCES'!A:A=A181))),)"),"")</f>
        <v/>
      </c>
      <c r="E181" s="192"/>
    </row>
    <row r="182">
      <c r="A182" s="187"/>
      <c r="B182" s="188"/>
      <c r="C182" s="187"/>
      <c r="D182" s="187" t="str">
        <f>IFERROR(__xludf.DUMMYFUNCTION("IF(A182&lt;&gt;"""", IFNA(""- ""&amp;JOIN(CHAR(10)&amp;""- "",FILTER('IMPORT COMPETENCES'!C:C,'IMPORT COMPETENCES'!A:A=A182))),)"),"")</f>
        <v/>
      </c>
      <c r="E182" s="192"/>
    </row>
    <row r="183">
      <c r="A183" s="187"/>
      <c r="B183" s="188"/>
      <c r="C183" s="187"/>
      <c r="D183" s="187" t="str">
        <f>IFERROR(__xludf.DUMMYFUNCTION("IF(A183&lt;&gt;"""", IFNA(""- ""&amp;JOIN(CHAR(10)&amp;""- "",FILTER('IMPORT COMPETENCES'!C:C,'IMPORT COMPETENCES'!A:A=A183))),)"),"")</f>
        <v/>
      </c>
      <c r="E183" s="192"/>
    </row>
    <row r="184">
      <c r="A184" s="187"/>
      <c r="B184" s="188"/>
      <c r="C184" s="187"/>
      <c r="D184" s="187" t="str">
        <f>IFERROR(__xludf.DUMMYFUNCTION("IF(A184&lt;&gt;"""", IFNA(""- ""&amp;JOIN(CHAR(10)&amp;""- "",FILTER('IMPORT COMPETENCES'!C:C,'IMPORT COMPETENCES'!A:A=A184))),)"),"")</f>
        <v/>
      </c>
      <c r="E184" s="192"/>
    </row>
    <row r="185">
      <c r="A185" s="187"/>
      <c r="B185" s="188"/>
      <c r="C185" s="187"/>
      <c r="D185" s="187" t="str">
        <f>IFERROR(__xludf.DUMMYFUNCTION("IF(A185&lt;&gt;"""", IFNA(""- ""&amp;JOIN(CHAR(10)&amp;""- "",FILTER('IMPORT COMPETENCES'!C:C,'IMPORT COMPETENCES'!A:A=A185))),)"),"")</f>
        <v/>
      </c>
      <c r="E185" s="192"/>
    </row>
    <row r="186">
      <c r="A186" s="187"/>
      <c r="B186" s="188"/>
      <c r="C186" s="187"/>
      <c r="D186" s="187" t="str">
        <f>IFERROR(__xludf.DUMMYFUNCTION("IF(A186&lt;&gt;"""", IFNA(""- ""&amp;JOIN(CHAR(10)&amp;""- "",FILTER('IMPORT COMPETENCES'!C:C,'IMPORT COMPETENCES'!A:A=A186))),)"),"")</f>
        <v/>
      </c>
      <c r="E186" s="192"/>
    </row>
    <row r="187">
      <c r="A187" s="187"/>
      <c r="B187" s="188"/>
      <c r="C187" s="187"/>
      <c r="D187" s="187" t="str">
        <f>IFERROR(__xludf.DUMMYFUNCTION("IF(A187&lt;&gt;"""", IFNA(""- ""&amp;JOIN(CHAR(10)&amp;""- "",FILTER('IMPORT COMPETENCES'!C:C,'IMPORT COMPETENCES'!A:A=A187))),)"),"")</f>
        <v/>
      </c>
      <c r="E187" s="192"/>
    </row>
    <row r="188">
      <c r="A188" s="187"/>
      <c r="B188" s="188"/>
      <c r="C188" s="187"/>
      <c r="D188" s="187" t="str">
        <f>IFERROR(__xludf.DUMMYFUNCTION("IF(A188&lt;&gt;"""", IFNA(""- ""&amp;JOIN(CHAR(10)&amp;""- "",FILTER('IMPORT COMPETENCES'!C:C,'IMPORT COMPETENCES'!A:A=A188))),)"),"")</f>
        <v/>
      </c>
      <c r="E188" s="192"/>
    </row>
    <row r="189">
      <c r="A189" s="187"/>
      <c r="B189" s="188"/>
      <c r="C189" s="187"/>
      <c r="D189" s="187" t="str">
        <f>IFERROR(__xludf.DUMMYFUNCTION("IF(A189&lt;&gt;"""", IFNA(""- ""&amp;JOIN(CHAR(10)&amp;""- "",FILTER('IMPORT COMPETENCES'!C:C,'IMPORT COMPETENCES'!A:A=A189))),)"),"")</f>
        <v/>
      </c>
      <c r="E189" s="192"/>
    </row>
    <row r="190">
      <c r="A190" s="187"/>
      <c r="B190" s="188"/>
      <c r="C190" s="187"/>
      <c r="D190" s="187" t="str">
        <f>IFERROR(__xludf.DUMMYFUNCTION("IF(A190&lt;&gt;"""", IFNA(""- ""&amp;JOIN(CHAR(10)&amp;""- "",FILTER('IMPORT COMPETENCES'!C:C,'IMPORT COMPETENCES'!A:A=A190))),)"),"")</f>
        <v/>
      </c>
      <c r="E190" s="192"/>
    </row>
    <row r="191">
      <c r="A191" s="187"/>
      <c r="B191" s="188"/>
      <c r="C191" s="187"/>
      <c r="D191" s="187" t="str">
        <f>IFERROR(__xludf.DUMMYFUNCTION("IF(A191&lt;&gt;"""", IFNA(""- ""&amp;JOIN(CHAR(10)&amp;""- "",FILTER('IMPORT COMPETENCES'!C:C,'IMPORT COMPETENCES'!A:A=A191))),)"),"")</f>
        <v/>
      </c>
      <c r="E191" s="192"/>
    </row>
    <row r="192">
      <c r="A192" s="187"/>
      <c r="B192" s="188"/>
      <c r="C192" s="187"/>
      <c r="D192" s="187" t="str">
        <f>IFERROR(__xludf.DUMMYFUNCTION("IF(A192&lt;&gt;"""", IFNA(""- ""&amp;JOIN(CHAR(10)&amp;""- "",FILTER('IMPORT COMPETENCES'!C:C,'IMPORT COMPETENCES'!A:A=A192))),)"),"")</f>
        <v/>
      </c>
      <c r="E192" s="192"/>
    </row>
    <row r="193">
      <c r="A193" s="187"/>
      <c r="B193" s="188"/>
      <c r="C193" s="187"/>
      <c r="D193" s="187" t="str">
        <f>IFERROR(__xludf.DUMMYFUNCTION("IF(A193&lt;&gt;"""", IFNA(""- ""&amp;JOIN(CHAR(10)&amp;""- "",FILTER('IMPORT COMPETENCES'!C:C,'IMPORT COMPETENCES'!A:A=A193))),)"),"")</f>
        <v/>
      </c>
      <c r="E193" s="192"/>
    </row>
    <row r="194">
      <c r="A194" s="187"/>
      <c r="B194" s="188"/>
      <c r="C194" s="187"/>
      <c r="D194" s="187" t="str">
        <f>IFERROR(__xludf.DUMMYFUNCTION("IF(A194&lt;&gt;"""", IFNA(""- ""&amp;JOIN(CHAR(10)&amp;""- "",FILTER('IMPORT COMPETENCES'!C:C,'IMPORT COMPETENCES'!A:A=A194))),)"),"")</f>
        <v/>
      </c>
      <c r="E194" s="192"/>
    </row>
    <row r="195">
      <c r="A195" s="187"/>
      <c r="B195" s="188"/>
      <c r="C195" s="187"/>
      <c r="D195" s="187" t="str">
        <f>IFERROR(__xludf.DUMMYFUNCTION("IF(A195&lt;&gt;"""", IFNA(""- ""&amp;JOIN(CHAR(10)&amp;""- "",FILTER('IMPORT COMPETENCES'!C:C,'IMPORT COMPETENCES'!A:A=A195))),)"),"")</f>
        <v/>
      </c>
      <c r="E195" s="192"/>
    </row>
    <row r="196">
      <c r="A196" s="187"/>
      <c r="B196" s="188"/>
      <c r="C196" s="187"/>
      <c r="D196" s="187" t="str">
        <f>IFERROR(__xludf.DUMMYFUNCTION("IF(A196&lt;&gt;"""", IFNA(""- ""&amp;JOIN(CHAR(10)&amp;""- "",FILTER('IMPORT COMPETENCES'!C:C,'IMPORT COMPETENCES'!A:A=A196))),)"),"")</f>
        <v/>
      </c>
      <c r="E196" s="192"/>
    </row>
    <row r="197">
      <c r="A197" s="187"/>
      <c r="B197" s="188"/>
      <c r="C197" s="187"/>
      <c r="D197" s="187" t="str">
        <f>IFERROR(__xludf.DUMMYFUNCTION("IF(A197&lt;&gt;"""", IFNA(""- ""&amp;JOIN(CHAR(10)&amp;""- "",FILTER('IMPORT COMPETENCES'!C:C,'IMPORT COMPETENCES'!A:A=A197))),)"),"")</f>
        <v/>
      </c>
      <c r="E197" s="192"/>
    </row>
    <row r="198">
      <c r="A198" s="187"/>
      <c r="B198" s="188"/>
      <c r="C198" s="187"/>
      <c r="D198" s="187" t="str">
        <f>IFERROR(__xludf.DUMMYFUNCTION("IF(A198&lt;&gt;"""", IFNA(""- ""&amp;JOIN(CHAR(10)&amp;""- "",FILTER('IMPORT COMPETENCES'!C:C,'IMPORT COMPETENCES'!A:A=A198))),)"),"")</f>
        <v/>
      </c>
      <c r="E198" s="192"/>
    </row>
    <row r="199">
      <c r="A199" s="187"/>
      <c r="B199" s="188"/>
      <c r="C199" s="187"/>
      <c r="D199" s="187" t="str">
        <f>IFERROR(__xludf.DUMMYFUNCTION("IF(A199&lt;&gt;"""", IFNA(""- ""&amp;JOIN(CHAR(10)&amp;""- "",FILTER('IMPORT COMPETENCES'!C:C,'IMPORT COMPETENCES'!A:A=A199))),)"),"")</f>
        <v/>
      </c>
      <c r="E199" s="192"/>
    </row>
    <row r="200">
      <c r="A200" s="187"/>
      <c r="B200" s="188"/>
      <c r="C200" s="187"/>
      <c r="D200" s="187" t="str">
        <f>IFERROR(__xludf.DUMMYFUNCTION("IF(A200&lt;&gt;"""", IFNA(""- ""&amp;JOIN(CHAR(10)&amp;""- "",FILTER('IMPORT COMPETENCES'!C:C,'IMPORT COMPETENCES'!A:A=A200))),)"),"")</f>
        <v/>
      </c>
      <c r="E200" s="192"/>
    </row>
    <row r="201">
      <c r="A201" s="187"/>
      <c r="B201" s="188"/>
      <c r="C201" s="187"/>
      <c r="D201" s="187" t="str">
        <f>IFERROR(__xludf.DUMMYFUNCTION("IF(A201&lt;&gt;"""", IFNA(""- ""&amp;JOIN(CHAR(10)&amp;""- "",FILTER('IMPORT COMPETENCES'!C:C,'IMPORT COMPETENCES'!A:A=A201))),)"),"")</f>
        <v/>
      </c>
      <c r="E201" s="192"/>
    </row>
    <row r="202">
      <c r="A202" s="187"/>
      <c r="B202" s="188"/>
      <c r="C202" s="187"/>
      <c r="D202" s="187" t="str">
        <f>IFERROR(__xludf.DUMMYFUNCTION("IF(A202&lt;&gt;"""", IFNA(""- ""&amp;JOIN(CHAR(10)&amp;""- "",FILTER('IMPORT COMPETENCES'!C:C,'IMPORT COMPETENCES'!A:A=A202))),)"),"")</f>
        <v/>
      </c>
      <c r="E202" s="192"/>
    </row>
    <row r="203">
      <c r="A203" s="187"/>
      <c r="B203" s="188"/>
      <c r="C203" s="187"/>
      <c r="D203" s="187" t="str">
        <f>IFERROR(__xludf.DUMMYFUNCTION("IF(A203&lt;&gt;"""", IFNA(""- ""&amp;JOIN(CHAR(10)&amp;""- "",FILTER('IMPORT COMPETENCES'!C:C,'IMPORT COMPETENCES'!A:A=A203))),)"),"")</f>
        <v/>
      </c>
      <c r="E203" s="192"/>
    </row>
    <row r="204">
      <c r="A204" s="187"/>
      <c r="B204" s="188"/>
      <c r="C204" s="187"/>
      <c r="D204" s="187" t="str">
        <f>IFERROR(__xludf.DUMMYFUNCTION("IF(A204&lt;&gt;"""", IFNA(""- ""&amp;JOIN(CHAR(10)&amp;""- "",FILTER('IMPORT COMPETENCES'!C:C,'IMPORT COMPETENCES'!A:A=A204))),)"),"")</f>
        <v/>
      </c>
      <c r="E204" s="192"/>
    </row>
    <row r="205">
      <c r="A205" s="187"/>
      <c r="B205" s="188"/>
      <c r="C205" s="187"/>
      <c r="D205" s="187" t="str">
        <f>IFERROR(__xludf.DUMMYFUNCTION("IF(A205&lt;&gt;"""", IFNA(""- ""&amp;JOIN(CHAR(10)&amp;""- "",FILTER('IMPORT COMPETENCES'!C:C,'IMPORT COMPETENCES'!A:A=A205))),)"),"")</f>
        <v/>
      </c>
      <c r="E205" s="192"/>
    </row>
    <row r="206">
      <c r="A206" s="187"/>
      <c r="B206" s="188"/>
      <c r="C206" s="187"/>
      <c r="D206" s="187" t="str">
        <f>IFERROR(__xludf.DUMMYFUNCTION("IF(A206&lt;&gt;"""", IFNA(""- ""&amp;JOIN(CHAR(10)&amp;""- "",FILTER('IMPORT COMPETENCES'!C:C,'IMPORT COMPETENCES'!A:A=A206))),)"),"")</f>
        <v/>
      </c>
      <c r="E206" s="192"/>
    </row>
    <row r="207">
      <c r="A207" s="187"/>
      <c r="B207" s="188"/>
      <c r="C207" s="187"/>
      <c r="D207" s="187" t="str">
        <f>IFERROR(__xludf.DUMMYFUNCTION("IF(A207&lt;&gt;"""", IFNA(""- ""&amp;JOIN(CHAR(10)&amp;""- "",FILTER('IMPORT COMPETENCES'!C:C,'IMPORT COMPETENCES'!A:A=A207))),)"),"")</f>
        <v/>
      </c>
      <c r="E207" s="192"/>
    </row>
    <row r="208">
      <c r="A208" s="187"/>
      <c r="B208" s="188"/>
      <c r="C208" s="187"/>
      <c r="D208" s="187" t="str">
        <f>IFERROR(__xludf.DUMMYFUNCTION("IF(A208&lt;&gt;"""", IFNA(""- ""&amp;JOIN(CHAR(10)&amp;""- "",FILTER('IMPORT COMPETENCES'!C:C,'IMPORT COMPETENCES'!A:A=A208))),)"),"")</f>
        <v/>
      </c>
      <c r="E208" s="192"/>
    </row>
    <row r="209">
      <c r="A209" s="187"/>
      <c r="B209" s="188"/>
      <c r="C209" s="187"/>
      <c r="D209" s="187" t="str">
        <f>IFERROR(__xludf.DUMMYFUNCTION("IF(A209&lt;&gt;"""", IFNA(""- ""&amp;JOIN(CHAR(10)&amp;""- "",FILTER('IMPORT COMPETENCES'!C:C,'IMPORT COMPETENCES'!A:A=A209))),)"),"")</f>
        <v/>
      </c>
      <c r="E209" s="192"/>
    </row>
    <row r="210">
      <c r="A210" s="187"/>
      <c r="B210" s="188"/>
      <c r="C210" s="187"/>
      <c r="D210" s="187" t="str">
        <f>IFERROR(__xludf.DUMMYFUNCTION("IF(A210&lt;&gt;"""", IFNA(""- ""&amp;JOIN(CHAR(10)&amp;""- "",FILTER('IMPORT COMPETENCES'!C:C,'IMPORT COMPETENCES'!A:A=A210))),)"),"")</f>
        <v/>
      </c>
      <c r="E210" s="192"/>
    </row>
    <row r="211">
      <c r="A211" s="187"/>
      <c r="B211" s="188"/>
      <c r="C211" s="187"/>
      <c r="D211" s="187" t="str">
        <f>IFERROR(__xludf.DUMMYFUNCTION("IF(A211&lt;&gt;"""", IFNA(""- ""&amp;JOIN(CHAR(10)&amp;""- "",FILTER('IMPORT COMPETENCES'!C:C,'IMPORT COMPETENCES'!A:A=A211))),)"),"")</f>
        <v/>
      </c>
      <c r="E211" s="192"/>
    </row>
    <row r="212">
      <c r="A212" s="187"/>
      <c r="B212" s="188"/>
      <c r="C212" s="187"/>
      <c r="D212" s="187" t="str">
        <f>IFERROR(__xludf.DUMMYFUNCTION("IF(A212&lt;&gt;"""", IFNA(""- ""&amp;JOIN(CHAR(10)&amp;""- "",FILTER('IMPORT COMPETENCES'!C:C,'IMPORT COMPETENCES'!A:A=A212))),)"),"")</f>
        <v/>
      </c>
      <c r="E212" s="192"/>
    </row>
    <row r="213">
      <c r="A213" s="187"/>
      <c r="B213" s="188"/>
      <c r="C213" s="187"/>
      <c r="D213" s="187" t="str">
        <f>IFERROR(__xludf.DUMMYFUNCTION("IF(A213&lt;&gt;"""", IFNA(""- ""&amp;JOIN(CHAR(10)&amp;""- "",FILTER('IMPORT COMPETENCES'!C:C,'IMPORT COMPETENCES'!A:A=A213))),)"),"")</f>
        <v/>
      </c>
      <c r="E213" s="192"/>
    </row>
    <row r="214">
      <c r="A214" s="187"/>
      <c r="B214" s="188"/>
      <c r="C214" s="187"/>
      <c r="D214" s="187" t="str">
        <f>IFERROR(__xludf.DUMMYFUNCTION("IF(A214&lt;&gt;"""", IFNA(""- ""&amp;JOIN(CHAR(10)&amp;""- "",FILTER('IMPORT COMPETENCES'!C:C,'IMPORT COMPETENCES'!A:A=A214))),)"),"")</f>
        <v/>
      </c>
      <c r="E214" s="192"/>
    </row>
    <row r="215">
      <c r="A215" s="187"/>
      <c r="B215" s="188"/>
      <c r="C215" s="187"/>
      <c r="D215" s="187" t="str">
        <f>IFERROR(__xludf.DUMMYFUNCTION("IF(A215&lt;&gt;"""", IFNA(""- ""&amp;JOIN(CHAR(10)&amp;""- "",FILTER('IMPORT COMPETENCES'!C:C,'IMPORT COMPETENCES'!A:A=A215))),)"),"")</f>
        <v/>
      </c>
      <c r="E215" s="192"/>
    </row>
    <row r="216">
      <c r="A216" s="187"/>
      <c r="B216" s="188"/>
      <c r="C216" s="187"/>
      <c r="D216" s="187" t="str">
        <f>IFERROR(__xludf.DUMMYFUNCTION("IF(A216&lt;&gt;"""", IFNA(""- ""&amp;JOIN(CHAR(10)&amp;""- "",FILTER('IMPORT COMPETENCES'!C:C,'IMPORT COMPETENCES'!A:A=A216))),)"),"")</f>
        <v/>
      </c>
      <c r="E216" s="192"/>
    </row>
    <row r="217">
      <c r="A217" s="187"/>
      <c r="B217" s="188"/>
      <c r="C217" s="187"/>
      <c r="D217" s="187" t="str">
        <f>IFERROR(__xludf.DUMMYFUNCTION("IF(A217&lt;&gt;"""", IFNA(""- ""&amp;JOIN(CHAR(10)&amp;""- "",FILTER('IMPORT COMPETENCES'!C:C,'IMPORT COMPETENCES'!A:A=A217))),)"),"")</f>
        <v/>
      </c>
      <c r="E217" s="192"/>
    </row>
    <row r="218">
      <c r="A218" s="187"/>
      <c r="B218" s="188"/>
      <c r="C218" s="187"/>
      <c r="D218" s="187" t="str">
        <f>IFERROR(__xludf.DUMMYFUNCTION("IF(A218&lt;&gt;"""", IFNA(""- ""&amp;JOIN(CHAR(10)&amp;""- "",FILTER('IMPORT COMPETENCES'!C:C,'IMPORT COMPETENCES'!A:A=A218))),)"),"")</f>
        <v/>
      </c>
      <c r="E218" s="192"/>
    </row>
    <row r="219">
      <c r="A219" s="187"/>
      <c r="B219" s="188"/>
      <c r="C219" s="187"/>
      <c r="D219" s="187" t="str">
        <f>IFERROR(__xludf.DUMMYFUNCTION("IF(A219&lt;&gt;"""", IFNA(""- ""&amp;JOIN(CHAR(10)&amp;""- "",FILTER('IMPORT COMPETENCES'!C:C,'IMPORT COMPETENCES'!A:A=A219))),)"),"")</f>
        <v/>
      </c>
      <c r="E219" s="192"/>
    </row>
    <row r="220">
      <c r="A220" s="187"/>
      <c r="B220" s="188"/>
      <c r="C220" s="187"/>
      <c r="D220" s="187" t="str">
        <f>IFERROR(__xludf.DUMMYFUNCTION("IF(A220&lt;&gt;"""", IFNA(""- ""&amp;JOIN(CHAR(10)&amp;""- "",FILTER('IMPORT COMPETENCES'!C:C,'IMPORT COMPETENCES'!A:A=A220))),)"),"")</f>
        <v/>
      </c>
      <c r="E220" s="192"/>
    </row>
    <row r="221">
      <c r="A221" s="187"/>
      <c r="B221" s="188"/>
      <c r="C221" s="187"/>
      <c r="D221" s="187" t="str">
        <f>IFERROR(__xludf.DUMMYFUNCTION("IF(A221&lt;&gt;"""", IFNA(""- ""&amp;JOIN(CHAR(10)&amp;""- "",FILTER('IMPORT COMPETENCES'!C:C,'IMPORT COMPETENCES'!A:A=A221))),)"),"")</f>
        <v/>
      </c>
      <c r="E221" s="192"/>
    </row>
    <row r="222">
      <c r="A222" s="187"/>
      <c r="B222" s="188"/>
      <c r="C222" s="187"/>
      <c r="D222" s="187" t="str">
        <f>IFERROR(__xludf.DUMMYFUNCTION("IF(A222&lt;&gt;"""", IFNA(""- ""&amp;JOIN(CHAR(10)&amp;""- "",FILTER('IMPORT COMPETENCES'!C:C,'IMPORT COMPETENCES'!A:A=A222))),)"),"")</f>
        <v/>
      </c>
      <c r="E222" s="192"/>
    </row>
    <row r="223">
      <c r="A223" s="187"/>
      <c r="B223" s="188"/>
      <c r="C223" s="187"/>
      <c r="D223" s="187" t="str">
        <f>IFERROR(__xludf.DUMMYFUNCTION("IF(A223&lt;&gt;"""", IFNA(""- ""&amp;JOIN(CHAR(10)&amp;""- "",FILTER('IMPORT COMPETENCES'!C:C,'IMPORT COMPETENCES'!A:A=A223))),)"),"")</f>
        <v/>
      </c>
      <c r="E223" s="192"/>
    </row>
    <row r="224">
      <c r="A224" s="187"/>
      <c r="B224" s="188"/>
      <c r="C224" s="187"/>
      <c r="D224" s="187" t="str">
        <f>IFERROR(__xludf.DUMMYFUNCTION("IF(A224&lt;&gt;"""", IFNA(""- ""&amp;JOIN(CHAR(10)&amp;""- "",FILTER('IMPORT COMPETENCES'!C:C,'IMPORT COMPETENCES'!A:A=A224))),)"),"")</f>
        <v/>
      </c>
      <c r="E224" s="192"/>
    </row>
    <row r="225">
      <c r="A225" s="187"/>
      <c r="B225" s="188"/>
      <c r="C225" s="187"/>
      <c r="D225" s="187" t="str">
        <f>IFERROR(__xludf.DUMMYFUNCTION("IF(A225&lt;&gt;"""", IFNA(""- ""&amp;JOIN(CHAR(10)&amp;""- "",FILTER('IMPORT COMPETENCES'!C:C,'IMPORT COMPETENCES'!A:A=A225))),)"),"")</f>
        <v/>
      </c>
      <c r="E225" s="192"/>
    </row>
    <row r="226">
      <c r="A226" s="187"/>
      <c r="B226" s="188"/>
      <c r="C226" s="187"/>
      <c r="D226" s="187" t="str">
        <f>IFERROR(__xludf.DUMMYFUNCTION("IF(A226&lt;&gt;"""", IFNA(""- ""&amp;JOIN(CHAR(10)&amp;""- "",FILTER('IMPORT COMPETENCES'!C:C,'IMPORT COMPETENCES'!A:A=A226))),)"),"")</f>
        <v/>
      </c>
      <c r="E226" s="192"/>
    </row>
    <row r="227">
      <c r="A227" s="187"/>
      <c r="B227" s="188"/>
      <c r="C227" s="187"/>
      <c r="D227" s="187" t="str">
        <f>IFERROR(__xludf.DUMMYFUNCTION("IF(A227&lt;&gt;"""", IFNA(""- ""&amp;JOIN(CHAR(10)&amp;""- "",FILTER('IMPORT COMPETENCES'!C:C,'IMPORT COMPETENCES'!A:A=A227))),)"),"")</f>
        <v/>
      </c>
      <c r="E227" s="192"/>
    </row>
    <row r="228">
      <c r="A228" s="187"/>
      <c r="B228" s="188"/>
      <c r="C228" s="187"/>
      <c r="D228" s="187" t="str">
        <f>IFERROR(__xludf.DUMMYFUNCTION("IF(A228&lt;&gt;"""", IFNA(""- ""&amp;JOIN(CHAR(10)&amp;""- "",FILTER('IMPORT COMPETENCES'!C:C,'IMPORT COMPETENCES'!A:A=A228))),)"),"")</f>
        <v/>
      </c>
      <c r="E228" s="192"/>
    </row>
    <row r="229">
      <c r="A229" s="187"/>
      <c r="B229" s="188"/>
      <c r="C229" s="187"/>
      <c r="D229" s="187" t="str">
        <f>IFERROR(__xludf.DUMMYFUNCTION("IF(A229&lt;&gt;"""", IFNA(""- ""&amp;JOIN(CHAR(10)&amp;""- "",FILTER('IMPORT COMPETENCES'!C:C,'IMPORT COMPETENCES'!A:A=A229))),)"),"")</f>
        <v/>
      </c>
      <c r="E229" s="192"/>
    </row>
    <row r="230">
      <c r="A230" s="187"/>
      <c r="B230" s="188"/>
      <c r="C230" s="187"/>
      <c r="D230" s="187" t="str">
        <f>IFERROR(__xludf.DUMMYFUNCTION("IF(A230&lt;&gt;"""", IFNA(""- ""&amp;JOIN(CHAR(10)&amp;""- "",FILTER('IMPORT COMPETENCES'!C:C,'IMPORT COMPETENCES'!A:A=A230))),)"),"")</f>
        <v/>
      </c>
      <c r="E230" s="192"/>
    </row>
    <row r="231">
      <c r="A231" s="187"/>
      <c r="B231" s="188"/>
      <c r="C231" s="187"/>
      <c r="D231" s="187" t="str">
        <f>IFERROR(__xludf.DUMMYFUNCTION("IF(A231&lt;&gt;"""", IFNA(""- ""&amp;JOIN(CHAR(10)&amp;""- "",FILTER('IMPORT COMPETENCES'!C:C,'IMPORT COMPETENCES'!A:A=A231))),)"),"")</f>
        <v/>
      </c>
      <c r="E231" s="192"/>
    </row>
    <row r="232">
      <c r="A232" s="187"/>
      <c r="B232" s="188"/>
      <c r="C232" s="187"/>
      <c r="D232" s="187" t="str">
        <f>IFERROR(__xludf.DUMMYFUNCTION("IF(A232&lt;&gt;"""", IFNA(""- ""&amp;JOIN(CHAR(10)&amp;""- "",FILTER('IMPORT COMPETENCES'!C:C,'IMPORT COMPETENCES'!A:A=A232))),)"),"")</f>
        <v/>
      </c>
      <c r="E232" s="192"/>
    </row>
    <row r="233">
      <c r="A233" s="187"/>
      <c r="B233" s="188"/>
      <c r="C233" s="187"/>
      <c r="D233" s="187" t="str">
        <f>IFERROR(__xludf.DUMMYFUNCTION("IF(A233&lt;&gt;"""", IFNA(""- ""&amp;JOIN(CHAR(10)&amp;""- "",FILTER('IMPORT COMPETENCES'!C:C,'IMPORT COMPETENCES'!A:A=A233))),)"),"")</f>
        <v/>
      </c>
      <c r="E233" s="192"/>
    </row>
    <row r="234">
      <c r="A234" s="187"/>
      <c r="B234" s="188"/>
      <c r="C234" s="187"/>
      <c r="D234" s="187" t="str">
        <f>IFERROR(__xludf.DUMMYFUNCTION("IF(A234&lt;&gt;"""", IFNA(""- ""&amp;JOIN(CHAR(10)&amp;""- "",FILTER('IMPORT COMPETENCES'!C:C,'IMPORT COMPETENCES'!A:A=A234))),)"),"")</f>
        <v/>
      </c>
      <c r="E234" s="192"/>
    </row>
    <row r="235">
      <c r="A235" s="187"/>
      <c r="B235" s="188"/>
      <c r="C235" s="187"/>
      <c r="D235" s="187" t="str">
        <f>IFERROR(__xludf.DUMMYFUNCTION("IF(A235&lt;&gt;"""", IFNA(""- ""&amp;JOIN(CHAR(10)&amp;""- "",FILTER('IMPORT COMPETENCES'!C:C,'IMPORT COMPETENCES'!A:A=A235))),)"),"")</f>
        <v/>
      </c>
      <c r="E235" s="192"/>
    </row>
    <row r="236">
      <c r="A236" s="187"/>
      <c r="B236" s="188"/>
      <c r="C236" s="187"/>
      <c r="D236" s="187" t="str">
        <f>IFERROR(__xludf.DUMMYFUNCTION("IF(A236&lt;&gt;"""", IFNA(""- ""&amp;JOIN(CHAR(10)&amp;""- "",FILTER('IMPORT COMPETENCES'!C:C,'IMPORT COMPETENCES'!A:A=A236))),)"),"")</f>
        <v/>
      </c>
      <c r="E236" s="192"/>
    </row>
    <row r="237">
      <c r="A237" s="187"/>
      <c r="B237" s="188"/>
      <c r="C237" s="187"/>
      <c r="D237" s="187" t="str">
        <f>IFERROR(__xludf.DUMMYFUNCTION("IF(A237&lt;&gt;"""", IFNA(""- ""&amp;JOIN(CHAR(10)&amp;""- "",FILTER('IMPORT COMPETENCES'!C:C,'IMPORT COMPETENCES'!A:A=A237))),)"),"")</f>
        <v/>
      </c>
      <c r="E237" s="192"/>
    </row>
    <row r="238">
      <c r="A238" s="187"/>
      <c r="B238" s="188"/>
      <c r="C238" s="187"/>
      <c r="D238" s="187" t="str">
        <f>IFERROR(__xludf.DUMMYFUNCTION("IF(A238&lt;&gt;"""", IFNA(""- ""&amp;JOIN(CHAR(10)&amp;""- "",FILTER('IMPORT COMPETENCES'!C:C,'IMPORT COMPETENCES'!A:A=A238))),)"),"")</f>
        <v/>
      </c>
      <c r="E238" s="192"/>
    </row>
    <row r="239">
      <c r="A239" s="187"/>
      <c r="B239" s="188"/>
      <c r="C239" s="187"/>
      <c r="D239" s="187" t="str">
        <f>IFERROR(__xludf.DUMMYFUNCTION("IF(A239&lt;&gt;"""", IFNA(""- ""&amp;JOIN(CHAR(10)&amp;""- "",FILTER('IMPORT COMPETENCES'!C:C,'IMPORT COMPETENCES'!A:A=A239))),)"),"")</f>
        <v/>
      </c>
      <c r="E239" s="192"/>
    </row>
    <row r="240">
      <c r="A240" s="187"/>
      <c r="B240" s="188"/>
      <c r="C240" s="187"/>
      <c r="D240" s="187" t="str">
        <f>IFERROR(__xludf.DUMMYFUNCTION("IF(A240&lt;&gt;"""", IFNA(""- ""&amp;JOIN(CHAR(10)&amp;""- "",FILTER('IMPORT COMPETENCES'!C:C,'IMPORT COMPETENCES'!A:A=A240))),)"),"")</f>
        <v/>
      </c>
      <c r="E240" s="192"/>
    </row>
    <row r="241">
      <c r="A241" s="187"/>
      <c r="B241" s="188"/>
      <c r="C241" s="187"/>
      <c r="D241" s="187" t="str">
        <f>IFERROR(__xludf.DUMMYFUNCTION("IF(A241&lt;&gt;"""", IFNA(""- ""&amp;JOIN(CHAR(10)&amp;""- "",FILTER('IMPORT COMPETENCES'!C:C,'IMPORT COMPETENCES'!A:A=A241))),)"),"")</f>
        <v/>
      </c>
      <c r="E241" s="192"/>
    </row>
    <row r="242">
      <c r="A242" s="187"/>
      <c r="B242" s="188"/>
      <c r="C242" s="187"/>
      <c r="D242" s="187" t="str">
        <f>IFERROR(__xludf.DUMMYFUNCTION("IF(A242&lt;&gt;"""", IFNA(""- ""&amp;JOIN(CHAR(10)&amp;""- "",FILTER('IMPORT COMPETENCES'!C:C,'IMPORT COMPETENCES'!A:A=A242))),)"),"")</f>
        <v/>
      </c>
      <c r="E242" s="192"/>
    </row>
    <row r="243">
      <c r="A243" s="187"/>
      <c r="B243" s="188"/>
      <c r="C243" s="187"/>
      <c r="D243" s="187" t="str">
        <f>IFERROR(__xludf.DUMMYFUNCTION("IF(A243&lt;&gt;"""", IFNA(""- ""&amp;JOIN(CHAR(10)&amp;""- "",FILTER('IMPORT COMPETENCES'!C:C,'IMPORT COMPETENCES'!A:A=A243))),)"),"")</f>
        <v/>
      </c>
      <c r="E243" s="192"/>
    </row>
    <row r="244">
      <c r="A244" s="187"/>
      <c r="B244" s="188"/>
      <c r="C244" s="187"/>
      <c r="D244" s="187" t="str">
        <f>IFERROR(__xludf.DUMMYFUNCTION("IF(A244&lt;&gt;"""", IFNA(""- ""&amp;JOIN(CHAR(10)&amp;""- "",FILTER('IMPORT COMPETENCES'!C:C,'IMPORT COMPETENCES'!A:A=A244))),)"),"")</f>
        <v/>
      </c>
      <c r="E244" s="192"/>
    </row>
    <row r="245">
      <c r="A245" s="187"/>
      <c r="B245" s="188"/>
      <c r="C245" s="187"/>
      <c r="D245" s="187" t="str">
        <f>IFERROR(__xludf.DUMMYFUNCTION("IF(A245&lt;&gt;"""", IFNA(""- ""&amp;JOIN(CHAR(10)&amp;""- "",FILTER('IMPORT COMPETENCES'!C:C,'IMPORT COMPETENCES'!A:A=A245))),)"),"")</f>
        <v/>
      </c>
      <c r="E245" s="192"/>
    </row>
    <row r="246">
      <c r="A246" s="187"/>
      <c r="B246" s="188"/>
      <c r="C246" s="187"/>
      <c r="D246" s="187" t="str">
        <f>IFERROR(__xludf.DUMMYFUNCTION("IF(A246&lt;&gt;"""", IFNA(""- ""&amp;JOIN(CHAR(10)&amp;""- "",FILTER('IMPORT COMPETENCES'!C:C,'IMPORT COMPETENCES'!A:A=A246))),)"),"")</f>
        <v/>
      </c>
      <c r="E246" s="192"/>
    </row>
    <row r="247">
      <c r="A247" s="187"/>
      <c r="B247" s="188"/>
      <c r="C247" s="187"/>
      <c r="D247" s="187" t="str">
        <f>IFERROR(__xludf.DUMMYFUNCTION("IF(A247&lt;&gt;"""", IFNA(""- ""&amp;JOIN(CHAR(10)&amp;""- "",FILTER('IMPORT COMPETENCES'!C:C,'IMPORT COMPETENCES'!A:A=A247))),)"),"")</f>
        <v/>
      </c>
      <c r="E247" s="192"/>
    </row>
    <row r="248">
      <c r="A248" s="187"/>
      <c r="B248" s="188"/>
      <c r="C248" s="187"/>
      <c r="D248" s="187" t="str">
        <f>IFERROR(__xludf.DUMMYFUNCTION("IF(A248&lt;&gt;"""", IFNA(""- ""&amp;JOIN(CHAR(10)&amp;""- "",FILTER('IMPORT COMPETENCES'!C:C,'IMPORT COMPETENCES'!A:A=A248))),)"),"")</f>
        <v/>
      </c>
      <c r="E248" s="192"/>
    </row>
    <row r="249">
      <c r="A249" s="187"/>
      <c r="B249" s="188"/>
      <c r="C249" s="187"/>
      <c r="D249" s="187" t="str">
        <f>IFERROR(__xludf.DUMMYFUNCTION("IF(A249&lt;&gt;"""", IFNA(""- ""&amp;JOIN(CHAR(10)&amp;""- "",FILTER('IMPORT COMPETENCES'!C:C,'IMPORT COMPETENCES'!A:A=A249))),)"),"")</f>
        <v/>
      </c>
      <c r="E249" s="192"/>
    </row>
    <row r="250">
      <c r="A250" s="187"/>
      <c r="B250" s="188"/>
      <c r="C250" s="187"/>
      <c r="D250" s="187" t="str">
        <f>IFERROR(__xludf.DUMMYFUNCTION("IF(A250&lt;&gt;"""", IFNA(""- ""&amp;JOIN(CHAR(10)&amp;""- "",FILTER('IMPORT COMPETENCES'!C:C,'IMPORT COMPETENCES'!A:A=A250))),)"),"")</f>
        <v/>
      </c>
      <c r="E250" s="192"/>
    </row>
    <row r="251">
      <c r="A251" s="187"/>
      <c r="B251" s="188"/>
      <c r="C251" s="187"/>
      <c r="D251" s="187" t="str">
        <f>IFERROR(__xludf.DUMMYFUNCTION("IF(A251&lt;&gt;"""", IFNA(""- ""&amp;JOIN(CHAR(10)&amp;""- "",FILTER('IMPORT COMPETENCES'!C:C,'IMPORT COMPETENCES'!A:A=A251))),)"),"")</f>
        <v/>
      </c>
      <c r="E251" s="192"/>
    </row>
    <row r="252">
      <c r="A252" s="187"/>
      <c r="B252" s="188"/>
      <c r="C252" s="187"/>
      <c r="D252" s="187" t="str">
        <f>IFERROR(__xludf.DUMMYFUNCTION("IF(A252&lt;&gt;"""", IFNA(""- ""&amp;JOIN(CHAR(10)&amp;""- "",FILTER('IMPORT COMPETENCES'!C:C,'IMPORT COMPETENCES'!A:A=A252))),)"),"")</f>
        <v/>
      </c>
      <c r="E252" s="192"/>
    </row>
    <row r="253">
      <c r="A253" s="187"/>
      <c r="B253" s="188"/>
      <c r="C253" s="187"/>
      <c r="D253" s="187" t="str">
        <f>IFERROR(__xludf.DUMMYFUNCTION("IF(A253&lt;&gt;"""", IFNA(""- ""&amp;JOIN(CHAR(10)&amp;""- "",FILTER('IMPORT COMPETENCES'!C:C,'IMPORT COMPETENCES'!A:A=A253))),)"),"")</f>
        <v/>
      </c>
      <c r="E253" s="192"/>
    </row>
    <row r="254">
      <c r="A254" s="187"/>
      <c r="B254" s="188"/>
      <c r="C254" s="187"/>
      <c r="D254" s="187" t="str">
        <f>IFERROR(__xludf.DUMMYFUNCTION("IF(A254&lt;&gt;"""", IFNA(""- ""&amp;JOIN(CHAR(10)&amp;""- "",FILTER('IMPORT COMPETENCES'!C:C,'IMPORT COMPETENCES'!A:A=A254))),)"),"")</f>
        <v/>
      </c>
      <c r="E254" s="192"/>
    </row>
    <row r="255">
      <c r="A255" s="187"/>
      <c r="B255" s="188"/>
      <c r="C255" s="187"/>
      <c r="D255" s="187" t="str">
        <f>IFERROR(__xludf.DUMMYFUNCTION("IF(A255&lt;&gt;"""", IFNA(""- ""&amp;JOIN(CHAR(10)&amp;""- "",FILTER('IMPORT COMPETENCES'!C:C,'IMPORT COMPETENCES'!A:A=A255))),)"),"")</f>
        <v/>
      </c>
      <c r="E255" s="192"/>
    </row>
    <row r="256">
      <c r="A256" s="187"/>
      <c r="B256" s="188"/>
      <c r="C256" s="187"/>
      <c r="D256" s="187" t="str">
        <f>IFERROR(__xludf.DUMMYFUNCTION("IF(A256&lt;&gt;"""", IFNA(""- ""&amp;JOIN(CHAR(10)&amp;""- "",FILTER('IMPORT COMPETENCES'!C:C,'IMPORT COMPETENCES'!A:A=A256))),)"),"")</f>
        <v/>
      </c>
      <c r="E256" s="192"/>
    </row>
    <row r="257">
      <c r="A257" s="187"/>
      <c r="B257" s="188"/>
      <c r="C257" s="187"/>
      <c r="D257" s="187" t="str">
        <f>IFERROR(__xludf.DUMMYFUNCTION("IF(A257&lt;&gt;"""", IFNA(""- ""&amp;JOIN(CHAR(10)&amp;""- "",FILTER('IMPORT COMPETENCES'!C:C,'IMPORT COMPETENCES'!A:A=A257))),)"),"")</f>
        <v/>
      </c>
      <c r="E257" s="192"/>
    </row>
    <row r="258">
      <c r="A258" s="187"/>
      <c r="B258" s="188"/>
      <c r="C258" s="187"/>
      <c r="D258" s="187" t="str">
        <f>IFERROR(__xludf.DUMMYFUNCTION("IF(A258&lt;&gt;"""", IFNA(""- ""&amp;JOIN(CHAR(10)&amp;""- "",FILTER('IMPORT COMPETENCES'!C:C,'IMPORT COMPETENCES'!A:A=A258))),)"),"")</f>
        <v/>
      </c>
      <c r="E258" s="192"/>
    </row>
    <row r="259">
      <c r="A259" s="187"/>
      <c r="B259" s="188"/>
      <c r="C259" s="187"/>
      <c r="D259" s="187" t="str">
        <f>IFERROR(__xludf.DUMMYFUNCTION("IF(A259&lt;&gt;"""", IFNA(""- ""&amp;JOIN(CHAR(10)&amp;""- "",FILTER('IMPORT COMPETENCES'!C:C,'IMPORT COMPETENCES'!A:A=A259))),)"),"")</f>
        <v/>
      </c>
      <c r="E259" s="192"/>
    </row>
    <row r="260">
      <c r="A260" s="187"/>
      <c r="B260" s="188"/>
      <c r="C260" s="187"/>
      <c r="D260" s="187" t="str">
        <f>IFERROR(__xludf.DUMMYFUNCTION("IF(A260&lt;&gt;"""", IFNA(""- ""&amp;JOIN(CHAR(10)&amp;""- "",FILTER('IMPORT COMPETENCES'!C:C,'IMPORT COMPETENCES'!A:A=A260))),)"),"")</f>
        <v/>
      </c>
      <c r="E260" s="192"/>
    </row>
    <row r="261">
      <c r="A261" s="187"/>
      <c r="B261" s="188"/>
      <c r="C261" s="187"/>
      <c r="D261" s="187" t="str">
        <f>IFERROR(__xludf.DUMMYFUNCTION("IF(A261&lt;&gt;"""", IFNA(""- ""&amp;JOIN(CHAR(10)&amp;""- "",FILTER('IMPORT COMPETENCES'!C:C,'IMPORT COMPETENCES'!A:A=A261))),)"),"")</f>
        <v/>
      </c>
      <c r="E261" s="192"/>
    </row>
    <row r="262">
      <c r="A262" s="187"/>
      <c r="B262" s="188"/>
      <c r="C262" s="187"/>
      <c r="D262" s="187" t="str">
        <f>IFERROR(__xludf.DUMMYFUNCTION("IF(A262&lt;&gt;"""", IFNA(""- ""&amp;JOIN(CHAR(10)&amp;""- "",FILTER('IMPORT COMPETENCES'!C:C,'IMPORT COMPETENCES'!A:A=A262))),)"),"")</f>
        <v/>
      </c>
      <c r="E262" s="192"/>
    </row>
    <row r="263">
      <c r="A263" s="187"/>
      <c r="B263" s="188"/>
      <c r="C263" s="187"/>
      <c r="D263" s="187" t="str">
        <f>IFERROR(__xludf.DUMMYFUNCTION("IF(A263&lt;&gt;"""", IFNA(""- ""&amp;JOIN(CHAR(10)&amp;""- "",FILTER('IMPORT COMPETENCES'!C:C,'IMPORT COMPETENCES'!A:A=A263))),)"),"")</f>
        <v/>
      </c>
      <c r="E263" s="192"/>
    </row>
    <row r="264">
      <c r="A264" s="187"/>
      <c r="B264" s="188"/>
      <c r="C264" s="187"/>
      <c r="D264" s="187" t="str">
        <f>IFERROR(__xludf.DUMMYFUNCTION("IF(A264&lt;&gt;"""", IFNA(""- ""&amp;JOIN(CHAR(10)&amp;""- "",FILTER('IMPORT COMPETENCES'!C:C,'IMPORT COMPETENCES'!A:A=A264))),)"),"")</f>
        <v/>
      </c>
      <c r="E264" s="192"/>
    </row>
    <row r="265">
      <c r="A265" s="187"/>
      <c r="B265" s="188"/>
      <c r="C265" s="187"/>
      <c r="D265" s="187" t="str">
        <f>IFERROR(__xludf.DUMMYFUNCTION("IF(A265&lt;&gt;"""", IFNA(""- ""&amp;JOIN(CHAR(10)&amp;""- "",FILTER('IMPORT COMPETENCES'!C:C,'IMPORT COMPETENCES'!A:A=A265))),)"),"")</f>
        <v/>
      </c>
      <c r="E265" s="192"/>
    </row>
    <row r="266">
      <c r="A266" s="187"/>
      <c r="B266" s="188"/>
      <c r="C266" s="187"/>
      <c r="D266" s="187" t="str">
        <f>IFERROR(__xludf.DUMMYFUNCTION("IF(A266&lt;&gt;"""", IFNA(""- ""&amp;JOIN(CHAR(10)&amp;""- "",FILTER('IMPORT COMPETENCES'!C:C,'IMPORT COMPETENCES'!A:A=A266))),)"),"")</f>
        <v/>
      </c>
      <c r="E266" s="192"/>
    </row>
    <row r="267">
      <c r="A267" s="187"/>
      <c r="B267" s="188"/>
      <c r="C267" s="187"/>
      <c r="D267" s="187" t="str">
        <f>IFERROR(__xludf.DUMMYFUNCTION("IF(A267&lt;&gt;"""", IFNA(""- ""&amp;JOIN(CHAR(10)&amp;""- "",FILTER('IMPORT COMPETENCES'!C:C,'IMPORT COMPETENCES'!A:A=A267))),)"),"")</f>
        <v/>
      </c>
      <c r="E267" s="192"/>
    </row>
    <row r="268">
      <c r="A268" s="187"/>
      <c r="B268" s="188"/>
      <c r="C268" s="187"/>
      <c r="D268" s="187" t="str">
        <f>IFERROR(__xludf.DUMMYFUNCTION("IF(A268&lt;&gt;"""", IFNA(""- ""&amp;JOIN(CHAR(10)&amp;""- "",FILTER('IMPORT COMPETENCES'!C:C,'IMPORT COMPETENCES'!A:A=A268))),)"),"")</f>
        <v/>
      </c>
      <c r="E268" s="192"/>
    </row>
    <row r="269">
      <c r="A269" s="187"/>
      <c r="B269" s="188"/>
      <c r="C269" s="187"/>
      <c r="D269" s="187" t="str">
        <f>IFERROR(__xludf.DUMMYFUNCTION("IF(A269&lt;&gt;"""", IFNA(""- ""&amp;JOIN(CHAR(10)&amp;""- "",FILTER('IMPORT COMPETENCES'!C:C,'IMPORT COMPETENCES'!A:A=A269))),)"),"")</f>
        <v/>
      </c>
      <c r="E269" s="192"/>
    </row>
    <row r="270">
      <c r="A270" s="187"/>
      <c r="B270" s="188"/>
      <c r="C270" s="187"/>
      <c r="D270" s="187" t="str">
        <f>IFERROR(__xludf.DUMMYFUNCTION("IF(A270&lt;&gt;"""", IFNA(""- ""&amp;JOIN(CHAR(10)&amp;""- "",FILTER('IMPORT COMPETENCES'!C:C,'IMPORT COMPETENCES'!A:A=A270))),)"),"")</f>
        <v/>
      </c>
      <c r="E270" s="192"/>
    </row>
    <row r="271">
      <c r="A271" s="187"/>
      <c r="B271" s="188"/>
      <c r="C271" s="187"/>
      <c r="D271" s="187" t="str">
        <f>IFERROR(__xludf.DUMMYFUNCTION("IF(A271&lt;&gt;"""", IFNA(""- ""&amp;JOIN(CHAR(10)&amp;""- "",FILTER('IMPORT COMPETENCES'!C:C,'IMPORT COMPETENCES'!A:A=A271))),)"),"")</f>
        <v/>
      </c>
      <c r="E271" s="192"/>
    </row>
    <row r="272">
      <c r="A272" s="187"/>
      <c r="B272" s="188"/>
      <c r="C272" s="187"/>
      <c r="D272" s="187" t="str">
        <f>IFERROR(__xludf.DUMMYFUNCTION("IF(A272&lt;&gt;"""", IFNA(""- ""&amp;JOIN(CHAR(10)&amp;""- "",FILTER('IMPORT COMPETENCES'!C:C,'IMPORT COMPETENCES'!A:A=A272))),)"),"")</f>
        <v/>
      </c>
      <c r="E272" s="192"/>
    </row>
    <row r="273">
      <c r="A273" s="187"/>
      <c r="B273" s="188"/>
      <c r="C273" s="187"/>
      <c r="D273" s="187" t="str">
        <f>IFERROR(__xludf.DUMMYFUNCTION("IF(A273&lt;&gt;"""", IFNA(""- ""&amp;JOIN(CHAR(10)&amp;""- "",FILTER('IMPORT COMPETENCES'!C:C,'IMPORT COMPETENCES'!A:A=A273))),)"),"")</f>
        <v/>
      </c>
      <c r="E273" s="192"/>
    </row>
    <row r="274">
      <c r="A274" s="187"/>
      <c r="B274" s="188"/>
      <c r="C274" s="187"/>
      <c r="D274" s="187" t="str">
        <f>IFERROR(__xludf.DUMMYFUNCTION("IF(A274&lt;&gt;"""", IFNA(""- ""&amp;JOIN(CHAR(10)&amp;""- "",FILTER('IMPORT COMPETENCES'!C:C,'IMPORT COMPETENCES'!A:A=A274))),)"),"")</f>
        <v/>
      </c>
      <c r="E274" s="192"/>
    </row>
    <row r="275">
      <c r="A275" s="187"/>
      <c r="B275" s="188"/>
      <c r="C275" s="187"/>
      <c r="D275" s="187" t="str">
        <f>IFERROR(__xludf.DUMMYFUNCTION("IF(A275&lt;&gt;"""", IFNA(""- ""&amp;JOIN(CHAR(10)&amp;""- "",FILTER('IMPORT COMPETENCES'!C:C,'IMPORT COMPETENCES'!A:A=A275))),)"),"")</f>
        <v/>
      </c>
      <c r="E275" s="192"/>
    </row>
    <row r="276">
      <c r="A276" s="187"/>
      <c r="B276" s="188"/>
      <c r="C276" s="187"/>
      <c r="D276" s="187" t="str">
        <f>IFERROR(__xludf.DUMMYFUNCTION("IF(A276&lt;&gt;"""", IFNA(""- ""&amp;JOIN(CHAR(10)&amp;""- "",FILTER('IMPORT COMPETENCES'!C:C,'IMPORT COMPETENCES'!A:A=A276))),)"),"")</f>
        <v/>
      </c>
      <c r="E276" s="192"/>
    </row>
    <row r="277">
      <c r="A277" s="187"/>
      <c r="B277" s="188"/>
      <c r="C277" s="187"/>
      <c r="D277" s="187" t="str">
        <f>IFERROR(__xludf.DUMMYFUNCTION("IF(A277&lt;&gt;"""", IFNA(""- ""&amp;JOIN(CHAR(10)&amp;""- "",FILTER('IMPORT COMPETENCES'!C:C,'IMPORT COMPETENCES'!A:A=A277))),)"),"")</f>
        <v/>
      </c>
      <c r="E277" s="192"/>
    </row>
    <row r="278">
      <c r="A278" s="187"/>
      <c r="B278" s="188"/>
      <c r="C278" s="187"/>
      <c r="D278" s="187" t="str">
        <f>IFERROR(__xludf.DUMMYFUNCTION("IF(A278&lt;&gt;"""", IFNA(""- ""&amp;JOIN(CHAR(10)&amp;""- "",FILTER('IMPORT COMPETENCES'!C:C,'IMPORT COMPETENCES'!A:A=A278))),)"),"")</f>
        <v/>
      </c>
      <c r="E278" s="192"/>
    </row>
    <row r="279">
      <c r="A279" s="187"/>
      <c r="B279" s="188"/>
      <c r="C279" s="187"/>
      <c r="D279" s="187" t="str">
        <f>IFERROR(__xludf.DUMMYFUNCTION("IF(A279&lt;&gt;"""", IFNA(""- ""&amp;JOIN(CHAR(10)&amp;""- "",FILTER('IMPORT COMPETENCES'!C:C,'IMPORT COMPETENCES'!A:A=A279))),)"),"")</f>
        <v/>
      </c>
      <c r="E279" s="192"/>
    </row>
    <row r="280">
      <c r="A280" s="187"/>
      <c r="B280" s="188"/>
      <c r="C280" s="187"/>
      <c r="D280" s="187" t="str">
        <f>IFERROR(__xludf.DUMMYFUNCTION("IF(A280&lt;&gt;"""", IFNA(""- ""&amp;JOIN(CHAR(10)&amp;""- "",FILTER('IMPORT COMPETENCES'!C:C,'IMPORT COMPETENCES'!A:A=A280))),)"),"")</f>
        <v/>
      </c>
      <c r="E280" s="192"/>
    </row>
    <row r="281">
      <c r="A281" s="187"/>
      <c r="B281" s="188"/>
      <c r="C281" s="187"/>
      <c r="D281" s="187" t="str">
        <f>IFERROR(__xludf.DUMMYFUNCTION("IF(A281&lt;&gt;"""", IFNA(""- ""&amp;JOIN(CHAR(10)&amp;""- "",FILTER('IMPORT COMPETENCES'!C:C,'IMPORT COMPETENCES'!A:A=A281))),)"),"")</f>
        <v/>
      </c>
      <c r="E281" s="192"/>
    </row>
    <row r="282">
      <c r="A282" s="187"/>
      <c r="B282" s="188"/>
      <c r="C282" s="187"/>
      <c r="D282" s="187" t="str">
        <f>IFERROR(__xludf.DUMMYFUNCTION("IF(A282&lt;&gt;"""", IFNA(""- ""&amp;JOIN(CHAR(10)&amp;""- "",FILTER('IMPORT COMPETENCES'!C:C,'IMPORT COMPETENCES'!A:A=A282))),)"),"")</f>
        <v/>
      </c>
      <c r="E282" s="192"/>
    </row>
    <row r="283">
      <c r="A283" s="187"/>
      <c r="B283" s="188"/>
      <c r="C283" s="187"/>
      <c r="D283" s="187" t="str">
        <f>IFERROR(__xludf.DUMMYFUNCTION("IF(A283&lt;&gt;"""", IFNA(""- ""&amp;JOIN(CHAR(10)&amp;""- "",FILTER('IMPORT COMPETENCES'!C:C,'IMPORT COMPETENCES'!A:A=A283))),)"),"")</f>
        <v/>
      </c>
      <c r="E283" s="192"/>
    </row>
    <row r="284">
      <c r="A284" s="187"/>
      <c r="B284" s="188"/>
      <c r="C284" s="187"/>
      <c r="D284" s="187" t="str">
        <f>IFERROR(__xludf.DUMMYFUNCTION("IF(A284&lt;&gt;"""", IFNA(""- ""&amp;JOIN(CHAR(10)&amp;""- "",FILTER('IMPORT COMPETENCES'!C:C,'IMPORT COMPETENCES'!A:A=A284))),)"),"")</f>
        <v/>
      </c>
      <c r="E284" s="192"/>
    </row>
    <row r="285">
      <c r="A285" s="187"/>
      <c r="B285" s="188"/>
      <c r="C285" s="187"/>
      <c r="D285" s="187" t="str">
        <f>IFERROR(__xludf.DUMMYFUNCTION("IF(A285&lt;&gt;"""", IFNA(""- ""&amp;JOIN(CHAR(10)&amp;""- "",FILTER('IMPORT COMPETENCES'!C:C,'IMPORT COMPETENCES'!A:A=A285))),)"),"")</f>
        <v/>
      </c>
      <c r="E285" s="192"/>
    </row>
    <row r="286">
      <c r="A286" s="187"/>
      <c r="B286" s="188"/>
      <c r="C286" s="187"/>
      <c r="D286" s="187" t="str">
        <f>IFERROR(__xludf.DUMMYFUNCTION("IF(A286&lt;&gt;"""", IFNA(""- ""&amp;JOIN(CHAR(10)&amp;""- "",FILTER('IMPORT COMPETENCES'!C:C,'IMPORT COMPETENCES'!A:A=A286))),)"),"")</f>
        <v/>
      </c>
      <c r="E286" s="192"/>
    </row>
    <row r="287">
      <c r="A287" s="187"/>
      <c r="B287" s="188"/>
      <c r="C287" s="187"/>
      <c r="D287" s="187" t="str">
        <f>IFERROR(__xludf.DUMMYFUNCTION("IF(A287&lt;&gt;"""", IFNA(""- ""&amp;JOIN(CHAR(10)&amp;""- "",FILTER('IMPORT COMPETENCES'!C:C,'IMPORT COMPETENCES'!A:A=A287))),)"),"")</f>
        <v/>
      </c>
      <c r="E287" s="192"/>
    </row>
    <row r="288">
      <c r="A288" s="187"/>
      <c r="B288" s="188"/>
      <c r="C288" s="187"/>
      <c r="D288" s="187" t="str">
        <f>IFERROR(__xludf.DUMMYFUNCTION("IF(A288&lt;&gt;"""", IFNA(""- ""&amp;JOIN(CHAR(10)&amp;""- "",FILTER('IMPORT COMPETENCES'!C:C,'IMPORT COMPETENCES'!A:A=A288))),)"),"")</f>
        <v/>
      </c>
      <c r="E288" s="192"/>
    </row>
    <row r="289">
      <c r="A289" s="187"/>
      <c r="B289" s="188"/>
      <c r="C289" s="187"/>
      <c r="D289" s="187" t="str">
        <f>IFERROR(__xludf.DUMMYFUNCTION("IF(A289&lt;&gt;"""", IFNA(""- ""&amp;JOIN(CHAR(10)&amp;""- "",FILTER('IMPORT COMPETENCES'!C:C,'IMPORT COMPETENCES'!A:A=A289))),)"),"")</f>
        <v/>
      </c>
      <c r="E289" s="192"/>
    </row>
    <row r="290">
      <c r="A290" s="187"/>
      <c r="B290" s="188"/>
      <c r="C290" s="187"/>
      <c r="D290" s="187" t="str">
        <f>IFERROR(__xludf.DUMMYFUNCTION("IF(A290&lt;&gt;"""", IFNA(""- ""&amp;JOIN(CHAR(10)&amp;""- "",FILTER('IMPORT COMPETENCES'!C:C,'IMPORT COMPETENCES'!A:A=A290))),)"),"")</f>
        <v/>
      </c>
      <c r="E290" s="192"/>
    </row>
    <row r="291">
      <c r="A291" s="187"/>
      <c r="B291" s="188"/>
      <c r="C291" s="187"/>
      <c r="D291" s="187" t="str">
        <f>IFERROR(__xludf.DUMMYFUNCTION("IF(A291&lt;&gt;"""", IFNA(""- ""&amp;JOIN(CHAR(10)&amp;""- "",FILTER('IMPORT COMPETENCES'!C:C,'IMPORT COMPETENCES'!A:A=A291))),)"),"")</f>
        <v/>
      </c>
      <c r="E291" s="192"/>
    </row>
    <row r="292">
      <c r="A292" s="187"/>
      <c r="B292" s="188"/>
      <c r="C292" s="187"/>
      <c r="D292" s="187" t="str">
        <f>IFERROR(__xludf.DUMMYFUNCTION("IF(A292&lt;&gt;"""", IFNA(""- ""&amp;JOIN(CHAR(10)&amp;""- "",FILTER('IMPORT COMPETENCES'!C:C,'IMPORT COMPETENCES'!A:A=A292))),)"),"")</f>
        <v/>
      </c>
      <c r="E292" s="192"/>
    </row>
    <row r="293">
      <c r="A293" s="187"/>
      <c r="B293" s="188"/>
      <c r="C293" s="187"/>
      <c r="D293" s="187" t="str">
        <f>IFERROR(__xludf.DUMMYFUNCTION("IF(A293&lt;&gt;"""", IFNA(""- ""&amp;JOIN(CHAR(10)&amp;""- "",FILTER('IMPORT COMPETENCES'!C:C,'IMPORT COMPETENCES'!A:A=A293))),)"),"")</f>
        <v/>
      </c>
      <c r="E293" s="192"/>
    </row>
    <row r="294">
      <c r="A294" s="187"/>
      <c r="B294" s="188"/>
      <c r="C294" s="187"/>
      <c r="D294" s="187" t="str">
        <f>IFERROR(__xludf.DUMMYFUNCTION("IF(A294&lt;&gt;"""", IFNA(""- ""&amp;JOIN(CHAR(10)&amp;""- "",FILTER('IMPORT COMPETENCES'!C:C,'IMPORT COMPETENCES'!A:A=A294))),)"),"")</f>
        <v/>
      </c>
      <c r="E294" s="192"/>
    </row>
    <row r="295">
      <c r="A295" s="187"/>
      <c r="B295" s="188"/>
      <c r="C295" s="187"/>
      <c r="D295" s="187" t="str">
        <f>IFERROR(__xludf.DUMMYFUNCTION("IF(A295&lt;&gt;"""", IFNA(""- ""&amp;JOIN(CHAR(10)&amp;""- "",FILTER('IMPORT COMPETENCES'!C:C,'IMPORT COMPETENCES'!A:A=A295))),)"),"")</f>
        <v/>
      </c>
      <c r="E295" s="192"/>
    </row>
    <row r="296">
      <c r="A296" s="187"/>
      <c r="B296" s="188"/>
      <c r="C296" s="187"/>
      <c r="D296" s="187" t="str">
        <f>IFERROR(__xludf.DUMMYFUNCTION("IF(A296&lt;&gt;"""", IFNA(""- ""&amp;JOIN(CHAR(10)&amp;""- "",FILTER('IMPORT COMPETENCES'!C:C,'IMPORT COMPETENCES'!A:A=A296))),)"),"")</f>
        <v/>
      </c>
      <c r="E296" s="192"/>
    </row>
    <row r="297">
      <c r="A297" s="187"/>
      <c r="B297" s="188"/>
      <c r="C297" s="187"/>
      <c r="D297" s="187" t="str">
        <f>IFERROR(__xludf.DUMMYFUNCTION("IF(A297&lt;&gt;"""", IFNA(""- ""&amp;JOIN(CHAR(10)&amp;""- "",FILTER('IMPORT COMPETENCES'!C:C,'IMPORT COMPETENCES'!A:A=A297))),)"),"")</f>
        <v/>
      </c>
      <c r="E297" s="192"/>
    </row>
    <row r="298">
      <c r="A298" s="187"/>
      <c r="B298" s="188"/>
      <c r="C298" s="187"/>
      <c r="D298" s="187" t="str">
        <f>IFERROR(__xludf.DUMMYFUNCTION("IF(A298&lt;&gt;"""", IFNA(""- ""&amp;JOIN(CHAR(10)&amp;""- "",FILTER('IMPORT COMPETENCES'!C:C,'IMPORT COMPETENCES'!A:A=A298))),)"),"")</f>
        <v/>
      </c>
      <c r="E298" s="192"/>
    </row>
    <row r="299">
      <c r="A299" s="187"/>
      <c r="B299" s="188"/>
      <c r="C299" s="187"/>
      <c r="D299" s="187" t="str">
        <f>IFERROR(__xludf.DUMMYFUNCTION("IF(A299&lt;&gt;"""", IFNA(""- ""&amp;JOIN(CHAR(10)&amp;""- "",FILTER('IMPORT COMPETENCES'!C:C,'IMPORT COMPETENCES'!A:A=A299))),)"),"")</f>
        <v/>
      </c>
      <c r="E299" s="192"/>
    </row>
    <row r="300">
      <c r="A300" s="187"/>
      <c r="B300" s="188"/>
      <c r="C300" s="187"/>
      <c r="D300" s="187" t="str">
        <f>IFERROR(__xludf.DUMMYFUNCTION("IF(A300&lt;&gt;"""", IFNA(""- ""&amp;JOIN(CHAR(10)&amp;""- "",FILTER('IMPORT COMPETENCES'!C:C,'IMPORT COMPETENCES'!A:A=A300))),)"),"")</f>
        <v/>
      </c>
      <c r="E300" s="192"/>
    </row>
    <row r="301">
      <c r="A301" s="187"/>
      <c r="B301" s="188"/>
      <c r="C301" s="187"/>
      <c r="D301" s="187" t="str">
        <f>IFERROR(__xludf.DUMMYFUNCTION("IF(A301&lt;&gt;"""", IFNA(""- ""&amp;JOIN(CHAR(10)&amp;""- "",FILTER('IMPORT COMPETENCES'!C:C,'IMPORT COMPETENCES'!A:A=A301))),)"),"")</f>
        <v/>
      </c>
      <c r="E301" s="192"/>
    </row>
    <row r="302">
      <c r="A302" s="187"/>
      <c r="B302" s="188"/>
      <c r="C302" s="187"/>
      <c r="D302" s="187" t="str">
        <f>IFERROR(__xludf.DUMMYFUNCTION("IF(A302&lt;&gt;"""", IFNA(""- ""&amp;JOIN(CHAR(10)&amp;""- "",FILTER('IMPORT COMPETENCES'!C:C,'IMPORT COMPETENCES'!A:A=A302))),)"),"")</f>
        <v/>
      </c>
      <c r="E302" s="192"/>
    </row>
    <row r="303">
      <c r="A303" s="187"/>
      <c r="B303" s="188"/>
      <c r="C303" s="187"/>
      <c r="D303" s="187" t="str">
        <f>IFERROR(__xludf.DUMMYFUNCTION("IF(A303&lt;&gt;"""", IFNA(""- ""&amp;JOIN(CHAR(10)&amp;""- "",FILTER('IMPORT COMPETENCES'!C:C,'IMPORT COMPETENCES'!A:A=A303))),)"),"")</f>
        <v/>
      </c>
      <c r="E303" s="192"/>
    </row>
    <row r="304">
      <c r="A304" s="187"/>
      <c r="B304" s="188"/>
      <c r="C304" s="187"/>
      <c r="D304" s="187" t="str">
        <f>IFERROR(__xludf.DUMMYFUNCTION("IF(A304&lt;&gt;"""", IFNA(""- ""&amp;JOIN(CHAR(10)&amp;""- "",FILTER('IMPORT COMPETENCES'!C:C,'IMPORT COMPETENCES'!A:A=A304))),)"),"")</f>
        <v/>
      </c>
      <c r="E304" s="192"/>
    </row>
    <row r="305">
      <c r="A305" s="187"/>
      <c r="B305" s="188"/>
      <c r="C305" s="187"/>
      <c r="D305" s="187" t="str">
        <f>IFERROR(__xludf.DUMMYFUNCTION("IF(A305&lt;&gt;"""", IFNA(""- ""&amp;JOIN(CHAR(10)&amp;""- "",FILTER('IMPORT COMPETENCES'!C:C,'IMPORT COMPETENCES'!A:A=A305))),)"),"")</f>
        <v/>
      </c>
      <c r="E305" s="192"/>
    </row>
    <row r="306">
      <c r="A306" s="187"/>
      <c r="B306" s="188"/>
      <c r="C306" s="187"/>
      <c r="D306" s="187" t="str">
        <f>IFERROR(__xludf.DUMMYFUNCTION("IF(A306&lt;&gt;"""", IFNA(""- ""&amp;JOIN(CHAR(10)&amp;""- "",FILTER('IMPORT COMPETENCES'!C:C,'IMPORT COMPETENCES'!A:A=A306))),)"),"")</f>
        <v/>
      </c>
      <c r="E306" s="192"/>
    </row>
    <row r="307">
      <c r="A307" s="187"/>
      <c r="B307" s="188"/>
      <c r="C307" s="187"/>
      <c r="D307" s="187" t="str">
        <f>IFERROR(__xludf.DUMMYFUNCTION("IF(A307&lt;&gt;"""", IFNA(""- ""&amp;JOIN(CHAR(10)&amp;""- "",FILTER('IMPORT COMPETENCES'!C:C,'IMPORT COMPETENCES'!A:A=A307))),)"),"")</f>
        <v/>
      </c>
      <c r="E307" s="192"/>
    </row>
    <row r="308">
      <c r="A308" s="187"/>
      <c r="B308" s="188"/>
      <c r="C308" s="187"/>
      <c r="D308" s="187" t="str">
        <f>IFERROR(__xludf.DUMMYFUNCTION("IF(A308&lt;&gt;"""", IFNA(""- ""&amp;JOIN(CHAR(10)&amp;""- "",FILTER('IMPORT COMPETENCES'!C:C,'IMPORT COMPETENCES'!A:A=A308))),)"),"")</f>
        <v/>
      </c>
      <c r="E308" s="192"/>
    </row>
    <row r="309">
      <c r="A309" s="187"/>
      <c r="B309" s="188"/>
      <c r="C309" s="187"/>
      <c r="D309" s="187" t="str">
        <f>IFERROR(__xludf.DUMMYFUNCTION("IF(A309&lt;&gt;"""", IFNA(""- ""&amp;JOIN(CHAR(10)&amp;""- "",FILTER('IMPORT COMPETENCES'!C:C,'IMPORT COMPETENCES'!A:A=A309))),)"),"")</f>
        <v/>
      </c>
      <c r="E309" s="192"/>
    </row>
    <row r="310">
      <c r="A310" s="187"/>
      <c r="B310" s="188"/>
      <c r="C310" s="187"/>
      <c r="D310" s="187" t="str">
        <f>IFERROR(__xludf.DUMMYFUNCTION("IF(A310&lt;&gt;"""", IFNA(""- ""&amp;JOIN(CHAR(10)&amp;""- "",FILTER('IMPORT COMPETENCES'!C:C,'IMPORT COMPETENCES'!A:A=A310))),)"),"")</f>
        <v/>
      </c>
      <c r="E310" s="192"/>
    </row>
    <row r="311">
      <c r="A311" s="187"/>
      <c r="B311" s="188"/>
      <c r="C311" s="187"/>
      <c r="D311" s="187" t="str">
        <f>IFERROR(__xludf.DUMMYFUNCTION("IF(A311&lt;&gt;"""", IFNA(""- ""&amp;JOIN(CHAR(10)&amp;""- "",FILTER('IMPORT COMPETENCES'!C:C,'IMPORT COMPETENCES'!A:A=A311))),)"),"")</f>
        <v/>
      </c>
      <c r="E311" s="192"/>
    </row>
    <row r="312">
      <c r="A312" s="187"/>
      <c r="B312" s="188"/>
      <c r="C312" s="187"/>
      <c r="D312" s="187" t="str">
        <f>IFERROR(__xludf.DUMMYFUNCTION("IF(A312&lt;&gt;"""", IFNA(""- ""&amp;JOIN(CHAR(10)&amp;""- "",FILTER('IMPORT COMPETENCES'!C:C,'IMPORT COMPETENCES'!A:A=A312))),)"),"")</f>
        <v/>
      </c>
      <c r="E312" s="192"/>
    </row>
    <row r="313">
      <c r="A313" s="187"/>
      <c r="B313" s="188"/>
      <c r="C313" s="187"/>
      <c r="D313" s="187" t="str">
        <f>IFERROR(__xludf.DUMMYFUNCTION("IF(A313&lt;&gt;"""", IFNA(""- ""&amp;JOIN(CHAR(10)&amp;""- "",FILTER('IMPORT COMPETENCES'!C:C,'IMPORT COMPETENCES'!A:A=A313))),)"),"")</f>
        <v/>
      </c>
      <c r="E313" s="192"/>
    </row>
    <row r="314">
      <c r="A314" s="187"/>
      <c r="B314" s="188"/>
      <c r="C314" s="187"/>
      <c r="D314" s="187" t="str">
        <f>IFERROR(__xludf.DUMMYFUNCTION("IF(A314&lt;&gt;"""", IFNA(""- ""&amp;JOIN(CHAR(10)&amp;""- "",FILTER('IMPORT COMPETENCES'!C:C,'IMPORT COMPETENCES'!A:A=A314))),)"),"")</f>
        <v/>
      </c>
      <c r="E314" s="192"/>
    </row>
    <row r="315">
      <c r="A315" s="187"/>
      <c r="B315" s="188"/>
      <c r="C315" s="187"/>
      <c r="D315" s="187" t="str">
        <f>IFERROR(__xludf.DUMMYFUNCTION("IF(A315&lt;&gt;"""", IFNA(""- ""&amp;JOIN(CHAR(10)&amp;""- "",FILTER('IMPORT COMPETENCES'!C:C,'IMPORT COMPETENCES'!A:A=A315))),)"),"")</f>
        <v/>
      </c>
      <c r="E315" s="192"/>
    </row>
    <row r="316">
      <c r="A316" s="187"/>
      <c r="B316" s="188"/>
      <c r="C316" s="187"/>
      <c r="D316" s="187" t="str">
        <f>IFERROR(__xludf.DUMMYFUNCTION("IF(A316&lt;&gt;"""", IFNA(""- ""&amp;JOIN(CHAR(10)&amp;""- "",FILTER('IMPORT COMPETENCES'!C:C,'IMPORT COMPETENCES'!A:A=A316))),)"),"")</f>
        <v/>
      </c>
      <c r="E316" s="192"/>
    </row>
    <row r="317">
      <c r="A317" s="187"/>
      <c r="B317" s="188"/>
      <c r="C317" s="187"/>
      <c r="D317" s="187" t="str">
        <f>IFERROR(__xludf.DUMMYFUNCTION("IF(A317&lt;&gt;"""", IFNA(""- ""&amp;JOIN(CHAR(10)&amp;""- "",FILTER('IMPORT COMPETENCES'!C:C,'IMPORT COMPETENCES'!A:A=A317))),)"),"")</f>
        <v/>
      </c>
      <c r="E317" s="192"/>
    </row>
    <row r="318">
      <c r="A318" s="187"/>
      <c r="B318" s="188"/>
      <c r="C318" s="187"/>
      <c r="D318" s="187" t="str">
        <f>IFERROR(__xludf.DUMMYFUNCTION("IF(A318&lt;&gt;"""", IFNA(""- ""&amp;JOIN(CHAR(10)&amp;""- "",FILTER('IMPORT COMPETENCES'!C:C,'IMPORT COMPETENCES'!A:A=A318))),)"),"")</f>
        <v/>
      </c>
      <c r="E318" s="192"/>
    </row>
    <row r="319">
      <c r="A319" s="187"/>
      <c r="B319" s="188"/>
      <c r="C319" s="187"/>
      <c r="D319" s="187" t="str">
        <f>IFERROR(__xludf.DUMMYFUNCTION("IF(A319&lt;&gt;"""", IFNA(""- ""&amp;JOIN(CHAR(10)&amp;""- "",FILTER('IMPORT COMPETENCES'!C:C,'IMPORT COMPETENCES'!A:A=A319))),)"),"")</f>
        <v/>
      </c>
      <c r="E319" s="192"/>
    </row>
    <row r="320">
      <c r="A320" s="187"/>
      <c r="B320" s="188"/>
      <c r="C320" s="187"/>
      <c r="D320" s="187" t="str">
        <f>IFERROR(__xludf.DUMMYFUNCTION("IF(A320&lt;&gt;"""", IFNA(""- ""&amp;JOIN(CHAR(10)&amp;""- "",FILTER('IMPORT COMPETENCES'!C:C,'IMPORT COMPETENCES'!A:A=A320))),)"),"")</f>
        <v/>
      </c>
      <c r="E320" s="192"/>
    </row>
    <row r="321">
      <c r="A321" s="187"/>
      <c r="B321" s="188"/>
      <c r="C321" s="187"/>
      <c r="D321" s="187" t="str">
        <f>IFERROR(__xludf.DUMMYFUNCTION("IF(A321&lt;&gt;"""", IFNA(""- ""&amp;JOIN(CHAR(10)&amp;""- "",FILTER('IMPORT COMPETENCES'!C:C,'IMPORT COMPETENCES'!A:A=A321))),)"),"")</f>
        <v/>
      </c>
      <c r="E321" s="192"/>
    </row>
    <row r="322">
      <c r="A322" s="187"/>
      <c r="B322" s="188"/>
      <c r="C322" s="187"/>
      <c r="D322" s="187" t="str">
        <f>IFERROR(__xludf.DUMMYFUNCTION("IF(A322&lt;&gt;"""", IFNA(""- ""&amp;JOIN(CHAR(10)&amp;""- "",FILTER('IMPORT COMPETENCES'!C:C,'IMPORT COMPETENCES'!A:A=A322))),)"),"")</f>
        <v/>
      </c>
      <c r="E322" s="192"/>
    </row>
    <row r="323">
      <c r="A323" s="187"/>
      <c r="B323" s="188"/>
      <c r="C323" s="187"/>
      <c r="D323" s="187" t="str">
        <f>IFERROR(__xludf.DUMMYFUNCTION("IF(A323&lt;&gt;"""", IFNA(""- ""&amp;JOIN(CHAR(10)&amp;""- "",FILTER('IMPORT COMPETENCES'!C:C,'IMPORT COMPETENCES'!A:A=A323))),)"),"")</f>
        <v/>
      </c>
      <c r="E323" s="192"/>
    </row>
    <row r="324">
      <c r="A324" s="187"/>
      <c r="B324" s="188"/>
      <c r="C324" s="187"/>
      <c r="D324" s="187" t="str">
        <f>IFERROR(__xludf.DUMMYFUNCTION("IF(A324&lt;&gt;"""", IFNA(""- ""&amp;JOIN(CHAR(10)&amp;""- "",FILTER('IMPORT COMPETENCES'!C:C,'IMPORT COMPETENCES'!A:A=A324))),)"),"")</f>
        <v/>
      </c>
      <c r="E324" s="192"/>
    </row>
    <row r="325">
      <c r="A325" s="187"/>
      <c r="B325" s="188"/>
      <c r="C325" s="187"/>
      <c r="D325" s="187" t="str">
        <f>IFERROR(__xludf.DUMMYFUNCTION("IF(A325&lt;&gt;"""", IFNA(""- ""&amp;JOIN(CHAR(10)&amp;""- "",FILTER('IMPORT COMPETENCES'!C:C,'IMPORT COMPETENCES'!A:A=A325))),)"),"")</f>
        <v/>
      </c>
      <c r="E325" s="192"/>
    </row>
    <row r="326">
      <c r="A326" s="187"/>
      <c r="B326" s="188"/>
      <c r="C326" s="187"/>
      <c r="D326" s="187" t="str">
        <f>IFERROR(__xludf.DUMMYFUNCTION("IF(A326&lt;&gt;"""", IFNA(""- ""&amp;JOIN(CHAR(10)&amp;""- "",FILTER('IMPORT COMPETENCES'!C:C,'IMPORT COMPETENCES'!A:A=A326))),)"),"")</f>
        <v/>
      </c>
      <c r="E326" s="192"/>
    </row>
    <row r="327">
      <c r="A327" s="187"/>
      <c r="B327" s="188"/>
      <c r="C327" s="187"/>
      <c r="D327" s="187" t="str">
        <f>IFERROR(__xludf.DUMMYFUNCTION("IF(A327&lt;&gt;"""", IFNA(""- ""&amp;JOIN(CHAR(10)&amp;""- "",FILTER('IMPORT COMPETENCES'!C:C,'IMPORT COMPETENCES'!A:A=A327))),)"),"")</f>
        <v/>
      </c>
      <c r="E327" s="192"/>
    </row>
    <row r="328">
      <c r="A328" s="187"/>
      <c r="B328" s="188"/>
      <c r="C328" s="187"/>
      <c r="D328" s="187" t="str">
        <f>IFERROR(__xludf.DUMMYFUNCTION("IF(A328&lt;&gt;"""", IFNA(""- ""&amp;JOIN(CHAR(10)&amp;""- "",FILTER('IMPORT COMPETENCES'!C:C,'IMPORT COMPETENCES'!A:A=A328))),)"),"")</f>
        <v/>
      </c>
      <c r="E328" s="192"/>
    </row>
    <row r="329">
      <c r="A329" s="187"/>
      <c r="B329" s="188"/>
      <c r="C329" s="187"/>
      <c r="D329" s="187" t="str">
        <f>IFERROR(__xludf.DUMMYFUNCTION("IF(A329&lt;&gt;"""", IFNA(""- ""&amp;JOIN(CHAR(10)&amp;""- "",FILTER('IMPORT COMPETENCES'!C:C,'IMPORT COMPETENCES'!A:A=A329))),)"),"")</f>
        <v/>
      </c>
      <c r="E329" s="192"/>
    </row>
    <row r="330">
      <c r="A330" s="187"/>
      <c r="B330" s="188"/>
      <c r="C330" s="187"/>
      <c r="D330" s="187" t="str">
        <f>IFERROR(__xludf.DUMMYFUNCTION("IF(A330&lt;&gt;"""", IFNA(""- ""&amp;JOIN(CHAR(10)&amp;""- "",FILTER('IMPORT COMPETENCES'!C:C,'IMPORT COMPETENCES'!A:A=A330))),)"),"")</f>
        <v/>
      </c>
      <c r="E330" s="192"/>
    </row>
    <row r="331">
      <c r="A331" s="187"/>
      <c r="B331" s="188"/>
      <c r="C331" s="187"/>
      <c r="D331" s="187" t="str">
        <f>IFERROR(__xludf.DUMMYFUNCTION("IF(A331&lt;&gt;"""", IFNA(""- ""&amp;JOIN(CHAR(10)&amp;""- "",FILTER('IMPORT COMPETENCES'!C:C,'IMPORT COMPETENCES'!A:A=A331))),)"),"")</f>
        <v/>
      </c>
      <c r="E331" s="192"/>
    </row>
    <row r="332">
      <c r="A332" s="187"/>
      <c r="B332" s="188"/>
      <c r="C332" s="187"/>
      <c r="D332" s="187" t="str">
        <f>IFERROR(__xludf.DUMMYFUNCTION("IF(A332&lt;&gt;"""", IFNA(""- ""&amp;JOIN(CHAR(10)&amp;""- "",FILTER('IMPORT COMPETENCES'!C:C,'IMPORT COMPETENCES'!A:A=A332))),)"),"")</f>
        <v/>
      </c>
      <c r="E332" s="192"/>
    </row>
    <row r="333">
      <c r="A333" s="187"/>
      <c r="B333" s="188"/>
      <c r="C333" s="187"/>
      <c r="D333" s="187" t="str">
        <f>IFERROR(__xludf.DUMMYFUNCTION("IF(A333&lt;&gt;"""", IFNA(""- ""&amp;JOIN(CHAR(10)&amp;""- "",FILTER('IMPORT COMPETENCES'!C:C,'IMPORT COMPETENCES'!A:A=A333))),)"),"")</f>
        <v/>
      </c>
      <c r="E333" s="192"/>
    </row>
    <row r="334">
      <c r="A334" s="187"/>
      <c r="B334" s="188"/>
      <c r="C334" s="187"/>
      <c r="D334" s="187" t="str">
        <f>IFERROR(__xludf.DUMMYFUNCTION("IF(A334&lt;&gt;"""", IFNA(""- ""&amp;JOIN(CHAR(10)&amp;""- "",FILTER('IMPORT COMPETENCES'!C:C,'IMPORT COMPETENCES'!A:A=A334))),)"),"")</f>
        <v/>
      </c>
      <c r="E334" s="192"/>
    </row>
    <row r="335">
      <c r="A335" s="187"/>
      <c r="B335" s="188"/>
      <c r="C335" s="187"/>
      <c r="D335" s="187" t="str">
        <f>IFERROR(__xludf.DUMMYFUNCTION("IF(A335&lt;&gt;"""", IFNA(""- ""&amp;JOIN(CHAR(10)&amp;""- "",FILTER('IMPORT COMPETENCES'!C:C,'IMPORT COMPETENCES'!A:A=A335))),)"),"")</f>
        <v/>
      </c>
      <c r="E335" s="192"/>
    </row>
    <row r="336">
      <c r="A336" s="187"/>
      <c r="B336" s="188"/>
      <c r="C336" s="187"/>
      <c r="D336" s="187" t="str">
        <f>IFERROR(__xludf.DUMMYFUNCTION("IF(A336&lt;&gt;"""", IFNA(""- ""&amp;JOIN(CHAR(10)&amp;""- "",FILTER('IMPORT COMPETENCES'!C:C,'IMPORT COMPETENCES'!A:A=A336))),)"),"")</f>
        <v/>
      </c>
      <c r="E336" s="192"/>
    </row>
    <row r="337">
      <c r="A337" s="187"/>
      <c r="B337" s="188"/>
      <c r="C337" s="187"/>
      <c r="D337" s="187" t="str">
        <f>IFERROR(__xludf.DUMMYFUNCTION("IF(A337&lt;&gt;"""", IFNA(""- ""&amp;JOIN(CHAR(10)&amp;""- "",FILTER('IMPORT COMPETENCES'!C:C,'IMPORT COMPETENCES'!A:A=A337))),)"),"")</f>
        <v/>
      </c>
      <c r="E337" s="192"/>
    </row>
    <row r="338">
      <c r="A338" s="187"/>
      <c r="B338" s="188"/>
      <c r="C338" s="187"/>
      <c r="D338" s="187" t="str">
        <f>IFERROR(__xludf.DUMMYFUNCTION("IF(A338&lt;&gt;"""", IFNA(""- ""&amp;JOIN(CHAR(10)&amp;""- "",FILTER('IMPORT COMPETENCES'!C:C,'IMPORT COMPETENCES'!A:A=A338))),)"),"")</f>
        <v/>
      </c>
      <c r="E338" s="192"/>
    </row>
    <row r="339">
      <c r="A339" s="187"/>
      <c r="B339" s="188"/>
      <c r="C339" s="187"/>
      <c r="D339" s="187" t="str">
        <f>IFERROR(__xludf.DUMMYFUNCTION("IF(A339&lt;&gt;"""", IFNA(""- ""&amp;JOIN(CHAR(10)&amp;""- "",FILTER('IMPORT COMPETENCES'!C:C,'IMPORT COMPETENCES'!A:A=A339))),)"),"")</f>
        <v/>
      </c>
      <c r="E339" s="192"/>
    </row>
    <row r="340">
      <c r="A340" s="187"/>
      <c r="B340" s="188"/>
      <c r="C340" s="187"/>
      <c r="D340" s="187" t="str">
        <f>IFERROR(__xludf.DUMMYFUNCTION("IF(A340&lt;&gt;"""", IFNA(""- ""&amp;JOIN(CHAR(10)&amp;""- "",FILTER('IMPORT COMPETENCES'!C:C,'IMPORT COMPETENCES'!A:A=A340))),)"),"")</f>
        <v/>
      </c>
      <c r="E340" s="192"/>
    </row>
    <row r="341">
      <c r="A341" s="187"/>
      <c r="B341" s="188"/>
      <c r="C341" s="187"/>
      <c r="D341" s="187" t="str">
        <f>IFERROR(__xludf.DUMMYFUNCTION("IF(A341&lt;&gt;"""", IFNA(""- ""&amp;JOIN(CHAR(10)&amp;""- "",FILTER('IMPORT COMPETENCES'!C:C,'IMPORT COMPETENCES'!A:A=A341))),)"),"")</f>
        <v/>
      </c>
      <c r="E341" s="192"/>
    </row>
    <row r="342">
      <c r="A342" s="187"/>
      <c r="B342" s="188"/>
      <c r="C342" s="187"/>
      <c r="D342" s="187" t="str">
        <f>IFERROR(__xludf.DUMMYFUNCTION("IF(A342&lt;&gt;"""", IFNA(""- ""&amp;JOIN(CHAR(10)&amp;""- "",FILTER('IMPORT COMPETENCES'!C:C,'IMPORT COMPETENCES'!A:A=A342))),)"),"")</f>
        <v/>
      </c>
      <c r="E342" s="192"/>
    </row>
    <row r="343">
      <c r="A343" s="187"/>
      <c r="B343" s="188"/>
      <c r="C343" s="187"/>
      <c r="D343" s="187" t="str">
        <f>IFERROR(__xludf.DUMMYFUNCTION("IF(A343&lt;&gt;"""", IFNA(""- ""&amp;JOIN(CHAR(10)&amp;""- "",FILTER('IMPORT COMPETENCES'!C:C,'IMPORT COMPETENCES'!A:A=A343))),)"),"")</f>
        <v/>
      </c>
      <c r="E343" s="192"/>
    </row>
    <row r="344">
      <c r="A344" s="187"/>
      <c r="B344" s="188"/>
      <c r="C344" s="187"/>
      <c r="D344" s="187" t="str">
        <f>IFERROR(__xludf.DUMMYFUNCTION("IF(A344&lt;&gt;"""", IFNA(""- ""&amp;JOIN(CHAR(10)&amp;""- "",FILTER('IMPORT COMPETENCES'!C:C,'IMPORT COMPETENCES'!A:A=A344))),)"),"")</f>
        <v/>
      </c>
      <c r="E344" s="192"/>
    </row>
    <row r="345">
      <c r="A345" s="187"/>
      <c r="B345" s="188"/>
      <c r="C345" s="187"/>
      <c r="D345" s="187" t="str">
        <f>IFERROR(__xludf.DUMMYFUNCTION("IF(A345&lt;&gt;"""", IFNA(""- ""&amp;JOIN(CHAR(10)&amp;""- "",FILTER('IMPORT COMPETENCES'!C:C,'IMPORT COMPETENCES'!A:A=A345))),)"),"")</f>
        <v/>
      </c>
      <c r="E345" s="192"/>
    </row>
    <row r="346">
      <c r="A346" s="187"/>
      <c r="B346" s="188"/>
      <c r="C346" s="187"/>
      <c r="D346" s="187" t="str">
        <f>IFERROR(__xludf.DUMMYFUNCTION("IF(A346&lt;&gt;"""", IFNA(""- ""&amp;JOIN(CHAR(10)&amp;""- "",FILTER('IMPORT COMPETENCES'!C:C,'IMPORT COMPETENCES'!A:A=A346))),)"),"")</f>
        <v/>
      </c>
      <c r="E346" s="192"/>
    </row>
    <row r="347">
      <c r="A347" s="187"/>
      <c r="B347" s="188"/>
      <c r="C347" s="187"/>
      <c r="D347" s="187" t="str">
        <f>IFERROR(__xludf.DUMMYFUNCTION("IF(A347&lt;&gt;"""", IFNA(""- ""&amp;JOIN(CHAR(10)&amp;""- "",FILTER('IMPORT COMPETENCES'!C:C,'IMPORT COMPETENCES'!A:A=A347))),)"),"")</f>
        <v/>
      </c>
      <c r="E347" s="192"/>
    </row>
    <row r="348">
      <c r="A348" s="187"/>
      <c r="B348" s="188"/>
      <c r="C348" s="187"/>
      <c r="D348" s="187" t="str">
        <f>IFERROR(__xludf.DUMMYFUNCTION("IF(A348&lt;&gt;"""", IFNA(""- ""&amp;JOIN(CHAR(10)&amp;""- "",FILTER('IMPORT COMPETENCES'!C:C,'IMPORT COMPETENCES'!A:A=A348))),)"),"")</f>
        <v/>
      </c>
      <c r="E348" s="192"/>
    </row>
    <row r="349">
      <c r="A349" s="187"/>
      <c r="B349" s="188"/>
      <c r="C349" s="187"/>
      <c r="D349" s="187" t="str">
        <f>IFERROR(__xludf.DUMMYFUNCTION("IF(A349&lt;&gt;"""", IFNA(""- ""&amp;JOIN(CHAR(10)&amp;""- "",FILTER('IMPORT COMPETENCES'!C:C,'IMPORT COMPETENCES'!A:A=A349))),)"),"")</f>
        <v/>
      </c>
      <c r="E349" s="192"/>
    </row>
    <row r="350">
      <c r="A350" s="187"/>
      <c r="B350" s="188"/>
      <c r="C350" s="187"/>
      <c r="D350" s="187" t="str">
        <f>IFERROR(__xludf.DUMMYFUNCTION("IF(A350&lt;&gt;"""", IFNA(""- ""&amp;JOIN(CHAR(10)&amp;""- "",FILTER('IMPORT COMPETENCES'!C:C,'IMPORT COMPETENCES'!A:A=A350))),)"),"")</f>
        <v/>
      </c>
      <c r="E350" s="192"/>
    </row>
    <row r="351">
      <c r="A351" s="187"/>
      <c r="B351" s="188"/>
      <c r="C351" s="187"/>
      <c r="D351" s="187" t="str">
        <f>IFERROR(__xludf.DUMMYFUNCTION("IF(A351&lt;&gt;"""", IFNA(""- ""&amp;JOIN(CHAR(10)&amp;""- "",FILTER('IMPORT COMPETENCES'!C:C,'IMPORT COMPETENCES'!A:A=A351))),)"),"")</f>
        <v/>
      </c>
      <c r="E351" s="192"/>
    </row>
    <row r="352">
      <c r="A352" s="187"/>
      <c r="B352" s="188"/>
      <c r="C352" s="187"/>
      <c r="D352" s="187" t="str">
        <f>IFERROR(__xludf.DUMMYFUNCTION("IF(A352&lt;&gt;"""", IFNA(""- ""&amp;JOIN(CHAR(10)&amp;""- "",FILTER('IMPORT COMPETENCES'!C:C,'IMPORT COMPETENCES'!A:A=A352))),)"),"")</f>
        <v/>
      </c>
      <c r="E352" s="192"/>
    </row>
    <row r="353">
      <c r="A353" s="187"/>
      <c r="B353" s="188"/>
      <c r="C353" s="187"/>
      <c r="D353" s="187" t="str">
        <f>IFERROR(__xludf.DUMMYFUNCTION("IF(A353&lt;&gt;"""", IFNA(""- ""&amp;JOIN(CHAR(10)&amp;""- "",FILTER('IMPORT COMPETENCES'!C:C,'IMPORT COMPETENCES'!A:A=A353))),)"),"")</f>
        <v/>
      </c>
      <c r="E353" s="192"/>
    </row>
    <row r="354">
      <c r="A354" s="187"/>
      <c r="B354" s="188"/>
      <c r="C354" s="187"/>
      <c r="D354" s="187" t="str">
        <f>IFERROR(__xludf.DUMMYFUNCTION("IF(A354&lt;&gt;"""", IFNA(""- ""&amp;JOIN(CHAR(10)&amp;""- "",FILTER('IMPORT COMPETENCES'!C:C,'IMPORT COMPETENCES'!A:A=A354))),)"),"")</f>
        <v/>
      </c>
      <c r="E354" s="192"/>
    </row>
    <row r="355">
      <c r="A355" s="187"/>
      <c r="B355" s="188"/>
      <c r="C355" s="187"/>
      <c r="D355" s="187" t="str">
        <f>IFERROR(__xludf.DUMMYFUNCTION("IF(A355&lt;&gt;"""", IFNA(""- ""&amp;JOIN(CHAR(10)&amp;""- "",FILTER('IMPORT COMPETENCES'!C:C,'IMPORT COMPETENCES'!A:A=A355))),)"),"")</f>
        <v/>
      </c>
      <c r="E355" s="192"/>
    </row>
    <row r="356">
      <c r="A356" s="187"/>
      <c r="B356" s="188"/>
      <c r="C356" s="187"/>
      <c r="D356" s="187" t="str">
        <f>IFERROR(__xludf.DUMMYFUNCTION("IF(A356&lt;&gt;"""", IFNA(""- ""&amp;JOIN(CHAR(10)&amp;""- "",FILTER('IMPORT COMPETENCES'!C:C,'IMPORT COMPETENCES'!A:A=A356))),)"),"")</f>
        <v/>
      </c>
      <c r="E356" s="192"/>
    </row>
    <row r="357">
      <c r="A357" s="187"/>
      <c r="B357" s="188"/>
      <c r="C357" s="187"/>
      <c r="D357" s="187" t="str">
        <f>IFERROR(__xludf.DUMMYFUNCTION("IF(A357&lt;&gt;"""", IFNA(""- ""&amp;JOIN(CHAR(10)&amp;""- "",FILTER('IMPORT COMPETENCES'!C:C,'IMPORT COMPETENCES'!A:A=A357))),)"),"")</f>
        <v/>
      </c>
      <c r="E357" s="192"/>
    </row>
    <row r="358">
      <c r="A358" s="187"/>
      <c r="B358" s="188"/>
      <c r="C358" s="187"/>
      <c r="D358" s="187" t="str">
        <f>IFERROR(__xludf.DUMMYFUNCTION("IF(A358&lt;&gt;"""", IFNA(""- ""&amp;JOIN(CHAR(10)&amp;""- "",FILTER('IMPORT COMPETENCES'!C:C,'IMPORT COMPETENCES'!A:A=A358))),)"),"")</f>
        <v/>
      </c>
      <c r="E358" s="192"/>
    </row>
    <row r="359">
      <c r="A359" s="187"/>
      <c r="B359" s="188"/>
      <c r="C359" s="187"/>
      <c r="D359" s="187" t="str">
        <f>IFERROR(__xludf.DUMMYFUNCTION("IF(A359&lt;&gt;"""", IFNA(""- ""&amp;JOIN(CHAR(10)&amp;""- "",FILTER('IMPORT COMPETENCES'!C:C,'IMPORT COMPETENCES'!A:A=A359))),)"),"")</f>
        <v/>
      </c>
      <c r="E359" s="192"/>
    </row>
    <row r="360">
      <c r="A360" s="187"/>
      <c r="B360" s="188"/>
      <c r="C360" s="187"/>
      <c r="D360" s="187" t="str">
        <f>IFERROR(__xludf.DUMMYFUNCTION("IF(A360&lt;&gt;"""", IFNA(""- ""&amp;JOIN(CHAR(10)&amp;""- "",FILTER('IMPORT COMPETENCES'!C:C,'IMPORT COMPETENCES'!A:A=A360))),)"),"")</f>
        <v/>
      </c>
      <c r="E360" s="192"/>
    </row>
    <row r="361">
      <c r="A361" s="187"/>
      <c r="B361" s="188"/>
      <c r="C361" s="187"/>
      <c r="D361" s="187" t="str">
        <f>IFERROR(__xludf.DUMMYFUNCTION("IF(A361&lt;&gt;"""", IFNA(""- ""&amp;JOIN(CHAR(10)&amp;""- "",FILTER('IMPORT COMPETENCES'!C:C,'IMPORT COMPETENCES'!A:A=A361))),)"),"")</f>
        <v/>
      </c>
      <c r="E361" s="192"/>
    </row>
    <row r="362">
      <c r="A362" s="187"/>
      <c r="B362" s="188"/>
      <c r="C362" s="187"/>
      <c r="D362" s="187" t="str">
        <f>IFERROR(__xludf.DUMMYFUNCTION("IF(A362&lt;&gt;"""", IFNA(""- ""&amp;JOIN(CHAR(10)&amp;""- "",FILTER('IMPORT COMPETENCES'!C:C,'IMPORT COMPETENCES'!A:A=A362))),)"),"")</f>
        <v/>
      </c>
      <c r="E362" s="192"/>
    </row>
    <row r="363">
      <c r="A363" s="187"/>
      <c r="B363" s="188"/>
      <c r="C363" s="187"/>
      <c r="D363" s="187" t="str">
        <f>IFERROR(__xludf.DUMMYFUNCTION("IF(A363&lt;&gt;"""", IFNA(""- ""&amp;JOIN(CHAR(10)&amp;""- "",FILTER('IMPORT COMPETENCES'!C:C,'IMPORT COMPETENCES'!A:A=A363))),)"),"")</f>
        <v/>
      </c>
      <c r="E363" s="192"/>
    </row>
    <row r="364">
      <c r="A364" s="187"/>
      <c r="B364" s="188"/>
      <c r="C364" s="187"/>
      <c r="D364" s="187" t="str">
        <f>IFERROR(__xludf.DUMMYFUNCTION("IF(A364&lt;&gt;"""", IFNA(""- ""&amp;JOIN(CHAR(10)&amp;""- "",FILTER('IMPORT COMPETENCES'!C:C,'IMPORT COMPETENCES'!A:A=A364))),)"),"")</f>
        <v/>
      </c>
      <c r="E364" s="192"/>
    </row>
    <row r="365">
      <c r="A365" s="187"/>
      <c r="B365" s="188"/>
      <c r="C365" s="187"/>
      <c r="D365" s="187" t="str">
        <f>IFERROR(__xludf.DUMMYFUNCTION("IF(A365&lt;&gt;"""", IFNA(""- ""&amp;JOIN(CHAR(10)&amp;""- "",FILTER('IMPORT COMPETENCES'!C:C,'IMPORT COMPETENCES'!A:A=A365))),)"),"")</f>
        <v/>
      </c>
      <c r="E365" s="192"/>
    </row>
    <row r="366">
      <c r="A366" s="187"/>
      <c r="B366" s="188"/>
      <c r="C366" s="187"/>
      <c r="D366" s="187" t="str">
        <f>IFERROR(__xludf.DUMMYFUNCTION("IF(A366&lt;&gt;"""", IFNA(""- ""&amp;JOIN(CHAR(10)&amp;""- "",FILTER('IMPORT COMPETENCES'!C:C,'IMPORT COMPETENCES'!A:A=A366))),)"),"")</f>
        <v/>
      </c>
      <c r="E366" s="192"/>
    </row>
    <row r="367">
      <c r="A367" s="187"/>
      <c r="B367" s="188"/>
      <c r="C367" s="187"/>
      <c r="D367" s="187" t="str">
        <f>IFERROR(__xludf.DUMMYFUNCTION("IF(A367&lt;&gt;"""", IFNA(""- ""&amp;JOIN(CHAR(10)&amp;""- "",FILTER('IMPORT COMPETENCES'!C:C,'IMPORT COMPETENCES'!A:A=A367))),)"),"")</f>
        <v/>
      </c>
      <c r="E367" s="192"/>
    </row>
    <row r="368">
      <c r="A368" s="187"/>
      <c r="B368" s="188"/>
      <c r="C368" s="187"/>
      <c r="D368" s="187" t="str">
        <f>IFERROR(__xludf.DUMMYFUNCTION("IF(A368&lt;&gt;"""", IFNA(""- ""&amp;JOIN(CHAR(10)&amp;""- "",FILTER('IMPORT COMPETENCES'!C:C,'IMPORT COMPETENCES'!A:A=A368))),)"),"")</f>
        <v/>
      </c>
      <c r="E368" s="192"/>
    </row>
    <row r="369">
      <c r="A369" s="187"/>
      <c r="B369" s="188"/>
      <c r="C369" s="187"/>
      <c r="D369" s="187" t="str">
        <f>IFERROR(__xludf.DUMMYFUNCTION("IF(A369&lt;&gt;"""", IFNA(""- ""&amp;JOIN(CHAR(10)&amp;""- "",FILTER('IMPORT COMPETENCES'!C:C,'IMPORT COMPETENCES'!A:A=A369))),)"),"")</f>
        <v/>
      </c>
      <c r="E369" s="192"/>
    </row>
    <row r="370">
      <c r="A370" s="187"/>
      <c r="B370" s="188"/>
      <c r="C370" s="187"/>
      <c r="D370" s="187" t="str">
        <f>IFERROR(__xludf.DUMMYFUNCTION("IF(A370&lt;&gt;"""", IFNA(""- ""&amp;JOIN(CHAR(10)&amp;""- "",FILTER('IMPORT COMPETENCES'!C:C,'IMPORT COMPETENCES'!A:A=A370))),)"),"")</f>
        <v/>
      </c>
      <c r="E370" s="192"/>
    </row>
    <row r="371">
      <c r="A371" s="187"/>
      <c r="B371" s="188"/>
      <c r="C371" s="187"/>
      <c r="D371" s="187" t="str">
        <f>IFERROR(__xludf.DUMMYFUNCTION("IF(A371&lt;&gt;"""", IFNA(""- ""&amp;JOIN(CHAR(10)&amp;""- "",FILTER('IMPORT COMPETENCES'!C:C,'IMPORT COMPETENCES'!A:A=A371))),)"),"")</f>
        <v/>
      </c>
      <c r="E371" s="192"/>
    </row>
    <row r="372">
      <c r="A372" s="187"/>
      <c r="B372" s="188"/>
      <c r="C372" s="187"/>
      <c r="D372" s="187" t="str">
        <f>IFERROR(__xludf.DUMMYFUNCTION("IF(A372&lt;&gt;"""", IFNA(""- ""&amp;JOIN(CHAR(10)&amp;""- "",FILTER('IMPORT COMPETENCES'!C:C,'IMPORT COMPETENCES'!A:A=A372))),)"),"")</f>
        <v/>
      </c>
      <c r="E372" s="192"/>
    </row>
    <row r="373">
      <c r="A373" s="187"/>
      <c r="B373" s="188"/>
      <c r="C373" s="187"/>
      <c r="D373" s="187" t="str">
        <f>IFERROR(__xludf.DUMMYFUNCTION("IF(A373&lt;&gt;"""", IFNA(""- ""&amp;JOIN(CHAR(10)&amp;""- "",FILTER('IMPORT COMPETENCES'!C:C,'IMPORT COMPETENCES'!A:A=A373))),)"),"")</f>
        <v/>
      </c>
      <c r="E373" s="192"/>
    </row>
    <row r="374">
      <c r="A374" s="187"/>
      <c r="B374" s="188"/>
      <c r="C374" s="187"/>
      <c r="D374" s="187" t="str">
        <f>IFERROR(__xludf.DUMMYFUNCTION("IF(A374&lt;&gt;"""", IFNA(""- ""&amp;JOIN(CHAR(10)&amp;""- "",FILTER('IMPORT COMPETENCES'!C:C,'IMPORT COMPETENCES'!A:A=A374))),)"),"")</f>
        <v/>
      </c>
      <c r="E374" s="192"/>
    </row>
    <row r="375">
      <c r="A375" s="187"/>
      <c r="B375" s="188"/>
      <c r="C375" s="187"/>
      <c r="D375" s="187" t="str">
        <f>IFERROR(__xludf.DUMMYFUNCTION("IF(A375&lt;&gt;"""", IFNA(""- ""&amp;JOIN(CHAR(10)&amp;""- "",FILTER('IMPORT COMPETENCES'!C:C,'IMPORT COMPETENCES'!A:A=A375))),)"),"")</f>
        <v/>
      </c>
      <c r="E375" s="192"/>
    </row>
    <row r="376">
      <c r="A376" s="187"/>
      <c r="B376" s="188"/>
      <c r="C376" s="187"/>
      <c r="D376" s="187" t="str">
        <f>IFERROR(__xludf.DUMMYFUNCTION("IF(A376&lt;&gt;"""", IFNA(""- ""&amp;JOIN(CHAR(10)&amp;""- "",FILTER('IMPORT COMPETENCES'!C:C,'IMPORT COMPETENCES'!A:A=A376))),)"),"")</f>
        <v/>
      </c>
      <c r="E376" s="192"/>
    </row>
    <row r="377">
      <c r="A377" s="187"/>
      <c r="B377" s="188"/>
      <c r="C377" s="187"/>
      <c r="D377" s="187" t="str">
        <f>IFERROR(__xludf.DUMMYFUNCTION("IF(A377&lt;&gt;"""", IFNA(""- ""&amp;JOIN(CHAR(10)&amp;""- "",FILTER('IMPORT COMPETENCES'!C:C,'IMPORT COMPETENCES'!A:A=A377))),)"),"")</f>
        <v/>
      </c>
      <c r="E377" s="192"/>
    </row>
    <row r="378">
      <c r="A378" s="187"/>
      <c r="B378" s="188"/>
      <c r="C378" s="187"/>
      <c r="D378" s="187" t="str">
        <f>IFERROR(__xludf.DUMMYFUNCTION("IF(A378&lt;&gt;"""", IFNA(""- ""&amp;JOIN(CHAR(10)&amp;""- "",FILTER('IMPORT COMPETENCES'!C:C,'IMPORT COMPETENCES'!A:A=A378))),)"),"")</f>
        <v/>
      </c>
      <c r="E378" s="192"/>
    </row>
    <row r="379">
      <c r="A379" s="187"/>
      <c r="B379" s="188"/>
      <c r="C379" s="187"/>
      <c r="D379" s="187" t="str">
        <f>IFERROR(__xludf.DUMMYFUNCTION("IF(A379&lt;&gt;"""", IFNA(""- ""&amp;JOIN(CHAR(10)&amp;""- "",FILTER('IMPORT COMPETENCES'!C:C,'IMPORT COMPETENCES'!A:A=A379))),)"),"")</f>
        <v/>
      </c>
      <c r="E379" s="192"/>
    </row>
    <row r="380">
      <c r="A380" s="187"/>
      <c r="B380" s="188"/>
      <c r="C380" s="187"/>
      <c r="D380" s="187" t="str">
        <f>IFERROR(__xludf.DUMMYFUNCTION("IF(A380&lt;&gt;"""", IFNA(""- ""&amp;JOIN(CHAR(10)&amp;""- "",FILTER('IMPORT COMPETENCES'!C:C,'IMPORT COMPETENCES'!A:A=A380))),)"),"")</f>
        <v/>
      </c>
      <c r="E380" s="192"/>
    </row>
    <row r="381">
      <c r="A381" s="187"/>
      <c r="B381" s="188"/>
      <c r="C381" s="187"/>
      <c r="D381" s="187" t="str">
        <f>IFERROR(__xludf.DUMMYFUNCTION("IF(A381&lt;&gt;"""", IFNA(""- ""&amp;JOIN(CHAR(10)&amp;""- "",FILTER('IMPORT COMPETENCES'!C:C,'IMPORT COMPETENCES'!A:A=A381))),)"),"")</f>
        <v/>
      </c>
      <c r="E381" s="192"/>
    </row>
    <row r="382">
      <c r="A382" s="187"/>
      <c r="B382" s="188"/>
      <c r="C382" s="187"/>
      <c r="D382" s="187" t="str">
        <f>IFERROR(__xludf.DUMMYFUNCTION("IF(A382&lt;&gt;"""", IFNA(""- ""&amp;JOIN(CHAR(10)&amp;""- "",FILTER('IMPORT COMPETENCES'!C:C,'IMPORT COMPETENCES'!A:A=A382))),)"),"")</f>
        <v/>
      </c>
      <c r="E382" s="192"/>
    </row>
    <row r="383">
      <c r="A383" s="187"/>
      <c r="B383" s="188"/>
      <c r="C383" s="187"/>
      <c r="D383" s="187" t="str">
        <f>IFERROR(__xludf.DUMMYFUNCTION("IF(A383&lt;&gt;"""", IFNA(""- ""&amp;JOIN(CHAR(10)&amp;""- "",FILTER('IMPORT COMPETENCES'!C:C,'IMPORT COMPETENCES'!A:A=A383))),)"),"")</f>
        <v/>
      </c>
      <c r="E383" s="192"/>
    </row>
    <row r="384">
      <c r="A384" s="187"/>
      <c r="B384" s="188"/>
      <c r="C384" s="187"/>
      <c r="D384" s="187" t="str">
        <f>IFERROR(__xludf.DUMMYFUNCTION("IF(A384&lt;&gt;"""", IFNA(""- ""&amp;JOIN(CHAR(10)&amp;""- "",FILTER('IMPORT COMPETENCES'!C:C,'IMPORT COMPETENCES'!A:A=A384))),)"),"")</f>
        <v/>
      </c>
      <c r="E384" s="192"/>
    </row>
    <row r="385">
      <c r="A385" s="187"/>
      <c r="B385" s="188"/>
      <c r="C385" s="187"/>
      <c r="D385" s="187" t="str">
        <f>IFERROR(__xludf.DUMMYFUNCTION("IF(A385&lt;&gt;"""", IFNA(""- ""&amp;JOIN(CHAR(10)&amp;""- "",FILTER('IMPORT COMPETENCES'!C:C,'IMPORT COMPETENCES'!A:A=A385))),)"),"")</f>
        <v/>
      </c>
      <c r="E385" s="192"/>
    </row>
    <row r="386">
      <c r="A386" s="187"/>
      <c r="B386" s="188"/>
      <c r="C386" s="187"/>
      <c r="D386" s="187" t="str">
        <f>IFERROR(__xludf.DUMMYFUNCTION("IF(A386&lt;&gt;"""", IFNA(""- ""&amp;JOIN(CHAR(10)&amp;""- "",FILTER('IMPORT COMPETENCES'!C:C,'IMPORT COMPETENCES'!A:A=A386))),)"),"")</f>
        <v/>
      </c>
      <c r="E386" s="192"/>
    </row>
    <row r="387">
      <c r="A387" s="187"/>
      <c r="B387" s="188"/>
      <c r="C387" s="187"/>
      <c r="D387" s="187" t="str">
        <f>IFERROR(__xludf.DUMMYFUNCTION("IF(A387&lt;&gt;"""", IFNA(""- ""&amp;JOIN(CHAR(10)&amp;""- "",FILTER('IMPORT COMPETENCES'!C:C,'IMPORT COMPETENCES'!A:A=A387))),)"),"")</f>
        <v/>
      </c>
      <c r="E387" s="192"/>
    </row>
    <row r="388">
      <c r="A388" s="187"/>
      <c r="B388" s="188"/>
      <c r="C388" s="187"/>
      <c r="D388" s="187" t="str">
        <f>IFERROR(__xludf.DUMMYFUNCTION("IF(A388&lt;&gt;"""", IFNA(""- ""&amp;JOIN(CHAR(10)&amp;""- "",FILTER('IMPORT COMPETENCES'!C:C,'IMPORT COMPETENCES'!A:A=A388))),)"),"")</f>
        <v/>
      </c>
      <c r="E388" s="192"/>
    </row>
    <row r="389">
      <c r="A389" s="187"/>
      <c r="B389" s="188"/>
      <c r="C389" s="187"/>
      <c r="D389" s="187" t="str">
        <f>IFERROR(__xludf.DUMMYFUNCTION("IF(A389&lt;&gt;"""", IFNA(""- ""&amp;JOIN(CHAR(10)&amp;""- "",FILTER('IMPORT COMPETENCES'!C:C,'IMPORT COMPETENCES'!A:A=A389))),)"),"")</f>
        <v/>
      </c>
      <c r="E389" s="192"/>
    </row>
    <row r="390">
      <c r="A390" s="187"/>
      <c r="B390" s="188"/>
      <c r="C390" s="187"/>
      <c r="D390" s="187" t="str">
        <f>IFERROR(__xludf.DUMMYFUNCTION("IF(A390&lt;&gt;"""", IFNA(""- ""&amp;JOIN(CHAR(10)&amp;""- "",FILTER('IMPORT COMPETENCES'!C:C,'IMPORT COMPETENCES'!A:A=A390))),)"),"")</f>
        <v/>
      </c>
      <c r="E390" s="192"/>
    </row>
    <row r="391">
      <c r="A391" s="187"/>
      <c r="B391" s="188"/>
      <c r="C391" s="187"/>
      <c r="D391" s="187" t="str">
        <f>IFERROR(__xludf.DUMMYFUNCTION("IF(A391&lt;&gt;"""", IFNA(""- ""&amp;JOIN(CHAR(10)&amp;""- "",FILTER('IMPORT COMPETENCES'!C:C,'IMPORT COMPETENCES'!A:A=A391))),)"),"")</f>
        <v/>
      </c>
      <c r="E391" s="192"/>
    </row>
    <row r="392">
      <c r="A392" s="187"/>
      <c r="B392" s="188"/>
      <c r="C392" s="187"/>
      <c r="D392" s="187" t="str">
        <f>IFERROR(__xludf.DUMMYFUNCTION("IF(A392&lt;&gt;"""", IFNA(""- ""&amp;JOIN(CHAR(10)&amp;""- "",FILTER('IMPORT COMPETENCES'!C:C,'IMPORT COMPETENCES'!A:A=A392))),)"),"")</f>
        <v/>
      </c>
      <c r="E392" s="192"/>
    </row>
    <row r="393">
      <c r="A393" s="187"/>
      <c r="B393" s="188"/>
      <c r="C393" s="187"/>
      <c r="D393" s="187" t="str">
        <f>IFERROR(__xludf.DUMMYFUNCTION("IF(A393&lt;&gt;"""", IFNA(""- ""&amp;JOIN(CHAR(10)&amp;""- "",FILTER('IMPORT COMPETENCES'!C:C,'IMPORT COMPETENCES'!A:A=A393))),)"),"")</f>
        <v/>
      </c>
      <c r="E393" s="192"/>
    </row>
    <row r="394">
      <c r="A394" s="187"/>
      <c r="B394" s="188"/>
      <c r="C394" s="187"/>
      <c r="D394" s="187" t="str">
        <f>IFERROR(__xludf.DUMMYFUNCTION("IF(A394&lt;&gt;"""", IFNA(""- ""&amp;JOIN(CHAR(10)&amp;""- "",FILTER('IMPORT COMPETENCES'!C:C,'IMPORT COMPETENCES'!A:A=A394))),)"),"")</f>
        <v/>
      </c>
      <c r="E394" s="192"/>
    </row>
    <row r="395">
      <c r="A395" s="187"/>
      <c r="B395" s="188"/>
      <c r="C395" s="187"/>
      <c r="D395" s="187" t="str">
        <f>IFERROR(__xludf.DUMMYFUNCTION("IF(A395&lt;&gt;"""", IFNA(""- ""&amp;JOIN(CHAR(10)&amp;""- "",FILTER('IMPORT COMPETENCES'!C:C,'IMPORT COMPETENCES'!A:A=A395))),)"),"")</f>
        <v/>
      </c>
      <c r="E395" s="192"/>
    </row>
    <row r="396">
      <c r="A396" s="187"/>
      <c r="B396" s="188"/>
      <c r="C396" s="187"/>
      <c r="D396" s="187" t="str">
        <f>IFERROR(__xludf.DUMMYFUNCTION("IF(A396&lt;&gt;"""", IFNA(""- ""&amp;JOIN(CHAR(10)&amp;""- "",FILTER('IMPORT COMPETENCES'!C:C,'IMPORT COMPETENCES'!A:A=A396))),)"),"")</f>
        <v/>
      </c>
      <c r="E396" s="192"/>
    </row>
    <row r="397">
      <c r="A397" s="187"/>
      <c r="B397" s="188"/>
      <c r="C397" s="187"/>
      <c r="D397" s="187" t="str">
        <f>IFERROR(__xludf.DUMMYFUNCTION("IF(A397&lt;&gt;"""", IFNA(""- ""&amp;JOIN(CHAR(10)&amp;""- "",FILTER('IMPORT COMPETENCES'!C:C,'IMPORT COMPETENCES'!A:A=A397))),)"),"")</f>
        <v/>
      </c>
      <c r="E397" s="192"/>
    </row>
    <row r="398">
      <c r="A398" s="187"/>
      <c r="B398" s="188"/>
      <c r="C398" s="187"/>
      <c r="D398" s="187" t="str">
        <f>IFERROR(__xludf.DUMMYFUNCTION("IF(A398&lt;&gt;"""", IFNA(""- ""&amp;JOIN(CHAR(10)&amp;""- "",FILTER('IMPORT COMPETENCES'!C:C,'IMPORT COMPETENCES'!A:A=A398))),)"),"")</f>
        <v/>
      </c>
      <c r="E398" s="192"/>
    </row>
    <row r="399">
      <c r="A399" s="187"/>
      <c r="B399" s="188"/>
      <c r="C399" s="187"/>
      <c r="D399" s="187" t="str">
        <f>IFERROR(__xludf.DUMMYFUNCTION("IF(A399&lt;&gt;"""", IFNA(""- ""&amp;JOIN(CHAR(10)&amp;""- "",FILTER('IMPORT COMPETENCES'!C:C,'IMPORT COMPETENCES'!A:A=A399))),)"),"")</f>
        <v/>
      </c>
      <c r="E399" s="192"/>
    </row>
    <row r="400">
      <c r="A400" s="187"/>
      <c r="B400" s="188"/>
      <c r="C400" s="187"/>
      <c r="D400" s="187" t="str">
        <f>IFERROR(__xludf.DUMMYFUNCTION("IF(A400&lt;&gt;"""", IFNA(""- ""&amp;JOIN(CHAR(10)&amp;""- "",FILTER('IMPORT COMPETENCES'!C:C,'IMPORT COMPETENCES'!A:A=A400))),)"),"")</f>
        <v/>
      </c>
      <c r="E400" s="192"/>
    </row>
    <row r="401">
      <c r="A401" s="187"/>
      <c r="B401" s="188"/>
      <c r="C401" s="187"/>
      <c r="D401" s="187" t="str">
        <f>IFERROR(__xludf.DUMMYFUNCTION("IF(A401&lt;&gt;"""", IFNA(""- ""&amp;JOIN(CHAR(10)&amp;""- "",FILTER('IMPORT COMPETENCES'!C:C,'IMPORT COMPETENCES'!A:A=A401))),)"),"")</f>
        <v/>
      </c>
      <c r="E401" s="192"/>
    </row>
    <row r="402">
      <c r="A402" s="187"/>
      <c r="B402" s="188"/>
      <c r="C402" s="187"/>
      <c r="D402" s="187" t="str">
        <f>IFERROR(__xludf.DUMMYFUNCTION("IF(A402&lt;&gt;"""", IFNA(""- ""&amp;JOIN(CHAR(10)&amp;""- "",FILTER('IMPORT COMPETENCES'!C:C,'IMPORT COMPETENCES'!A:A=A402))),)"),"")</f>
        <v/>
      </c>
      <c r="E402" s="192"/>
    </row>
    <row r="403">
      <c r="A403" s="187"/>
      <c r="B403" s="188"/>
      <c r="C403" s="187"/>
      <c r="D403" s="187" t="str">
        <f>IFERROR(__xludf.DUMMYFUNCTION("IF(A403&lt;&gt;"""", IFNA(""- ""&amp;JOIN(CHAR(10)&amp;""- "",FILTER('IMPORT COMPETENCES'!C:C,'IMPORT COMPETENCES'!A:A=A403))),)"),"")</f>
        <v/>
      </c>
      <c r="E403" s="192"/>
    </row>
    <row r="404">
      <c r="A404" s="187"/>
      <c r="B404" s="188"/>
      <c r="C404" s="187"/>
      <c r="D404" s="187" t="str">
        <f>IFERROR(__xludf.DUMMYFUNCTION("IF(A404&lt;&gt;"""", IFNA(""- ""&amp;JOIN(CHAR(10)&amp;""- "",FILTER('IMPORT COMPETENCES'!C:C,'IMPORT COMPETENCES'!A:A=A404))),)"),"")</f>
        <v/>
      </c>
      <c r="E404" s="192"/>
    </row>
    <row r="405">
      <c r="A405" s="187"/>
      <c r="B405" s="188"/>
      <c r="C405" s="187"/>
      <c r="D405" s="187" t="str">
        <f>IFERROR(__xludf.DUMMYFUNCTION("IF(A405&lt;&gt;"""", IFNA(""- ""&amp;JOIN(CHAR(10)&amp;""- "",FILTER('IMPORT COMPETENCES'!C:C,'IMPORT COMPETENCES'!A:A=A405))),)"),"")</f>
        <v/>
      </c>
      <c r="E405" s="192"/>
    </row>
    <row r="406">
      <c r="A406" s="187"/>
      <c r="B406" s="188"/>
      <c r="C406" s="187"/>
      <c r="D406" s="187" t="str">
        <f>IFERROR(__xludf.DUMMYFUNCTION("IF(A406&lt;&gt;"""", IFNA(""- ""&amp;JOIN(CHAR(10)&amp;""- "",FILTER('IMPORT COMPETENCES'!C:C,'IMPORT COMPETENCES'!A:A=A406))),)"),"")</f>
        <v/>
      </c>
      <c r="E406" s="192"/>
    </row>
    <row r="407">
      <c r="A407" s="187"/>
      <c r="B407" s="188"/>
      <c r="C407" s="187"/>
      <c r="D407" s="187" t="str">
        <f>IFERROR(__xludf.DUMMYFUNCTION("IF(A407&lt;&gt;"""", IFNA(""- ""&amp;JOIN(CHAR(10)&amp;""- "",FILTER('IMPORT COMPETENCES'!C:C,'IMPORT COMPETENCES'!A:A=A407))),)"),"")</f>
        <v/>
      </c>
      <c r="E407" s="192"/>
    </row>
    <row r="408">
      <c r="A408" s="187"/>
      <c r="B408" s="188"/>
      <c r="C408" s="187"/>
      <c r="D408" s="187" t="str">
        <f>IFERROR(__xludf.DUMMYFUNCTION("IF(A408&lt;&gt;"""", IFNA(""- ""&amp;JOIN(CHAR(10)&amp;""- "",FILTER('IMPORT COMPETENCES'!C:C,'IMPORT COMPETENCES'!A:A=A408))),)"),"")</f>
        <v/>
      </c>
      <c r="E408" s="192"/>
    </row>
    <row r="409">
      <c r="A409" s="187"/>
      <c r="B409" s="188"/>
      <c r="C409" s="187"/>
      <c r="D409" s="187" t="str">
        <f>IFERROR(__xludf.DUMMYFUNCTION("IF(A409&lt;&gt;"""", IFNA(""- ""&amp;JOIN(CHAR(10)&amp;""- "",FILTER('IMPORT COMPETENCES'!C:C,'IMPORT COMPETENCES'!A:A=A409))),)"),"")</f>
        <v/>
      </c>
      <c r="E409" s="192"/>
    </row>
    <row r="410">
      <c r="A410" s="187"/>
      <c r="B410" s="188"/>
      <c r="C410" s="187"/>
      <c r="D410" s="187" t="str">
        <f>IFERROR(__xludf.DUMMYFUNCTION("IF(A410&lt;&gt;"""", IFNA(""- ""&amp;JOIN(CHAR(10)&amp;""- "",FILTER('IMPORT COMPETENCES'!C:C,'IMPORT COMPETENCES'!A:A=A410))),)"),"")</f>
        <v/>
      </c>
      <c r="E410" s="192"/>
    </row>
    <row r="411">
      <c r="A411" s="187"/>
      <c r="B411" s="188"/>
      <c r="C411" s="187"/>
      <c r="D411" s="187" t="str">
        <f>IFERROR(__xludf.DUMMYFUNCTION("IF(A411&lt;&gt;"""", IFNA(""- ""&amp;JOIN(CHAR(10)&amp;""- "",FILTER('IMPORT COMPETENCES'!C:C,'IMPORT COMPETENCES'!A:A=A411))),)"),"")</f>
        <v/>
      </c>
      <c r="E411" s="192"/>
    </row>
    <row r="412">
      <c r="A412" s="187"/>
      <c r="B412" s="188"/>
      <c r="C412" s="187"/>
      <c r="D412" s="187" t="str">
        <f>IFERROR(__xludf.DUMMYFUNCTION("IF(A412&lt;&gt;"""", IFNA(""- ""&amp;JOIN(CHAR(10)&amp;""- "",FILTER('IMPORT COMPETENCES'!C:C,'IMPORT COMPETENCES'!A:A=A412))),)"),"")</f>
        <v/>
      </c>
      <c r="E412" s="192"/>
    </row>
    <row r="413">
      <c r="A413" s="187"/>
      <c r="B413" s="188"/>
      <c r="C413" s="187"/>
      <c r="D413" s="187" t="str">
        <f>IFERROR(__xludf.DUMMYFUNCTION("IF(A413&lt;&gt;"""", IFNA(""- ""&amp;JOIN(CHAR(10)&amp;""- "",FILTER('IMPORT COMPETENCES'!C:C,'IMPORT COMPETENCES'!A:A=A413))),)"),"")</f>
        <v/>
      </c>
      <c r="E413" s="192"/>
    </row>
    <row r="414">
      <c r="A414" s="187"/>
      <c r="B414" s="188"/>
      <c r="C414" s="187"/>
      <c r="D414" s="187" t="str">
        <f>IFERROR(__xludf.DUMMYFUNCTION("IF(A414&lt;&gt;"""", IFNA(""- ""&amp;JOIN(CHAR(10)&amp;""- "",FILTER('IMPORT COMPETENCES'!C:C,'IMPORT COMPETENCES'!A:A=A414))),)"),"")</f>
        <v/>
      </c>
      <c r="E414" s="192"/>
    </row>
    <row r="415">
      <c r="A415" s="187"/>
      <c r="B415" s="188"/>
      <c r="C415" s="187"/>
      <c r="D415" s="187" t="str">
        <f>IFERROR(__xludf.DUMMYFUNCTION("IF(A415&lt;&gt;"""", IFNA(""- ""&amp;JOIN(CHAR(10)&amp;""- "",FILTER('IMPORT COMPETENCES'!C:C,'IMPORT COMPETENCES'!A:A=A415))),)"),"")</f>
        <v/>
      </c>
      <c r="E415" s="192"/>
    </row>
    <row r="416">
      <c r="A416" s="187"/>
      <c r="B416" s="188"/>
      <c r="C416" s="187"/>
      <c r="D416" s="187" t="str">
        <f>IFERROR(__xludf.DUMMYFUNCTION("IF(A416&lt;&gt;"""", IFNA(""- ""&amp;JOIN(CHAR(10)&amp;""- "",FILTER('IMPORT COMPETENCES'!C:C,'IMPORT COMPETENCES'!A:A=A416))),)"),"")</f>
        <v/>
      </c>
      <c r="E416" s="192"/>
    </row>
    <row r="417">
      <c r="A417" s="187"/>
      <c r="B417" s="188"/>
      <c r="C417" s="187"/>
      <c r="D417" s="187" t="str">
        <f>IFERROR(__xludf.DUMMYFUNCTION("IF(A417&lt;&gt;"""", IFNA(""- ""&amp;JOIN(CHAR(10)&amp;""- "",FILTER('IMPORT COMPETENCES'!C:C,'IMPORT COMPETENCES'!A:A=A417))),)"),"")</f>
        <v/>
      </c>
      <c r="E417" s="192"/>
    </row>
    <row r="418">
      <c r="A418" s="187"/>
      <c r="B418" s="188"/>
      <c r="C418" s="187"/>
      <c r="D418" s="187" t="str">
        <f>IFERROR(__xludf.DUMMYFUNCTION("IF(A418&lt;&gt;"""", IFNA(""- ""&amp;JOIN(CHAR(10)&amp;""- "",FILTER('IMPORT COMPETENCES'!C:C,'IMPORT COMPETENCES'!A:A=A418))),)"),"")</f>
        <v/>
      </c>
      <c r="E418" s="192"/>
    </row>
    <row r="419">
      <c r="A419" s="187"/>
      <c r="B419" s="188"/>
      <c r="C419" s="187"/>
      <c r="D419" s="187" t="str">
        <f>IFERROR(__xludf.DUMMYFUNCTION("IF(A419&lt;&gt;"""", IFNA(""- ""&amp;JOIN(CHAR(10)&amp;""- "",FILTER('IMPORT COMPETENCES'!C:C,'IMPORT COMPETENCES'!A:A=A419))),)"),"")</f>
        <v/>
      </c>
      <c r="E419" s="192"/>
    </row>
    <row r="420">
      <c r="A420" s="187"/>
      <c r="B420" s="188"/>
      <c r="C420" s="187"/>
      <c r="D420" s="187" t="str">
        <f>IFERROR(__xludf.DUMMYFUNCTION("IF(A420&lt;&gt;"""", IFNA(""- ""&amp;JOIN(CHAR(10)&amp;""- "",FILTER('IMPORT COMPETENCES'!C:C,'IMPORT COMPETENCES'!A:A=A420))),)"),"")</f>
        <v/>
      </c>
      <c r="E420" s="192"/>
    </row>
    <row r="421">
      <c r="A421" s="187"/>
      <c r="B421" s="188"/>
      <c r="C421" s="187"/>
      <c r="D421" s="187" t="str">
        <f>IFERROR(__xludf.DUMMYFUNCTION("IF(A421&lt;&gt;"""", IFNA(""- ""&amp;JOIN(CHAR(10)&amp;""- "",FILTER('IMPORT COMPETENCES'!C:C,'IMPORT COMPETENCES'!A:A=A421))),)"),"")</f>
        <v/>
      </c>
      <c r="E421" s="192"/>
    </row>
    <row r="422">
      <c r="A422" s="187"/>
      <c r="B422" s="188"/>
      <c r="C422" s="187"/>
      <c r="D422" s="187" t="str">
        <f>IFERROR(__xludf.DUMMYFUNCTION("IF(A422&lt;&gt;"""", IFNA(""- ""&amp;JOIN(CHAR(10)&amp;""- "",FILTER('IMPORT COMPETENCES'!C:C,'IMPORT COMPETENCES'!A:A=A422))),)"),"")</f>
        <v/>
      </c>
      <c r="E422" s="192"/>
    </row>
    <row r="423">
      <c r="A423" s="187"/>
      <c r="B423" s="188"/>
      <c r="C423" s="187"/>
      <c r="D423" s="187" t="str">
        <f>IFERROR(__xludf.DUMMYFUNCTION("IF(A423&lt;&gt;"""", IFNA(""- ""&amp;JOIN(CHAR(10)&amp;""- "",FILTER('IMPORT COMPETENCES'!C:C,'IMPORT COMPETENCES'!A:A=A423))),)"),"")</f>
        <v/>
      </c>
      <c r="E423" s="192"/>
    </row>
    <row r="424">
      <c r="A424" s="187"/>
      <c r="B424" s="188"/>
      <c r="C424" s="187"/>
      <c r="D424" s="187" t="str">
        <f>IFERROR(__xludf.DUMMYFUNCTION("IF(A424&lt;&gt;"""", IFNA(""- ""&amp;JOIN(CHAR(10)&amp;""- "",FILTER('IMPORT COMPETENCES'!C:C,'IMPORT COMPETENCES'!A:A=A424))),)"),"")</f>
        <v/>
      </c>
      <c r="E424" s="192"/>
    </row>
    <row r="425">
      <c r="A425" s="187"/>
      <c r="B425" s="188"/>
      <c r="C425" s="187"/>
      <c r="D425" s="187" t="str">
        <f>IFERROR(__xludf.DUMMYFUNCTION("IF(A425&lt;&gt;"""", IFNA(""- ""&amp;JOIN(CHAR(10)&amp;""- "",FILTER('IMPORT COMPETENCES'!C:C,'IMPORT COMPETENCES'!A:A=A425))),)"),"")</f>
        <v/>
      </c>
      <c r="E425" s="192"/>
    </row>
    <row r="426">
      <c r="A426" s="187"/>
      <c r="B426" s="188"/>
      <c r="C426" s="187"/>
      <c r="D426" s="187" t="str">
        <f>IFERROR(__xludf.DUMMYFUNCTION("IF(A426&lt;&gt;"""", IFNA(""- ""&amp;JOIN(CHAR(10)&amp;""- "",FILTER('IMPORT COMPETENCES'!C:C,'IMPORT COMPETENCES'!A:A=A426))),)"),"")</f>
        <v/>
      </c>
      <c r="E426" s="192"/>
    </row>
    <row r="427">
      <c r="A427" s="187"/>
      <c r="B427" s="188"/>
      <c r="C427" s="187"/>
      <c r="D427" s="187" t="str">
        <f>IFERROR(__xludf.DUMMYFUNCTION("IF(A427&lt;&gt;"""", IFNA(""- ""&amp;JOIN(CHAR(10)&amp;""- "",FILTER('IMPORT COMPETENCES'!C:C,'IMPORT COMPETENCES'!A:A=A427))),)"),"")</f>
        <v/>
      </c>
      <c r="E427" s="192"/>
    </row>
    <row r="428">
      <c r="A428" s="187"/>
      <c r="B428" s="188"/>
      <c r="C428" s="187"/>
      <c r="D428" s="187" t="str">
        <f>IFERROR(__xludf.DUMMYFUNCTION("IF(A428&lt;&gt;"""", IFNA(""- ""&amp;JOIN(CHAR(10)&amp;""- "",FILTER('IMPORT COMPETENCES'!C:C,'IMPORT COMPETENCES'!A:A=A428))),)"),"")</f>
        <v/>
      </c>
      <c r="E428" s="192"/>
    </row>
    <row r="429">
      <c r="A429" s="187"/>
      <c r="B429" s="188"/>
      <c r="C429" s="187"/>
      <c r="D429" s="187" t="str">
        <f>IFERROR(__xludf.DUMMYFUNCTION("IF(A429&lt;&gt;"""", IFNA(""- ""&amp;JOIN(CHAR(10)&amp;""- "",FILTER('IMPORT COMPETENCES'!C:C,'IMPORT COMPETENCES'!A:A=A429))),)"),"")</f>
        <v/>
      </c>
      <c r="E429" s="192"/>
    </row>
    <row r="430">
      <c r="A430" s="187"/>
      <c r="B430" s="188"/>
      <c r="C430" s="187"/>
      <c r="D430" s="187" t="str">
        <f>IFERROR(__xludf.DUMMYFUNCTION("IF(A430&lt;&gt;"""", IFNA(""- ""&amp;JOIN(CHAR(10)&amp;""- "",FILTER('IMPORT COMPETENCES'!C:C,'IMPORT COMPETENCES'!A:A=A430))),)"),"")</f>
        <v/>
      </c>
      <c r="E430" s="192"/>
    </row>
    <row r="431">
      <c r="A431" s="187"/>
      <c r="B431" s="188"/>
      <c r="C431" s="187"/>
      <c r="D431" s="187" t="str">
        <f>IFERROR(__xludf.DUMMYFUNCTION("IF(A431&lt;&gt;"""", IFNA(""- ""&amp;JOIN(CHAR(10)&amp;""- "",FILTER('IMPORT COMPETENCES'!C:C,'IMPORT COMPETENCES'!A:A=A431))),)"),"")</f>
        <v/>
      </c>
      <c r="E431" s="192"/>
    </row>
    <row r="432">
      <c r="A432" s="187"/>
      <c r="B432" s="188"/>
      <c r="C432" s="187"/>
      <c r="D432" s="187" t="str">
        <f>IFERROR(__xludf.DUMMYFUNCTION("IF(A432&lt;&gt;"""", IFNA(""- ""&amp;JOIN(CHAR(10)&amp;""- "",FILTER('IMPORT COMPETENCES'!C:C,'IMPORT COMPETENCES'!A:A=A432))),)"),"")</f>
        <v/>
      </c>
      <c r="E432" s="192"/>
    </row>
    <row r="433">
      <c r="A433" s="187"/>
      <c r="B433" s="188"/>
      <c r="C433" s="187"/>
      <c r="D433" s="187" t="str">
        <f>IFERROR(__xludf.DUMMYFUNCTION("IF(A433&lt;&gt;"""", IFNA(""- ""&amp;JOIN(CHAR(10)&amp;""- "",FILTER('IMPORT COMPETENCES'!C:C,'IMPORT COMPETENCES'!A:A=A433))),)"),"")</f>
        <v/>
      </c>
      <c r="E433" s="192"/>
    </row>
    <row r="434">
      <c r="A434" s="187"/>
      <c r="B434" s="188"/>
      <c r="C434" s="187"/>
      <c r="D434" s="187" t="str">
        <f>IFERROR(__xludf.DUMMYFUNCTION("IF(A434&lt;&gt;"""", IFNA(""- ""&amp;JOIN(CHAR(10)&amp;""- "",FILTER('IMPORT COMPETENCES'!C:C,'IMPORT COMPETENCES'!A:A=A434))),)"),"")</f>
        <v/>
      </c>
      <c r="E434" s="192"/>
    </row>
    <row r="435">
      <c r="A435" s="187"/>
      <c r="B435" s="188"/>
      <c r="C435" s="187"/>
      <c r="D435" s="187" t="str">
        <f>IFERROR(__xludf.DUMMYFUNCTION("IF(A435&lt;&gt;"""", IFNA(""- ""&amp;JOIN(CHAR(10)&amp;""- "",FILTER('IMPORT COMPETENCES'!C:C,'IMPORT COMPETENCES'!A:A=A435))),)"),"")</f>
        <v/>
      </c>
      <c r="E435" s="192"/>
    </row>
    <row r="436">
      <c r="A436" s="187"/>
      <c r="B436" s="188"/>
      <c r="C436" s="187"/>
      <c r="D436" s="187" t="str">
        <f>IFERROR(__xludf.DUMMYFUNCTION("IF(A436&lt;&gt;"""", IFNA(""- ""&amp;JOIN(CHAR(10)&amp;""- "",FILTER('IMPORT COMPETENCES'!C:C,'IMPORT COMPETENCES'!A:A=A436))),)"),"")</f>
        <v/>
      </c>
      <c r="E436" s="192"/>
    </row>
    <row r="437">
      <c r="A437" s="187"/>
      <c r="B437" s="188"/>
      <c r="C437" s="187"/>
      <c r="D437" s="187" t="str">
        <f>IFERROR(__xludf.DUMMYFUNCTION("IF(A437&lt;&gt;"""", IFNA(""- ""&amp;JOIN(CHAR(10)&amp;""- "",FILTER('IMPORT COMPETENCES'!C:C,'IMPORT COMPETENCES'!A:A=A437))),)"),"")</f>
        <v/>
      </c>
      <c r="E437" s="192"/>
    </row>
    <row r="438">
      <c r="A438" s="187"/>
      <c r="B438" s="188"/>
      <c r="C438" s="187"/>
      <c r="D438" s="187" t="str">
        <f>IFERROR(__xludf.DUMMYFUNCTION("IF(A438&lt;&gt;"""", IFNA(""- ""&amp;JOIN(CHAR(10)&amp;""- "",FILTER('IMPORT COMPETENCES'!C:C,'IMPORT COMPETENCES'!A:A=A438))),)"),"")</f>
        <v/>
      </c>
      <c r="E438" s="192"/>
    </row>
    <row r="439">
      <c r="A439" s="187"/>
      <c r="B439" s="188"/>
      <c r="C439" s="187"/>
      <c r="D439" s="187" t="str">
        <f>IFERROR(__xludf.DUMMYFUNCTION("IF(A439&lt;&gt;"""", IFNA(""- ""&amp;JOIN(CHAR(10)&amp;""- "",FILTER('IMPORT COMPETENCES'!C:C,'IMPORT COMPETENCES'!A:A=A439))),)"),"")</f>
        <v/>
      </c>
      <c r="E439" s="192"/>
    </row>
    <row r="440">
      <c r="A440" s="187"/>
      <c r="B440" s="188"/>
      <c r="C440" s="187"/>
      <c r="D440" s="187" t="str">
        <f>IFERROR(__xludf.DUMMYFUNCTION("IF(A440&lt;&gt;"""", IFNA(""- ""&amp;JOIN(CHAR(10)&amp;""- "",FILTER('IMPORT COMPETENCES'!C:C,'IMPORT COMPETENCES'!A:A=A440))),)"),"")</f>
        <v/>
      </c>
      <c r="E440" s="192"/>
    </row>
    <row r="441">
      <c r="A441" s="187"/>
      <c r="B441" s="188"/>
      <c r="C441" s="187"/>
      <c r="D441" s="187" t="str">
        <f>IFERROR(__xludf.DUMMYFUNCTION("IF(A441&lt;&gt;"""", IFNA(""- ""&amp;JOIN(CHAR(10)&amp;""- "",FILTER('IMPORT COMPETENCES'!C:C,'IMPORT COMPETENCES'!A:A=A441))),)"),"")</f>
        <v/>
      </c>
      <c r="E441" s="192"/>
    </row>
    <row r="442">
      <c r="A442" s="187"/>
      <c r="B442" s="188"/>
      <c r="C442" s="187"/>
      <c r="D442" s="187" t="str">
        <f>IFERROR(__xludf.DUMMYFUNCTION("IF(A442&lt;&gt;"""", IFNA(""- ""&amp;JOIN(CHAR(10)&amp;""- "",FILTER('IMPORT COMPETENCES'!C:C,'IMPORT COMPETENCES'!A:A=A442))),)"),"")</f>
        <v/>
      </c>
      <c r="E442" s="192"/>
    </row>
    <row r="443">
      <c r="A443" s="187"/>
      <c r="B443" s="188"/>
      <c r="C443" s="187"/>
      <c r="D443" s="187" t="str">
        <f>IFERROR(__xludf.DUMMYFUNCTION("IF(A443&lt;&gt;"""", IFNA(""- ""&amp;JOIN(CHAR(10)&amp;""- "",FILTER('IMPORT COMPETENCES'!C:C,'IMPORT COMPETENCES'!A:A=A443))),)"),"")</f>
        <v/>
      </c>
      <c r="E443" s="192"/>
    </row>
    <row r="444">
      <c r="A444" s="187"/>
      <c r="B444" s="188"/>
      <c r="C444" s="187"/>
      <c r="D444" s="187" t="str">
        <f>IFERROR(__xludf.DUMMYFUNCTION("IF(A444&lt;&gt;"""", IFNA(""- ""&amp;JOIN(CHAR(10)&amp;""- "",FILTER('IMPORT COMPETENCES'!C:C,'IMPORT COMPETENCES'!A:A=A444))),)"),"")</f>
        <v/>
      </c>
      <c r="E444" s="192"/>
    </row>
    <row r="445">
      <c r="A445" s="187"/>
      <c r="B445" s="188"/>
      <c r="C445" s="187"/>
      <c r="D445" s="187" t="str">
        <f>IFERROR(__xludf.DUMMYFUNCTION("IF(A445&lt;&gt;"""", IFNA(""- ""&amp;JOIN(CHAR(10)&amp;""- "",FILTER('IMPORT COMPETENCES'!C:C,'IMPORT COMPETENCES'!A:A=A445))),)"),"")</f>
        <v/>
      </c>
      <c r="E445" s="192"/>
    </row>
    <row r="446">
      <c r="A446" s="187"/>
      <c r="B446" s="188"/>
      <c r="C446" s="187"/>
      <c r="D446" s="187" t="str">
        <f>IFERROR(__xludf.DUMMYFUNCTION("IF(A446&lt;&gt;"""", IFNA(""- ""&amp;JOIN(CHAR(10)&amp;""- "",FILTER('IMPORT COMPETENCES'!C:C,'IMPORT COMPETENCES'!A:A=A446))),)"),"")</f>
        <v/>
      </c>
      <c r="E446" s="192"/>
    </row>
    <row r="447">
      <c r="A447" s="187"/>
      <c r="B447" s="188"/>
      <c r="C447" s="187"/>
      <c r="D447" s="187" t="str">
        <f>IFERROR(__xludf.DUMMYFUNCTION("IF(A447&lt;&gt;"""", IFNA(""- ""&amp;JOIN(CHAR(10)&amp;""- "",FILTER('IMPORT COMPETENCES'!C:C,'IMPORT COMPETENCES'!A:A=A447))),)"),"")</f>
        <v/>
      </c>
      <c r="E447" s="192"/>
    </row>
    <row r="448">
      <c r="A448" s="187"/>
      <c r="B448" s="188"/>
      <c r="C448" s="187"/>
      <c r="D448" s="187" t="str">
        <f>IFERROR(__xludf.DUMMYFUNCTION("IF(A448&lt;&gt;"""", IFNA(""- ""&amp;JOIN(CHAR(10)&amp;""- "",FILTER('IMPORT COMPETENCES'!C:C,'IMPORT COMPETENCES'!A:A=A448))),)"),"")</f>
        <v/>
      </c>
      <c r="E448" s="192"/>
    </row>
    <row r="449">
      <c r="A449" s="187"/>
      <c r="B449" s="188"/>
      <c r="C449" s="187"/>
      <c r="D449" s="187" t="str">
        <f>IFERROR(__xludf.DUMMYFUNCTION("IF(A449&lt;&gt;"""", IFNA(""- ""&amp;JOIN(CHAR(10)&amp;""- "",FILTER('IMPORT COMPETENCES'!C:C,'IMPORT COMPETENCES'!A:A=A449))),)"),"")</f>
        <v/>
      </c>
      <c r="E449" s="192"/>
    </row>
    <row r="450">
      <c r="A450" s="187"/>
      <c r="B450" s="188"/>
      <c r="C450" s="187"/>
      <c r="D450" s="187" t="str">
        <f>IFERROR(__xludf.DUMMYFUNCTION("IF(A450&lt;&gt;"""", IFNA(""- ""&amp;JOIN(CHAR(10)&amp;""- "",FILTER('IMPORT COMPETENCES'!C:C,'IMPORT COMPETENCES'!A:A=A450))),)"),"")</f>
        <v/>
      </c>
      <c r="E450" s="192"/>
    </row>
    <row r="451">
      <c r="A451" s="187"/>
      <c r="B451" s="188"/>
      <c r="C451" s="187"/>
      <c r="D451" s="187" t="str">
        <f>IFERROR(__xludf.DUMMYFUNCTION("IF(A451&lt;&gt;"""", IFNA(""- ""&amp;JOIN(CHAR(10)&amp;""- "",FILTER('IMPORT COMPETENCES'!C:C,'IMPORT COMPETENCES'!A:A=A451))),)"),"")</f>
        <v/>
      </c>
      <c r="E451" s="192"/>
    </row>
    <row r="452">
      <c r="A452" s="187"/>
      <c r="B452" s="188"/>
      <c r="C452" s="187"/>
      <c r="D452" s="187" t="str">
        <f>IFERROR(__xludf.DUMMYFUNCTION("IF(A452&lt;&gt;"""", IFNA(""- ""&amp;JOIN(CHAR(10)&amp;""- "",FILTER('IMPORT COMPETENCES'!C:C,'IMPORT COMPETENCES'!A:A=A452))),)"),"")</f>
        <v/>
      </c>
      <c r="E452" s="192"/>
    </row>
    <row r="453">
      <c r="A453" s="187"/>
      <c r="B453" s="188"/>
      <c r="C453" s="187"/>
      <c r="D453" s="187" t="str">
        <f>IFERROR(__xludf.DUMMYFUNCTION("IF(A453&lt;&gt;"""", IFNA(""- ""&amp;JOIN(CHAR(10)&amp;""- "",FILTER('IMPORT COMPETENCES'!C:C,'IMPORT COMPETENCES'!A:A=A453))),)"),"")</f>
        <v/>
      </c>
      <c r="E453" s="192"/>
    </row>
    <row r="454">
      <c r="A454" s="187"/>
      <c r="B454" s="188"/>
      <c r="C454" s="187"/>
      <c r="D454" s="187" t="str">
        <f>IFERROR(__xludf.DUMMYFUNCTION("IF(A454&lt;&gt;"""", IFNA(""- ""&amp;JOIN(CHAR(10)&amp;""- "",FILTER('IMPORT COMPETENCES'!C:C,'IMPORT COMPETENCES'!A:A=A454))),)"),"")</f>
        <v/>
      </c>
      <c r="E454" s="192"/>
    </row>
    <row r="455">
      <c r="A455" s="187"/>
      <c r="B455" s="188"/>
      <c r="C455" s="187"/>
      <c r="D455" s="187" t="str">
        <f>IFERROR(__xludf.DUMMYFUNCTION("IF(A455&lt;&gt;"""", IFNA(""- ""&amp;JOIN(CHAR(10)&amp;""- "",FILTER('IMPORT COMPETENCES'!C:C,'IMPORT COMPETENCES'!A:A=A455))),)"),"")</f>
        <v/>
      </c>
      <c r="E455" s="192"/>
    </row>
    <row r="456">
      <c r="A456" s="187"/>
      <c r="B456" s="188"/>
      <c r="C456" s="187"/>
      <c r="D456" s="187" t="str">
        <f>IFERROR(__xludf.DUMMYFUNCTION("IF(A456&lt;&gt;"""", IFNA(""- ""&amp;JOIN(CHAR(10)&amp;""- "",FILTER('IMPORT COMPETENCES'!C:C,'IMPORT COMPETENCES'!A:A=A456))),)"),"")</f>
        <v/>
      </c>
      <c r="E456" s="192"/>
    </row>
    <row r="457">
      <c r="A457" s="187"/>
      <c r="B457" s="188"/>
      <c r="C457" s="187"/>
      <c r="D457" s="187" t="str">
        <f>IFERROR(__xludf.DUMMYFUNCTION("IF(A457&lt;&gt;"""", IFNA(""- ""&amp;JOIN(CHAR(10)&amp;""- "",FILTER('IMPORT COMPETENCES'!C:C,'IMPORT COMPETENCES'!A:A=A457))),)"),"")</f>
        <v/>
      </c>
      <c r="E457" s="192"/>
    </row>
    <row r="458">
      <c r="A458" s="187"/>
      <c r="B458" s="188"/>
      <c r="C458" s="187"/>
      <c r="D458" s="187" t="str">
        <f>IFERROR(__xludf.DUMMYFUNCTION("IF(A458&lt;&gt;"""", IFNA(""- ""&amp;JOIN(CHAR(10)&amp;""- "",FILTER('IMPORT COMPETENCES'!C:C,'IMPORT COMPETENCES'!A:A=A458))),)"),"")</f>
        <v/>
      </c>
      <c r="E458" s="192"/>
    </row>
    <row r="459">
      <c r="A459" s="187"/>
      <c r="B459" s="188"/>
      <c r="C459" s="187"/>
      <c r="D459" s="187" t="str">
        <f>IFERROR(__xludf.DUMMYFUNCTION("IF(A459&lt;&gt;"""", IFNA(""- ""&amp;JOIN(CHAR(10)&amp;""- "",FILTER('IMPORT COMPETENCES'!C:C,'IMPORT COMPETENCES'!A:A=A459))),)"),"")</f>
        <v/>
      </c>
      <c r="E459" s="192"/>
    </row>
    <row r="460">
      <c r="A460" s="187"/>
      <c r="B460" s="188"/>
      <c r="C460" s="187"/>
      <c r="D460" s="187" t="str">
        <f>IFERROR(__xludf.DUMMYFUNCTION("IF(A460&lt;&gt;"""", IFNA(""- ""&amp;JOIN(CHAR(10)&amp;""- "",FILTER('IMPORT COMPETENCES'!C:C,'IMPORT COMPETENCES'!A:A=A460))),)"),"")</f>
        <v/>
      </c>
      <c r="E460" s="192"/>
    </row>
    <row r="461">
      <c r="A461" s="187"/>
      <c r="B461" s="188"/>
      <c r="C461" s="187"/>
      <c r="D461" s="187" t="str">
        <f>IFERROR(__xludf.DUMMYFUNCTION("IF(A461&lt;&gt;"""", IFNA(""- ""&amp;JOIN(CHAR(10)&amp;""- "",FILTER('IMPORT COMPETENCES'!C:C,'IMPORT COMPETENCES'!A:A=A461))),)"),"")</f>
        <v/>
      </c>
      <c r="E461" s="192"/>
    </row>
    <row r="462">
      <c r="A462" s="187"/>
      <c r="B462" s="188"/>
      <c r="C462" s="187"/>
      <c r="D462" s="187" t="str">
        <f>IFERROR(__xludf.DUMMYFUNCTION("IF(A462&lt;&gt;"""", IFNA(""- ""&amp;JOIN(CHAR(10)&amp;""- "",FILTER('IMPORT COMPETENCES'!C:C,'IMPORT COMPETENCES'!A:A=A462))),)"),"")</f>
        <v/>
      </c>
      <c r="E462" s="192"/>
    </row>
    <row r="463">
      <c r="A463" s="187"/>
      <c r="B463" s="188"/>
      <c r="C463" s="187"/>
      <c r="D463" s="187" t="str">
        <f>IFERROR(__xludf.DUMMYFUNCTION("IF(A463&lt;&gt;"""", IFNA(""- ""&amp;JOIN(CHAR(10)&amp;""- "",FILTER('IMPORT COMPETENCES'!C:C,'IMPORT COMPETENCES'!A:A=A463))),)"),"")</f>
        <v/>
      </c>
      <c r="E463" s="192"/>
    </row>
    <row r="464">
      <c r="A464" s="187"/>
      <c r="B464" s="188"/>
      <c r="C464" s="187"/>
      <c r="D464" s="187" t="str">
        <f>IFERROR(__xludf.DUMMYFUNCTION("IF(A464&lt;&gt;"""", IFNA(""- ""&amp;JOIN(CHAR(10)&amp;""- "",FILTER('IMPORT COMPETENCES'!C:C,'IMPORT COMPETENCES'!A:A=A464))),)"),"")</f>
        <v/>
      </c>
      <c r="E464" s="192"/>
    </row>
    <row r="465">
      <c r="A465" s="187"/>
      <c r="B465" s="188"/>
      <c r="C465" s="187"/>
      <c r="D465" s="187" t="str">
        <f>IFERROR(__xludf.DUMMYFUNCTION("IF(A465&lt;&gt;"""", IFNA(""- ""&amp;JOIN(CHAR(10)&amp;""- "",FILTER('IMPORT COMPETENCES'!C:C,'IMPORT COMPETENCES'!A:A=A465))),)"),"")</f>
        <v/>
      </c>
      <c r="E465" s="192"/>
    </row>
    <row r="466">
      <c r="A466" s="187"/>
      <c r="B466" s="188"/>
      <c r="C466" s="187"/>
      <c r="D466" s="187" t="str">
        <f>IFERROR(__xludf.DUMMYFUNCTION("IF(A466&lt;&gt;"""", IFNA(""- ""&amp;JOIN(CHAR(10)&amp;""- "",FILTER('IMPORT COMPETENCES'!C:C,'IMPORT COMPETENCES'!A:A=A466))),)"),"")</f>
        <v/>
      </c>
      <c r="E466" s="192"/>
    </row>
    <row r="467">
      <c r="A467" s="187"/>
      <c r="B467" s="188"/>
      <c r="C467" s="187"/>
      <c r="D467" s="187" t="str">
        <f>IFERROR(__xludf.DUMMYFUNCTION("IF(A467&lt;&gt;"""", IFNA(""- ""&amp;JOIN(CHAR(10)&amp;""- "",FILTER('IMPORT COMPETENCES'!C:C,'IMPORT COMPETENCES'!A:A=A467))),)"),"")</f>
        <v/>
      </c>
      <c r="E467" s="192"/>
    </row>
    <row r="468">
      <c r="A468" s="187"/>
      <c r="B468" s="188"/>
      <c r="C468" s="187"/>
      <c r="D468" s="187" t="str">
        <f>IFERROR(__xludf.DUMMYFUNCTION("IF(A468&lt;&gt;"""", IFNA(""- ""&amp;JOIN(CHAR(10)&amp;""- "",FILTER('IMPORT COMPETENCES'!C:C,'IMPORT COMPETENCES'!A:A=A468))),)"),"")</f>
        <v/>
      </c>
      <c r="E468" s="192"/>
    </row>
    <row r="469">
      <c r="A469" s="187"/>
      <c r="B469" s="188"/>
      <c r="C469" s="187"/>
      <c r="D469" s="187" t="str">
        <f>IFERROR(__xludf.DUMMYFUNCTION("IF(A469&lt;&gt;"""", IFNA(""- ""&amp;JOIN(CHAR(10)&amp;""- "",FILTER('IMPORT COMPETENCES'!C:C,'IMPORT COMPETENCES'!A:A=A469))),)"),"")</f>
        <v/>
      </c>
      <c r="E469" s="192"/>
    </row>
    <row r="470">
      <c r="A470" s="187"/>
      <c r="B470" s="188"/>
      <c r="C470" s="187"/>
      <c r="D470" s="187" t="str">
        <f>IFERROR(__xludf.DUMMYFUNCTION("IF(A470&lt;&gt;"""", IFNA(""- ""&amp;JOIN(CHAR(10)&amp;""- "",FILTER('IMPORT COMPETENCES'!C:C,'IMPORT COMPETENCES'!A:A=A470))),)"),"")</f>
        <v/>
      </c>
      <c r="E470" s="192"/>
    </row>
    <row r="471">
      <c r="A471" s="187"/>
      <c r="B471" s="188"/>
      <c r="C471" s="187"/>
      <c r="D471" s="187" t="str">
        <f>IFERROR(__xludf.DUMMYFUNCTION("IF(A471&lt;&gt;"""", IFNA(""- ""&amp;JOIN(CHAR(10)&amp;""- "",FILTER('IMPORT COMPETENCES'!C:C,'IMPORT COMPETENCES'!A:A=A471))),)"),"")</f>
        <v/>
      </c>
      <c r="E471" s="192"/>
    </row>
    <row r="472">
      <c r="A472" s="187"/>
      <c r="B472" s="188"/>
      <c r="C472" s="187"/>
      <c r="D472" s="187" t="str">
        <f>IFERROR(__xludf.DUMMYFUNCTION("IF(A472&lt;&gt;"""", IFNA(""- ""&amp;JOIN(CHAR(10)&amp;""- "",FILTER('IMPORT COMPETENCES'!C:C,'IMPORT COMPETENCES'!A:A=A472))),)"),"")</f>
        <v/>
      </c>
      <c r="E472" s="192"/>
    </row>
    <row r="473">
      <c r="A473" s="187"/>
      <c r="B473" s="188"/>
      <c r="C473" s="187"/>
      <c r="D473" s="187" t="str">
        <f>IFERROR(__xludf.DUMMYFUNCTION("IF(A473&lt;&gt;"""", IFNA(""- ""&amp;JOIN(CHAR(10)&amp;""- "",FILTER('IMPORT COMPETENCES'!C:C,'IMPORT COMPETENCES'!A:A=A473))),)"),"")</f>
        <v/>
      </c>
      <c r="E473" s="192"/>
    </row>
    <row r="474">
      <c r="A474" s="187"/>
      <c r="B474" s="188"/>
      <c r="C474" s="187"/>
      <c r="D474" s="187" t="str">
        <f>IFERROR(__xludf.DUMMYFUNCTION("IF(A474&lt;&gt;"""", IFNA(""- ""&amp;JOIN(CHAR(10)&amp;""- "",FILTER('IMPORT COMPETENCES'!C:C,'IMPORT COMPETENCES'!A:A=A474))),)"),"")</f>
        <v/>
      </c>
      <c r="E474" s="192"/>
    </row>
    <row r="475">
      <c r="A475" s="187"/>
      <c r="B475" s="188"/>
      <c r="C475" s="187"/>
      <c r="D475" s="187" t="str">
        <f>IFERROR(__xludf.DUMMYFUNCTION("IF(A475&lt;&gt;"""", IFNA(""- ""&amp;JOIN(CHAR(10)&amp;""- "",FILTER('IMPORT COMPETENCES'!C:C,'IMPORT COMPETENCES'!A:A=A475))),)"),"")</f>
        <v/>
      </c>
      <c r="E475" s="192"/>
    </row>
    <row r="476">
      <c r="A476" s="187"/>
      <c r="B476" s="188"/>
      <c r="C476" s="187"/>
      <c r="D476" s="187" t="str">
        <f>IFERROR(__xludf.DUMMYFUNCTION("IF(A476&lt;&gt;"""", IFNA(""- ""&amp;JOIN(CHAR(10)&amp;""- "",FILTER('IMPORT COMPETENCES'!C:C,'IMPORT COMPETENCES'!A:A=A476))),)"),"")</f>
        <v/>
      </c>
      <c r="E476" s="192"/>
    </row>
    <row r="477">
      <c r="A477" s="187"/>
      <c r="B477" s="188"/>
      <c r="C477" s="187"/>
      <c r="D477" s="187" t="str">
        <f>IFERROR(__xludf.DUMMYFUNCTION("IF(A477&lt;&gt;"""", IFNA(""- ""&amp;JOIN(CHAR(10)&amp;""- "",FILTER('IMPORT COMPETENCES'!C:C,'IMPORT COMPETENCES'!A:A=A477))),)"),"")</f>
        <v/>
      </c>
      <c r="E477" s="192"/>
    </row>
    <row r="478">
      <c r="A478" s="187"/>
      <c r="B478" s="188"/>
      <c r="C478" s="187"/>
      <c r="D478" s="187" t="str">
        <f>IFERROR(__xludf.DUMMYFUNCTION("IF(A478&lt;&gt;"""", IFNA(""- ""&amp;JOIN(CHAR(10)&amp;""- "",FILTER('IMPORT COMPETENCES'!C:C,'IMPORT COMPETENCES'!A:A=A478))),)"),"")</f>
        <v/>
      </c>
      <c r="E478" s="192"/>
    </row>
    <row r="479">
      <c r="A479" s="187"/>
      <c r="B479" s="188"/>
      <c r="C479" s="187"/>
      <c r="D479" s="187" t="str">
        <f>IFERROR(__xludf.DUMMYFUNCTION("IF(A479&lt;&gt;"""", IFNA(""- ""&amp;JOIN(CHAR(10)&amp;""- "",FILTER('IMPORT COMPETENCES'!C:C,'IMPORT COMPETENCES'!A:A=A479))),)"),"")</f>
        <v/>
      </c>
      <c r="E479" s="192"/>
    </row>
    <row r="480">
      <c r="A480" s="187"/>
      <c r="B480" s="188"/>
      <c r="C480" s="187"/>
      <c r="D480" s="187" t="str">
        <f>IFERROR(__xludf.DUMMYFUNCTION("IF(A480&lt;&gt;"""", IFNA(""- ""&amp;JOIN(CHAR(10)&amp;""- "",FILTER('IMPORT COMPETENCES'!C:C,'IMPORT COMPETENCES'!A:A=A480))),)"),"")</f>
        <v/>
      </c>
      <c r="E480" s="192"/>
    </row>
    <row r="481">
      <c r="A481" s="187"/>
      <c r="B481" s="188"/>
      <c r="C481" s="187"/>
      <c r="D481" s="187" t="str">
        <f>IFERROR(__xludf.DUMMYFUNCTION("IF(A481&lt;&gt;"""", IFNA(""- ""&amp;JOIN(CHAR(10)&amp;""- "",FILTER('IMPORT COMPETENCES'!C:C,'IMPORT COMPETENCES'!A:A=A481))),)"),"")</f>
        <v/>
      </c>
      <c r="E481" s="192"/>
    </row>
    <row r="482">
      <c r="A482" s="187"/>
      <c r="B482" s="188"/>
      <c r="C482" s="187"/>
      <c r="D482" s="187" t="str">
        <f>IFERROR(__xludf.DUMMYFUNCTION("IF(A482&lt;&gt;"""", IFNA(""- ""&amp;JOIN(CHAR(10)&amp;""- "",FILTER('IMPORT COMPETENCES'!C:C,'IMPORT COMPETENCES'!A:A=A482))),)"),"")</f>
        <v/>
      </c>
      <c r="E482" s="192"/>
    </row>
    <row r="483">
      <c r="A483" s="187"/>
      <c r="B483" s="188"/>
      <c r="C483" s="187"/>
      <c r="D483" s="187" t="str">
        <f>IFERROR(__xludf.DUMMYFUNCTION("IF(A483&lt;&gt;"""", IFNA(""- ""&amp;JOIN(CHAR(10)&amp;""- "",FILTER('IMPORT COMPETENCES'!C:C,'IMPORT COMPETENCES'!A:A=A483))),)"),"")</f>
        <v/>
      </c>
      <c r="E483" s="192"/>
    </row>
    <row r="484">
      <c r="A484" s="187"/>
      <c r="B484" s="188"/>
      <c r="C484" s="187"/>
      <c r="D484" s="187" t="str">
        <f>IFERROR(__xludf.DUMMYFUNCTION("IF(A484&lt;&gt;"""", IFNA(""- ""&amp;JOIN(CHAR(10)&amp;""- "",FILTER('IMPORT COMPETENCES'!C:C,'IMPORT COMPETENCES'!A:A=A484))),)"),"")</f>
        <v/>
      </c>
      <c r="E484" s="192"/>
    </row>
    <row r="485">
      <c r="A485" s="187"/>
      <c r="B485" s="188"/>
      <c r="C485" s="187"/>
      <c r="D485" s="187" t="str">
        <f>IFERROR(__xludf.DUMMYFUNCTION("IF(A485&lt;&gt;"""", IFNA(""- ""&amp;JOIN(CHAR(10)&amp;""- "",FILTER('IMPORT COMPETENCES'!C:C,'IMPORT COMPETENCES'!A:A=A485))),)"),"")</f>
        <v/>
      </c>
      <c r="E485" s="192"/>
    </row>
    <row r="486">
      <c r="A486" s="187"/>
      <c r="B486" s="188"/>
      <c r="C486" s="187"/>
      <c r="D486" s="187" t="str">
        <f>IFERROR(__xludf.DUMMYFUNCTION("IF(A486&lt;&gt;"""", IFNA(""- ""&amp;JOIN(CHAR(10)&amp;""- "",FILTER('IMPORT COMPETENCES'!C:C,'IMPORT COMPETENCES'!A:A=A486))),)"),"")</f>
        <v/>
      </c>
      <c r="E486" s="192"/>
    </row>
    <row r="487">
      <c r="A487" s="187"/>
      <c r="B487" s="188"/>
      <c r="C487" s="187"/>
      <c r="D487" s="187" t="str">
        <f>IFERROR(__xludf.DUMMYFUNCTION("IF(A487&lt;&gt;"""", IFNA(""- ""&amp;JOIN(CHAR(10)&amp;""- "",FILTER('IMPORT COMPETENCES'!C:C,'IMPORT COMPETENCES'!A:A=A487))),)"),"")</f>
        <v/>
      </c>
      <c r="E487" s="192"/>
    </row>
    <row r="488">
      <c r="A488" s="187"/>
      <c r="B488" s="188"/>
      <c r="C488" s="187"/>
      <c r="D488" s="187" t="str">
        <f>IFERROR(__xludf.DUMMYFUNCTION("IF(A488&lt;&gt;"""", IFNA(""- ""&amp;JOIN(CHAR(10)&amp;""- "",FILTER('IMPORT COMPETENCES'!C:C,'IMPORT COMPETENCES'!A:A=A488))),)"),"")</f>
        <v/>
      </c>
      <c r="E488" s="192"/>
    </row>
    <row r="489">
      <c r="A489" s="187"/>
      <c r="B489" s="188"/>
      <c r="C489" s="187"/>
      <c r="D489" s="187" t="str">
        <f>IFERROR(__xludf.DUMMYFUNCTION("IF(A489&lt;&gt;"""", IFNA(""- ""&amp;JOIN(CHAR(10)&amp;""- "",FILTER('IMPORT COMPETENCES'!C:C,'IMPORT COMPETENCES'!A:A=A489))),)"),"")</f>
        <v/>
      </c>
      <c r="E489" s="192"/>
    </row>
    <row r="490">
      <c r="A490" s="187"/>
      <c r="B490" s="188"/>
      <c r="C490" s="187"/>
      <c r="D490" s="187" t="str">
        <f>IFERROR(__xludf.DUMMYFUNCTION("IF(A490&lt;&gt;"""", IFNA(""- ""&amp;JOIN(CHAR(10)&amp;""- "",FILTER('IMPORT COMPETENCES'!C:C,'IMPORT COMPETENCES'!A:A=A490))),)"),"")</f>
        <v/>
      </c>
      <c r="E490" s="192"/>
    </row>
    <row r="491">
      <c r="A491" s="187"/>
      <c r="B491" s="188"/>
      <c r="C491" s="187"/>
      <c r="D491" s="187" t="str">
        <f>IFERROR(__xludf.DUMMYFUNCTION("IF(A491&lt;&gt;"""", IFNA(""- ""&amp;JOIN(CHAR(10)&amp;""- "",FILTER('IMPORT COMPETENCES'!C:C,'IMPORT COMPETENCES'!A:A=A491))),)"),"")</f>
        <v/>
      </c>
      <c r="E491" s="192"/>
    </row>
    <row r="492">
      <c r="A492" s="187"/>
      <c r="B492" s="188"/>
      <c r="C492" s="187"/>
      <c r="D492" s="187" t="str">
        <f>IFERROR(__xludf.DUMMYFUNCTION("IF(A492&lt;&gt;"""", IFNA(""- ""&amp;JOIN(CHAR(10)&amp;""- "",FILTER('IMPORT COMPETENCES'!C:C,'IMPORT COMPETENCES'!A:A=A492))),)"),"")</f>
        <v/>
      </c>
      <c r="E492" s="192"/>
    </row>
    <row r="493">
      <c r="A493" s="187"/>
      <c r="B493" s="188"/>
      <c r="C493" s="187"/>
      <c r="D493" s="187" t="str">
        <f>IFERROR(__xludf.DUMMYFUNCTION("IF(A493&lt;&gt;"""", IFNA(""- ""&amp;JOIN(CHAR(10)&amp;""- "",FILTER('IMPORT COMPETENCES'!C:C,'IMPORT COMPETENCES'!A:A=A493))),)"),"")</f>
        <v/>
      </c>
      <c r="E493" s="192"/>
    </row>
    <row r="494">
      <c r="A494" s="187"/>
      <c r="B494" s="188"/>
      <c r="C494" s="187"/>
      <c r="D494" s="187" t="str">
        <f>IFERROR(__xludf.DUMMYFUNCTION("IF(A494&lt;&gt;"""", IFNA(""- ""&amp;JOIN(CHAR(10)&amp;""- "",FILTER('IMPORT COMPETENCES'!C:C,'IMPORT COMPETENCES'!A:A=A494))),)"),"")</f>
        <v/>
      </c>
      <c r="E494" s="192"/>
    </row>
    <row r="495">
      <c r="A495" s="187"/>
      <c r="B495" s="188"/>
      <c r="C495" s="187"/>
      <c r="D495" s="187" t="str">
        <f>IFERROR(__xludf.DUMMYFUNCTION("IF(A495&lt;&gt;"""", IFNA(""- ""&amp;JOIN(CHAR(10)&amp;""- "",FILTER('IMPORT COMPETENCES'!C:C,'IMPORT COMPETENCES'!A:A=A495))),)"),"")</f>
        <v/>
      </c>
      <c r="E495" s="192"/>
    </row>
    <row r="496">
      <c r="A496" s="187"/>
      <c r="B496" s="188"/>
      <c r="C496" s="187"/>
      <c r="D496" s="187" t="str">
        <f>IFERROR(__xludf.DUMMYFUNCTION("IF(A496&lt;&gt;"""", IFNA(""- ""&amp;JOIN(CHAR(10)&amp;""- "",FILTER('IMPORT COMPETENCES'!C:C,'IMPORT COMPETENCES'!A:A=A496))),)"),"")</f>
        <v/>
      </c>
      <c r="E496" s="192"/>
    </row>
    <row r="497">
      <c r="A497" s="187"/>
      <c r="B497" s="188"/>
      <c r="C497" s="187"/>
      <c r="D497" s="187" t="str">
        <f>IFERROR(__xludf.DUMMYFUNCTION("IF(A497&lt;&gt;"""", IFNA(""- ""&amp;JOIN(CHAR(10)&amp;""- "",FILTER('IMPORT COMPETENCES'!C:C,'IMPORT COMPETENCES'!A:A=A497))),)"),"")</f>
        <v/>
      </c>
      <c r="E497" s="192"/>
    </row>
    <row r="498">
      <c r="A498" s="187"/>
      <c r="B498" s="188"/>
      <c r="C498" s="187"/>
      <c r="D498" s="187" t="str">
        <f>IFERROR(__xludf.DUMMYFUNCTION("IF(A498&lt;&gt;"""", IFNA(""- ""&amp;JOIN(CHAR(10)&amp;""- "",FILTER('IMPORT COMPETENCES'!C:C,'IMPORT COMPETENCES'!A:A=A498))),)"),"")</f>
        <v/>
      </c>
      <c r="E498" s="192"/>
    </row>
    <row r="499">
      <c r="A499" s="187"/>
      <c r="B499" s="188"/>
      <c r="C499" s="187"/>
      <c r="D499" s="187" t="str">
        <f>IFERROR(__xludf.DUMMYFUNCTION("IF(A499&lt;&gt;"""", IFNA(""- ""&amp;JOIN(CHAR(10)&amp;""- "",FILTER('IMPORT COMPETENCES'!C:C,'IMPORT COMPETENCES'!A:A=A499))),)"),"")</f>
        <v/>
      </c>
      <c r="E499" s="192"/>
    </row>
    <row r="500">
      <c r="A500" s="187"/>
      <c r="B500" s="188"/>
      <c r="C500" s="187"/>
      <c r="D500" s="187" t="str">
        <f>IFERROR(__xludf.DUMMYFUNCTION("IF(A500&lt;&gt;"""", IFNA(""- ""&amp;JOIN(CHAR(10)&amp;""- "",FILTER('IMPORT COMPETENCES'!C:C,'IMPORT COMPETENCES'!A:A=A500))),)"),"")</f>
        <v/>
      </c>
      <c r="E500" s="192"/>
    </row>
    <row r="501">
      <c r="A501" s="187"/>
      <c r="B501" s="188"/>
      <c r="C501" s="187"/>
      <c r="D501" s="187" t="str">
        <f>IFERROR(__xludf.DUMMYFUNCTION("IF(A501&lt;&gt;"""", IFNA(""- ""&amp;JOIN(CHAR(10)&amp;""- "",FILTER('IMPORT COMPETENCES'!C:C,'IMPORT COMPETENCES'!A:A=A501))),)"),"")</f>
        <v/>
      </c>
      <c r="E501" s="192"/>
    </row>
    <row r="502">
      <c r="A502" s="187"/>
      <c r="B502" s="188"/>
      <c r="C502" s="187"/>
      <c r="D502" s="187" t="str">
        <f>IFERROR(__xludf.DUMMYFUNCTION("IF(A502&lt;&gt;"""", IFNA(""- ""&amp;JOIN(CHAR(10)&amp;""- "",FILTER('IMPORT COMPETENCES'!C:C,'IMPORT COMPETENCES'!A:A=A502))),)"),"")</f>
        <v/>
      </c>
      <c r="E502" s="192"/>
    </row>
    <row r="503">
      <c r="A503" s="187"/>
      <c r="B503" s="188"/>
      <c r="C503" s="187"/>
      <c r="D503" s="187" t="str">
        <f>IFERROR(__xludf.DUMMYFUNCTION("IF(A503&lt;&gt;"""", IFNA(""- ""&amp;JOIN(CHAR(10)&amp;""- "",FILTER('IMPORT COMPETENCES'!C:C,'IMPORT COMPETENCES'!A:A=A503))),)"),"")</f>
        <v/>
      </c>
      <c r="E503" s="192"/>
    </row>
    <row r="504">
      <c r="A504" s="187"/>
      <c r="B504" s="188"/>
      <c r="C504" s="187"/>
      <c r="D504" s="187" t="str">
        <f>IFERROR(__xludf.DUMMYFUNCTION("IF(A504&lt;&gt;"""", IFNA(""- ""&amp;JOIN(CHAR(10)&amp;""- "",FILTER('IMPORT COMPETENCES'!C:C,'IMPORT COMPETENCES'!A:A=A504))),)"),"")</f>
        <v/>
      </c>
      <c r="E504" s="192"/>
    </row>
    <row r="505">
      <c r="A505" s="187"/>
      <c r="B505" s="188"/>
      <c r="C505" s="187"/>
      <c r="D505" s="187" t="str">
        <f>IFERROR(__xludf.DUMMYFUNCTION("IF(A505&lt;&gt;"""", IFNA(""- ""&amp;JOIN(CHAR(10)&amp;""- "",FILTER('IMPORT COMPETENCES'!C:C,'IMPORT COMPETENCES'!A:A=A505))),)"),"")</f>
        <v/>
      </c>
      <c r="E505" s="192"/>
    </row>
    <row r="506">
      <c r="A506" s="187"/>
      <c r="B506" s="188"/>
      <c r="C506" s="187"/>
      <c r="D506" s="187" t="str">
        <f>IFERROR(__xludf.DUMMYFUNCTION("IF(A506&lt;&gt;"""", IFNA(""- ""&amp;JOIN(CHAR(10)&amp;""- "",FILTER('IMPORT COMPETENCES'!C:C,'IMPORT COMPETENCES'!A:A=A506))),)"),"")</f>
        <v/>
      </c>
      <c r="E506" s="192"/>
    </row>
    <row r="507">
      <c r="A507" s="187"/>
      <c r="B507" s="188"/>
      <c r="C507" s="187"/>
      <c r="D507" s="187" t="str">
        <f>IFERROR(__xludf.DUMMYFUNCTION("IF(A507&lt;&gt;"""", IFNA(""- ""&amp;JOIN(CHAR(10)&amp;""- "",FILTER('IMPORT COMPETENCES'!C:C,'IMPORT COMPETENCES'!A:A=A507))),)"),"")</f>
        <v/>
      </c>
      <c r="E507" s="192"/>
    </row>
    <row r="508">
      <c r="A508" s="187"/>
      <c r="B508" s="188"/>
      <c r="C508" s="187"/>
      <c r="D508" s="187" t="str">
        <f>IFERROR(__xludf.DUMMYFUNCTION("IF(A508&lt;&gt;"""", IFNA(""- ""&amp;JOIN(CHAR(10)&amp;""- "",FILTER('IMPORT COMPETENCES'!C:C,'IMPORT COMPETENCES'!A:A=A508))),)"),"")</f>
        <v/>
      </c>
      <c r="E508" s="192"/>
    </row>
    <row r="509">
      <c r="A509" s="187"/>
      <c r="B509" s="188"/>
      <c r="C509" s="187"/>
      <c r="D509" s="187" t="str">
        <f>IFERROR(__xludf.DUMMYFUNCTION("IF(A509&lt;&gt;"""", IFNA(""- ""&amp;JOIN(CHAR(10)&amp;""- "",FILTER('IMPORT COMPETENCES'!C:C,'IMPORT COMPETENCES'!A:A=A509))),)"),"")</f>
        <v/>
      </c>
      <c r="E509" s="192"/>
    </row>
    <row r="510">
      <c r="A510" s="187"/>
      <c r="B510" s="188"/>
      <c r="C510" s="187"/>
      <c r="D510" s="187" t="str">
        <f>IFERROR(__xludf.DUMMYFUNCTION("IF(A510&lt;&gt;"""", IFNA(""- ""&amp;JOIN(CHAR(10)&amp;""- "",FILTER('IMPORT COMPETENCES'!C:C,'IMPORT COMPETENCES'!A:A=A510))),)"),"")</f>
        <v/>
      </c>
      <c r="E510" s="192"/>
    </row>
    <row r="511">
      <c r="A511" s="187"/>
      <c r="B511" s="188"/>
      <c r="C511" s="187"/>
      <c r="D511" s="187" t="str">
        <f>IFERROR(__xludf.DUMMYFUNCTION("IF(A511&lt;&gt;"""", IFNA(""- ""&amp;JOIN(CHAR(10)&amp;""- "",FILTER('IMPORT COMPETENCES'!C:C,'IMPORT COMPETENCES'!A:A=A511))),)"),"")</f>
        <v/>
      </c>
      <c r="E511" s="192"/>
    </row>
    <row r="512">
      <c r="A512" s="187"/>
      <c r="B512" s="188"/>
      <c r="C512" s="187"/>
      <c r="D512" s="187" t="str">
        <f>IFERROR(__xludf.DUMMYFUNCTION("IF(A512&lt;&gt;"""", IFNA(""- ""&amp;JOIN(CHAR(10)&amp;""- "",FILTER('IMPORT COMPETENCES'!C:C,'IMPORT COMPETENCES'!A:A=A512))),)"),"")</f>
        <v/>
      </c>
      <c r="E512" s="192"/>
    </row>
    <row r="513">
      <c r="A513" s="187"/>
      <c r="B513" s="188"/>
      <c r="C513" s="187"/>
      <c r="D513" s="187" t="str">
        <f>IFERROR(__xludf.DUMMYFUNCTION("IF(A513&lt;&gt;"""", IFNA(""- ""&amp;JOIN(CHAR(10)&amp;""- "",FILTER('IMPORT COMPETENCES'!C:C,'IMPORT COMPETENCES'!A:A=A513))),)"),"")</f>
        <v/>
      </c>
      <c r="E513" s="192"/>
    </row>
    <row r="514">
      <c r="A514" s="187"/>
      <c r="B514" s="188"/>
      <c r="C514" s="187"/>
      <c r="D514" s="187" t="str">
        <f>IFERROR(__xludf.DUMMYFUNCTION("IF(A514&lt;&gt;"""", IFNA(""- ""&amp;JOIN(CHAR(10)&amp;""- "",FILTER('IMPORT COMPETENCES'!C:C,'IMPORT COMPETENCES'!A:A=A514))),)"),"")</f>
        <v/>
      </c>
      <c r="E514" s="192"/>
    </row>
    <row r="515">
      <c r="A515" s="187"/>
      <c r="B515" s="188"/>
      <c r="C515" s="187"/>
      <c r="D515" s="187" t="str">
        <f>IFERROR(__xludf.DUMMYFUNCTION("IF(A515&lt;&gt;"""", IFNA(""- ""&amp;JOIN(CHAR(10)&amp;""- "",FILTER('IMPORT COMPETENCES'!C:C,'IMPORT COMPETENCES'!A:A=A515))),)"),"")</f>
        <v/>
      </c>
      <c r="E515" s="192"/>
    </row>
    <row r="516">
      <c r="A516" s="187"/>
      <c r="B516" s="188"/>
      <c r="C516" s="187"/>
      <c r="D516" s="187" t="str">
        <f>IFERROR(__xludf.DUMMYFUNCTION("IF(A516&lt;&gt;"""", IFNA(""- ""&amp;JOIN(CHAR(10)&amp;""- "",FILTER('IMPORT COMPETENCES'!C:C,'IMPORT COMPETENCES'!A:A=A516))),)"),"")</f>
        <v/>
      </c>
      <c r="E516" s="192"/>
    </row>
    <row r="517">
      <c r="A517" s="187"/>
      <c r="B517" s="188"/>
      <c r="C517" s="187"/>
      <c r="D517" s="187" t="str">
        <f>IFERROR(__xludf.DUMMYFUNCTION("IF(A517&lt;&gt;"""", IFNA(""- ""&amp;JOIN(CHAR(10)&amp;""- "",FILTER('IMPORT COMPETENCES'!C:C,'IMPORT COMPETENCES'!A:A=A517))),)"),"")</f>
        <v/>
      </c>
      <c r="E517" s="192"/>
    </row>
    <row r="518">
      <c r="A518" s="187"/>
      <c r="B518" s="188"/>
      <c r="C518" s="187"/>
      <c r="D518" s="187" t="str">
        <f>IFERROR(__xludf.DUMMYFUNCTION("IF(A518&lt;&gt;"""", IFNA(""- ""&amp;JOIN(CHAR(10)&amp;""- "",FILTER('IMPORT COMPETENCES'!C:C,'IMPORT COMPETENCES'!A:A=A518))),)"),"")</f>
        <v/>
      </c>
      <c r="E518" s="192"/>
    </row>
    <row r="519">
      <c r="A519" s="187"/>
      <c r="B519" s="188"/>
      <c r="C519" s="187"/>
      <c r="D519" s="187" t="str">
        <f>IFERROR(__xludf.DUMMYFUNCTION("IF(A519&lt;&gt;"""", IFNA(""- ""&amp;JOIN(CHAR(10)&amp;""- "",FILTER('IMPORT COMPETENCES'!C:C,'IMPORT COMPETENCES'!A:A=A519))),)"),"")</f>
        <v/>
      </c>
      <c r="E519" s="192"/>
    </row>
    <row r="520">
      <c r="A520" s="187"/>
      <c r="B520" s="188"/>
      <c r="C520" s="187"/>
      <c r="D520" s="187" t="str">
        <f>IFERROR(__xludf.DUMMYFUNCTION("IF(A520&lt;&gt;"""", IFNA(""- ""&amp;JOIN(CHAR(10)&amp;""- "",FILTER('IMPORT COMPETENCES'!C:C,'IMPORT COMPETENCES'!A:A=A520))),)"),"")</f>
        <v/>
      </c>
      <c r="E520" s="192"/>
    </row>
    <row r="521">
      <c r="A521" s="187"/>
      <c r="B521" s="188"/>
      <c r="C521" s="187"/>
      <c r="D521" s="187" t="str">
        <f>IFERROR(__xludf.DUMMYFUNCTION("IF(A521&lt;&gt;"""", IFNA(""- ""&amp;JOIN(CHAR(10)&amp;""- "",FILTER('IMPORT COMPETENCES'!C:C,'IMPORT COMPETENCES'!A:A=A521))),)"),"")</f>
        <v/>
      </c>
      <c r="E521" s="192"/>
    </row>
    <row r="522">
      <c r="A522" s="187"/>
      <c r="B522" s="188"/>
      <c r="C522" s="187"/>
      <c r="D522" s="187" t="str">
        <f>IFERROR(__xludf.DUMMYFUNCTION("IF(A522&lt;&gt;"""", IFNA(""- ""&amp;JOIN(CHAR(10)&amp;""- "",FILTER('IMPORT COMPETENCES'!C:C,'IMPORT COMPETENCES'!A:A=A522))),)"),"")</f>
        <v/>
      </c>
      <c r="E522" s="192"/>
    </row>
    <row r="523">
      <c r="A523" s="187"/>
      <c r="B523" s="188"/>
      <c r="C523" s="187"/>
      <c r="D523" s="187" t="str">
        <f>IFERROR(__xludf.DUMMYFUNCTION("IF(A523&lt;&gt;"""", IFNA(""- ""&amp;JOIN(CHAR(10)&amp;""- "",FILTER('IMPORT COMPETENCES'!C:C,'IMPORT COMPETENCES'!A:A=A523))),)"),"")</f>
        <v/>
      </c>
      <c r="E523" s="192"/>
    </row>
    <row r="524">
      <c r="A524" s="187"/>
      <c r="B524" s="188"/>
      <c r="C524" s="187"/>
      <c r="D524" s="187" t="str">
        <f>IFERROR(__xludf.DUMMYFUNCTION("IF(A524&lt;&gt;"""", IFNA(""- ""&amp;JOIN(CHAR(10)&amp;""- "",FILTER('IMPORT COMPETENCES'!C:C,'IMPORT COMPETENCES'!A:A=A524))),)"),"")</f>
        <v/>
      </c>
      <c r="E524" s="192"/>
    </row>
    <row r="525">
      <c r="A525" s="187"/>
      <c r="B525" s="188"/>
      <c r="C525" s="187"/>
      <c r="D525" s="187" t="str">
        <f>IFERROR(__xludf.DUMMYFUNCTION("IF(A525&lt;&gt;"""", IFNA(""- ""&amp;JOIN(CHAR(10)&amp;""- "",FILTER('IMPORT COMPETENCES'!C:C,'IMPORT COMPETENCES'!A:A=A525))),)"),"")</f>
        <v/>
      </c>
      <c r="E525" s="192"/>
    </row>
    <row r="526">
      <c r="A526" s="187"/>
      <c r="B526" s="188"/>
      <c r="C526" s="187"/>
      <c r="D526" s="187" t="str">
        <f>IFERROR(__xludf.DUMMYFUNCTION("IF(A526&lt;&gt;"""", IFNA(""- ""&amp;JOIN(CHAR(10)&amp;""- "",FILTER('IMPORT COMPETENCES'!C:C,'IMPORT COMPETENCES'!A:A=A526))),)"),"")</f>
        <v/>
      </c>
      <c r="E526" s="192"/>
    </row>
    <row r="527">
      <c r="A527" s="187"/>
      <c r="B527" s="188"/>
      <c r="C527" s="187"/>
      <c r="D527" s="187" t="str">
        <f>IFERROR(__xludf.DUMMYFUNCTION("IF(A527&lt;&gt;"""", IFNA(""- ""&amp;JOIN(CHAR(10)&amp;""- "",FILTER('IMPORT COMPETENCES'!C:C,'IMPORT COMPETENCES'!A:A=A527))),)"),"")</f>
        <v/>
      </c>
      <c r="E527" s="192"/>
    </row>
    <row r="528">
      <c r="A528" s="187"/>
      <c r="B528" s="188"/>
      <c r="C528" s="187"/>
      <c r="D528" s="187" t="str">
        <f>IFERROR(__xludf.DUMMYFUNCTION("IF(A528&lt;&gt;"""", IFNA(""- ""&amp;JOIN(CHAR(10)&amp;""- "",FILTER('IMPORT COMPETENCES'!C:C,'IMPORT COMPETENCES'!A:A=A528))),)"),"")</f>
        <v/>
      </c>
      <c r="E528" s="192"/>
    </row>
    <row r="529">
      <c r="A529" s="187"/>
      <c r="B529" s="188"/>
      <c r="C529" s="187"/>
      <c r="D529" s="187" t="str">
        <f>IFERROR(__xludf.DUMMYFUNCTION("IF(A529&lt;&gt;"""", IFNA(""- ""&amp;JOIN(CHAR(10)&amp;""- "",FILTER('IMPORT COMPETENCES'!C:C,'IMPORT COMPETENCES'!A:A=A529))),)"),"")</f>
        <v/>
      </c>
      <c r="E529" s="192"/>
    </row>
    <row r="530">
      <c r="A530" s="187"/>
      <c r="B530" s="188"/>
      <c r="C530" s="187"/>
      <c r="D530" s="187" t="str">
        <f>IFERROR(__xludf.DUMMYFUNCTION("IF(A530&lt;&gt;"""", IFNA(""- ""&amp;JOIN(CHAR(10)&amp;""- "",FILTER('IMPORT COMPETENCES'!C:C,'IMPORT COMPETENCES'!A:A=A530))),)"),"")</f>
        <v/>
      </c>
      <c r="E530" s="192"/>
    </row>
    <row r="531">
      <c r="A531" s="187"/>
      <c r="B531" s="188"/>
      <c r="C531" s="187"/>
      <c r="D531" s="187" t="str">
        <f>IFERROR(__xludf.DUMMYFUNCTION("IF(A531&lt;&gt;"""", IFNA(""- ""&amp;JOIN(CHAR(10)&amp;""- "",FILTER('IMPORT COMPETENCES'!C:C,'IMPORT COMPETENCES'!A:A=A531))),)"),"")</f>
        <v/>
      </c>
      <c r="E531" s="192"/>
    </row>
    <row r="532">
      <c r="A532" s="187"/>
      <c r="B532" s="188"/>
      <c r="C532" s="187"/>
      <c r="D532" s="187" t="str">
        <f>IFERROR(__xludf.DUMMYFUNCTION("IF(A532&lt;&gt;"""", IFNA(""- ""&amp;JOIN(CHAR(10)&amp;""- "",FILTER('IMPORT COMPETENCES'!C:C,'IMPORT COMPETENCES'!A:A=A532))),)"),"")</f>
        <v/>
      </c>
      <c r="E532" s="192"/>
    </row>
    <row r="533">
      <c r="A533" s="187"/>
      <c r="B533" s="188"/>
      <c r="C533" s="187"/>
      <c r="D533" s="187" t="str">
        <f>IFERROR(__xludf.DUMMYFUNCTION("IF(A533&lt;&gt;"""", IFNA(""- ""&amp;JOIN(CHAR(10)&amp;""- "",FILTER('IMPORT COMPETENCES'!C:C,'IMPORT COMPETENCES'!A:A=A533))),)"),"")</f>
        <v/>
      </c>
      <c r="E533" s="192"/>
    </row>
    <row r="534">
      <c r="A534" s="187"/>
      <c r="B534" s="188"/>
      <c r="C534" s="187"/>
      <c r="D534" s="187" t="str">
        <f>IFERROR(__xludf.DUMMYFUNCTION("IF(A534&lt;&gt;"""", IFNA(""- ""&amp;JOIN(CHAR(10)&amp;""- "",FILTER('IMPORT COMPETENCES'!C:C,'IMPORT COMPETENCES'!A:A=A534))),)"),"")</f>
        <v/>
      </c>
      <c r="E534" s="192"/>
    </row>
    <row r="535">
      <c r="A535" s="187"/>
      <c r="B535" s="188"/>
      <c r="C535" s="187"/>
      <c r="D535" s="187" t="str">
        <f>IFERROR(__xludf.DUMMYFUNCTION("IF(A535&lt;&gt;"""", IFNA(""- ""&amp;JOIN(CHAR(10)&amp;""- "",FILTER('IMPORT COMPETENCES'!C:C,'IMPORT COMPETENCES'!A:A=A535))),)"),"")</f>
        <v/>
      </c>
      <c r="E535" s="192"/>
    </row>
    <row r="536">
      <c r="A536" s="187"/>
      <c r="B536" s="188"/>
      <c r="C536" s="187"/>
      <c r="D536" s="187" t="str">
        <f>IFERROR(__xludf.DUMMYFUNCTION("IF(A536&lt;&gt;"""", IFNA(""- ""&amp;JOIN(CHAR(10)&amp;""- "",FILTER('IMPORT COMPETENCES'!C:C,'IMPORT COMPETENCES'!A:A=A536))),)"),"")</f>
        <v/>
      </c>
      <c r="E536" s="192"/>
    </row>
    <row r="537">
      <c r="A537" s="187"/>
      <c r="B537" s="188"/>
      <c r="C537" s="187"/>
      <c r="D537" s="187" t="str">
        <f>IFERROR(__xludf.DUMMYFUNCTION("IF(A537&lt;&gt;"""", IFNA(""- ""&amp;JOIN(CHAR(10)&amp;""- "",FILTER('IMPORT COMPETENCES'!C:C,'IMPORT COMPETENCES'!A:A=A537))),)"),"")</f>
        <v/>
      </c>
      <c r="E537" s="192"/>
    </row>
    <row r="538">
      <c r="A538" s="187"/>
      <c r="B538" s="188"/>
      <c r="C538" s="187"/>
      <c r="D538" s="187" t="str">
        <f>IFERROR(__xludf.DUMMYFUNCTION("IF(A538&lt;&gt;"""", IFNA(""- ""&amp;JOIN(CHAR(10)&amp;""- "",FILTER('IMPORT COMPETENCES'!C:C,'IMPORT COMPETENCES'!A:A=A538))),)"),"")</f>
        <v/>
      </c>
      <c r="E538" s="192"/>
    </row>
    <row r="539">
      <c r="A539" s="187"/>
      <c r="B539" s="188"/>
      <c r="C539" s="187"/>
      <c r="D539" s="187" t="str">
        <f>IFERROR(__xludf.DUMMYFUNCTION("IF(A539&lt;&gt;"""", IFNA(""- ""&amp;JOIN(CHAR(10)&amp;""- "",FILTER('IMPORT COMPETENCES'!C:C,'IMPORT COMPETENCES'!A:A=A539))),)"),"")</f>
        <v/>
      </c>
      <c r="E539" s="192"/>
    </row>
    <row r="540">
      <c r="A540" s="187"/>
      <c r="B540" s="188"/>
      <c r="C540" s="187"/>
      <c r="D540" s="187" t="str">
        <f>IFERROR(__xludf.DUMMYFUNCTION("IF(A540&lt;&gt;"""", IFNA(""- ""&amp;JOIN(CHAR(10)&amp;""- "",FILTER('IMPORT COMPETENCES'!C:C,'IMPORT COMPETENCES'!A:A=A540))),)"),"")</f>
        <v/>
      </c>
      <c r="E540" s="192"/>
    </row>
    <row r="541">
      <c r="A541" s="187"/>
      <c r="B541" s="188"/>
      <c r="C541" s="187"/>
      <c r="D541" s="187" t="str">
        <f>IFERROR(__xludf.DUMMYFUNCTION("IF(A541&lt;&gt;"""", IFNA(""- ""&amp;JOIN(CHAR(10)&amp;""- "",FILTER('IMPORT COMPETENCES'!C:C,'IMPORT COMPETENCES'!A:A=A541))),)"),"")</f>
        <v/>
      </c>
      <c r="E541" s="192"/>
    </row>
    <row r="542">
      <c r="A542" s="187"/>
      <c r="B542" s="188"/>
      <c r="C542" s="187"/>
      <c r="D542" s="187" t="str">
        <f>IFERROR(__xludf.DUMMYFUNCTION("IF(A542&lt;&gt;"""", IFNA(""- ""&amp;JOIN(CHAR(10)&amp;""- "",FILTER('IMPORT COMPETENCES'!C:C,'IMPORT COMPETENCES'!A:A=A542))),)"),"")</f>
        <v/>
      </c>
      <c r="E542" s="192"/>
    </row>
    <row r="543">
      <c r="A543" s="187"/>
      <c r="B543" s="188"/>
      <c r="C543" s="187"/>
      <c r="D543" s="187" t="str">
        <f>IFERROR(__xludf.DUMMYFUNCTION("IF(A543&lt;&gt;"""", IFNA(""- ""&amp;JOIN(CHAR(10)&amp;""- "",FILTER('IMPORT COMPETENCES'!C:C,'IMPORT COMPETENCES'!A:A=A543))),)"),"")</f>
        <v/>
      </c>
      <c r="E543" s="192"/>
    </row>
    <row r="544">
      <c r="A544" s="187"/>
      <c r="B544" s="188"/>
      <c r="C544" s="187"/>
      <c r="D544" s="187" t="str">
        <f>IFERROR(__xludf.DUMMYFUNCTION("IF(A544&lt;&gt;"""", IFNA(""- ""&amp;JOIN(CHAR(10)&amp;""- "",FILTER('IMPORT COMPETENCES'!C:C,'IMPORT COMPETENCES'!A:A=A544))),)"),"")</f>
        <v/>
      </c>
      <c r="E544" s="192"/>
    </row>
    <row r="545">
      <c r="A545" s="187"/>
      <c r="B545" s="188"/>
      <c r="C545" s="187"/>
      <c r="D545" s="187" t="str">
        <f>IFERROR(__xludf.DUMMYFUNCTION("IF(A545&lt;&gt;"""", IFNA(""- ""&amp;JOIN(CHAR(10)&amp;""- "",FILTER('IMPORT COMPETENCES'!C:C,'IMPORT COMPETENCES'!A:A=A545))),)"),"")</f>
        <v/>
      </c>
      <c r="E545" s="192"/>
    </row>
    <row r="546">
      <c r="A546" s="187"/>
      <c r="B546" s="188"/>
      <c r="C546" s="187"/>
      <c r="D546" s="187" t="str">
        <f>IFERROR(__xludf.DUMMYFUNCTION("IF(A546&lt;&gt;"""", IFNA(""- ""&amp;JOIN(CHAR(10)&amp;""- "",FILTER('IMPORT COMPETENCES'!C:C,'IMPORT COMPETENCES'!A:A=A546))),)"),"")</f>
        <v/>
      </c>
      <c r="E546" s="192"/>
    </row>
    <row r="547">
      <c r="A547" s="187"/>
      <c r="B547" s="188"/>
      <c r="C547" s="187"/>
      <c r="D547" s="187" t="str">
        <f>IFERROR(__xludf.DUMMYFUNCTION("IF(A547&lt;&gt;"""", IFNA(""- ""&amp;JOIN(CHAR(10)&amp;""- "",FILTER('IMPORT COMPETENCES'!C:C,'IMPORT COMPETENCES'!A:A=A547))),)"),"")</f>
        <v/>
      </c>
      <c r="E547" s="192"/>
    </row>
    <row r="548">
      <c r="A548" s="187"/>
      <c r="B548" s="188"/>
      <c r="C548" s="187"/>
      <c r="D548" s="187" t="str">
        <f>IFERROR(__xludf.DUMMYFUNCTION("IF(A548&lt;&gt;"""", IFNA(""- ""&amp;JOIN(CHAR(10)&amp;""- "",FILTER('IMPORT COMPETENCES'!C:C,'IMPORT COMPETENCES'!A:A=A548))),)"),"")</f>
        <v/>
      </c>
      <c r="E548" s="192"/>
    </row>
    <row r="549">
      <c r="A549" s="187"/>
      <c r="B549" s="188"/>
      <c r="C549" s="187"/>
      <c r="D549" s="187" t="str">
        <f>IFERROR(__xludf.DUMMYFUNCTION("IF(A549&lt;&gt;"""", IFNA(""- ""&amp;JOIN(CHAR(10)&amp;""- "",FILTER('IMPORT COMPETENCES'!C:C,'IMPORT COMPETENCES'!A:A=A549))),)"),"")</f>
        <v/>
      </c>
      <c r="E549" s="192"/>
    </row>
    <row r="550">
      <c r="A550" s="187"/>
      <c r="B550" s="188"/>
      <c r="C550" s="187"/>
      <c r="D550" s="187" t="str">
        <f>IFERROR(__xludf.DUMMYFUNCTION("IF(A550&lt;&gt;"""", IFNA(""- ""&amp;JOIN(CHAR(10)&amp;""- "",FILTER('IMPORT COMPETENCES'!C:C,'IMPORT COMPETENCES'!A:A=A550))),)"),"")</f>
        <v/>
      </c>
      <c r="E550" s="192"/>
    </row>
    <row r="551">
      <c r="A551" s="187"/>
      <c r="B551" s="188"/>
      <c r="C551" s="187"/>
      <c r="D551" s="187" t="str">
        <f>IFERROR(__xludf.DUMMYFUNCTION("IF(A551&lt;&gt;"""", IFNA(""- ""&amp;JOIN(CHAR(10)&amp;""- "",FILTER('IMPORT COMPETENCES'!C:C,'IMPORT COMPETENCES'!A:A=A551))),)"),"")</f>
        <v/>
      </c>
      <c r="E551" s="192"/>
    </row>
    <row r="552">
      <c r="A552" s="187"/>
      <c r="B552" s="188"/>
      <c r="C552" s="187"/>
      <c r="D552" s="187" t="str">
        <f>IFERROR(__xludf.DUMMYFUNCTION("IF(A552&lt;&gt;"""", IFNA(""- ""&amp;JOIN(CHAR(10)&amp;""- "",FILTER('IMPORT COMPETENCES'!C:C,'IMPORT COMPETENCES'!A:A=A552))),)"),"")</f>
        <v/>
      </c>
      <c r="E552" s="192"/>
    </row>
    <row r="553">
      <c r="A553" s="187"/>
      <c r="B553" s="188"/>
      <c r="C553" s="187"/>
      <c r="D553" s="187" t="str">
        <f>IFERROR(__xludf.DUMMYFUNCTION("IF(A553&lt;&gt;"""", IFNA(""- ""&amp;JOIN(CHAR(10)&amp;""- "",FILTER('IMPORT COMPETENCES'!C:C,'IMPORT COMPETENCES'!A:A=A553))),)"),"")</f>
        <v/>
      </c>
      <c r="E553" s="192"/>
    </row>
    <row r="554">
      <c r="A554" s="187"/>
      <c r="B554" s="188"/>
      <c r="C554" s="187"/>
      <c r="D554" s="187" t="str">
        <f>IFERROR(__xludf.DUMMYFUNCTION("IF(A554&lt;&gt;"""", IFNA(""- ""&amp;JOIN(CHAR(10)&amp;""- "",FILTER('IMPORT COMPETENCES'!C:C,'IMPORT COMPETENCES'!A:A=A554))),)"),"")</f>
        <v/>
      </c>
      <c r="E554" s="192"/>
    </row>
    <row r="555">
      <c r="A555" s="187"/>
      <c r="B555" s="188"/>
      <c r="C555" s="187"/>
      <c r="D555" s="187" t="str">
        <f>IFERROR(__xludf.DUMMYFUNCTION("IF(A555&lt;&gt;"""", IFNA(""- ""&amp;JOIN(CHAR(10)&amp;""- "",FILTER('IMPORT COMPETENCES'!C:C,'IMPORT COMPETENCES'!A:A=A555))),)"),"")</f>
        <v/>
      </c>
      <c r="E555" s="192"/>
    </row>
    <row r="556">
      <c r="A556" s="187"/>
      <c r="B556" s="188"/>
      <c r="C556" s="187"/>
      <c r="D556" s="187" t="str">
        <f>IFERROR(__xludf.DUMMYFUNCTION("IF(A556&lt;&gt;"""", IFNA(""- ""&amp;JOIN(CHAR(10)&amp;""- "",FILTER('IMPORT COMPETENCES'!C:C,'IMPORT COMPETENCES'!A:A=A556))),)"),"")</f>
        <v/>
      </c>
      <c r="E556" s="192"/>
    </row>
    <row r="557">
      <c r="A557" s="187"/>
      <c r="B557" s="188"/>
      <c r="C557" s="187"/>
      <c r="D557" s="187" t="str">
        <f>IFERROR(__xludf.DUMMYFUNCTION("IF(A557&lt;&gt;"""", IFNA(""- ""&amp;JOIN(CHAR(10)&amp;""- "",FILTER('IMPORT COMPETENCES'!C:C,'IMPORT COMPETENCES'!A:A=A557))),)"),"")</f>
        <v/>
      </c>
      <c r="E557" s="192"/>
    </row>
    <row r="558">
      <c r="A558" s="187"/>
      <c r="B558" s="188"/>
      <c r="C558" s="187"/>
      <c r="D558" s="187" t="str">
        <f>IFERROR(__xludf.DUMMYFUNCTION("IF(A558&lt;&gt;"""", IFNA(""- ""&amp;JOIN(CHAR(10)&amp;""- "",FILTER('IMPORT COMPETENCES'!C:C,'IMPORT COMPETENCES'!A:A=A558))),)"),"")</f>
        <v/>
      </c>
      <c r="E558" s="192"/>
    </row>
    <row r="559">
      <c r="A559" s="187"/>
      <c r="B559" s="188"/>
      <c r="C559" s="187"/>
      <c r="D559" s="187" t="str">
        <f>IFERROR(__xludf.DUMMYFUNCTION("IF(A559&lt;&gt;"""", IFNA(""- ""&amp;JOIN(CHAR(10)&amp;""- "",FILTER('IMPORT COMPETENCES'!C:C,'IMPORT COMPETENCES'!A:A=A559))),)"),"")</f>
        <v/>
      </c>
      <c r="E559" s="192"/>
    </row>
    <row r="560">
      <c r="A560" s="187"/>
      <c r="B560" s="188"/>
      <c r="C560" s="187"/>
      <c r="D560" s="187" t="str">
        <f>IFERROR(__xludf.DUMMYFUNCTION("IF(A560&lt;&gt;"""", IFNA(""- ""&amp;JOIN(CHAR(10)&amp;""- "",FILTER('IMPORT COMPETENCES'!C:C,'IMPORT COMPETENCES'!A:A=A560))),)"),"")</f>
        <v/>
      </c>
      <c r="E560" s="192"/>
    </row>
    <row r="561">
      <c r="A561" s="187"/>
      <c r="B561" s="188"/>
      <c r="C561" s="187"/>
      <c r="D561" s="187" t="str">
        <f>IFERROR(__xludf.DUMMYFUNCTION("IF(A561&lt;&gt;"""", IFNA(""- ""&amp;JOIN(CHAR(10)&amp;""- "",FILTER('IMPORT COMPETENCES'!C:C,'IMPORT COMPETENCES'!A:A=A561))),)"),"")</f>
        <v/>
      </c>
      <c r="E561" s="192"/>
    </row>
    <row r="562">
      <c r="A562" s="187"/>
      <c r="B562" s="188"/>
      <c r="C562" s="187"/>
      <c r="D562" s="187" t="str">
        <f>IFERROR(__xludf.DUMMYFUNCTION("IF(A562&lt;&gt;"""", IFNA(""- ""&amp;JOIN(CHAR(10)&amp;""- "",FILTER('IMPORT COMPETENCES'!C:C,'IMPORT COMPETENCES'!A:A=A562))),)"),"")</f>
        <v/>
      </c>
      <c r="E562" s="192"/>
    </row>
    <row r="563">
      <c r="A563" s="187"/>
      <c r="B563" s="188"/>
      <c r="C563" s="187"/>
      <c r="D563" s="187" t="str">
        <f>IFERROR(__xludf.DUMMYFUNCTION("IF(A563&lt;&gt;"""", IFNA(""- ""&amp;JOIN(CHAR(10)&amp;""- "",FILTER('IMPORT COMPETENCES'!C:C,'IMPORT COMPETENCES'!A:A=A563))),)"),"")</f>
        <v/>
      </c>
      <c r="E563" s="192"/>
    </row>
    <row r="564">
      <c r="A564" s="187"/>
      <c r="B564" s="188"/>
      <c r="C564" s="187"/>
      <c r="D564" s="187" t="str">
        <f>IFERROR(__xludf.DUMMYFUNCTION("IF(A564&lt;&gt;"""", IFNA(""- ""&amp;JOIN(CHAR(10)&amp;""- "",FILTER('IMPORT COMPETENCES'!C:C,'IMPORT COMPETENCES'!A:A=A564))),)"),"")</f>
        <v/>
      </c>
      <c r="E564" s="192"/>
    </row>
    <row r="565">
      <c r="A565" s="187"/>
      <c r="B565" s="188"/>
      <c r="C565" s="187"/>
      <c r="D565" s="187" t="str">
        <f>IFERROR(__xludf.DUMMYFUNCTION("IF(A565&lt;&gt;"""", IFNA(""- ""&amp;JOIN(CHAR(10)&amp;""- "",FILTER('IMPORT COMPETENCES'!C:C,'IMPORT COMPETENCES'!A:A=A565))),)"),"")</f>
        <v/>
      </c>
      <c r="E565" s="192"/>
    </row>
    <row r="566">
      <c r="A566" s="187"/>
      <c r="B566" s="188"/>
      <c r="C566" s="187"/>
      <c r="D566" s="187" t="str">
        <f>IFERROR(__xludf.DUMMYFUNCTION("IF(A566&lt;&gt;"""", IFNA(""- ""&amp;JOIN(CHAR(10)&amp;""- "",FILTER('IMPORT COMPETENCES'!C:C,'IMPORT COMPETENCES'!A:A=A566))),)"),"")</f>
        <v/>
      </c>
      <c r="E566" s="192"/>
    </row>
    <row r="567">
      <c r="A567" s="187"/>
      <c r="B567" s="188"/>
      <c r="C567" s="187"/>
      <c r="D567" s="187" t="str">
        <f>IFERROR(__xludf.DUMMYFUNCTION("IF(A567&lt;&gt;"""", IFNA(""- ""&amp;JOIN(CHAR(10)&amp;""- "",FILTER('IMPORT COMPETENCES'!C:C,'IMPORT COMPETENCES'!A:A=A567))),)"),"")</f>
        <v/>
      </c>
      <c r="E567" s="192"/>
    </row>
    <row r="568">
      <c r="A568" s="187"/>
      <c r="B568" s="188"/>
      <c r="C568" s="187"/>
      <c r="D568" s="187" t="str">
        <f>IFERROR(__xludf.DUMMYFUNCTION("IF(A568&lt;&gt;"""", IFNA(""- ""&amp;JOIN(CHAR(10)&amp;""- "",FILTER('IMPORT COMPETENCES'!C:C,'IMPORT COMPETENCES'!A:A=A568))),)"),"")</f>
        <v/>
      </c>
      <c r="E568" s="192"/>
    </row>
    <row r="569">
      <c r="A569" s="187"/>
      <c r="B569" s="188"/>
      <c r="C569" s="187"/>
      <c r="D569" s="187" t="str">
        <f>IFERROR(__xludf.DUMMYFUNCTION("IF(A569&lt;&gt;"""", IFNA(""- ""&amp;JOIN(CHAR(10)&amp;""- "",FILTER('IMPORT COMPETENCES'!C:C,'IMPORT COMPETENCES'!A:A=A569))),)"),"")</f>
        <v/>
      </c>
      <c r="E569" s="192"/>
    </row>
    <row r="570">
      <c r="A570" s="187"/>
      <c r="B570" s="188"/>
      <c r="C570" s="187"/>
      <c r="D570" s="187" t="str">
        <f>IFERROR(__xludf.DUMMYFUNCTION("IF(A570&lt;&gt;"""", IFNA(""- ""&amp;JOIN(CHAR(10)&amp;""- "",FILTER('IMPORT COMPETENCES'!C:C,'IMPORT COMPETENCES'!A:A=A570))),)"),"")</f>
        <v/>
      </c>
      <c r="E570" s="192"/>
    </row>
    <row r="571">
      <c r="A571" s="187"/>
      <c r="B571" s="188"/>
      <c r="C571" s="187"/>
      <c r="D571" s="187" t="str">
        <f>IFERROR(__xludf.DUMMYFUNCTION("IF(A571&lt;&gt;"""", IFNA(""- ""&amp;JOIN(CHAR(10)&amp;""- "",FILTER('IMPORT COMPETENCES'!C:C,'IMPORT COMPETENCES'!A:A=A571))),)"),"")</f>
        <v/>
      </c>
      <c r="E571" s="192"/>
    </row>
    <row r="572">
      <c r="A572" s="187"/>
      <c r="B572" s="188"/>
      <c r="C572" s="187"/>
      <c r="D572" s="187" t="str">
        <f>IFERROR(__xludf.DUMMYFUNCTION("IF(A572&lt;&gt;"""", IFNA(""- ""&amp;JOIN(CHAR(10)&amp;""- "",FILTER('IMPORT COMPETENCES'!C:C,'IMPORT COMPETENCES'!A:A=A572))),)"),"")</f>
        <v/>
      </c>
      <c r="E572" s="192"/>
    </row>
    <row r="573">
      <c r="A573" s="187"/>
      <c r="B573" s="188"/>
      <c r="C573" s="187"/>
      <c r="D573" s="187" t="str">
        <f>IFERROR(__xludf.DUMMYFUNCTION("IF(A573&lt;&gt;"""", IFNA(""- ""&amp;JOIN(CHAR(10)&amp;""- "",FILTER('IMPORT COMPETENCES'!C:C,'IMPORT COMPETENCES'!A:A=A573))),)"),"")</f>
        <v/>
      </c>
      <c r="E573" s="192"/>
    </row>
    <row r="574">
      <c r="A574" s="187"/>
      <c r="B574" s="188"/>
      <c r="C574" s="187"/>
      <c r="D574" s="187" t="str">
        <f>IFERROR(__xludf.DUMMYFUNCTION("IF(A574&lt;&gt;"""", IFNA(""- ""&amp;JOIN(CHAR(10)&amp;""- "",FILTER('IMPORT COMPETENCES'!C:C,'IMPORT COMPETENCES'!A:A=A574))),)"),"")</f>
        <v/>
      </c>
      <c r="E574" s="192"/>
    </row>
    <row r="575">
      <c r="A575" s="187"/>
      <c r="B575" s="188"/>
      <c r="C575" s="187"/>
      <c r="D575" s="187" t="str">
        <f>IFERROR(__xludf.DUMMYFUNCTION("IF(A575&lt;&gt;"""", IFNA(""- ""&amp;JOIN(CHAR(10)&amp;""- "",FILTER('IMPORT COMPETENCES'!C:C,'IMPORT COMPETENCES'!A:A=A575))),)"),"")</f>
        <v/>
      </c>
      <c r="E575" s="192"/>
    </row>
    <row r="576">
      <c r="A576" s="187"/>
      <c r="B576" s="188"/>
      <c r="C576" s="187"/>
      <c r="D576" s="187" t="str">
        <f>IFERROR(__xludf.DUMMYFUNCTION("IF(A576&lt;&gt;"""", IFNA(""- ""&amp;JOIN(CHAR(10)&amp;""- "",FILTER('IMPORT COMPETENCES'!C:C,'IMPORT COMPETENCES'!A:A=A576))),)"),"")</f>
        <v/>
      </c>
      <c r="E576" s="192"/>
    </row>
    <row r="577">
      <c r="A577" s="187"/>
      <c r="B577" s="188"/>
      <c r="C577" s="187"/>
      <c r="D577" s="187" t="str">
        <f>IFERROR(__xludf.DUMMYFUNCTION("IF(A577&lt;&gt;"""", IFNA(""- ""&amp;JOIN(CHAR(10)&amp;""- "",FILTER('IMPORT COMPETENCES'!C:C,'IMPORT COMPETENCES'!A:A=A577))),)"),"")</f>
        <v/>
      </c>
      <c r="E577" s="192"/>
    </row>
    <row r="578">
      <c r="A578" s="187"/>
      <c r="B578" s="188"/>
      <c r="C578" s="187"/>
      <c r="D578" s="187" t="str">
        <f>IFERROR(__xludf.DUMMYFUNCTION("IF(A578&lt;&gt;"""", IFNA(""- ""&amp;JOIN(CHAR(10)&amp;""- "",FILTER('IMPORT COMPETENCES'!C:C,'IMPORT COMPETENCES'!A:A=A578))),)"),"")</f>
        <v/>
      </c>
      <c r="E578" s="192"/>
    </row>
    <row r="579">
      <c r="A579" s="187"/>
      <c r="B579" s="188"/>
      <c r="C579" s="187"/>
      <c r="D579" s="187" t="str">
        <f>IFERROR(__xludf.DUMMYFUNCTION("IF(A579&lt;&gt;"""", IFNA(""- ""&amp;JOIN(CHAR(10)&amp;""- "",FILTER('IMPORT COMPETENCES'!C:C,'IMPORT COMPETENCES'!A:A=A579))),)"),"")</f>
        <v/>
      </c>
      <c r="E579" s="192"/>
    </row>
    <row r="580">
      <c r="A580" s="187"/>
      <c r="B580" s="188"/>
      <c r="C580" s="187"/>
      <c r="D580" s="187" t="str">
        <f>IFERROR(__xludf.DUMMYFUNCTION("IF(A580&lt;&gt;"""", IFNA(""- ""&amp;JOIN(CHAR(10)&amp;""- "",FILTER('IMPORT COMPETENCES'!C:C,'IMPORT COMPETENCES'!A:A=A580))),)"),"")</f>
        <v/>
      </c>
      <c r="E580" s="192"/>
    </row>
    <row r="581">
      <c r="A581" s="187"/>
      <c r="B581" s="188"/>
      <c r="C581" s="187"/>
      <c r="D581" s="187" t="str">
        <f>IFERROR(__xludf.DUMMYFUNCTION("IF(A581&lt;&gt;"""", IFNA(""- ""&amp;JOIN(CHAR(10)&amp;""- "",FILTER('IMPORT COMPETENCES'!C:C,'IMPORT COMPETENCES'!A:A=A581))),)"),"")</f>
        <v/>
      </c>
      <c r="E581" s="192"/>
    </row>
    <row r="582">
      <c r="A582" s="187"/>
      <c r="B582" s="188"/>
      <c r="C582" s="187"/>
      <c r="D582" s="187" t="str">
        <f>IFERROR(__xludf.DUMMYFUNCTION("IF(A582&lt;&gt;"""", IFNA(""- ""&amp;JOIN(CHAR(10)&amp;""- "",FILTER('IMPORT COMPETENCES'!C:C,'IMPORT COMPETENCES'!A:A=A582))),)"),"")</f>
        <v/>
      </c>
      <c r="E582" s="192"/>
    </row>
    <row r="583">
      <c r="A583" s="187"/>
      <c r="B583" s="188"/>
      <c r="C583" s="187"/>
      <c r="D583" s="187" t="str">
        <f>IFERROR(__xludf.DUMMYFUNCTION("IF(A583&lt;&gt;"""", IFNA(""- ""&amp;JOIN(CHAR(10)&amp;""- "",FILTER('IMPORT COMPETENCES'!C:C,'IMPORT COMPETENCES'!A:A=A583))),)"),"")</f>
        <v/>
      </c>
      <c r="E583" s="192"/>
    </row>
    <row r="584">
      <c r="A584" s="187"/>
      <c r="B584" s="188"/>
      <c r="C584" s="187"/>
      <c r="D584" s="187" t="str">
        <f>IFERROR(__xludf.DUMMYFUNCTION("IF(A584&lt;&gt;"""", IFNA(""- ""&amp;JOIN(CHAR(10)&amp;""- "",FILTER('IMPORT COMPETENCES'!C:C,'IMPORT COMPETENCES'!A:A=A584))),)"),"")</f>
        <v/>
      </c>
      <c r="E584" s="192"/>
    </row>
    <row r="585">
      <c r="A585" s="187"/>
      <c r="B585" s="188"/>
      <c r="C585" s="187"/>
      <c r="D585" s="187" t="str">
        <f>IFERROR(__xludf.DUMMYFUNCTION("IF(A585&lt;&gt;"""", IFNA(""- ""&amp;JOIN(CHAR(10)&amp;""- "",FILTER('IMPORT COMPETENCES'!C:C,'IMPORT COMPETENCES'!A:A=A585))),)"),"")</f>
        <v/>
      </c>
      <c r="E585" s="192"/>
    </row>
    <row r="586">
      <c r="A586" s="187"/>
      <c r="B586" s="188"/>
      <c r="C586" s="187"/>
      <c r="D586" s="187" t="str">
        <f>IFERROR(__xludf.DUMMYFUNCTION("IF(A586&lt;&gt;"""", IFNA(""- ""&amp;JOIN(CHAR(10)&amp;""- "",FILTER('IMPORT COMPETENCES'!C:C,'IMPORT COMPETENCES'!A:A=A586))),)"),"")</f>
        <v/>
      </c>
      <c r="E586" s="192"/>
    </row>
    <row r="587">
      <c r="A587" s="187"/>
      <c r="B587" s="188"/>
      <c r="C587" s="187"/>
      <c r="D587" s="187" t="str">
        <f>IFERROR(__xludf.DUMMYFUNCTION("IF(A587&lt;&gt;"""", IFNA(""- ""&amp;JOIN(CHAR(10)&amp;""- "",FILTER('IMPORT COMPETENCES'!C:C,'IMPORT COMPETENCES'!A:A=A587))),)"),"")</f>
        <v/>
      </c>
      <c r="E587" s="192"/>
    </row>
    <row r="588">
      <c r="A588" s="187"/>
      <c r="B588" s="188"/>
      <c r="C588" s="187"/>
      <c r="D588" s="187" t="str">
        <f>IFERROR(__xludf.DUMMYFUNCTION("IF(A588&lt;&gt;"""", IFNA(""- ""&amp;JOIN(CHAR(10)&amp;""- "",FILTER('IMPORT COMPETENCES'!C:C,'IMPORT COMPETENCES'!A:A=A588))),)"),"")</f>
        <v/>
      </c>
      <c r="E588" s="192"/>
    </row>
    <row r="589">
      <c r="A589" s="187"/>
      <c r="B589" s="188"/>
      <c r="C589" s="187"/>
      <c r="D589" s="187" t="str">
        <f>IFERROR(__xludf.DUMMYFUNCTION("IF(A589&lt;&gt;"""", IFNA(""- ""&amp;JOIN(CHAR(10)&amp;""- "",FILTER('IMPORT COMPETENCES'!C:C,'IMPORT COMPETENCES'!A:A=A589))),)"),"")</f>
        <v/>
      </c>
      <c r="E589" s="192"/>
    </row>
    <row r="590">
      <c r="A590" s="187"/>
      <c r="B590" s="188"/>
      <c r="C590" s="187"/>
      <c r="D590" s="187" t="str">
        <f>IFERROR(__xludf.DUMMYFUNCTION("IF(A590&lt;&gt;"""", IFNA(""- ""&amp;JOIN(CHAR(10)&amp;""- "",FILTER('IMPORT COMPETENCES'!C:C,'IMPORT COMPETENCES'!A:A=A590))),)"),"")</f>
        <v/>
      </c>
      <c r="E590" s="192"/>
    </row>
    <row r="591">
      <c r="A591" s="187"/>
      <c r="B591" s="188"/>
      <c r="C591" s="187"/>
      <c r="D591" s="187" t="str">
        <f>IFERROR(__xludf.DUMMYFUNCTION("IF(A591&lt;&gt;"""", IFNA(""- ""&amp;JOIN(CHAR(10)&amp;""- "",FILTER('IMPORT COMPETENCES'!C:C,'IMPORT COMPETENCES'!A:A=A591))),)"),"")</f>
        <v/>
      </c>
      <c r="E591" s="192"/>
    </row>
    <row r="592">
      <c r="A592" s="187"/>
      <c r="B592" s="188"/>
      <c r="C592" s="187"/>
      <c r="D592" s="187" t="str">
        <f>IFERROR(__xludf.DUMMYFUNCTION("IF(A592&lt;&gt;"""", IFNA(""- ""&amp;JOIN(CHAR(10)&amp;""- "",FILTER('IMPORT COMPETENCES'!C:C,'IMPORT COMPETENCES'!A:A=A592))),)"),"")</f>
        <v/>
      </c>
      <c r="E592" s="192"/>
    </row>
    <row r="593">
      <c r="A593" s="187"/>
      <c r="B593" s="188"/>
      <c r="C593" s="187"/>
      <c r="D593" s="187" t="str">
        <f>IFERROR(__xludf.DUMMYFUNCTION("IF(A593&lt;&gt;"""", IFNA(""- ""&amp;JOIN(CHAR(10)&amp;""- "",FILTER('IMPORT COMPETENCES'!C:C,'IMPORT COMPETENCES'!A:A=A593))),)"),"")</f>
        <v/>
      </c>
      <c r="E593" s="192"/>
    </row>
    <row r="594">
      <c r="A594" s="187"/>
      <c r="B594" s="188"/>
      <c r="C594" s="187"/>
      <c r="D594" s="187" t="str">
        <f>IFERROR(__xludf.DUMMYFUNCTION("IF(A594&lt;&gt;"""", IFNA(""- ""&amp;JOIN(CHAR(10)&amp;""- "",FILTER('IMPORT COMPETENCES'!C:C,'IMPORT COMPETENCES'!A:A=A594))),)"),"")</f>
        <v/>
      </c>
      <c r="E594" s="192"/>
    </row>
    <row r="595">
      <c r="A595" s="187"/>
      <c r="B595" s="188"/>
      <c r="C595" s="187"/>
      <c r="D595" s="187" t="str">
        <f>IFERROR(__xludf.DUMMYFUNCTION("IF(A595&lt;&gt;"""", IFNA(""- ""&amp;JOIN(CHAR(10)&amp;""- "",FILTER('IMPORT COMPETENCES'!C:C,'IMPORT COMPETENCES'!A:A=A595))),)"),"")</f>
        <v/>
      </c>
      <c r="E595" s="192"/>
    </row>
    <row r="596">
      <c r="A596" s="187"/>
      <c r="B596" s="188"/>
      <c r="C596" s="187"/>
      <c r="D596" s="187" t="str">
        <f>IFERROR(__xludf.DUMMYFUNCTION("IF(A596&lt;&gt;"""", IFNA(""- ""&amp;JOIN(CHAR(10)&amp;""- "",FILTER('IMPORT COMPETENCES'!C:C,'IMPORT COMPETENCES'!A:A=A596))),)"),"")</f>
        <v/>
      </c>
      <c r="E596" s="192"/>
    </row>
    <row r="597">
      <c r="A597" s="187"/>
      <c r="B597" s="188"/>
      <c r="C597" s="187"/>
      <c r="D597" s="187" t="str">
        <f>IFERROR(__xludf.DUMMYFUNCTION("IF(A597&lt;&gt;"""", IFNA(""- ""&amp;JOIN(CHAR(10)&amp;""- "",FILTER('IMPORT COMPETENCES'!C:C,'IMPORT COMPETENCES'!A:A=A597))),)"),"")</f>
        <v/>
      </c>
      <c r="E597" s="192"/>
    </row>
    <row r="598">
      <c r="A598" s="187"/>
      <c r="B598" s="188"/>
      <c r="C598" s="187"/>
      <c r="D598" s="187" t="str">
        <f>IFERROR(__xludf.DUMMYFUNCTION("IF(A598&lt;&gt;"""", IFNA(""- ""&amp;JOIN(CHAR(10)&amp;""- "",FILTER('IMPORT COMPETENCES'!C:C,'IMPORT COMPETENCES'!A:A=A598))),)"),"")</f>
        <v/>
      </c>
      <c r="E598" s="192"/>
    </row>
    <row r="599">
      <c r="A599" s="187"/>
      <c r="B599" s="188"/>
      <c r="C599" s="187"/>
      <c r="D599" s="187" t="str">
        <f>IFERROR(__xludf.DUMMYFUNCTION("IF(A599&lt;&gt;"""", IFNA(""- ""&amp;JOIN(CHAR(10)&amp;""- "",FILTER('IMPORT COMPETENCES'!C:C,'IMPORT COMPETENCES'!A:A=A599))),)"),"")</f>
        <v/>
      </c>
      <c r="E599" s="192"/>
    </row>
    <row r="600">
      <c r="A600" s="187"/>
      <c r="B600" s="188"/>
      <c r="C600" s="187"/>
      <c r="D600" s="187" t="str">
        <f>IFERROR(__xludf.DUMMYFUNCTION("IF(A600&lt;&gt;"""", IFNA(""- ""&amp;JOIN(CHAR(10)&amp;""- "",FILTER('IMPORT COMPETENCES'!C:C,'IMPORT COMPETENCES'!A:A=A600))),)"),"")</f>
        <v/>
      </c>
      <c r="E600" s="192"/>
    </row>
    <row r="601">
      <c r="A601" s="187"/>
      <c r="B601" s="188"/>
      <c r="C601" s="187"/>
      <c r="D601" s="187" t="str">
        <f>IFERROR(__xludf.DUMMYFUNCTION("IF(A601&lt;&gt;"""", IFNA(""- ""&amp;JOIN(CHAR(10)&amp;""- "",FILTER('IMPORT COMPETENCES'!C:C,'IMPORT COMPETENCES'!A:A=A601))),)"),"")</f>
        <v/>
      </c>
      <c r="E601" s="192"/>
    </row>
    <row r="602">
      <c r="A602" s="187"/>
      <c r="B602" s="188"/>
      <c r="C602" s="187"/>
      <c r="D602" s="187" t="str">
        <f>IFERROR(__xludf.DUMMYFUNCTION("IF(A602&lt;&gt;"""", IFNA(""- ""&amp;JOIN(CHAR(10)&amp;""- "",FILTER('IMPORT COMPETENCES'!C:C,'IMPORT COMPETENCES'!A:A=A602))),)"),"")</f>
        <v/>
      </c>
      <c r="E602" s="192"/>
    </row>
    <row r="603">
      <c r="A603" s="187"/>
      <c r="B603" s="188"/>
      <c r="C603" s="187"/>
      <c r="D603" s="187" t="str">
        <f>IFERROR(__xludf.DUMMYFUNCTION("IF(A603&lt;&gt;"""", IFNA(""- ""&amp;JOIN(CHAR(10)&amp;""- "",FILTER('IMPORT COMPETENCES'!C:C,'IMPORT COMPETENCES'!A:A=A603))),)"),"")</f>
        <v/>
      </c>
      <c r="E603" s="192"/>
    </row>
    <row r="604">
      <c r="A604" s="187"/>
      <c r="B604" s="188"/>
      <c r="C604" s="187"/>
      <c r="D604" s="187" t="str">
        <f>IFERROR(__xludf.DUMMYFUNCTION("IF(A604&lt;&gt;"""", IFNA(""- ""&amp;JOIN(CHAR(10)&amp;""- "",FILTER('IMPORT COMPETENCES'!C:C,'IMPORT COMPETENCES'!A:A=A604))),)"),"")</f>
        <v/>
      </c>
      <c r="E604" s="192"/>
    </row>
    <row r="605">
      <c r="A605" s="187"/>
      <c r="B605" s="188"/>
      <c r="C605" s="187"/>
      <c r="D605" s="187" t="str">
        <f>IFERROR(__xludf.DUMMYFUNCTION("IF(A605&lt;&gt;"""", IFNA(""- ""&amp;JOIN(CHAR(10)&amp;""- "",FILTER('IMPORT COMPETENCES'!C:C,'IMPORT COMPETENCES'!A:A=A605))),)"),"")</f>
        <v/>
      </c>
      <c r="E605" s="192"/>
    </row>
    <row r="606">
      <c r="A606" s="187"/>
      <c r="B606" s="188"/>
      <c r="C606" s="187"/>
      <c r="D606" s="187" t="str">
        <f>IFERROR(__xludf.DUMMYFUNCTION("IF(A606&lt;&gt;"""", IFNA(""- ""&amp;JOIN(CHAR(10)&amp;""- "",FILTER('IMPORT COMPETENCES'!C:C,'IMPORT COMPETENCES'!A:A=A606))),)"),"")</f>
        <v/>
      </c>
      <c r="E606" s="192"/>
    </row>
    <row r="607">
      <c r="A607" s="187"/>
      <c r="B607" s="188"/>
      <c r="C607" s="187"/>
      <c r="D607" s="187" t="str">
        <f>IFERROR(__xludf.DUMMYFUNCTION("IF(A607&lt;&gt;"""", IFNA(""- ""&amp;JOIN(CHAR(10)&amp;""- "",FILTER('IMPORT COMPETENCES'!C:C,'IMPORT COMPETENCES'!A:A=A607))),)"),"")</f>
        <v/>
      </c>
      <c r="E607" s="192"/>
    </row>
    <row r="608">
      <c r="A608" s="187"/>
      <c r="B608" s="188"/>
      <c r="C608" s="187"/>
      <c r="D608" s="187" t="str">
        <f>IFERROR(__xludf.DUMMYFUNCTION("IF(A608&lt;&gt;"""", IFNA(""- ""&amp;JOIN(CHAR(10)&amp;""- "",FILTER('IMPORT COMPETENCES'!C:C,'IMPORT COMPETENCES'!A:A=A608))),)"),"")</f>
        <v/>
      </c>
      <c r="E608" s="192"/>
    </row>
    <row r="609">
      <c r="A609" s="187"/>
      <c r="B609" s="188"/>
      <c r="C609" s="187"/>
      <c r="D609" s="187" t="str">
        <f>IFERROR(__xludf.DUMMYFUNCTION("IF(A609&lt;&gt;"""", IFNA(""- ""&amp;JOIN(CHAR(10)&amp;""- "",FILTER('IMPORT COMPETENCES'!C:C,'IMPORT COMPETENCES'!A:A=A609))),)"),"")</f>
        <v/>
      </c>
      <c r="E609" s="192"/>
    </row>
    <row r="610">
      <c r="A610" s="187"/>
      <c r="B610" s="188"/>
      <c r="C610" s="187"/>
      <c r="D610" s="187" t="str">
        <f>IFERROR(__xludf.DUMMYFUNCTION("IF(A610&lt;&gt;"""", IFNA(""- ""&amp;JOIN(CHAR(10)&amp;""- "",FILTER('IMPORT COMPETENCES'!C:C,'IMPORT COMPETENCES'!A:A=A610))),)"),"")</f>
        <v/>
      </c>
      <c r="E610" s="192"/>
    </row>
    <row r="611">
      <c r="A611" s="187"/>
      <c r="B611" s="188"/>
      <c r="C611" s="187"/>
      <c r="D611" s="187" t="str">
        <f>IFERROR(__xludf.DUMMYFUNCTION("IF(A611&lt;&gt;"""", IFNA(""- ""&amp;JOIN(CHAR(10)&amp;""- "",FILTER('IMPORT COMPETENCES'!C:C,'IMPORT COMPETENCES'!A:A=A611))),)"),"")</f>
        <v/>
      </c>
      <c r="E611" s="192"/>
    </row>
    <row r="612">
      <c r="A612" s="187"/>
      <c r="B612" s="188"/>
      <c r="C612" s="187"/>
      <c r="D612" s="187" t="str">
        <f>IFERROR(__xludf.DUMMYFUNCTION("IF(A612&lt;&gt;"""", IFNA(""- ""&amp;JOIN(CHAR(10)&amp;""- "",FILTER('IMPORT COMPETENCES'!C:C,'IMPORT COMPETENCES'!A:A=A612))),)"),"")</f>
        <v/>
      </c>
      <c r="E612" s="192"/>
    </row>
    <row r="613">
      <c r="A613" s="187"/>
      <c r="B613" s="188"/>
      <c r="C613" s="187"/>
      <c r="D613" s="187" t="str">
        <f>IFERROR(__xludf.DUMMYFUNCTION("IF(A613&lt;&gt;"""", IFNA(""- ""&amp;JOIN(CHAR(10)&amp;""- "",FILTER('IMPORT COMPETENCES'!C:C,'IMPORT COMPETENCES'!A:A=A613))),)"),"")</f>
        <v/>
      </c>
      <c r="E613" s="192"/>
    </row>
    <row r="614">
      <c r="A614" s="187"/>
      <c r="B614" s="188"/>
      <c r="C614" s="187"/>
      <c r="D614" s="187" t="str">
        <f>IFERROR(__xludf.DUMMYFUNCTION("IF(A614&lt;&gt;"""", IFNA(""- ""&amp;JOIN(CHAR(10)&amp;""- "",FILTER('IMPORT COMPETENCES'!C:C,'IMPORT COMPETENCES'!A:A=A614))),)"),"")</f>
        <v/>
      </c>
      <c r="E614" s="192"/>
    </row>
    <row r="615">
      <c r="A615" s="187"/>
      <c r="B615" s="188"/>
      <c r="C615" s="187"/>
      <c r="D615" s="187" t="str">
        <f>IFERROR(__xludf.DUMMYFUNCTION("IF(A615&lt;&gt;"""", IFNA(""- ""&amp;JOIN(CHAR(10)&amp;""- "",FILTER('IMPORT COMPETENCES'!C:C,'IMPORT COMPETENCES'!A:A=A615))),)"),"")</f>
        <v/>
      </c>
      <c r="E615" s="192"/>
    </row>
    <row r="616">
      <c r="A616" s="187"/>
      <c r="B616" s="188"/>
      <c r="C616" s="187"/>
      <c r="D616" s="187" t="str">
        <f>IFERROR(__xludf.DUMMYFUNCTION("IF(A616&lt;&gt;"""", IFNA(""- ""&amp;JOIN(CHAR(10)&amp;""- "",FILTER('IMPORT COMPETENCES'!C:C,'IMPORT COMPETENCES'!A:A=A616))),)"),"")</f>
        <v/>
      </c>
      <c r="E616" s="192"/>
    </row>
    <row r="617">
      <c r="A617" s="187"/>
      <c r="B617" s="188"/>
      <c r="C617" s="187"/>
      <c r="D617" s="187" t="str">
        <f>IFERROR(__xludf.DUMMYFUNCTION("IF(A617&lt;&gt;"""", IFNA(""- ""&amp;JOIN(CHAR(10)&amp;""- "",FILTER('IMPORT COMPETENCES'!C:C,'IMPORT COMPETENCES'!A:A=A617))),)"),"")</f>
        <v/>
      </c>
      <c r="E617" s="192"/>
    </row>
    <row r="618">
      <c r="A618" s="187"/>
      <c r="B618" s="188"/>
      <c r="C618" s="187"/>
      <c r="D618" s="187" t="str">
        <f>IFERROR(__xludf.DUMMYFUNCTION("IF(A618&lt;&gt;"""", IFNA(""- ""&amp;JOIN(CHAR(10)&amp;""- "",FILTER('IMPORT COMPETENCES'!C:C,'IMPORT COMPETENCES'!A:A=A618))),)"),"")</f>
        <v/>
      </c>
      <c r="E618" s="192"/>
    </row>
    <row r="619">
      <c r="A619" s="187"/>
      <c r="B619" s="188"/>
      <c r="C619" s="187"/>
      <c r="D619" s="187" t="str">
        <f>IFERROR(__xludf.DUMMYFUNCTION("IF(A619&lt;&gt;"""", IFNA(""- ""&amp;JOIN(CHAR(10)&amp;""- "",FILTER('IMPORT COMPETENCES'!C:C,'IMPORT COMPETENCES'!A:A=A619))),)"),"")</f>
        <v/>
      </c>
      <c r="E619" s="192"/>
    </row>
    <row r="620">
      <c r="A620" s="187"/>
      <c r="B620" s="188"/>
      <c r="C620" s="187"/>
      <c r="D620" s="187" t="str">
        <f>IFERROR(__xludf.DUMMYFUNCTION("IF(A620&lt;&gt;"""", IFNA(""- ""&amp;JOIN(CHAR(10)&amp;""- "",FILTER('IMPORT COMPETENCES'!C:C,'IMPORT COMPETENCES'!A:A=A620))),)"),"")</f>
        <v/>
      </c>
      <c r="E620" s="192"/>
    </row>
    <row r="621">
      <c r="A621" s="187"/>
      <c r="B621" s="188"/>
      <c r="C621" s="187"/>
      <c r="D621" s="187" t="str">
        <f>IFERROR(__xludf.DUMMYFUNCTION("IF(A621&lt;&gt;"""", IFNA(""- ""&amp;JOIN(CHAR(10)&amp;""- "",FILTER('IMPORT COMPETENCES'!C:C,'IMPORT COMPETENCES'!A:A=A621))),)"),"")</f>
        <v/>
      </c>
      <c r="E621" s="192"/>
    </row>
    <row r="622">
      <c r="A622" s="187"/>
      <c r="B622" s="188"/>
      <c r="C622" s="187"/>
      <c r="D622" s="187" t="str">
        <f>IFERROR(__xludf.DUMMYFUNCTION("IF(A622&lt;&gt;"""", IFNA(""- ""&amp;JOIN(CHAR(10)&amp;""- "",FILTER('IMPORT COMPETENCES'!C:C,'IMPORT COMPETENCES'!A:A=A622))),)"),"")</f>
        <v/>
      </c>
      <c r="E622" s="192"/>
    </row>
    <row r="623">
      <c r="A623" s="187"/>
      <c r="B623" s="188"/>
      <c r="C623" s="187"/>
      <c r="D623" s="187" t="str">
        <f>IFERROR(__xludf.DUMMYFUNCTION("IF(A623&lt;&gt;"""", IFNA(""- ""&amp;JOIN(CHAR(10)&amp;""- "",FILTER('IMPORT COMPETENCES'!C:C,'IMPORT COMPETENCES'!A:A=A623))),)"),"")</f>
        <v/>
      </c>
      <c r="E623" s="192"/>
    </row>
    <row r="624">
      <c r="A624" s="187"/>
      <c r="B624" s="188"/>
      <c r="C624" s="187"/>
      <c r="D624" s="187" t="str">
        <f>IFERROR(__xludf.DUMMYFUNCTION("IF(A624&lt;&gt;"""", IFNA(""- ""&amp;JOIN(CHAR(10)&amp;""- "",FILTER('IMPORT COMPETENCES'!C:C,'IMPORT COMPETENCES'!A:A=A624))),)"),"")</f>
        <v/>
      </c>
      <c r="E624" s="192"/>
    </row>
    <row r="625">
      <c r="A625" s="187"/>
      <c r="B625" s="188"/>
      <c r="C625" s="187"/>
      <c r="D625" s="187" t="str">
        <f>IFERROR(__xludf.DUMMYFUNCTION("IF(A625&lt;&gt;"""", IFNA(""- ""&amp;JOIN(CHAR(10)&amp;""- "",FILTER('IMPORT COMPETENCES'!C:C,'IMPORT COMPETENCES'!A:A=A625))),)"),"")</f>
        <v/>
      </c>
      <c r="E625" s="192"/>
    </row>
    <row r="626">
      <c r="A626" s="187"/>
      <c r="B626" s="188"/>
      <c r="C626" s="187"/>
      <c r="D626" s="187" t="str">
        <f>IFERROR(__xludf.DUMMYFUNCTION("IF(A626&lt;&gt;"""", IFNA(""- ""&amp;JOIN(CHAR(10)&amp;""- "",FILTER('IMPORT COMPETENCES'!C:C,'IMPORT COMPETENCES'!A:A=A626))),)"),"")</f>
        <v/>
      </c>
      <c r="E626" s="192"/>
    </row>
    <row r="627">
      <c r="A627" s="187"/>
      <c r="B627" s="188"/>
      <c r="C627" s="187"/>
      <c r="D627" s="187" t="str">
        <f>IFERROR(__xludf.DUMMYFUNCTION("IF(A627&lt;&gt;"""", IFNA(""- ""&amp;JOIN(CHAR(10)&amp;""- "",FILTER('IMPORT COMPETENCES'!C:C,'IMPORT COMPETENCES'!A:A=A627))),)"),"")</f>
        <v/>
      </c>
      <c r="E627" s="192"/>
    </row>
    <row r="628">
      <c r="A628" s="187"/>
      <c r="B628" s="188"/>
      <c r="C628" s="187"/>
      <c r="D628" s="187" t="str">
        <f>IFERROR(__xludf.DUMMYFUNCTION("IF(A628&lt;&gt;"""", IFNA(""- ""&amp;JOIN(CHAR(10)&amp;""- "",FILTER('IMPORT COMPETENCES'!C:C,'IMPORT COMPETENCES'!A:A=A628))),)"),"")</f>
        <v/>
      </c>
      <c r="E628" s="192"/>
    </row>
    <row r="629">
      <c r="A629" s="187"/>
      <c r="B629" s="188"/>
      <c r="C629" s="187"/>
      <c r="D629" s="187" t="str">
        <f>IFERROR(__xludf.DUMMYFUNCTION("IF(A629&lt;&gt;"""", IFNA(""- ""&amp;JOIN(CHAR(10)&amp;""- "",FILTER('IMPORT COMPETENCES'!C:C,'IMPORT COMPETENCES'!A:A=A629))),)"),"")</f>
        <v/>
      </c>
      <c r="E629" s="192"/>
    </row>
    <row r="630">
      <c r="A630" s="187"/>
      <c r="B630" s="188"/>
      <c r="C630" s="187"/>
      <c r="D630" s="187" t="str">
        <f>IFERROR(__xludf.DUMMYFUNCTION("IF(A630&lt;&gt;"""", IFNA(""- ""&amp;JOIN(CHAR(10)&amp;""- "",FILTER('IMPORT COMPETENCES'!C:C,'IMPORT COMPETENCES'!A:A=A630))),)"),"")</f>
        <v/>
      </c>
      <c r="E630" s="192"/>
    </row>
    <row r="631">
      <c r="A631" s="187"/>
      <c r="B631" s="188"/>
      <c r="C631" s="187"/>
      <c r="D631" s="187" t="str">
        <f>IFERROR(__xludf.DUMMYFUNCTION("IF(A631&lt;&gt;"""", IFNA(""- ""&amp;JOIN(CHAR(10)&amp;""- "",FILTER('IMPORT COMPETENCES'!C:C,'IMPORT COMPETENCES'!A:A=A631))),)"),"")</f>
        <v/>
      </c>
      <c r="E631" s="192"/>
    </row>
    <row r="632">
      <c r="A632" s="187"/>
      <c r="B632" s="188"/>
      <c r="C632" s="187"/>
      <c r="D632" s="187" t="str">
        <f>IFERROR(__xludf.DUMMYFUNCTION("IF(A632&lt;&gt;"""", IFNA(""- ""&amp;JOIN(CHAR(10)&amp;""- "",FILTER('IMPORT COMPETENCES'!C:C,'IMPORT COMPETENCES'!A:A=A632))),)"),"")</f>
        <v/>
      </c>
      <c r="E632" s="192"/>
    </row>
    <row r="633">
      <c r="A633" s="187"/>
      <c r="B633" s="188"/>
      <c r="C633" s="187"/>
      <c r="D633" s="187" t="str">
        <f>IFERROR(__xludf.DUMMYFUNCTION("IF(A633&lt;&gt;"""", IFNA(""- ""&amp;JOIN(CHAR(10)&amp;""- "",FILTER('IMPORT COMPETENCES'!C:C,'IMPORT COMPETENCES'!A:A=A633))),)"),"")</f>
        <v/>
      </c>
      <c r="E633" s="192"/>
    </row>
    <row r="634">
      <c r="A634" s="187"/>
      <c r="B634" s="188"/>
      <c r="C634" s="187"/>
      <c r="D634" s="187" t="str">
        <f>IFERROR(__xludf.DUMMYFUNCTION("IF(A634&lt;&gt;"""", IFNA(""- ""&amp;JOIN(CHAR(10)&amp;""- "",FILTER('IMPORT COMPETENCES'!C:C,'IMPORT COMPETENCES'!A:A=A634))),)"),"")</f>
        <v/>
      </c>
      <c r="E634" s="192"/>
    </row>
    <row r="635">
      <c r="A635" s="187"/>
      <c r="B635" s="188"/>
      <c r="C635" s="187"/>
      <c r="D635" s="187" t="str">
        <f>IFERROR(__xludf.DUMMYFUNCTION("IF(A635&lt;&gt;"""", IFNA(""- ""&amp;JOIN(CHAR(10)&amp;""- "",FILTER('IMPORT COMPETENCES'!C:C,'IMPORT COMPETENCES'!A:A=A635))),)"),"")</f>
        <v/>
      </c>
      <c r="E635" s="192"/>
    </row>
    <row r="636">
      <c r="A636" s="187"/>
      <c r="B636" s="188"/>
      <c r="C636" s="187"/>
      <c r="D636" s="187" t="str">
        <f>IFERROR(__xludf.DUMMYFUNCTION("IF(A636&lt;&gt;"""", IFNA(""- ""&amp;JOIN(CHAR(10)&amp;""- "",FILTER('IMPORT COMPETENCES'!C:C,'IMPORT COMPETENCES'!A:A=A636))),)"),"")</f>
        <v/>
      </c>
      <c r="E636" s="192"/>
    </row>
    <row r="637">
      <c r="A637" s="187"/>
      <c r="B637" s="188"/>
      <c r="C637" s="187"/>
      <c r="D637" s="187" t="str">
        <f>IFERROR(__xludf.DUMMYFUNCTION("IF(A637&lt;&gt;"""", IFNA(""- ""&amp;JOIN(CHAR(10)&amp;""- "",FILTER('IMPORT COMPETENCES'!C:C,'IMPORT COMPETENCES'!A:A=A637))),)"),"")</f>
        <v/>
      </c>
      <c r="E637" s="192"/>
    </row>
    <row r="638">
      <c r="A638" s="187"/>
      <c r="B638" s="188"/>
      <c r="C638" s="187"/>
      <c r="D638" s="187" t="str">
        <f>IFERROR(__xludf.DUMMYFUNCTION("IF(A638&lt;&gt;"""", IFNA(""- ""&amp;JOIN(CHAR(10)&amp;""- "",FILTER('IMPORT COMPETENCES'!C:C,'IMPORT COMPETENCES'!A:A=A638))),)"),"")</f>
        <v/>
      </c>
      <c r="E638" s="192"/>
    </row>
    <row r="639">
      <c r="A639" s="187"/>
      <c r="B639" s="188"/>
      <c r="C639" s="187"/>
      <c r="D639" s="187" t="str">
        <f>IFERROR(__xludf.DUMMYFUNCTION("IF(A639&lt;&gt;"""", IFNA(""- ""&amp;JOIN(CHAR(10)&amp;""- "",FILTER('IMPORT COMPETENCES'!C:C,'IMPORT COMPETENCES'!A:A=A639))),)"),"")</f>
        <v/>
      </c>
      <c r="E639" s="192"/>
    </row>
    <row r="640">
      <c r="A640" s="187"/>
      <c r="B640" s="188"/>
      <c r="C640" s="187"/>
      <c r="D640" s="187" t="str">
        <f>IFERROR(__xludf.DUMMYFUNCTION("IF(A640&lt;&gt;"""", IFNA(""- ""&amp;JOIN(CHAR(10)&amp;""- "",FILTER('IMPORT COMPETENCES'!C:C,'IMPORT COMPETENCES'!A:A=A640))),)"),"")</f>
        <v/>
      </c>
      <c r="E640" s="192"/>
    </row>
    <row r="641">
      <c r="A641" s="187"/>
      <c r="B641" s="188"/>
      <c r="C641" s="187"/>
      <c r="D641" s="187" t="str">
        <f>IFERROR(__xludf.DUMMYFUNCTION("IF(A641&lt;&gt;"""", IFNA(""- ""&amp;JOIN(CHAR(10)&amp;""- "",FILTER('IMPORT COMPETENCES'!C:C,'IMPORT COMPETENCES'!A:A=A641))),)"),"")</f>
        <v/>
      </c>
      <c r="E641" s="192"/>
    </row>
    <row r="642">
      <c r="A642" s="187"/>
      <c r="B642" s="188"/>
      <c r="C642" s="187"/>
      <c r="D642" s="187" t="str">
        <f>IFERROR(__xludf.DUMMYFUNCTION("IF(A642&lt;&gt;"""", IFNA(""- ""&amp;JOIN(CHAR(10)&amp;""- "",FILTER('IMPORT COMPETENCES'!C:C,'IMPORT COMPETENCES'!A:A=A642))),)"),"")</f>
        <v/>
      </c>
      <c r="E642" s="192"/>
    </row>
    <row r="643">
      <c r="A643" s="187"/>
      <c r="B643" s="188"/>
      <c r="C643" s="187"/>
      <c r="D643" s="187" t="str">
        <f>IFERROR(__xludf.DUMMYFUNCTION("IF(A643&lt;&gt;"""", IFNA(""- ""&amp;JOIN(CHAR(10)&amp;""- "",FILTER('IMPORT COMPETENCES'!C:C,'IMPORT COMPETENCES'!A:A=A643))),)"),"")</f>
        <v/>
      </c>
      <c r="E643" s="192"/>
    </row>
    <row r="644">
      <c r="A644" s="187"/>
      <c r="B644" s="188"/>
      <c r="C644" s="187"/>
      <c r="D644" s="187" t="str">
        <f>IFERROR(__xludf.DUMMYFUNCTION("IF(A644&lt;&gt;"""", IFNA(""- ""&amp;JOIN(CHAR(10)&amp;""- "",FILTER('IMPORT COMPETENCES'!C:C,'IMPORT COMPETENCES'!A:A=A644))),)"),"")</f>
        <v/>
      </c>
      <c r="E644" s="192"/>
    </row>
    <row r="645">
      <c r="A645" s="187"/>
      <c r="B645" s="188"/>
      <c r="C645" s="187"/>
      <c r="D645" s="187" t="str">
        <f>IFERROR(__xludf.DUMMYFUNCTION("IF(A645&lt;&gt;"""", IFNA(""- ""&amp;JOIN(CHAR(10)&amp;""- "",FILTER('IMPORT COMPETENCES'!C:C,'IMPORT COMPETENCES'!A:A=A645))),)"),"")</f>
        <v/>
      </c>
      <c r="E645" s="192"/>
    </row>
    <row r="646">
      <c r="A646" s="187"/>
      <c r="B646" s="188"/>
      <c r="C646" s="187"/>
      <c r="D646" s="187" t="str">
        <f>IFERROR(__xludf.DUMMYFUNCTION("IF(A646&lt;&gt;"""", IFNA(""- ""&amp;JOIN(CHAR(10)&amp;""- "",FILTER('IMPORT COMPETENCES'!C:C,'IMPORT COMPETENCES'!A:A=A646))),)"),"")</f>
        <v/>
      </c>
      <c r="E646" s="192"/>
    </row>
    <row r="647">
      <c r="A647" s="187"/>
      <c r="B647" s="188"/>
      <c r="C647" s="187"/>
      <c r="D647" s="187" t="str">
        <f>IFERROR(__xludf.DUMMYFUNCTION("IF(A647&lt;&gt;"""", IFNA(""- ""&amp;JOIN(CHAR(10)&amp;""- "",FILTER('IMPORT COMPETENCES'!C:C,'IMPORT COMPETENCES'!A:A=A647))),)"),"")</f>
        <v/>
      </c>
      <c r="E647" s="192"/>
    </row>
    <row r="648">
      <c r="A648" s="187"/>
      <c r="B648" s="188"/>
      <c r="C648" s="187"/>
      <c r="D648" s="187" t="str">
        <f>IFERROR(__xludf.DUMMYFUNCTION("IF(A648&lt;&gt;"""", IFNA(""- ""&amp;JOIN(CHAR(10)&amp;""- "",FILTER('IMPORT COMPETENCES'!C:C,'IMPORT COMPETENCES'!A:A=A648))),)"),"")</f>
        <v/>
      </c>
      <c r="E648" s="192"/>
    </row>
    <row r="649">
      <c r="A649" s="187"/>
      <c r="B649" s="188"/>
      <c r="C649" s="187"/>
      <c r="D649" s="187" t="str">
        <f>IFERROR(__xludf.DUMMYFUNCTION("IF(A649&lt;&gt;"""", IFNA(""- ""&amp;JOIN(CHAR(10)&amp;""- "",FILTER('IMPORT COMPETENCES'!C:C,'IMPORT COMPETENCES'!A:A=A649))),)"),"")</f>
        <v/>
      </c>
      <c r="E649" s="192"/>
    </row>
    <row r="650">
      <c r="A650" s="187"/>
      <c r="B650" s="188"/>
      <c r="C650" s="187"/>
      <c r="D650" s="187" t="str">
        <f>IFERROR(__xludf.DUMMYFUNCTION("IF(A650&lt;&gt;"""", IFNA(""- ""&amp;JOIN(CHAR(10)&amp;""- "",FILTER('IMPORT COMPETENCES'!C:C,'IMPORT COMPETENCES'!A:A=A650))),)"),"")</f>
        <v/>
      </c>
      <c r="E650" s="192"/>
    </row>
    <row r="651">
      <c r="A651" s="187"/>
      <c r="B651" s="188"/>
      <c r="C651" s="187"/>
      <c r="D651" s="187" t="str">
        <f>IFERROR(__xludf.DUMMYFUNCTION("IF(A651&lt;&gt;"""", IFNA(""- ""&amp;JOIN(CHAR(10)&amp;""- "",FILTER('IMPORT COMPETENCES'!C:C,'IMPORT COMPETENCES'!A:A=A651))),)"),"")</f>
        <v/>
      </c>
      <c r="E651" s="192"/>
    </row>
    <row r="652">
      <c r="A652" s="187"/>
      <c r="B652" s="188"/>
      <c r="C652" s="187"/>
      <c r="D652" s="187" t="str">
        <f>IFERROR(__xludf.DUMMYFUNCTION("IF(A652&lt;&gt;"""", IFNA(""- ""&amp;JOIN(CHAR(10)&amp;""- "",FILTER('IMPORT COMPETENCES'!C:C,'IMPORT COMPETENCES'!A:A=A652))),)"),"")</f>
        <v/>
      </c>
      <c r="E652" s="192"/>
    </row>
    <row r="653">
      <c r="A653" s="187"/>
      <c r="B653" s="188"/>
      <c r="C653" s="187"/>
      <c r="D653" s="187" t="str">
        <f>IFERROR(__xludf.DUMMYFUNCTION("IF(A653&lt;&gt;"""", IFNA(""- ""&amp;JOIN(CHAR(10)&amp;""- "",FILTER('IMPORT COMPETENCES'!C:C,'IMPORT COMPETENCES'!A:A=A653))),)"),"")</f>
        <v/>
      </c>
      <c r="E653" s="192"/>
    </row>
    <row r="654">
      <c r="A654" s="187"/>
      <c r="B654" s="188"/>
      <c r="C654" s="187"/>
      <c r="D654" s="187" t="str">
        <f>IFERROR(__xludf.DUMMYFUNCTION("IF(A654&lt;&gt;"""", IFNA(""- ""&amp;JOIN(CHAR(10)&amp;""- "",FILTER('IMPORT COMPETENCES'!C:C,'IMPORT COMPETENCES'!A:A=A654))),)"),"")</f>
        <v/>
      </c>
      <c r="E654" s="192"/>
    </row>
    <row r="655">
      <c r="A655" s="187"/>
      <c r="B655" s="188"/>
      <c r="C655" s="187"/>
      <c r="D655" s="187" t="str">
        <f>IFERROR(__xludf.DUMMYFUNCTION("IF(A655&lt;&gt;"""", IFNA(""- ""&amp;JOIN(CHAR(10)&amp;""- "",FILTER('IMPORT COMPETENCES'!C:C,'IMPORT COMPETENCES'!A:A=A655))),)"),"")</f>
        <v/>
      </c>
      <c r="E655" s="192"/>
    </row>
    <row r="656">
      <c r="A656" s="187"/>
      <c r="B656" s="188"/>
      <c r="C656" s="187"/>
      <c r="D656" s="187" t="str">
        <f>IFERROR(__xludf.DUMMYFUNCTION("IF(A656&lt;&gt;"""", IFNA(""- ""&amp;JOIN(CHAR(10)&amp;""- "",FILTER('IMPORT COMPETENCES'!C:C,'IMPORT COMPETENCES'!A:A=A656))),)"),"")</f>
        <v/>
      </c>
      <c r="E656" s="192"/>
    </row>
    <row r="657">
      <c r="A657" s="187"/>
      <c r="B657" s="188"/>
      <c r="C657" s="187"/>
      <c r="D657" s="187" t="str">
        <f>IFERROR(__xludf.DUMMYFUNCTION("IF(A657&lt;&gt;"""", IFNA(""- ""&amp;JOIN(CHAR(10)&amp;""- "",FILTER('IMPORT COMPETENCES'!C:C,'IMPORT COMPETENCES'!A:A=A657))),)"),"")</f>
        <v/>
      </c>
      <c r="E657" s="192"/>
    </row>
    <row r="658">
      <c r="A658" s="187"/>
      <c r="B658" s="188"/>
      <c r="C658" s="187"/>
      <c r="D658" s="187" t="str">
        <f>IFERROR(__xludf.DUMMYFUNCTION("IF(A658&lt;&gt;"""", IFNA(""- ""&amp;JOIN(CHAR(10)&amp;""- "",FILTER('IMPORT COMPETENCES'!C:C,'IMPORT COMPETENCES'!A:A=A658))),)"),"")</f>
        <v/>
      </c>
      <c r="E658" s="192"/>
    </row>
    <row r="659">
      <c r="A659" s="187"/>
      <c r="B659" s="188"/>
      <c r="C659" s="187"/>
      <c r="D659" s="187" t="str">
        <f>IFERROR(__xludf.DUMMYFUNCTION("IF(A659&lt;&gt;"""", IFNA(""- ""&amp;JOIN(CHAR(10)&amp;""- "",FILTER('IMPORT COMPETENCES'!C:C,'IMPORT COMPETENCES'!A:A=A659))),)"),"")</f>
        <v/>
      </c>
      <c r="E659" s="192"/>
    </row>
    <row r="660">
      <c r="A660" s="187"/>
      <c r="B660" s="188"/>
      <c r="C660" s="187"/>
      <c r="D660" s="187" t="str">
        <f>IFERROR(__xludf.DUMMYFUNCTION("IF(A660&lt;&gt;"""", IFNA(""- ""&amp;JOIN(CHAR(10)&amp;""- "",FILTER('IMPORT COMPETENCES'!C:C,'IMPORT COMPETENCES'!A:A=A660))),)"),"")</f>
        <v/>
      </c>
      <c r="E660" s="192"/>
    </row>
    <row r="661">
      <c r="A661" s="187"/>
      <c r="B661" s="188"/>
      <c r="C661" s="187"/>
      <c r="D661" s="187" t="str">
        <f>IFERROR(__xludf.DUMMYFUNCTION("IF(A661&lt;&gt;"""", IFNA(""- ""&amp;JOIN(CHAR(10)&amp;""- "",FILTER('IMPORT COMPETENCES'!C:C,'IMPORT COMPETENCES'!A:A=A661))),)"),"")</f>
        <v/>
      </c>
      <c r="E661" s="192"/>
    </row>
    <row r="662">
      <c r="A662" s="187"/>
      <c r="B662" s="188"/>
      <c r="C662" s="187"/>
      <c r="D662" s="187" t="str">
        <f>IFERROR(__xludf.DUMMYFUNCTION("IF(A662&lt;&gt;"""", IFNA(""- ""&amp;JOIN(CHAR(10)&amp;""- "",FILTER('IMPORT COMPETENCES'!C:C,'IMPORT COMPETENCES'!A:A=A662))),)"),"")</f>
        <v/>
      </c>
      <c r="E662" s="192"/>
    </row>
    <row r="663">
      <c r="A663" s="187"/>
      <c r="B663" s="188"/>
      <c r="C663" s="187"/>
      <c r="D663" s="187" t="str">
        <f>IFERROR(__xludf.DUMMYFUNCTION("IF(A663&lt;&gt;"""", IFNA(""- ""&amp;JOIN(CHAR(10)&amp;""- "",FILTER('IMPORT COMPETENCES'!C:C,'IMPORT COMPETENCES'!A:A=A663))),)"),"")</f>
        <v/>
      </c>
      <c r="E663" s="192"/>
    </row>
    <row r="664">
      <c r="A664" s="187"/>
      <c r="B664" s="188"/>
      <c r="C664" s="187"/>
      <c r="D664" s="187" t="str">
        <f>IFERROR(__xludf.DUMMYFUNCTION("IF(A664&lt;&gt;"""", IFNA(""- ""&amp;JOIN(CHAR(10)&amp;""- "",FILTER('IMPORT COMPETENCES'!C:C,'IMPORT COMPETENCES'!A:A=A664))),)"),"")</f>
        <v/>
      </c>
      <c r="E664" s="192"/>
    </row>
    <row r="665">
      <c r="A665" s="187"/>
      <c r="B665" s="188"/>
      <c r="C665" s="187"/>
      <c r="D665" s="187" t="str">
        <f>IFERROR(__xludf.DUMMYFUNCTION("IF(A665&lt;&gt;"""", IFNA(""- ""&amp;JOIN(CHAR(10)&amp;""- "",FILTER('IMPORT COMPETENCES'!C:C,'IMPORT COMPETENCES'!A:A=A665))),)"),"")</f>
        <v/>
      </c>
      <c r="E665" s="192"/>
    </row>
    <row r="666">
      <c r="A666" s="187"/>
      <c r="B666" s="188"/>
      <c r="C666" s="187"/>
      <c r="D666" s="187" t="str">
        <f>IFERROR(__xludf.DUMMYFUNCTION("IF(A666&lt;&gt;"""", IFNA(""- ""&amp;JOIN(CHAR(10)&amp;""- "",FILTER('IMPORT COMPETENCES'!C:C,'IMPORT COMPETENCES'!A:A=A666))),)"),"")</f>
        <v/>
      </c>
      <c r="E666" s="192"/>
    </row>
    <row r="667">
      <c r="A667" s="187"/>
      <c r="B667" s="188"/>
      <c r="C667" s="187"/>
      <c r="D667" s="187" t="str">
        <f>IFERROR(__xludf.DUMMYFUNCTION("IF(A667&lt;&gt;"""", IFNA(""- ""&amp;JOIN(CHAR(10)&amp;""- "",FILTER('IMPORT COMPETENCES'!C:C,'IMPORT COMPETENCES'!A:A=A667))),)"),"")</f>
        <v/>
      </c>
      <c r="E667" s="192"/>
    </row>
    <row r="668">
      <c r="A668" s="187"/>
      <c r="B668" s="188"/>
      <c r="C668" s="187"/>
      <c r="D668" s="187" t="str">
        <f>IFERROR(__xludf.DUMMYFUNCTION("IF(A668&lt;&gt;"""", IFNA(""- ""&amp;JOIN(CHAR(10)&amp;""- "",FILTER('IMPORT COMPETENCES'!C:C,'IMPORT COMPETENCES'!A:A=A668))),)"),"")</f>
        <v/>
      </c>
      <c r="E668" s="192"/>
    </row>
    <row r="669">
      <c r="A669" s="187"/>
      <c r="B669" s="188"/>
      <c r="C669" s="187"/>
      <c r="D669" s="187" t="str">
        <f>IFERROR(__xludf.DUMMYFUNCTION("IF(A669&lt;&gt;"""", IFNA(""- ""&amp;JOIN(CHAR(10)&amp;""- "",FILTER('IMPORT COMPETENCES'!C:C,'IMPORT COMPETENCES'!A:A=A669))),)"),"")</f>
        <v/>
      </c>
      <c r="E669" s="192"/>
    </row>
    <row r="670">
      <c r="A670" s="187"/>
      <c r="B670" s="188"/>
      <c r="C670" s="187"/>
      <c r="D670" s="187" t="str">
        <f>IFERROR(__xludf.DUMMYFUNCTION("IF(A670&lt;&gt;"""", IFNA(""- ""&amp;JOIN(CHAR(10)&amp;""- "",FILTER('IMPORT COMPETENCES'!C:C,'IMPORT COMPETENCES'!A:A=A670))),)"),"")</f>
        <v/>
      </c>
      <c r="E670" s="192"/>
    </row>
    <row r="671">
      <c r="A671" s="187"/>
      <c r="B671" s="188"/>
      <c r="C671" s="187"/>
      <c r="D671" s="187" t="str">
        <f>IFERROR(__xludf.DUMMYFUNCTION("IF(A671&lt;&gt;"""", IFNA(""- ""&amp;JOIN(CHAR(10)&amp;""- "",FILTER('IMPORT COMPETENCES'!C:C,'IMPORT COMPETENCES'!A:A=A671))),)"),"")</f>
        <v/>
      </c>
      <c r="E671" s="192"/>
    </row>
    <row r="672">
      <c r="A672" s="187"/>
      <c r="B672" s="188"/>
      <c r="C672" s="187"/>
      <c r="D672" s="187" t="str">
        <f>IFERROR(__xludf.DUMMYFUNCTION("IF(A672&lt;&gt;"""", IFNA(""- ""&amp;JOIN(CHAR(10)&amp;""- "",FILTER('IMPORT COMPETENCES'!C:C,'IMPORT COMPETENCES'!A:A=A672))),)"),"")</f>
        <v/>
      </c>
      <c r="E672" s="192"/>
    </row>
    <row r="673">
      <c r="A673" s="187"/>
      <c r="B673" s="188"/>
      <c r="C673" s="187"/>
      <c r="D673" s="187" t="str">
        <f>IFERROR(__xludf.DUMMYFUNCTION("IF(A673&lt;&gt;"""", IFNA(""- ""&amp;JOIN(CHAR(10)&amp;""- "",FILTER('IMPORT COMPETENCES'!C:C,'IMPORT COMPETENCES'!A:A=A673))),)"),"")</f>
        <v/>
      </c>
      <c r="E673" s="192"/>
    </row>
    <row r="674">
      <c r="A674" s="187"/>
      <c r="B674" s="188"/>
      <c r="C674" s="187"/>
      <c r="D674" s="187" t="str">
        <f>IFERROR(__xludf.DUMMYFUNCTION("IF(A674&lt;&gt;"""", IFNA(""- ""&amp;JOIN(CHAR(10)&amp;""- "",FILTER('IMPORT COMPETENCES'!C:C,'IMPORT COMPETENCES'!A:A=A674))),)"),"")</f>
        <v/>
      </c>
      <c r="E674" s="192"/>
    </row>
    <row r="675">
      <c r="A675" s="187"/>
      <c r="B675" s="188"/>
      <c r="C675" s="187"/>
      <c r="D675" s="187" t="str">
        <f>IFERROR(__xludf.DUMMYFUNCTION("IF(A675&lt;&gt;"""", IFNA(""- ""&amp;JOIN(CHAR(10)&amp;""- "",FILTER('IMPORT COMPETENCES'!C:C,'IMPORT COMPETENCES'!A:A=A675))),)"),"")</f>
        <v/>
      </c>
      <c r="E675" s="192"/>
    </row>
    <row r="676">
      <c r="A676" s="187"/>
      <c r="B676" s="188"/>
      <c r="C676" s="187"/>
      <c r="D676" s="187" t="str">
        <f>IFERROR(__xludf.DUMMYFUNCTION("IF(A676&lt;&gt;"""", IFNA(""- ""&amp;JOIN(CHAR(10)&amp;""- "",FILTER('IMPORT COMPETENCES'!C:C,'IMPORT COMPETENCES'!A:A=A676))),)"),"")</f>
        <v/>
      </c>
      <c r="E676" s="192"/>
    </row>
    <row r="677">
      <c r="A677" s="187"/>
      <c r="B677" s="188"/>
      <c r="C677" s="187"/>
      <c r="D677" s="187" t="str">
        <f>IFERROR(__xludf.DUMMYFUNCTION("IF(A677&lt;&gt;"""", IFNA(""- ""&amp;JOIN(CHAR(10)&amp;""- "",FILTER('IMPORT COMPETENCES'!C:C,'IMPORT COMPETENCES'!A:A=A677))),)"),"")</f>
        <v/>
      </c>
      <c r="E677" s="192"/>
    </row>
    <row r="678">
      <c r="A678" s="187"/>
      <c r="B678" s="188"/>
      <c r="C678" s="187"/>
      <c r="D678" s="187" t="str">
        <f>IFERROR(__xludf.DUMMYFUNCTION("IF(A678&lt;&gt;"""", IFNA(""- ""&amp;JOIN(CHAR(10)&amp;""- "",FILTER('IMPORT COMPETENCES'!C:C,'IMPORT COMPETENCES'!A:A=A678))),)"),"")</f>
        <v/>
      </c>
      <c r="E678" s="192"/>
    </row>
    <row r="679">
      <c r="A679" s="187"/>
      <c r="B679" s="188"/>
      <c r="C679" s="187"/>
      <c r="D679" s="187" t="str">
        <f>IFERROR(__xludf.DUMMYFUNCTION("IF(A679&lt;&gt;"""", IFNA(""- ""&amp;JOIN(CHAR(10)&amp;""- "",FILTER('IMPORT COMPETENCES'!C:C,'IMPORT COMPETENCES'!A:A=A679))),)"),"")</f>
        <v/>
      </c>
      <c r="E679" s="192"/>
    </row>
    <row r="680">
      <c r="A680" s="187"/>
      <c r="B680" s="188"/>
      <c r="C680" s="187"/>
      <c r="D680" s="187" t="str">
        <f>IFERROR(__xludf.DUMMYFUNCTION("IF(A680&lt;&gt;"""", IFNA(""- ""&amp;JOIN(CHAR(10)&amp;""- "",FILTER('IMPORT COMPETENCES'!C:C,'IMPORT COMPETENCES'!A:A=A680))),)"),"")</f>
        <v/>
      </c>
      <c r="E680" s="192"/>
    </row>
    <row r="681">
      <c r="A681" s="187"/>
      <c r="B681" s="188"/>
      <c r="C681" s="187"/>
      <c r="D681" s="187" t="str">
        <f>IFERROR(__xludf.DUMMYFUNCTION("IF(A681&lt;&gt;"""", IFNA(""- ""&amp;JOIN(CHAR(10)&amp;""- "",FILTER('IMPORT COMPETENCES'!C:C,'IMPORT COMPETENCES'!A:A=A681))),)"),"")</f>
        <v/>
      </c>
      <c r="E681" s="192"/>
    </row>
    <row r="682">
      <c r="A682" s="187"/>
      <c r="B682" s="188"/>
      <c r="C682" s="187"/>
      <c r="D682" s="187" t="str">
        <f>IFERROR(__xludf.DUMMYFUNCTION("IF(A682&lt;&gt;"""", IFNA(""- ""&amp;JOIN(CHAR(10)&amp;""- "",FILTER('IMPORT COMPETENCES'!C:C,'IMPORT COMPETENCES'!A:A=A682))),)"),"")</f>
        <v/>
      </c>
      <c r="E682" s="192"/>
    </row>
    <row r="683">
      <c r="A683" s="187"/>
      <c r="B683" s="188"/>
      <c r="C683" s="187"/>
      <c r="D683" s="187" t="str">
        <f>IFERROR(__xludf.DUMMYFUNCTION("IF(A683&lt;&gt;"""", IFNA(""- ""&amp;JOIN(CHAR(10)&amp;""- "",FILTER('IMPORT COMPETENCES'!C:C,'IMPORT COMPETENCES'!A:A=A683))),)"),"")</f>
        <v/>
      </c>
      <c r="E683" s="192"/>
    </row>
    <row r="684">
      <c r="A684" s="187"/>
      <c r="B684" s="188"/>
      <c r="C684" s="187"/>
      <c r="D684" s="187" t="str">
        <f>IFERROR(__xludf.DUMMYFUNCTION("IF(A684&lt;&gt;"""", IFNA(""- ""&amp;JOIN(CHAR(10)&amp;""- "",FILTER('IMPORT COMPETENCES'!C:C,'IMPORT COMPETENCES'!A:A=A684))),)"),"")</f>
        <v/>
      </c>
      <c r="E684" s="192"/>
    </row>
    <row r="685">
      <c r="A685" s="187"/>
      <c r="B685" s="188"/>
      <c r="C685" s="187"/>
      <c r="D685" s="187" t="str">
        <f>IFERROR(__xludf.DUMMYFUNCTION("IF(A685&lt;&gt;"""", IFNA(""- ""&amp;JOIN(CHAR(10)&amp;""- "",FILTER('IMPORT COMPETENCES'!C:C,'IMPORT COMPETENCES'!A:A=A685))),)"),"")</f>
        <v/>
      </c>
      <c r="E685" s="192"/>
    </row>
    <row r="686">
      <c r="A686" s="187"/>
      <c r="B686" s="188"/>
      <c r="C686" s="187"/>
      <c r="D686" s="187" t="str">
        <f>IFERROR(__xludf.DUMMYFUNCTION("IF(A686&lt;&gt;"""", IFNA(""- ""&amp;JOIN(CHAR(10)&amp;""- "",FILTER('IMPORT COMPETENCES'!C:C,'IMPORT COMPETENCES'!A:A=A686))),)"),"")</f>
        <v/>
      </c>
      <c r="E686" s="192"/>
    </row>
    <row r="687">
      <c r="A687" s="187"/>
      <c r="B687" s="188"/>
      <c r="C687" s="187"/>
      <c r="D687" s="187" t="str">
        <f>IFERROR(__xludf.DUMMYFUNCTION("IF(A687&lt;&gt;"""", IFNA(""- ""&amp;JOIN(CHAR(10)&amp;""- "",FILTER('IMPORT COMPETENCES'!C:C,'IMPORT COMPETENCES'!A:A=A687))),)"),"")</f>
        <v/>
      </c>
      <c r="E687" s="192"/>
    </row>
    <row r="688">
      <c r="A688" s="187"/>
      <c r="B688" s="188"/>
      <c r="C688" s="187"/>
      <c r="D688" s="187" t="str">
        <f>IFERROR(__xludf.DUMMYFUNCTION("IF(A688&lt;&gt;"""", IFNA(""- ""&amp;JOIN(CHAR(10)&amp;""- "",FILTER('IMPORT COMPETENCES'!C:C,'IMPORT COMPETENCES'!A:A=A688))),)"),"")</f>
        <v/>
      </c>
      <c r="E688" s="192"/>
    </row>
    <row r="689">
      <c r="A689" s="187"/>
      <c r="B689" s="188"/>
      <c r="C689" s="187"/>
      <c r="D689" s="187" t="str">
        <f>IFERROR(__xludf.DUMMYFUNCTION("IF(A689&lt;&gt;"""", IFNA(""- ""&amp;JOIN(CHAR(10)&amp;""- "",FILTER('IMPORT COMPETENCES'!C:C,'IMPORT COMPETENCES'!A:A=A689))),)"),"")</f>
        <v/>
      </c>
      <c r="E689" s="192"/>
    </row>
    <row r="690">
      <c r="A690" s="187"/>
      <c r="B690" s="188"/>
      <c r="C690" s="187"/>
      <c r="D690" s="187" t="str">
        <f>IFERROR(__xludf.DUMMYFUNCTION("IF(A690&lt;&gt;"""", IFNA(""- ""&amp;JOIN(CHAR(10)&amp;""- "",FILTER('IMPORT COMPETENCES'!C:C,'IMPORT COMPETENCES'!A:A=A690))),)"),"")</f>
        <v/>
      </c>
      <c r="E690" s="192"/>
    </row>
    <row r="691">
      <c r="A691" s="187"/>
      <c r="B691" s="188"/>
      <c r="C691" s="187"/>
      <c r="D691" s="187" t="str">
        <f>IFERROR(__xludf.DUMMYFUNCTION("IF(A691&lt;&gt;"""", IFNA(""- ""&amp;JOIN(CHAR(10)&amp;""- "",FILTER('IMPORT COMPETENCES'!C:C,'IMPORT COMPETENCES'!A:A=A691))),)"),"")</f>
        <v/>
      </c>
      <c r="E691" s="192"/>
    </row>
    <row r="692">
      <c r="A692" s="187"/>
      <c r="B692" s="188"/>
      <c r="C692" s="187"/>
      <c r="D692" s="187" t="str">
        <f>IFERROR(__xludf.DUMMYFUNCTION("IF(A692&lt;&gt;"""", IFNA(""- ""&amp;JOIN(CHAR(10)&amp;""- "",FILTER('IMPORT COMPETENCES'!C:C,'IMPORT COMPETENCES'!A:A=A692))),)"),"")</f>
        <v/>
      </c>
      <c r="E692" s="192"/>
    </row>
    <row r="693">
      <c r="A693" s="187"/>
      <c r="B693" s="188"/>
      <c r="C693" s="187"/>
      <c r="D693" s="187" t="str">
        <f>IFERROR(__xludf.DUMMYFUNCTION("IF(A693&lt;&gt;"""", IFNA(""- ""&amp;JOIN(CHAR(10)&amp;""- "",FILTER('IMPORT COMPETENCES'!C:C,'IMPORT COMPETENCES'!A:A=A693))),)"),"")</f>
        <v/>
      </c>
      <c r="E693" s="192"/>
    </row>
    <row r="694">
      <c r="A694" s="187"/>
      <c r="B694" s="188"/>
      <c r="C694" s="187"/>
      <c r="D694" s="187" t="str">
        <f>IFERROR(__xludf.DUMMYFUNCTION("IF(A694&lt;&gt;"""", IFNA(""- ""&amp;JOIN(CHAR(10)&amp;""- "",FILTER('IMPORT COMPETENCES'!C:C,'IMPORT COMPETENCES'!A:A=A694))),)"),"")</f>
        <v/>
      </c>
      <c r="E694" s="192"/>
    </row>
    <row r="695">
      <c r="A695" s="187"/>
      <c r="B695" s="188"/>
      <c r="C695" s="187"/>
      <c r="D695" s="187" t="str">
        <f>IFERROR(__xludf.DUMMYFUNCTION("IF(A695&lt;&gt;"""", IFNA(""- ""&amp;JOIN(CHAR(10)&amp;""- "",FILTER('IMPORT COMPETENCES'!C:C,'IMPORT COMPETENCES'!A:A=A695))),)"),"")</f>
        <v/>
      </c>
      <c r="E695" s="192"/>
    </row>
    <row r="696">
      <c r="A696" s="187"/>
      <c r="B696" s="188"/>
      <c r="C696" s="187"/>
      <c r="D696" s="187" t="str">
        <f>IFERROR(__xludf.DUMMYFUNCTION("IF(A696&lt;&gt;"""", IFNA(""- ""&amp;JOIN(CHAR(10)&amp;""- "",FILTER('IMPORT COMPETENCES'!C:C,'IMPORT COMPETENCES'!A:A=A696))),)"),"")</f>
        <v/>
      </c>
      <c r="E696" s="192"/>
    </row>
    <row r="697">
      <c r="A697" s="187"/>
      <c r="B697" s="188"/>
      <c r="C697" s="187"/>
      <c r="D697" s="187" t="str">
        <f>IFERROR(__xludf.DUMMYFUNCTION("IF(A697&lt;&gt;"""", IFNA(""- ""&amp;JOIN(CHAR(10)&amp;""- "",FILTER('IMPORT COMPETENCES'!C:C,'IMPORT COMPETENCES'!A:A=A697))),)"),"")</f>
        <v/>
      </c>
      <c r="E697" s="192"/>
    </row>
    <row r="698">
      <c r="A698" s="187"/>
      <c r="B698" s="188"/>
      <c r="C698" s="187"/>
      <c r="D698" s="187" t="str">
        <f>IFERROR(__xludf.DUMMYFUNCTION("IF(A698&lt;&gt;"""", IFNA(""- ""&amp;JOIN(CHAR(10)&amp;""- "",FILTER('IMPORT COMPETENCES'!C:C,'IMPORT COMPETENCES'!A:A=A698))),)"),"")</f>
        <v/>
      </c>
      <c r="E698" s="192"/>
    </row>
    <row r="699">
      <c r="A699" s="187"/>
      <c r="B699" s="188"/>
      <c r="C699" s="187"/>
      <c r="D699" s="187" t="str">
        <f>IFERROR(__xludf.DUMMYFUNCTION("IF(A699&lt;&gt;"""", IFNA(""- ""&amp;JOIN(CHAR(10)&amp;""- "",FILTER('IMPORT COMPETENCES'!C:C,'IMPORT COMPETENCES'!A:A=A699))),)"),"")</f>
        <v/>
      </c>
      <c r="E699" s="192"/>
    </row>
    <row r="700">
      <c r="A700" s="187"/>
      <c r="B700" s="188"/>
      <c r="C700" s="187"/>
      <c r="D700" s="187" t="str">
        <f>IFERROR(__xludf.DUMMYFUNCTION("IF(A700&lt;&gt;"""", IFNA(""- ""&amp;JOIN(CHAR(10)&amp;""- "",FILTER('IMPORT COMPETENCES'!C:C,'IMPORT COMPETENCES'!A:A=A700))),)"),"")</f>
        <v/>
      </c>
      <c r="E700" s="192"/>
    </row>
    <row r="701">
      <c r="A701" s="187"/>
      <c r="B701" s="188"/>
      <c r="C701" s="187"/>
      <c r="D701" s="187" t="str">
        <f>IFERROR(__xludf.DUMMYFUNCTION("IF(A701&lt;&gt;"""", IFNA(""- ""&amp;JOIN(CHAR(10)&amp;""- "",FILTER('IMPORT COMPETENCES'!C:C,'IMPORT COMPETENCES'!A:A=A701))),)"),"")</f>
        <v/>
      </c>
      <c r="E701" s="192"/>
    </row>
    <row r="702">
      <c r="A702" s="187"/>
      <c r="B702" s="188"/>
      <c r="C702" s="187"/>
      <c r="D702" s="187" t="str">
        <f>IFERROR(__xludf.DUMMYFUNCTION("IF(A702&lt;&gt;"""", IFNA(""- ""&amp;JOIN(CHAR(10)&amp;""- "",FILTER('IMPORT COMPETENCES'!C:C,'IMPORT COMPETENCES'!A:A=A702))),)"),"")</f>
        <v/>
      </c>
      <c r="E702" s="192"/>
    </row>
    <row r="703">
      <c r="A703" s="187"/>
      <c r="B703" s="188"/>
      <c r="C703" s="187"/>
      <c r="D703" s="187" t="str">
        <f>IFERROR(__xludf.DUMMYFUNCTION("IF(A703&lt;&gt;"""", IFNA(""- ""&amp;JOIN(CHAR(10)&amp;""- "",FILTER('IMPORT COMPETENCES'!C:C,'IMPORT COMPETENCES'!A:A=A703))),)"),"")</f>
        <v/>
      </c>
      <c r="E703" s="192"/>
    </row>
    <row r="704">
      <c r="A704" s="187"/>
      <c r="B704" s="188"/>
      <c r="C704" s="187"/>
      <c r="D704" s="187" t="str">
        <f>IFERROR(__xludf.DUMMYFUNCTION("IF(A704&lt;&gt;"""", IFNA(""- ""&amp;JOIN(CHAR(10)&amp;""- "",FILTER('IMPORT COMPETENCES'!C:C,'IMPORT COMPETENCES'!A:A=A704))),)"),"")</f>
        <v/>
      </c>
      <c r="E704" s="192"/>
    </row>
    <row r="705">
      <c r="A705" s="187"/>
      <c r="B705" s="188"/>
      <c r="C705" s="187"/>
      <c r="D705" s="187" t="str">
        <f>IFERROR(__xludf.DUMMYFUNCTION("IF(A705&lt;&gt;"""", IFNA(""- ""&amp;JOIN(CHAR(10)&amp;""- "",FILTER('IMPORT COMPETENCES'!C:C,'IMPORT COMPETENCES'!A:A=A705))),)"),"")</f>
        <v/>
      </c>
      <c r="E705" s="192"/>
    </row>
    <row r="706">
      <c r="A706" s="187"/>
      <c r="B706" s="188"/>
      <c r="C706" s="187"/>
      <c r="D706" s="187" t="str">
        <f>IFERROR(__xludf.DUMMYFUNCTION("IF(A706&lt;&gt;"""", IFNA(""- ""&amp;JOIN(CHAR(10)&amp;""- "",FILTER('IMPORT COMPETENCES'!C:C,'IMPORT COMPETENCES'!A:A=A706))),)"),"")</f>
        <v/>
      </c>
      <c r="E706" s="192"/>
    </row>
    <row r="707">
      <c r="A707" s="187"/>
      <c r="B707" s="188"/>
      <c r="C707" s="187"/>
      <c r="D707" s="187" t="str">
        <f>IFERROR(__xludf.DUMMYFUNCTION("IF(A707&lt;&gt;"""", IFNA(""- ""&amp;JOIN(CHAR(10)&amp;""- "",FILTER('IMPORT COMPETENCES'!C:C,'IMPORT COMPETENCES'!A:A=A707))),)"),"")</f>
        <v/>
      </c>
      <c r="E707" s="192"/>
    </row>
    <row r="708">
      <c r="A708" s="187"/>
      <c r="B708" s="188"/>
      <c r="C708" s="187"/>
      <c r="D708" s="187" t="str">
        <f>IFERROR(__xludf.DUMMYFUNCTION("IF(A708&lt;&gt;"""", IFNA(""- ""&amp;JOIN(CHAR(10)&amp;""- "",FILTER('IMPORT COMPETENCES'!C:C,'IMPORT COMPETENCES'!A:A=A708))),)"),"")</f>
        <v/>
      </c>
      <c r="E708" s="192"/>
    </row>
    <row r="709">
      <c r="A709" s="187"/>
      <c r="B709" s="188"/>
      <c r="C709" s="187"/>
      <c r="D709" s="187" t="str">
        <f>IFERROR(__xludf.DUMMYFUNCTION("IF(A709&lt;&gt;"""", IFNA(""- ""&amp;JOIN(CHAR(10)&amp;""- "",FILTER('IMPORT COMPETENCES'!C:C,'IMPORT COMPETENCES'!A:A=A709))),)"),"")</f>
        <v/>
      </c>
      <c r="E709" s="192"/>
    </row>
    <row r="710">
      <c r="A710" s="187"/>
      <c r="B710" s="188"/>
      <c r="C710" s="187"/>
      <c r="D710" s="187" t="str">
        <f>IFERROR(__xludf.DUMMYFUNCTION("IF(A710&lt;&gt;"""", IFNA(""- ""&amp;JOIN(CHAR(10)&amp;""- "",FILTER('IMPORT COMPETENCES'!C:C,'IMPORT COMPETENCES'!A:A=A710))),)"),"")</f>
        <v/>
      </c>
      <c r="E710" s="192"/>
    </row>
    <row r="711">
      <c r="A711" s="187"/>
      <c r="B711" s="188"/>
      <c r="C711" s="187"/>
      <c r="D711" s="187" t="str">
        <f>IFERROR(__xludf.DUMMYFUNCTION("IF(A711&lt;&gt;"""", IFNA(""- ""&amp;JOIN(CHAR(10)&amp;""- "",FILTER('IMPORT COMPETENCES'!C:C,'IMPORT COMPETENCES'!A:A=A711))),)"),"")</f>
        <v/>
      </c>
      <c r="E711" s="192"/>
    </row>
    <row r="712">
      <c r="A712" s="187"/>
      <c r="B712" s="188"/>
      <c r="C712" s="187"/>
      <c r="D712" s="187" t="str">
        <f>IFERROR(__xludf.DUMMYFUNCTION("IF(A712&lt;&gt;"""", IFNA(""- ""&amp;JOIN(CHAR(10)&amp;""- "",FILTER('IMPORT COMPETENCES'!C:C,'IMPORT COMPETENCES'!A:A=A712))),)"),"")</f>
        <v/>
      </c>
      <c r="E712" s="192"/>
    </row>
    <row r="713">
      <c r="A713" s="187"/>
      <c r="B713" s="188"/>
      <c r="C713" s="187"/>
      <c r="D713" s="187" t="str">
        <f>IFERROR(__xludf.DUMMYFUNCTION("IF(A713&lt;&gt;"""", IFNA(""- ""&amp;JOIN(CHAR(10)&amp;""- "",FILTER('IMPORT COMPETENCES'!C:C,'IMPORT COMPETENCES'!A:A=A713))),)"),"")</f>
        <v/>
      </c>
      <c r="E713" s="192"/>
    </row>
    <row r="714">
      <c r="A714" s="187"/>
      <c r="B714" s="188"/>
      <c r="C714" s="187"/>
      <c r="D714" s="187" t="str">
        <f>IFERROR(__xludf.DUMMYFUNCTION("IF(A714&lt;&gt;"""", IFNA(""- ""&amp;JOIN(CHAR(10)&amp;""- "",FILTER('IMPORT COMPETENCES'!C:C,'IMPORT COMPETENCES'!A:A=A714))),)"),"")</f>
        <v/>
      </c>
      <c r="E714" s="192"/>
    </row>
    <row r="715">
      <c r="A715" s="187"/>
      <c r="B715" s="188"/>
      <c r="C715" s="187"/>
      <c r="D715" s="187" t="str">
        <f>IFERROR(__xludf.DUMMYFUNCTION("IF(A715&lt;&gt;"""", IFNA(""- ""&amp;JOIN(CHAR(10)&amp;""- "",FILTER('IMPORT COMPETENCES'!C:C,'IMPORT COMPETENCES'!A:A=A715))),)"),"")</f>
        <v/>
      </c>
      <c r="E715" s="192"/>
    </row>
    <row r="716">
      <c r="A716" s="187"/>
      <c r="B716" s="188"/>
      <c r="C716" s="187"/>
      <c r="D716" s="187" t="str">
        <f>IFERROR(__xludf.DUMMYFUNCTION("IF(A716&lt;&gt;"""", IFNA(""- ""&amp;JOIN(CHAR(10)&amp;""- "",FILTER('IMPORT COMPETENCES'!C:C,'IMPORT COMPETENCES'!A:A=A716))),)"),"")</f>
        <v/>
      </c>
      <c r="E716" s="192"/>
    </row>
    <row r="717">
      <c r="A717" s="187"/>
      <c r="B717" s="188"/>
      <c r="C717" s="187"/>
      <c r="D717" s="187" t="str">
        <f>IFERROR(__xludf.DUMMYFUNCTION("IF(A717&lt;&gt;"""", IFNA(""- ""&amp;JOIN(CHAR(10)&amp;""- "",FILTER('IMPORT COMPETENCES'!C:C,'IMPORT COMPETENCES'!A:A=A717))),)"),"")</f>
        <v/>
      </c>
      <c r="E717" s="192"/>
    </row>
    <row r="718">
      <c r="A718" s="187"/>
      <c r="B718" s="188"/>
      <c r="C718" s="187"/>
      <c r="D718" s="187" t="str">
        <f>IFERROR(__xludf.DUMMYFUNCTION("IF(A718&lt;&gt;"""", IFNA(""- ""&amp;JOIN(CHAR(10)&amp;""- "",FILTER('IMPORT COMPETENCES'!C:C,'IMPORT COMPETENCES'!A:A=A718))),)"),"")</f>
        <v/>
      </c>
      <c r="E718" s="192"/>
    </row>
    <row r="719">
      <c r="A719" s="187"/>
      <c r="B719" s="188"/>
      <c r="C719" s="187"/>
      <c r="D719" s="187" t="str">
        <f>IFERROR(__xludf.DUMMYFUNCTION("IF(A719&lt;&gt;"""", IFNA(""- ""&amp;JOIN(CHAR(10)&amp;""- "",FILTER('IMPORT COMPETENCES'!C:C,'IMPORT COMPETENCES'!A:A=A719))),)"),"")</f>
        <v/>
      </c>
      <c r="E719" s="192"/>
    </row>
    <row r="720">
      <c r="A720" s="187"/>
      <c r="B720" s="188"/>
      <c r="C720" s="187"/>
      <c r="D720" s="187" t="str">
        <f>IFERROR(__xludf.DUMMYFUNCTION("IF(A720&lt;&gt;"""", IFNA(""- ""&amp;JOIN(CHAR(10)&amp;""- "",FILTER('IMPORT COMPETENCES'!C:C,'IMPORT COMPETENCES'!A:A=A720))),)"),"")</f>
        <v/>
      </c>
      <c r="E720" s="192"/>
    </row>
    <row r="721">
      <c r="A721" s="187"/>
      <c r="B721" s="188"/>
      <c r="C721" s="187"/>
      <c r="D721" s="187" t="str">
        <f>IFERROR(__xludf.DUMMYFUNCTION("IF(A721&lt;&gt;"""", IFNA(""- ""&amp;JOIN(CHAR(10)&amp;""- "",FILTER('IMPORT COMPETENCES'!C:C,'IMPORT COMPETENCES'!A:A=A721))),)"),"")</f>
        <v/>
      </c>
      <c r="E721" s="192"/>
    </row>
    <row r="722">
      <c r="A722" s="187"/>
      <c r="B722" s="188"/>
      <c r="C722" s="187"/>
      <c r="D722" s="187" t="str">
        <f>IFERROR(__xludf.DUMMYFUNCTION("IF(A722&lt;&gt;"""", IFNA(""- ""&amp;JOIN(CHAR(10)&amp;""- "",FILTER('IMPORT COMPETENCES'!C:C,'IMPORT COMPETENCES'!A:A=A722))),)"),"")</f>
        <v/>
      </c>
      <c r="E722" s="192"/>
    </row>
    <row r="723">
      <c r="A723" s="187"/>
      <c r="B723" s="188"/>
      <c r="C723" s="187"/>
      <c r="D723" s="187" t="str">
        <f>IFERROR(__xludf.DUMMYFUNCTION("IF(A723&lt;&gt;"""", IFNA(""- ""&amp;JOIN(CHAR(10)&amp;""- "",FILTER('IMPORT COMPETENCES'!C:C,'IMPORT COMPETENCES'!A:A=A723))),)"),"")</f>
        <v/>
      </c>
      <c r="E723" s="192"/>
    </row>
    <row r="724">
      <c r="A724" s="187"/>
      <c r="B724" s="188"/>
      <c r="C724" s="187"/>
      <c r="D724" s="187" t="str">
        <f>IFERROR(__xludf.DUMMYFUNCTION("IF(A724&lt;&gt;"""", IFNA(""- ""&amp;JOIN(CHAR(10)&amp;""- "",FILTER('IMPORT COMPETENCES'!C:C,'IMPORT COMPETENCES'!A:A=A724))),)"),"")</f>
        <v/>
      </c>
      <c r="E724" s="192"/>
    </row>
    <row r="725">
      <c r="A725" s="187"/>
      <c r="B725" s="188"/>
      <c r="C725" s="187"/>
      <c r="D725" s="187" t="str">
        <f>IFERROR(__xludf.DUMMYFUNCTION("IF(A725&lt;&gt;"""", IFNA(""- ""&amp;JOIN(CHAR(10)&amp;""- "",FILTER('IMPORT COMPETENCES'!C:C,'IMPORT COMPETENCES'!A:A=A725))),)"),"")</f>
        <v/>
      </c>
      <c r="E725" s="192"/>
    </row>
    <row r="726">
      <c r="A726" s="187"/>
      <c r="B726" s="188"/>
      <c r="C726" s="187"/>
      <c r="D726" s="187" t="str">
        <f>IFERROR(__xludf.DUMMYFUNCTION("IF(A726&lt;&gt;"""", IFNA(""- ""&amp;JOIN(CHAR(10)&amp;""- "",FILTER('IMPORT COMPETENCES'!C:C,'IMPORT COMPETENCES'!A:A=A726))),)"),"")</f>
        <v/>
      </c>
      <c r="E726" s="192"/>
    </row>
    <row r="727">
      <c r="A727" s="187"/>
      <c r="B727" s="188"/>
      <c r="C727" s="187"/>
      <c r="D727" s="187" t="str">
        <f>IFERROR(__xludf.DUMMYFUNCTION("IF(A727&lt;&gt;"""", IFNA(""- ""&amp;JOIN(CHAR(10)&amp;""- "",FILTER('IMPORT COMPETENCES'!C:C,'IMPORT COMPETENCES'!A:A=A727))),)"),"")</f>
        <v/>
      </c>
      <c r="E727" s="192"/>
    </row>
    <row r="728">
      <c r="A728" s="187"/>
      <c r="B728" s="188"/>
      <c r="C728" s="187"/>
      <c r="D728" s="187" t="str">
        <f>IFERROR(__xludf.DUMMYFUNCTION("IF(A728&lt;&gt;"""", IFNA(""- ""&amp;JOIN(CHAR(10)&amp;""- "",FILTER('IMPORT COMPETENCES'!C:C,'IMPORT COMPETENCES'!A:A=A728))),)"),"")</f>
        <v/>
      </c>
      <c r="E728" s="192"/>
    </row>
    <row r="729">
      <c r="A729" s="187"/>
      <c r="B729" s="188"/>
      <c r="C729" s="187"/>
      <c r="D729" s="187" t="str">
        <f>IFERROR(__xludf.DUMMYFUNCTION("IF(A729&lt;&gt;"""", IFNA(""- ""&amp;JOIN(CHAR(10)&amp;""- "",FILTER('IMPORT COMPETENCES'!C:C,'IMPORT COMPETENCES'!A:A=A729))),)"),"")</f>
        <v/>
      </c>
      <c r="E729" s="192"/>
    </row>
    <row r="730">
      <c r="A730" s="187"/>
      <c r="B730" s="188"/>
      <c r="C730" s="187"/>
      <c r="D730" s="187" t="str">
        <f>IFERROR(__xludf.DUMMYFUNCTION("IF(A730&lt;&gt;"""", IFNA(""- ""&amp;JOIN(CHAR(10)&amp;""- "",FILTER('IMPORT COMPETENCES'!C:C,'IMPORT COMPETENCES'!A:A=A730))),)"),"")</f>
        <v/>
      </c>
      <c r="E730" s="192"/>
    </row>
    <row r="731">
      <c r="A731" s="187"/>
      <c r="B731" s="188"/>
      <c r="C731" s="187"/>
      <c r="D731" s="187" t="str">
        <f>IFERROR(__xludf.DUMMYFUNCTION("IF(A731&lt;&gt;"""", IFNA(""- ""&amp;JOIN(CHAR(10)&amp;""- "",FILTER('IMPORT COMPETENCES'!C:C,'IMPORT COMPETENCES'!A:A=A731))),)"),"")</f>
        <v/>
      </c>
      <c r="E731" s="192"/>
    </row>
    <row r="732">
      <c r="A732" s="187"/>
      <c r="B732" s="188"/>
      <c r="C732" s="187"/>
      <c r="D732" s="187" t="str">
        <f>IFERROR(__xludf.DUMMYFUNCTION("IF(A732&lt;&gt;"""", IFNA(""- ""&amp;JOIN(CHAR(10)&amp;""- "",FILTER('IMPORT COMPETENCES'!C:C,'IMPORT COMPETENCES'!A:A=A732))),)"),"")</f>
        <v/>
      </c>
      <c r="E732" s="192"/>
    </row>
    <row r="733">
      <c r="A733" s="187"/>
      <c r="B733" s="188"/>
      <c r="C733" s="187"/>
      <c r="D733" s="187" t="str">
        <f>IFERROR(__xludf.DUMMYFUNCTION("IF(A733&lt;&gt;"""", IFNA(""- ""&amp;JOIN(CHAR(10)&amp;""- "",FILTER('IMPORT COMPETENCES'!C:C,'IMPORT COMPETENCES'!A:A=A733))),)"),"")</f>
        <v/>
      </c>
      <c r="E733" s="192"/>
    </row>
    <row r="734">
      <c r="A734" s="187"/>
      <c r="B734" s="188"/>
      <c r="C734" s="187"/>
      <c r="D734" s="187" t="str">
        <f>IFERROR(__xludf.DUMMYFUNCTION("IF(A734&lt;&gt;"""", IFNA(""- ""&amp;JOIN(CHAR(10)&amp;""- "",FILTER('IMPORT COMPETENCES'!C:C,'IMPORT COMPETENCES'!A:A=A734))),)"),"")</f>
        <v/>
      </c>
      <c r="E734" s="192"/>
    </row>
    <row r="735">
      <c r="A735" s="187"/>
      <c r="B735" s="188"/>
      <c r="C735" s="187"/>
      <c r="D735" s="187" t="str">
        <f>IFERROR(__xludf.DUMMYFUNCTION("IF(A735&lt;&gt;"""", IFNA(""- ""&amp;JOIN(CHAR(10)&amp;""- "",FILTER('IMPORT COMPETENCES'!C:C,'IMPORT COMPETENCES'!A:A=A735))),)"),"")</f>
        <v/>
      </c>
      <c r="E735" s="192"/>
    </row>
    <row r="736">
      <c r="A736" s="187"/>
      <c r="B736" s="188"/>
      <c r="C736" s="187"/>
      <c r="D736" s="187" t="str">
        <f>IFERROR(__xludf.DUMMYFUNCTION("IF(A736&lt;&gt;"""", IFNA(""- ""&amp;JOIN(CHAR(10)&amp;""- "",FILTER('IMPORT COMPETENCES'!C:C,'IMPORT COMPETENCES'!A:A=A736))),)"),"")</f>
        <v/>
      </c>
      <c r="E736" s="192"/>
    </row>
    <row r="737">
      <c r="A737" s="187"/>
      <c r="B737" s="188"/>
      <c r="C737" s="187"/>
      <c r="D737" s="187" t="str">
        <f>IFERROR(__xludf.DUMMYFUNCTION("IF(A737&lt;&gt;"""", IFNA(""- ""&amp;JOIN(CHAR(10)&amp;""- "",FILTER('IMPORT COMPETENCES'!C:C,'IMPORT COMPETENCES'!A:A=A737))),)"),"")</f>
        <v/>
      </c>
      <c r="E737" s="192"/>
    </row>
    <row r="738">
      <c r="A738" s="187"/>
      <c r="B738" s="188"/>
      <c r="C738" s="187"/>
      <c r="D738" s="187" t="str">
        <f>IFERROR(__xludf.DUMMYFUNCTION("IF(A738&lt;&gt;"""", IFNA(""- ""&amp;JOIN(CHAR(10)&amp;""- "",FILTER('IMPORT COMPETENCES'!C:C,'IMPORT COMPETENCES'!A:A=A738))),)"),"")</f>
        <v/>
      </c>
      <c r="E738" s="192"/>
    </row>
    <row r="739">
      <c r="A739" s="187"/>
      <c r="B739" s="188"/>
      <c r="C739" s="187"/>
      <c r="D739" s="187" t="str">
        <f>IFERROR(__xludf.DUMMYFUNCTION("IF(A739&lt;&gt;"""", IFNA(""- ""&amp;JOIN(CHAR(10)&amp;""- "",FILTER('IMPORT COMPETENCES'!C:C,'IMPORT COMPETENCES'!A:A=A739))),)"),"")</f>
        <v/>
      </c>
      <c r="E739" s="192"/>
    </row>
    <row r="740">
      <c r="A740" s="187"/>
      <c r="B740" s="188"/>
      <c r="C740" s="187"/>
      <c r="D740" s="187" t="str">
        <f>IFERROR(__xludf.DUMMYFUNCTION("IF(A740&lt;&gt;"""", IFNA(""- ""&amp;JOIN(CHAR(10)&amp;""- "",FILTER('IMPORT COMPETENCES'!C:C,'IMPORT COMPETENCES'!A:A=A740))),)"),"")</f>
        <v/>
      </c>
      <c r="E740" s="192"/>
    </row>
    <row r="741">
      <c r="A741" s="187"/>
      <c r="B741" s="188"/>
      <c r="C741" s="187"/>
      <c r="D741" s="187" t="str">
        <f>IFERROR(__xludf.DUMMYFUNCTION("IF(A741&lt;&gt;"""", IFNA(""- ""&amp;JOIN(CHAR(10)&amp;""- "",FILTER('IMPORT COMPETENCES'!C:C,'IMPORT COMPETENCES'!A:A=A741))),)"),"")</f>
        <v/>
      </c>
      <c r="E741" s="192"/>
    </row>
    <row r="742">
      <c r="A742" s="187"/>
      <c r="B742" s="188"/>
      <c r="C742" s="187"/>
      <c r="D742" s="187" t="str">
        <f>IFERROR(__xludf.DUMMYFUNCTION("IF(A742&lt;&gt;"""", IFNA(""- ""&amp;JOIN(CHAR(10)&amp;""- "",FILTER('IMPORT COMPETENCES'!C:C,'IMPORT COMPETENCES'!A:A=A742))),)"),"")</f>
        <v/>
      </c>
      <c r="E742" s="192"/>
    </row>
    <row r="743">
      <c r="A743" s="187"/>
      <c r="B743" s="188"/>
      <c r="C743" s="187"/>
      <c r="D743" s="187" t="str">
        <f>IFERROR(__xludf.DUMMYFUNCTION("IF(A743&lt;&gt;"""", IFNA(""- ""&amp;JOIN(CHAR(10)&amp;""- "",FILTER('IMPORT COMPETENCES'!C:C,'IMPORT COMPETENCES'!A:A=A743))),)"),"")</f>
        <v/>
      </c>
      <c r="E743" s="192"/>
    </row>
    <row r="744">
      <c r="A744" s="187"/>
      <c r="B744" s="188"/>
      <c r="C744" s="187"/>
      <c r="D744" s="187" t="str">
        <f>IFERROR(__xludf.DUMMYFUNCTION("IF(A744&lt;&gt;"""", IFNA(""- ""&amp;JOIN(CHAR(10)&amp;""- "",FILTER('IMPORT COMPETENCES'!C:C,'IMPORT COMPETENCES'!A:A=A744))),)"),"")</f>
        <v/>
      </c>
      <c r="E744" s="192"/>
    </row>
    <row r="745">
      <c r="A745" s="187"/>
      <c r="B745" s="188"/>
      <c r="C745" s="187"/>
      <c r="D745" s="187" t="str">
        <f>IFERROR(__xludf.DUMMYFUNCTION("IF(A745&lt;&gt;"""", IFNA(""- ""&amp;JOIN(CHAR(10)&amp;""- "",FILTER('IMPORT COMPETENCES'!C:C,'IMPORT COMPETENCES'!A:A=A745))),)"),"")</f>
        <v/>
      </c>
      <c r="E745" s="192"/>
    </row>
    <row r="746">
      <c r="A746" s="187"/>
      <c r="B746" s="188"/>
      <c r="C746" s="187"/>
      <c r="D746" s="187" t="str">
        <f>IFERROR(__xludf.DUMMYFUNCTION("IF(A746&lt;&gt;"""", IFNA(""- ""&amp;JOIN(CHAR(10)&amp;""- "",FILTER('IMPORT COMPETENCES'!C:C,'IMPORT COMPETENCES'!A:A=A746))),)"),"")</f>
        <v/>
      </c>
      <c r="E746" s="192"/>
    </row>
    <row r="747">
      <c r="A747" s="187"/>
      <c r="B747" s="188"/>
      <c r="C747" s="187"/>
      <c r="D747" s="187" t="str">
        <f>IFERROR(__xludf.DUMMYFUNCTION("IF(A747&lt;&gt;"""", IFNA(""- ""&amp;JOIN(CHAR(10)&amp;""- "",FILTER('IMPORT COMPETENCES'!C:C,'IMPORT COMPETENCES'!A:A=A747))),)"),"")</f>
        <v/>
      </c>
      <c r="E747" s="192"/>
    </row>
    <row r="748">
      <c r="A748" s="187"/>
      <c r="B748" s="188"/>
      <c r="C748" s="187"/>
      <c r="D748" s="187" t="str">
        <f>IFERROR(__xludf.DUMMYFUNCTION("IF(A748&lt;&gt;"""", IFNA(""- ""&amp;JOIN(CHAR(10)&amp;""- "",FILTER('IMPORT COMPETENCES'!C:C,'IMPORT COMPETENCES'!A:A=A748))),)"),"")</f>
        <v/>
      </c>
      <c r="E748" s="192"/>
    </row>
    <row r="749">
      <c r="A749" s="187"/>
      <c r="B749" s="188"/>
      <c r="C749" s="187"/>
      <c r="D749" s="187" t="str">
        <f>IFERROR(__xludf.DUMMYFUNCTION("IF(A749&lt;&gt;"""", IFNA(""- ""&amp;JOIN(CHAR(10)&amp;""- "",FILTER('IMPORT COMPETENCES'!C:C,'IMPORT COMPETENCES'!A:A=A749))),)"),"")</f>
        <v/>
      </c>
      <c r="E749" s="192"/>
    </row>
    <row r="750">
      <c r="A750" s="187"/>
      <c r="B750" s="188"/>
      <c r="C750" s="187"/>
      <c r="D750" s="187" t="str">
        <f>IFERROR(__xludf.DUMMYFUNCTION("IF(A750&lt;&gt;"""", IFNA(""- ""&amp;JOIN(CHAR(10)&amp;""- "",FILTER('IMPORT COMPETENCES'!C:C,'IMPORT COMPETENCES'!A:A=A750))),)"),"")</f>
        <v/>
      </c>
      <c r="E750" s="192"/>
    </row>
    <row r="751">
      <c r="A751" s="187"/>
      <c r="B751" s="188"/>
      <c r="C751" s="187"/>
      <c r="D751" s="187" t="str">
        <f>IFERROR(__xludf.DUMMYFUNCTION("IF(A751&lt;&gt;"""", IFNA(""- ""&amp;JOIN(CHAR(10)&amp;""- "",FILTER('IMPORT COMPETENCES'!C:C,'IMPORT COMPETENCES'!A:A=A751))),)"),"")</f>
        <v/>
      </c>
      <c r="E751" s="192"/>
    </row>
    <row r="752">
      <c r="A752" s="187"/>
      <c r="B752" s="188"/>
      <c r="C752" s="187"/>
      <c r="D752" s="187" t="str">
        <f>IFERROR(__xludf.DUMMYFUNCTION("IF(A752&lt;&gt;"""", IFNA(""- ""&amp;JOIN(CHAR(10)&amp;""- "",FILTER('IMPORT COMPETENCES'!C:C,'IMPORT COMPETENCES'!A:A=A752))),)"),"")</f>
        <v/>
      </c>
      <c r="E752" s="192"/>
    </row>
    <row r="753">
      <c r="A753" s="187"/>
      <c r="B753" s="188"/>
      <c r="C753" s="187"/>
      <c r="D753" s="187" t="str">
        <f>IFERROR(__xludf.DUMMYFUNCTION("IF(A753&lt;&gt;"""", IFNA(""- ""&amp;JOIN(CHAR(10)&amp;""- "",FILTER('IMPORT COMPETENCES'!C:C,'IMPORT COMPETENCES'!A:A=A753))),)"),"")</f>
        <v/>
      </c>
      <c r="E753" s="192"/>
    </row>
    <row r="754">
      <c r="A754" s="187"/>
      <c r="B754" s="188"/>
      <c r="C754" s="187"/>
      <c r="D754" s="187" t="str">
        <f>IFERROR(__xludf.DUMMYFUNCTION("IF(A754&lt;&gt;"""", IFNA(""- ""&amp;JOIN(CHAR(10)&amp;""- "",FILTER('IMPORT COMPETENCES'!C:C,'IMPORT COMPETENCES'!A:A=A754))),)"),"")</f>
        <v/>
      </c>
      <c r="E754" s="192"/>
    </row>
    <row r="755">
      <c r="A755" s="187"/>
      <c r="B755" s="188"/>
      <c r="C755" s="187"/>
      <c r="D755" s="187" t="str">
        <f>IFERROR(__xludf.DUMMYFUNCTION("IF(A755&lt;&gt;"""", IFNA(""- ""&amp;JOIN(CHAR(10)&amp;""- "",FILTER('IMPORT COMPETENCES'!C:C,'IMPORT COMPETENCES'!A:A=A755))),)"),"")</f>
        <v/>
      </c>
      <c r="E755" s="192"/>
    </row>
    <row r="756">
      <c r="A756" s="187"/>
      <c r="B756" s="188"/>
      <c r="C756" s="187"/>
      <c r="D756" s="187" t="str">
        <f>IFERROR(__xludf.DUMMYFUNCTION("IF(A756&lt;&gt;"""", IFNA(""- ""&amp;JOIN(CHAR(10)&amp;""- "",FILTER('IMPORT COMPETENCES'!C:C,'IMPORT COMPETENCES'!A:A=A756))),)"),"")</f>
        <v/>
      </c>
      <c r="E756" s="192"/>
    </row>
    <row r="757">
      <c r="A757" s="187"/>
      <c r="B757" s="188"/>
      <c r="C757" s="187"/>
      <c r="D757" s="187" t="str">
        <f>IFERROR(__xludf.DUMMYFUNCTION("IF(A757&lt;&gt;"""", IFNA(""- ""&amp;JOIN(CHAR(10)&amp;""- "",FILTER('IMPORT COMPETENCES'!C:C,'IMPORT COMPETENCES'!A:A=A757))),)"),"")</f>
        <v/>
      </c>
      <c r="E757" s="192"/>
    </row>
    <row r="758">
      <c r="A758" s="187"/>
      <c r="B758" s="188"/>
      <c r="C758" s="187"/>
      <c r="D758" s="187" t="str">
        <f>IFERROR(__xludf.DUMMYFUNCTION("IF(A758&lt;&gt;"""", IFNA(""- ""&amp;JOIN(CHAR(10)&amp;""- "",FILTER('IMPORT COMPETENCES'!C:C,'IMPORT COMPETENCES'!A:A=A758))),)"),"")</f>
        <v/>
      </c>
      <c r="E758" s="192"/>
    </row>
    <row r="759">
      <c r="A759" s="187"/>
      <c r="B759" s="188"/>
      <c r="C759" s="187"/>
      <c r="D759" s="187" t="str">
        <f>IFERROR(__xludf.DUMMYFUNCTION("IF(A759&lt;&gt;"""", IFNA(""- ""&amp;JOIN(CHAR(10)&amp;""- "",FILTER('IMPORT COMPETENCES'!C:C,'IMPORT COMPETENCES'!A:A=A759))),)"),"")</f>
        <v/>
      </c>
      <c r="E759" s="192"/>
    </row>
    <row r="760">
      <c r="A760" s="187"/>
      <c r="B760" s="188"/>
      <c r="C760" s="187"/>
      <c r="D760" s="187" t="str">
        <f>IFERROR(__xludf.DUMMYFUNCTION("IF(A760&lt;&gt;"""", IFNA(""- ""&amp;JOIN(CHAR(10)&amp;""- "",FILTER('IMPORT COMPETENCES'!C:C,'IMPORT COMPETENCES'!A:A=A760))),)"),"")</f>
        <v/>
      </c>
      <c r="E760" s="192"/>
    </row>
    <row r="761">
      <c r="A761" s="187"/>
      <c r="B761" s="188"/>
      <c r="C761" s="187"/>
      <c r="D761" s="187" t="str">
        <f>IFERROR(__xludf.DUMMYFUNCTION("IF(A761&lt;&gt;"""", IFNA(""- ""&amp;JOIN(CHAR(10)&amp;""- "",FILTER('IMPORT COMPETENCES'!C:C,'IMPORT COMPETENCES'!A:A=A761))),)"),"")</f>
        <v/>
      </c>
      <c r="E761" s="192"/>
    </row>
    <row r="762">
      <c r="A762" s="187"/>
      <c r="B762" s="188"/>
      <c r="C762" s="187"/>
      <c r="D762" s="187" t="str">
        <f>IFERROR(__xludf.DUMMYFUNCTION("IF(A762&lt;&gt;"""", IFNA(""- ""&amp;JOIN(CHAR(10)&amp;""- "",FILTER('IMPORT COMPETENCES'!C:C,'IMPORT COMPETENCES'!A:A=A762))),)"),"")</f>
        <v/>
      </c>
      <c r="E762" s="192"/>
    </row>
    <row r="763">
      <c r="A763" s="187"/>
      <c r="B763" s="188"/>
      <c r="C763" s="187"/>
      <c r="D763" s="187" t="str">
        <f>IFERROR(__xludf.DUMMYFUNCTION("IF(A763&lt;&gt;"""", IFNA(""- ""&amp;JOIN(CHAR(10)&amp;""- "",FILTER('IMPORT COMPETENCES'!C:C,'IMPORT COMPETENCES'!A:A=A763))),)"),"")</f>
        <v/>
      </c>
      <c r="E763" s="192"/>
    </row>
    <row r="764">
      <c r="A764" s="187"/>
      <c r="B764" s="188"/>
      <c r="C764" s="187"/>
      <c r="D764" s="187" t="str">
        <f>IFERROR(__xludf.DUMMYFUNCTION("IF(A764&lt;&gt;"""", IFNA(""- ""&amp;JOIN(CHAR(10)&amp;""- "",FILTER('IMPORT COMPETENCES'!C:C,'IMPORT COMPETENCES'!A:A=A764))),)"),"")</f>
        <v/>
      </c>
      <c r="E764" s="192"/>
    </row>
    <row r="765">
      <c r="A765" s="187"/>
      <c r="B765" s="188"/>
      <c r="C765" s="187"/>
      <c r="D765" s="187" t="str">
        <f>IFERROR(__xludf.DUMMYFUNCTION("IF(A765&lt;&gt;"""", IFNA(""- ""&amp;JOIN(CHAR(10)&amp;""- "",FILTER('IMPORT COMPETENCES'!C:C,'IMPORT COMPETENCES'!A:A=A765))),)"),"")</f>
        <v/>
      </c>
      <c r="E765" s="192"/>
    </row>
    <row r="766">
      <c r="A766" s="187"/>
      <c r="B766" s="188"/>
      <c r="C766" s="187"/>
      <c r="D766" s="187" t="str">
        <f>IFERROR(__xludf.DUMMYFUNCTION("IF(A766&lt;&gt;"""", IFNA(""- ""&amp;JOIN(CHAR(10)&amp;""- "",FILTER('IMPORT COMPETENCES'!C:C,'IMPORT COMPETENCES'!A:A=A766))),)"),"")</f>
        <v/>
      </c>
      <c r="E766" s="192"/>
    </row>
    <row r="767">
      <c r="A767" s="187"/>
      <c r="B767" s="188"/>
      <c r="C767" s="187"/>
      <c r="D767" s="187" t="str">
        <f>IFERROR(__xludf.DUMMYFUNCTION("IF(A767&lt;&gt;"""", IFNA(""- ""&amp;JOIN(CHAR(10)&amp;""- "",FILTER('IMPORT COMPETENCES'!C:C,'IMPORT COMPETENCES'!A:A=A767))),)"),"")</f>
        <v/>
      </c>
      <c r="E767" s="192"/>
    </row>
    <row r="768">
      <c r="A768" s="187"/>
      <c r="B768" s="188"/>
      <c r="C768" s="187"/>
      <c r="D768" s="187" t="str">
        <f>IFERROR(__xludf.DUMMYFUNCTION("IF(A768&lt;&gt;"""", IFNA(""- ""&amp;JOIN(CHAR(10)&amp;""- "",FILTER('IMPORT COMPETENCES'!C:C,'IMPORT COMPETENCES'!A:A=A768))),)"),"")</f>
        <v/>
      </c>
      <c r="E768" s="192"/>
    </row>
    <row r="769">
      <c r="A769" s="187"/>
      <c r="B769" s="188"/>
      <c r="C769" s="187"/>
      <c r="D769" s="187" t="str">
        <f>IFERROR(__xludf.DUMMYFUNCTION("IF(A769&lt;&gt;"""", IFNA(""- ""&amp;JOIN(CHAR(10)&amp;""- "",FILTER('IMPORT COMPETENCES'!C:C,'IMPORT COMPETENCES'!A:A=A769))),)"),"")</f>
        <v/>
      </c>
      <c r="E769" s="192"/>
    </row>
    <row r="770">
      <c r="A770" s="187"/>
      <c r="B770" s="188"/>
      <c r="C770" s="187"/>
      <c r="D770" s="187" t="str">
        <f>IFERROR(__xludf.DUMMYFUNCTION("IF(A770&lt;&gt;"""", IFNA(""- ""&amp;JOIN(CHAR(10)&amp;""- "",FILTER('IMPORT COMPETENCES'!C:C,'IMPORT COMPETENCES'!A:A=A770))),)"),"")</f>
        <v/>
      </c>
      <c r="E770" s="192"/>
    </row>
    <row r="771">
      <c r="A771" s="187"/>
      <c r="B771" s="188"/>
      <c r="C771" s="187"/>
      <c r="D771" s="187" t="str">
        <f>IFERROR(__xludf.DUMMYFUNCTION("IF(A771&lt;&gt;"""", IFNA(""- ""&amp;JOIN(CHAR(10)&amp;""- "",FILTER('IMPORT COMPETENCES'!C:C,'IMPORT COMPETENCES'!A:A=A771))),)"),"")</f>
        <v/>
      </c>
      <c r="E771" s="192"/>
    </row>
    <row r="772">
      <c r="A772" s="187"/>
      <c r="B772" s="188"/>
      <c r="C772" s="187"/>
      <c r="D772" s="187" t="str">
        <f>IFERROR(__xludf.DUMMYFUNCTION("IF(A772&lt;&gt;"""", IFNA(""- ""&amp;JOIN(CHAR(10)&amp;""- "",FILTER('IMPORT COMPETENCES'!C:C,'IMPORT COMPETENCES'!A:A=A772))),)"),"")</f>
        <v/>
      </c>
      <c r="E772" s="192"/>
    </row>
    <row r="773">
      <c r="A773" s="187"/>
      <c r="B773" s="188"/>
      <c r="C773" s="187"/>
      <c r="D773" s="187" t="str">
        <f>IFERROR(__xludf.DUMMYFUNCTION("IF(A773&lt;&gt;"""", IFNA(""- ""&amp;JOIN(CHAR(10)&amp;""- "",FILTER('IMPORT COMPETENCES'!C:C,'IMPORT COMPETENCES'!A:A=A773))),)"),"")</f>
        <v/>
      </c>
      <c r="E773" s="192"/>
    </row>
    <row r="774">
      <c r="A774" s="187"/>
      <c r="B774" s="188"/>
      <c r="C774" s="187"/>
      <c r="D774" s="187" t="str">
        <f>IFERROR(__xludf.DUMMYFUNCTION("IF(A774&lt;&gt;"""", IFNA(""- ""&amp;JOIN(CHAR(10)&amp;""- "",FILTER('IMPORT COMPETENCES'!C:C,'IMPORT COMPETENCES'!A:A=A774))),)"),"")</f>
        <v/>
      </c>
      <c r="E774" s="192"/>
    </row>
    <row r="775">
      <c r="A775" s="187"/>
      <c r="B775" s="188"/>
      <c r="C775" s="187"/>
      <c r="D775" s="187" t="str">
        <f>IFERROR(__xludf.DUMMYFUNCTION("IF(A775&lt;&gt;"""", IFNA(""- ""&amp;JOIN(CHAR(10)&amp;""- "",FILTER('IMPORT COMPETENCES'!C:C,'IMPORT COMPETENCES'!A:A=A775))),)"),"")</f>
        <v/>
      </c>
      <c r="E775" s="192"/>
    </row>
    <row r="776">
      <c r="A776" s="187"/>
      <c r="B776" s="188"/>
      <c r="C776" s="187"/>
      <c r="D776" s="187" t="str">
        <f>IFERROR(__xludf.DUMMYFUNCTION("IF(A776&lt;&gt;"""", IFNA(""- ""&amp;JOIN(CHAR(10)&amp;""- "",FILTER('IMPORT COMPETENCES'!C:C,'IMPORT COMPETENCES'!A:A=A776))),)"),"")</f>
        <v/>
      </c>
      <c r="E776" s="192"/>
    </row>
    <row r="777">
      <c r="A777" s="187"/>
      <c r="B777" s="188"/>
      <c r="C777" s="187"/>
      <c r="D777" s="187" t="str">
        <f>IFERROR(__xludf.DUMMYFUNCTION("IF(A777&lt;&gt;"""", IFNA(""- ""&amp;JOIN(CHAR(10)&amp;""- "",FILTER('IMPORT COMPETENCES'!C:C,'IMPORT COMPETENCES'!A:A=A777))),)"),"")</f>
        <v/>
      </c>
      <c r="E777" s="192"/>
    </row>
    <row r="778">
      <c r="A778" s="187"/>
      <c r="B778" s="188"/>
      <c r="C778" s="187"/>
      <c r="D778" s="187" t="str">
        <f>IFERROR(__xludf.DUMMYFUNCTION("IF(A778&lt;&gt;"""", IFNA(""- ""&amp;JOIN(CHAR(10)&amp;""- "",FILTER('IMPORT COMPETENCES'!C:C,'IMPORT COMPETENCES'!A:A=A778))),)"),"")</f>
        <v/>
      </c>
      <c r="E778" s="192"/>
    </row>
    <row r="779">
      <c r="A779" s="187"/>
      <c r="B779" s="188"/>
      <c r="C779" s="187"/>
      <c r="D779" s="187" t="str">
        <f>IFERROR(__xludf.DUMMYFUNCTION("IF(A779&lt;&gt;"""", IFNA(""- ""&amp;JOIN(CHAR(10)&amp;""- "",FILTER('IMPORT COMPETENCES'!C:C,'IMPORT COMPETENCES'!A:A=A779))),)"),"")</f>
        <v/>
      </c>
      <c r="E779" s="192"/>
    </row>
    <row r="780">
      <c r="A780" s="187"/>
      <c r="B780" s="188"/>
      <c r="C780" s="187"/>
      <c r="D780" s="187" t="str">
        <f>IFERROR(__xludf.DUMMYFUNCTION("IF(A780&lt;&gt;"""", IFNA(""- ""&amp;JOIN(CHAR(10)&amp;""- "",FILTER('IMPORT COMPETENCES'!C:C,'IMPORT COMPETENCES'!A:A=A780))),)"),"")</f>
        <v/>
      </c>
      <c r="E780" s="192"/>
    </row>
    <row r="781">
      <c r="A781" s="187"/>
      <c r="B781" s="188"/>
      <c r="C781" s="187"/>
      <c r="D781" s="187" t="str">
        <f>IFERROR(__xludf.DUMMYFUNCTION("IF(A781&lt;&gt;"""", IFNA(""- ""&amp;JOIN(CHAR(10)&amp;""- "",FILTER('IMPORT COMPETENCES'!C:C,'IMPORT COMPETENCES'!A:A=A781))),)"),"")</f>
        <v/>
      </c>
      <c r="E781" s="192"/>
    </row>
    <row r="782">
      <c r="A782" s="187"/>
      <c r="B782" s="188"/>
      <c r="C782" s="187"/>
      <c r="D782" s="187" t="str">
        <f>IFERROR(__xludf.DUMMYFUNCTION("IF(A782&lt;&gt;"""", IFNA(""- ""&amp;JOIN(CHAR(10)&amp;""- "",FILTER('IMPORT COMPETENCES'!C:C,'IMPORT COMPETENCES'!A:A=A782))),)"),"")</f>
        <v/>
      </c>
      <c r="E782" s="192"/>
    </row>
    <row r="783">
      <c r="A783" s="187"/>
      <c r="B783" s="188"/>
      <c r="C783" s="187"/>
      <c r="D783" s="187" t="str">
        <f>IFERROR(__xludf.DUMMYFUNCTION("IF(A783&lt;&gt;"""", IFNA(""- ""&amp;JOIN(CHAR(10)&amp;""- "",FILTER('IMPORT COMPETENCES'!C:C,'IMPORT COMPETENCES'!A:A=A783))),)"),"")</f>
        <v/>
      </c>
      <c r="E783" s="192"/>
    </row>
    <row r="784">
      <c r="A784" s="187"/>
      <c r="B784" s="188"/>
      <c r="C784" s="187"/>
      <c r="D784" s="187" t="str">
        <f>IFERROR(__xludf.DUMMYFUNCTION("IF(A784&lt;&gt;"""", IFNA(""- ""&amp;JOIN(CHAR(10)&amp;""- "",FILTER('IMPORT COMPETENCES'!C:C,'IMPORT COMPETENCES'!A:A=A784))),)"),"")</f>
        <v/>
      </c>
      <c r="E784" s="192"/>
    </row>
    <row r="785">
      <c r="A785" s="187"/>
      <c r="B785" s="188"/>
      <c r="C785" s="187"/>
      <c r="D785" s="187" t="str">
        <f>IFERROR(__xludf.DUMMYFUNCTION("IF(A785&lt;&gt;"""", IFNA(""- ""&amp;JOIN(CHAR(10)&amp;""- "",FILTER('IMPORT COMPETENCES'!C:C,'IMPORT COMPETENCES'!A:A=A785))),)"),"")</f>
        <v/>
      </c>
      <c r="E785" s="192"/>
    </row>
    <row r="786">
      <c r="A786" s="187"/>
      <c r="B786" s="188"/>
      <c r="C786" s="187"/>
      <c r="D786" s="187" t="str">
        <f>IFERROR(__xludf.DUMMYFUNCTION("IF(A786&lt;&gt;"""", IFNA(""- ""&amp;JOIN(CHAR(10)&amp;""- "",FILTER('IMPORT COMPETENCES'!C:C,'IMPORT COMPETENCES'!A:A=A786))),)"),"")</f>
        <v/>
      </c>
      <c r="E786" s="192"/>
    </row>
    <row r="787">
      <c r="A787" s="187"/>
      <c r="B787" s="188"/>
      <c r="C787" s="187"/>
      <c r="D787" s="187" t="str">
        <f>IFERROR(__xludf.DUMMYFUNCTION("IF(A787&lt;&gt;"""", IFNA(""- ""&amp;JOIN(CHAR(10)&amp;""- "",FILTER('IMPORT COMPETENCES'!C:C,'IMPORT COMPETENCES'!A:A=A787))),)"),"")</f>
        <v/>
      </c>
      <c r="E787" s="192"/>
    </row>
    <row r="788">
      <c r="A788" s="187"/>
      <c r="B788" s="188"/>
      <c r="C788" s="187"/>
      <c r="D788" s="187" t="str">
        <f>IFERROR(__xludf.DUMMYFUNCTION("IF(A788&lt;&gt;"""", IFNA(""- ""&amp;JOIN(CHAR(10)&amp;""- "",FILTER('IMPORT COMPETENCES'!C:C,'IMPORT COMPETENCES'!A:A=A788))),)"),"")</f>
        <v/>
      </c>
      <c r="E788" s="192"/>
    </row>
    <row r="789">
      <c r="A789" s="187"/>
      <c r="B789" s="188"/>
      <c r="C789" s="187"/>
      <c r="D789" s="187" t="str">
        <f>IFERROR(__xludf.DUMMYFUNCTION("IF(A789&lt;&gt;"""", IFNA(""- ""&amp;JOIN(CHAR(10)&amp;""- "",FILTER('IMPORT COMPETENCES'!C:C,'IMPORT COMPETENCES'!A:A=A789))),)"),"")</f>
        <v/>
      </c>
      <c r="E789" s="192"/>
    </row>
    <row r="790">
      <c r="A790" s="187"/>
      <c r="B790" s="188"/>
      <c r="C790" s="187"/>
      <c r="D790" s="187" t="str">
        <f>IFERROR(__xludf.DUMMYFUNCTION("IF(A790&lt;&gt;"""", IFNA(""- ""&amp;JOIN(CHAR(10)&amp;""- "",FILTER('IMPORT COMPETENCES'!C:C,'IMPORT COMPETENCES'!A:A=A790))),)"),"")</f>
        <v/>
      </c>
      <c r="E790" s="192"/>
    </row>
    <row r="791">
      <c r="A791" s="187"/>
      <c r="B791" s="188"/>
      <c r="C791" s="187"/>
      <c r="D791" s="187" t="str">
        <f>IFERROR(__xludf.DUMMYFUNCTION("IF(A791&lt;&gt;"""", IFNA(""- ""&amp;JOIN(CHAR(10)&amp;""- "",FILTER('IMPORT COMPETENCES'!C:C,'IMPORT COMPETENCES'!A:A=A791))),)"),"")</f>
        <v/>
      </c>
      <c r="E791" s="192"/>
    </row>
    <row r="792">
      <c r="A792" s="187"/>
      <c r="B792" s="188"/>
      <c r="C792" s="187"/>
      <c r="D792" s="187" t="str">
        <f>IFERROR(__xludf.DUMMYFUNCTION("IF(A792&lt;&gt;"""", IFNA(""- ""&amp;JOIN(CHAR(10)&amp;""- "",FILTER('IMPORT COMPETENCES'!C:C,'IMPORT COMPETENCES'!A:A=A792))),)"),"")</f>
        <v/>
      </c>
      <c r="E792" s="192"/>
    </row>
    <row r="793">
      <c r="A793" s="187"/>
      <c r="B793" s="188"/>
      <c r="C793" s="187"/>
      <c r="D793" s="187" t="str">
        <f>IFERROR(__xludf.DUMMYFUNCTION("IF(A793&lt;&gt;"""", IFNA(""- ""&amp;JOIN(CHAR(10)&amp;""- "",FILTER('IMPORT COMPETENCES'!C:C,'IMPORT COMPETENCES'!A:A=A793))),)"),"")</f>
        <v/>
      </c>
      <c r="E793" s="192"/>
    </row>
    <row r="794">
      <c r="A794" s="187"/>
      <c r="B794" s="188"/>
      <c r="C794" s="187"/>
      <c r="D794" s="187" t="str">
        <f>IFERROR(__xludf.DUMMYFUNCTION("IF(A794&lt;&gt;"""", IFNA(""- ""&amp;JOIN(CHAR(10)&amp;""- "",FILTER('IMPORT COMPETENCES'!C:C,'IMPORT COMPETENCES'!A:A=A794))),)"),"")</f>
        <v/>
      </c>
      <c r="E794" s="192"/>
    </row>
    <row r="795">
      <c r="A795" s="187"/>
      <c r="B795" s="188"/>
      <c r="C795" s="187"/>
      <c r="D795" s="187" t="str">
        <f>IFERROR(__xludf.DUMMYFUNCTION("IF(A795&lt;&gt;"""", IFNA(""- ""&amp;JOIN(CHAR(10)&amp;""- "",FILTER('IMPORT COMPETENCES'!C:C,'IMPORT COMPETENCES'!A:A=A795))),)"),"")</f>
        <v/>
      </c>
      <c r="E795" s="192"/>
    </row>
    <row r="796">
      <c r="A796" s="187"/>
      <c r="B796" s="188"/>
      <c r="C796" s="187"/>
      <c r="D796" s="187" t="str">
        <f>IFERROR(__xludf.DUMMYFUNCTION("IF(A796&lt;&gt;"""", IFNA(""- ""&amp;JOIN(CHAR(10)&amp;""- "",FILTER('IMPORT COMPETENCES'!C:C,'IMPORT COMPETENCES'!A:A=A796))),)"),"")</f>
        <v/>
      </c>
      <c r="E796" s="192"/>
    </row>
    <row r="797">
      <c r="A797" s="187"/>
      <c r="B797" s="188"/>
      <c r="C797" s="187"/>
      <c r="D797" s="187" t="str">
        <f>IFERROR(__xludf.DUMMYFUNCTION("IF(A797&lt;&gt;"""", IFNA(""- ""&amp;JOIN(CHAR(10)&amp;""- "",FILTER('IMPORT COMPETENCES'!C:C,'IMPORT COMPETENCES'!A:A=A797))),)"),"")</f>
        <v/>
      </c>
      <c r="E797" s="192"/>
    </row>
    <row r="798">
      <c r="A798" s="187"/>
      <c r="B798" s="188"/>
      <c r="C798" s="187"/>
      <c r="D798" s="187" t="str">
        <f>IFERROR(__xludf.DUMMYFUNCTION("IF(A798&lt;&gt;"""", IFNA(""- ""&amp;JOIN(CHAR(10)&amp;""- "",FILTER('IMPORT COMPETENCES'!C:C,'IMPORT COMPETENCES'!A:A=A798))),)"),"")</f>
        <v/>
      </c>
      <c r="E798" s="192"/>
    </row>
    <row r="799">
      <c r="A799" s="187"/>
      <c r="B799" s="188"/>
      <c r="C799" s="187"/>
      <c r="D799" s="187" t="str">
        <f>IFERROR(__xludf.DUMMYFUNCTION("IF(A799&lt;&gt;"""", IFNA(""- ""&amp;JOIN(CHAR(10)&amp;""- "",FILTER('IMPORT COMPETENCES'!C:C,'IMPORT COMPETENCES'!A:A=A799))),)"),"")</f>
        <v/>
      </c>
      <c r="E799" s="192"/>
    </row>
    <row r="800">
      <c r="A800" s="187"/>
      <c r="B800" s="188"/>
      <c r="C800" s="187"/>
      <c r="D800" s="187" t="str">
        <f>IFERROR(__xludf.DUMMYFUNCTION("IF(A800&lt;&gt;"""", IFNA(""- ""&amp;JOIN(CHAR(10)&amp;""- "",FILTER('IMPORT COMPETENCES'!C:C,'IMPORT COMPETENCES'!A:A=A800))),)"),"")</f>
        <v/>
      </c>
      <c r="E800" s="192"/>
    </row>
    <row r="801">
      <c r="A801" s="187"/>
      <c r="B801" s="188"/>
      <c r="C801" s="187"/>
      <c r="D801" s="187" t="str">
        <f>IFERROR(__xludf.DUMMYFUNCTION("IF(A801&lt;&gt;"""", IFNA(""- ""&amp;JOIN(CHAR(10)&amp;""- "",FILTER('IMPORT COMPETENCES'!C:C,'IMPORT COMPETENCES'!A:A=A801))),)"),"")</f>
        <v/>
      </c>
      <c r="E801" s="192"/>
    </row>
    <row r="802">
      <c r="A802" s="187"/>
      <c r="B802" s="188"/>
      <c r="C802" s="187"/>
      <c r="D802" s="187" t="str">
        <f>IFERROR(__xludf.DUMMYFUNCTION("IF(A802&lt;&gt;"""", IFNA(""- ""&amp;JOIN(CHAR(10)&amp;""- "",FILTER('IMPORT COMPETENCES'!C:C,'IMPORT COMPETENCES'!A:A=A802))),)"),"")</f>
        <v/>
      </c>
      <c r="E802" s="192"/>
    </row>
    <row r="803">
      <c r="A803" s="187"/>
      <c r="B803" s="188"/>
      <c r="C803" s="187"/>
      <c r="D803" s="187" t="str">
        <f>IFERROR(__xludf.DUMMYFUNCTION("IF(A803&lt;&gt;"""", IFNA(""- ""&amp;JOIN(CHAR(10)&amp;""- "",FILTER('IMPORT COMPETENCES'!C:C,'IMPORT COMPETENCES'!A:A=A803))),)"),"")</f>
        <v/>
      </c>
      <c r="E803" s="192"/>
    </row>
    <row r="804">
      <c r="A804" s="187"/>
      <c r="B804" s="188"/>
      <c r="C804" s="187"/>
      <c r="D804" s="187" t="str">
        <f>IFERROR(__xludf.DUMMYFUNCTION("IF(A804&lt;&gt;"""", IFNA(""- ""&amp;JOIN(CHAR(10)&amp;""- "",FILTER('IMPORT COMPETENCES'!C:C,'IMPORT COMPETENCES'!A:A=A804))),)"),"")</f>
        <v/>
      </c>
      <c r="E804" s="192"/>
    </row>
    <row r="805">
      <c r="A805" s="187"/>
      <c r="B805" s="188"/>
      <c r="C805" s="187"/>
      <c r="D805" s="187" t="str">
        <f>IFERROR(__xludf.DUMMYFUNCTION("IF(A805&lt;&gt;"""", IFNA(""- ""&amp;JOIN(CHAR(10)&amp;""- "",FILTER('IMPORT COMPETENCES'!C:C,'IMPORT COMPETENCES'!A:A=A805))),)"),"")</f>
        <v/>
      </c>
      <c r="E805" s="192"/>
    </row>
    <row r="806">
      <c r="A806" s="187"/>
      <c r="B806" s="188"/>
      <c r="C806" s="187"/>
      <c r="D806" s="187" t="str">
        <f>IFERROR(__xludf.DUMMYFUNCTION("IF(A806&lt;&gt;"""", IFNA(""- ""&amp;JOIN(CHAR(10)&amp;""- "",FILTER('IMPORT COMPETENCES'!C:C,'IMPORT COMPETENCES'!A:A=A806))),)"),"")</f>
        <v/>
      </c>
      <c r="E806" s="192"/>
    </row>
    <row r="807">
      <c r="A807" s="187"/>
      <c r="B807" s="188"/>
      <c r="C807" s="187"/>
      <c r="D807" s="187" t="str">
        <f>IFERROR(__xludf.DUMMYFUNCTION("IF(A807&lt;&gt;"""", IFNA(""- ""&amp;JOIN(CHAR(10)&amp;""- "",FILTER('IMPORT COMPETENCES'!C:C,'IMPORT COMPETENCES'!A:A=A807))),)"),"")</f>
        <v/>
      </c>
      <c r="E807" s="192"/>
    </row>
    <row r="808">
      <c r="A808" s="187"/>
      <c r="B808" s="188"/>
      <c r="C808" s="187"/>
      <c r="D808" s="187" t="str">
        <f>IFERROR(__xludf.DUMMYFUNCTION("IF(A808&lt;&gt;"""", IFNA(""- ""&amp;JOIN(CHAR(10)&amp;""- "",FILTER('IMPORT COMPETENCES'!C:C,'IMPORT COMPETENCES'!A:A=A808))),)"),"")</f>
        <v/>
      </c>
      <c r="E808" s="192"/>
    </row>
    <row r="809">
      <c r="A809" s="187"/>
      <c r="B809" s="188"/>
      <c r="C809" s="187"/>
      <c r="D809" s="187" t="str">
        <f>IFERROR(__xludf.DUMMYFUNCTION("IF(A809&lt;&gt;"""", IFNA(""- ""&amp;JOIN(CHAR(10)&amp;""- "",FILTER('IMPORT COMPETENCES'!C:C,'IMPORT COMPETENCES'!A:A=A809))),)"),"")</f>
        <v/>
      </c>
      <c r="E809" s="192"/>
    </row>
    <row r="810">
      <c r="A810" s="187"/>
      <c r="B810" s="188"/>
      <c r="C810" s="187"/>
      <c r="D810" s="187" t="str">
        <f>IFERROR(__xludf.DUMMYFUNCTION("IF(A810&lt;&gt;"""", IFNA(""- ""&amp;JOIN(CHAR(10)&amp;""- "",FILTER('IMPORT COMPETENCES'!C:C,'IMPORT COMPETENCES'!A:A=A810))),)"),"")</f>
        <v/>
      </c>
      <c r="E810" s="192"/>
    </row>
    <row r="811">
      <c r="A811" s="187"/>
      <c r="B811" s="188"/>
      <c r="C811" s="187"/>
      <c r="D811" s="187" t="str">
        <f>IFERROR(__xludf.DUMMYFUNCTION("IF(A811&lt;&gt;"""", IFNA(""- ""&amp;JOIN(CHAR(10)&amp;""- "",FILTER('IMPORT COMPETENCES'!C:C,'IMPORT COMPETENCES'!A:A=A811))),)"),"")</f>
        <v/>
      </c>
      <c r="E811" s="192"/>
    </row>
    <row r="812">
      <c r="A812" s="187"/>
      <c r="B812" s="188"/>
      <c r="C812" s="187"/>
      <c r="D812" s="187" t="str">
        <f>IFERROR(__xludf.DUMMYFUNCTION("IF(A812&lt;&gt;"""", IFNA(""- ""&amp;JOIN(CHAR(10)&amp;""- "",FILTER('IMPORT COMPETENCES'!C:C,'IMPORT COMPETENCES'!A:A=A812))),)"),"")</f>
        <v/>
      </c>
      <c r="E812" s="192"/>
    </row>
    <row r="813">
      <c r="A813" s="187"/>
      <c r="B813" s="188"/>
      <c r="C813" s="187"/>
      <c r="D813" s="187" t="str">
        <f>IFERROR(__xludf.DUMMYFUNCTION("IF(A813&lt;&gt;"""", IFNA(""- ""&amp;JOIN(CHAR(10)&amp;""- "",FILTER('IMPORT COMPETENCES'!C:C,'IMPORT COMPETENCES'!A:A=A813))),)"),"")</f>
        <v/>
      </c>
      <c r="E813" s="192"/>
    </row>
    <row r="814">
      <c r="A814" s="187"/>
      <c r="B814" s="188"/>
      <c r="C814" s="187"/>
      <c r="D814" s="187" t="str">
        <f>IFERROR(__xludf.DUMMYFUNCTION("IF(A814&lt;&gt;"""", IFNA(""- ""&amp;JOIN(CHAR(10)&amp;""- "",FILTER('IMPORT COMPETENCES'!C:C,'IMPORT COMPETENCES'!A:A=A814))),)"),"")</f>
        <v/>
      </c>
      <c r="E814" s="192"/>
    </row>
    <row r="815">
      <c r="A815" s="187"/>
      <c r="B815" s="188"/>
      <c r="C815" s="187"/>
      <c r="D815" s="187" t="str">
        <f>IFERROR(__xludf.DUMMYFUNCTION("IF(A815&lt;&gt;"""", IFNA(""- ""&amp;JOIN(CHAR(10)&amp;""- "",FILTER('IMPORT COMPETENCES'!C:C,'IMPORT COMPETENCES'!A:A=A815))),)"),"")</f>
        <v/>
      </c>
      <c r="E815" s="192"/>
    </row>
    <row r="816">
      <c r="A816" s="187"/>
      <c r="B816" s="188"/>
      <c r="C816" s="187"/>
      <c r="D816" s="187" t="str">
        <f>IFERROR(__xludf.DUMMYFUNCTION("IF(A816&lt;&gt;"""", IFNA(""- ""&amp;JOIN(CHAR(10)&amp;""- "",FILTER('IMPORT COMPETENCES'!C:C,'IMPORT COMPETENCES'!A:A=A816))),)"),"")</f>
        <v/>
      </c>
      <c r="E816" s="192"/>
    </row>
    <row r="817">
      <c r="A817" s="187"/>
      <c r="B817" s="188"/>
      <c r="C817" s="187"/>
      <c r="D817" s="187" t="str">
        <f>IFERROR(__xludf.DUMMYFUNCTION("IF(A817&lt;&gt;"""", IFNA(""- ""&amp;JOIN(CHAR(10)&amp;""- "",FILTER('IMPORT COMPETENCES'!C:C,'IMPORT COMPETENCES'!A:A=A817))),)"),"")</f>
        <v/>
      </c>
      <c r="E817" s="192"/>
    </row>
    <row r="818">
      <c r="A818" s="187"/>
      <c r="B818" s="188"/>
      <c r="C818" s="187"/>
      <c r="D818" s="187" t="str">
        <f>IFERROR(__xludf.DUMMYFUNCTION("IF(A818&lt;&gt;"""", IFNA(""- ""&amp;JOIN(CHAR(10)&amp;""- "",FILTER('IMPORT COMPETENCES'!C:C,'IMPORT COMPETENCES'!A:A=A818))),)"),"")</f>
        <v/>
      </c>
      <c r="E818" s="192"/>
    </row>
    <row r="819">
      <c r="A819" s="187"/>
      <c r="B819" s="188"/>
      <c r="C819" s="187"/>
      <c r="D819" s="187" t="str">
        <f>IFERROR(__xludf.DUMMYFUNCTION("IF(A819&lt;&gt;"""", IFNA(""- ""&amp;JOIN(CHAR(10)&amp;""- "",FILTER('IMPORT COMPETENCES'!C:C,'IMPORT COMPETENCES'!A:A=A819))),)"),"")</f>
        <v/>
      </c>
      <c r="E819" s="192"/>
    </row>
    <row r="820">
      <c r="A820" s="187"/>
      <c r="B820" s="188"/>
      <c r="C820" s="187"/>
      <c r="D820" s="187" t="str">
        <f>IFERROR(__xludf.DUMMYFUNCTION("IF(A820&lt;&gt;"""", IFNA(""- ""&amp;JOIN(CHAR(10)&amp;""- "",FILTER('IMPORT COMPETENCES'!C:C,'IMPORT COMPETENCES'!A:A=A820))),)"),"")</f>
        <v/>
      </c>
      <c r="E820" s="192"/>
    </row>
    <row r="821">
      <c r="A821" s="187"/>
      <c r="B821" s="188"/>
      <c r="C821" s="187"/>
      <c r="D821" s="187" t="str">
        <f>IFERROR(__xludf.DUMMYFUNCTION("IF(A821&lt;&gt;"""", IFNA(""- ""&amp;JOIN(CHAR(10)&amp;""- "",FILTER('IMPORT COMPETENCES'!C:C,'IMPORT COMPETENCES'!A:A=A821))),)"),"")</f>
        <v/>
      </c>
      <c r="E821" s="192"/>
    </row>
    <row r="822">
      <c r="A822" s="187"/>
      <c r="B822" s="188"/>
      <c r="C822" s="187"/>
      <c r="D822" s="187" t="str">
        <f>IFERROR(__xludf.DUMMYFUNCTION("IF(A822&lt;&gt;"""", IFNA(""- ""&amp;JOIN(CHAR(10)&amp;""- "",FILTER('IMPORT COMPETENCES'!C:C,'IMPORT COMPETENCES'!A:A=A822))),)"),"")</f>
        <v/>
      </c>
      <c r="E822" s="192"/>
    </row>
    <row r="823">
      <c r="A823" s="187"/>
      <c r="B823" s="188"/>
      <c r="C823" s="187"/>
      <c r="D823" s="187" t="str">
        <f>IFERROR(__xludf.DUMMYFUNCTION("IF(A823&lt;&gt;"""", IFNA(""- ""&amp;JOIN(CHAR(10)&amp;""- "",FILTER('IMPORT COMPETENCES'!C:C,'IMPORT COMPETENCES'!A:A=A823))),)"),"")</f>
        <v/>
      </c>
      <c r="E823" s="192"/>
    </row>
    <row r="824">
      <c r="A824" s="187"/>
      <c r="B824" s="188"/>
      <c r="C824" s="187"/>
      <c r="D824" s="187" t="str">
        <f>IFERROR(__xludf.DUMMYFUNCTION("IF(A824&lt;&gt;"""", IFNA(""- ""&amp;JOIN(CHAR(10)&amp;""- "",FILTER('IMPORT COMPETENCES'!C:C,'IMPORT COMPETENCES'!A:A=A824))),)"),"")</f>
        <v/>
      </c>
      <c r="E824" s="192"/>
    </row>
    <row r="825">
      <c r="A825" s="187"/>
      <c r="B825" s="188"/>
      <c r="C825" s="187"/>
      <c r="D825" s="187" t="str">
        <f>IFERROR(__xludf.DUMMYFUNCTION("IF(A825&lt;&gt;"""", IFNA(""- ""&amp;JOIN(CHAR(10)&amp;""- "",FILTER('IMPORT COMPETENCES'!C:C,'IMPORT COMPETENCES'!A:A=A825))),)"),"")</f>
        <v/>
      </c>
      <c r="E825" s="192"/>
    </row>
    <row r="826">
      <c r="A826" s="187"/>
      <c r="B826" s="188"/>
      <c r="C826" s="187"/>
      <c r="D826" s="187" t="str">
        <f>IFERROR(__xludf.DUMMYFUNCTION("IF(A826&lt;&gt;"""", IFNA(""- ""&amp;JOIN(CHAR(10)&amp;""- "",FILTER('IMPORT COMPETENCES'!C:C,'IMPORT COMPETENCES'!A:A=A826))),)"),"")</f>
        <v/>
      </c>
      <c r="E826" s="192"/>
    </row>
    <row r="827">
      <c r="A827" s="187"/>
      <c r="B827" s="188"/>
      <c r="C827" s="187"/>
      <c r="D827" s="187" t="str">
        <f>IFERROR(__xludf.DUMMYFUNCTION("IF(A827&lt;&gt;"""", IFNA(""- ""&amp;JOIN(CHAR(10)&amp;""- "",FILTER('IMPORT COMPETENCES'!C:C,'IMPORT COMPETENCES'!A:A=A827))),)"),"")</f>
        <v/>
      </c>
      <c r="E827" s="192"/>
    </row>
    <row r="828">
      <c r="A828" s="187"/>
      <c r="B828" s="188"/>
      <c r="C828" s="187"/>
      <c r="D828" s="187" t="str">
        <f>IFERROR(__xludf.DUMMYFUNCTION("IF(A828&lt;&gt;"""", IFNA(""- ""&amp;JOIN(CHAR(10)&amp;""- "",FILTER('IMPORT COMPETENCES'!C:C,'IMPORT COMPETENCES'!A:A=A828))),)"),"")</f>
        <v/>
      </c>
      <c r="E828" s="192"/>
    </row>
    <row r="829">
      <c r="A829" s="187"/>
      <c r="B829" s="188"/>
      <c r="C829" s="187"/>
      <c r="D829" s="187" t="str">
        <f>IFERROR(__xludf.DUMMYFUNCTION("IF(A829&lt;&gt;"""", IFNA(""- ""&amp;JOIN(CHAR(10)&amp;""- "",FILTER('IMPORT COMPETENCES'!C:C,'IMPORT COMPETENCES'!A:A=A829))),)"),"")</f>
        <v/>
      </c>
      <c r="E829" s="192"/>
    </row>
    <row r="830">
      <c r="A830" s="187"/>
      <c r="B830" s="188"/>
      <c r="C830" s="187"/>
      <c r="D830" s="187" t="str">
        <f>IFERROR(__xludf.DUMMYFUNCTION("IF(A830&lt;&gt;"""", IFNA(""- ""&amp;JOIN(CHAR(10)&amp;""- "",FILTER('IMPORT COMPETENCES'!C:C,'IMPORT COMPETENCES'!A:A=A830))),)"),"")</f>
        <v/>
      </c>
      <c r="E830" s="192"/>
    </row>
    <row r="831">
      <c r="A831" s="187"/>
      <c r="B831" s="188"/>
      <c r="C831" s="187"/>
      <c r="D831" s="187" t="str">
        <f>IFERROR(__xludf.DUMMYFUNCTION("IF(A831&lt;&gt;"""", IFNA(""- ""&amp;JOIN(CHAR(10)&amp;""- "",FILTER('IMPORT COMPETENCES'!C:C,'IMPORT COMPETENCES'!A:A=A831))),)"),"")</f>
        <v/>
      </c>
      <c r="E831" s="192"/>
    </row>
    <row r="832">
      <c r="A832" s="187"/>
      <c r="B832" s="188"/>
      <c r="C832" s="187"/>
      <c r="D832" s="187" t="str">
        <f>IFERROR(__xludf.DUMMYFUNCTION("IF(A832&lt;&gt;"""", IFNA(""- ""&amp;JOIN(CHAR(10)&amp;""- "",FILTER('IMPORT COMPETENCES'!C:C,'IMPORT COMPETENCES'!A:A=A832))),)"),"")</f>
        <v/>
      </c>
      <c r="E832" s="192"/>
    </row>
    <row r="833">
      <c r="A833" s="187"/>
      <c r="B833" s="188"/>
      <c r="C833" s="187"/>
      <c r="D833" s="187" t="str">
        <f>IFERROR(__xludf.DUMMYFUNCTION("IF(A833&lt;&gt;"""", IFNA(""- ""&amp;JOIN(CHAR(10)&amp;""- "",FILTER('IMPORT COMPETENCES'!C:C,'IMPORT COMPETENCES'!A:A=A833))),)"),"")</f>
        <v/>
      </c>
      <c r="E833" s="192"/>
    </row>
    <row r="834">
      <c r="A834" s="187"/>
      <c r="B834" s="188"/>
      <c r="C834" s="187"/>
      <c r="D834" s="187" t="str">
        <f>IFERROR(__xludf.DUMMYFUNCTION("IF(A834&lt;&gt;"""", IFNA(""- ""&amp;JOIN(CHAR(10)&amp;""- "",FILTER('IMPORT COMPETENCES'!C:C,'IMPORT COMPETENCES'!A:A=A834))),)"),"")</f>
        <v/>
      </c>
      <c r="E834" s="192"/>
    </row>
    <row r="835">
      <c r="A835" s="187"/>
      <c r="B835" s="188"/>
      <c r="C835" s="187"/>
      <c r="D835" s="187" t="str">
        <f>IFERROR(__xludf.DUMMYFUNCTION("IF(A835&lt;&gt;"""", IFNA(""- ""&amp;JOIN(CHAR(10)&amp;""- "",FILTER('IMPORT COMPETENCES'!C:C,'IMPORT COMPETENCES'!A:A=A835))),)"),"")</f>
        <v/>
      </c>
      <c r="E835" s="192"/>
    </row>
    <row r="836">
      <c r="A836" s="187"/>
      <c r="B836" s="188"/>
      <c r="C836" s="187"/>
      <c r="D836" s="187" t="str">
        <f>IFERROR(__xludf.DUMMYFUNCTION("IF(A836&lt;&gt;"""", IFNA(""- ""&amp;JOIN(CHAR(10)&amp;""- "",FILTER('IMPORT COMPETENCES'!C:C,'IMPORT COMPETENCES'!A:A=A836))),)"),"")</f>
        <v/>
      </c>
      <c r="E836" s="192"/>
    </row>
    <row r="837">
      <c r="A837" s="187"/>
      <c r="B837" s="188"/>
      <c r="C837" s="187"/>
      <c r="D837" s="187" t="str">
        <f>IFERROR(__xludf.DUMMYFUNCTION("IF(A837&lt;&gt;"""", IFNA(""- ""&amp;JOIN(CHAR(10)&amp;""- "",FILTER('IMPORT COMPETENCES'!C:C,'IMPORT COMPETENCES'!A:A=A837))),)"),"")</f>
        <v/>
      </c>
      <c r="E837" s="192"/>
    </row>
    <row r="838">
      <c r="A838" s="187"/>
      <c r="B838" s="188"/>
      <c r="C838" s="187"/>
      <c r="D838" s="187" t="str">
        <f>IFERROR(__xludf.DUMMYFUNCTION("IF(A838&lt;&gt;"""", IFNA(""- ""&amp;JOIN(CHAR(10)&amp;""- "",FILTER('IMPORT COMPETENCES'!C:C,'IMPORT COMPETENCES'!A:A=A838))),)"),"")</f>
        <v/>
      </c>
      <c r="E838" s="192"/>
    </row>
    <row r="839">
      <c r="A839" s="187"/>
      <c r="B839" s="188"/>
      <c r="C839" s="187"/>
      <c r="D839" s="187" t="str">
        <f>IFERROR(__xludf.DUMMYFUNCTION("IF(A839&lt;&gt;"""", IFNA(""- ""&amp;JOIN(CHAR(10)&amp;""- "",FILTER('IMPORT COMPETENCES'!C:C,'IMPORT COMPETENCES'!A:A=A839))),)"),"")</f>
        <v/>
      </c>
      <c r="E839" s="192"/>
    </row>
    <row r="840">
      <c r="A840" s="187"/>
      <c r="B840" s="188"/>
      <c r="C840" s="187"/>
      <c r="D840" s="187" t="str">
        <f>IFERROR(__xludf.DUMMYFUNCTION("IF(A840&lt;&gt;"""", IFNA(""- ""&amp;JOIN(CHAR(10)&amp;""- "",FILTER('IMPORT COMPETENCES'!C:C,'IMPORT COMPETENCES'!A:A=A840))),)"),"")</f>
        <v/>
      </c>
      <c r="E840" s="192"/>
    </row>
    <row r="841">
      <c r="A841" s="187"/>
      <c r="B841" s="188"/>
      <c r="C841" s="187"/>
      <c r="D841" s="187" t="str">
        <f>IFERROR(__xludf.DUMMYFUNCTION("IF(A841&lt;&gt;"""", IFNA(""- ""&amp;JOIN(CHAR(10)&amp;""- "",FILTER('IMPORT COMPETENCES'!C:C,'IMPORT COMPETENCES'!A:A=A841))),)"),"")</f>
        <v/>
      </c>
      <c r="E841" s="192"/>
    </row>
    <row r="842">
      <c r="A842" s="187"/>
      <c r="B842" s="188"/>
      <c r="C842" s="187"/>
      <c r="D842" s="187" t="str">
        <f>IFERROR(__xludf.DUMMYFUNCTION("IF(A842&lt;&gt;"""", IFNA(""- ""&amp;JOIN(CHAR(10)&amp;""- "",FILTER('IMPORT COMPETENCES'!C:C,'IMPORT COMPETENCES'!A:A=A842))),)"),"")</f>
        <v/>
      </c>
      <c r="E842" s="192"/>
    </row>
    <row r="843">
      <c r="A843" s="187"/>
      <c r="B843" s="188"/>
      <c r="C843" s="187"/>
      <c r="D843" s="187" t="str">
        <f>IFERROR(__xludf.DUMMYFUNCTION("IF(A843&lt;&gt;"""", IFNA(""- ""&amp;JOIN(CHAR(10)&amp;""- "",FILTER('IMPORT COMPETENCES'!C:C,'IMPORT COMPETENCES'!A:A=A843))),)"),"")</f>
        <v/>
      </c>
      <c r="E843" s="192"/>
    </row>
    <row r="844">
      <c r="A844" s="187"/>
      <c r="B844" s="188"/>
      <c r="C844" s="187"/>
      <c r="D844" s="187" t="str">
        <f>IFERROR(__xludf.DUMMYFUNCTION("IF(A844&lt;&gt;"""", IFNA(""- ""&amp;JOIN(CHAR(10)&amp;""- "",FILTER('IMPORT COMPETENCES'!C:C,'IMPORT COMPETENCES'!A:A=A844))),)"),"")</f>
        <v/>
      </c>
      <c r="E844" s="192"/>
    </row>
    <row r="845">
      <c r="A845" s="187"/>
      <c r="B845" s="188"/>
      <c r="C845" s="187"/>
      <c r="D845" s="187" t="str">
        <f>IFERROR(__xludf.DUMMYFUNCTION("IF(A845&lt;&gt;"""", IFNA(""- ""&amp;JOIN(CHAR(10)&amp;""- "",FILTER('IMPORT COMPETENCES'!C:C,'IMPORT COMPETENCES'!A:A=A845))),)"),"")</f>
        <v/>
      </c>
      <c r="E845" s="192"/>
    </row>
    <row r="846">
      <c r="A846" s="187"/>
      <c r="B846" s="188"/>
      <c r="C846" s="187"/>
      <c r="D846" s="187" t="str">
        <f>IFERROR(__xludf.DUMMYFUNCTION("IF(A846&lt;&gt;"""", IFNA(""- ""&amp;JOIN(CHAR(10)&amp;""- "",FILTER('IMPORT COMPETENCES'!C:C,'IMPORT COMPETENCES'!A:A=A846))),)"),"")</f>
        <v/>
      </c>
      <c r="E846" s="192"/>
    </row>
    <row r="847">
      <c r="A847" s="187"/>
      <c r="B847" s="188"/>
      <c r="C847" s="187"/>
      <c r="D847" s="187" t="str">
        <f>IFERROR(__xludf.DUMMYFUNCTION("IF(A847&lt;&gt;"""", IFNA(""- ""&amp;JOIN(CHAR(10)&amp;""- "",FILTER('IMPORT COMPETENCES'!C:C,'IMPORT COMPETENCES'!A:A=A847))),)"),"")</f>
        <v/>
      </c>
      <c r="E847" s="192"/>
    </row>
    <row r="848">
      <c r="A848" s="187"/>
      <c r="B848" s="188"/>
      <c r="C848" s="187"/>
      <c r="D848" s="187" t="str">
        <f>IFERROR(__xludf.DUMMYFUNCTION("IF(A848&lt;&gt;"""", IFNA(""- ""&amp;JOIN(CHAR(10)&amp;""- "",FILTER('IMPORT COMPETENCES'!C:C,'IMPORT COMPETENCES'!A:A=A848))),)"),"")</f>
        <v/>
      </c>
      <c r="E848" s="192"/>
    </row>
    <row r="849">
      <c r="A849" s="187"/>
      <c r="B849" s="188"/>
      <c r="C849" s="187"/>
      <c r="D849" s="187" t="str">
        <f>IFERROR(__xludf.DUMMYFUNCTION("IF(A849&lt;&gt;"""", IFNA(""- ""&amp;JOIN(CHAR(10)&amp;""- "",FILTER('IMPORT COMPETENCES'!C:C,'IMPORT COMPETENCES'!A:A=A849))),)"),"")</f>
        <v/>
      </c>
      <c r="E849" s="192"/>
    </row>
    <row r="850">
      <c r="A850" s="187"/>
      <c r="B850" s="188"/>
      <c r="C850" s="187"/>
      <c r="D850" s="187" t="str">
        <f>IFERROR(__xludf.DUMMYFUNCTION("IF(A850&lt;&gt;"""", IFNA(""- ""&amp;JOIN(CHAR(10)&amp;""- "",FILTER('IMPORT COMPETENCES'!C:C,'IMPORT COMPETENCES'!A:A=A850))),)"),"")</f>
        <v/>
      </c>
      <c r="E850" s="192"/>
    </row>
    <row r="851">
      <c r="A851" s="187"/>
      <c r="B851" s="188"/>
      <c r="C851" s="187"/>
      <c r="D851" s="187" t="str">
        <f>IFERROR(__xludf.DUMMYFUNCTION("IF(A851&lt;&gt;"""", IFNA(""- ""&amp;JOIN(CHAR(10)&amp;""- "",FILTER('IMPORT COMPETENCES'!C:C,'IMPORT COMPETENCES'!A:A=A851))),)"),"")</f>
        <v/>
      </c>
      <c r="E851" s="192"/>
    </row>
    <row r="852">
      <c r="A852" s="187"/>
      <c r="B852" s="188"/>
      <c r="C852" s="187"/>
      <c r="D852" s="187" t="str">
        <f>IFERROR(__xludf.DUMMYFUNCTION("IF(A852&lt;&gt;"""", IFNA(""- ""&amp;JOIN(CHAR(10)&amp;""- "",FILTER('IMPORT COMPETENCES'!C:C,'IMPORT COMPETENCES'!A:A=A852))),)"),"")</f>
        <v/>
      </c>
      <c r="E852" s="192"/>
    </row>
    <row r="853">
      <c r="A853" s="187"/>
      <c r="B853" s="188"/>
      <c r="C853" s="187"/>
      <c r="D853" s="187" t="str">
        <f>IFERROR(__xludf.DUMMYFUNCTION("IF(A853&lt;&gt;"""", IFNA(""- ""&amp;JOIN(CHAR(10)&amp;""- "",FILTER('IMPORT COMPETENCES'!C:C,'IMPORT COMPETENCES'!A:A=A853))),)"),"")</f>
        <v/>
      </c>
      <c r="E853" s="192"/>
    </row>
    <row r="854">
      <c r="A854" s="187"/>
      <c r="B854" s="188"/>
      <c r="C854" s="187"/>
      <c r="D854" s="187" t="str">
        <f>IFERROR(__xludf.DUMMYFUNCTION("IF(A854&lt;&gt;"""", IFNA(""- ""&amp;JOIN(CHAR(10)&amp;""- "",FILTER('IMPORT COMPETENCES'!C:C,'IMPORT COMPETENCES'!A:A=A854))),)"),"")</f>
        <v/>
      </c>
      <c r="E854" s="192"/>
    </row>
    <row r="855">
      <c r="A855" s="187"/>
      <c r="B855" s="188"/>
      <c r="C855" s="187"/>
      <c r="D855" s="187" t="str">
        <f>IFERROR(__xludf.DUMMYFUNCTION("IF(A855&lt;&gt;"""", IFNA(""- ""&amp;JOIN(CHAR(10)&amp;""- "",FILTER('IMPORT COMPETENCES'!C:C,'IMPORT COMPETENCES'!A:A=A855))),)"),"")</f>
        <v/>
      </c>
      <c r="E855" s="192"/>
    </row>
    <row r="856">
      <c r="A856" s="187"/>
      <c r="B856" s="188"/>
      <c r="C856" s="187"/>
      <c r="D856" s="187" t="str">
        <f>IFERROR(__xludf.DUMMYFUNCTION("IF(A856&lt;&gt;"""", IFNA(""- ""&amp;JOIN(CHAR(10)&amp;""- "",FILTER('IMPORT COMPETENCES'!C:C,'IMPORT COMPETENCES'!A:A=A856))),)"),"")</f>
        <v/>
      </c>
      <c r="E856" s="192"/>
    </row>
    <row r="857">
      <c r="A857" s="187"/>
      <c r="B857" s="188"/>
      <c r="C857" s="187"/>
      <c r="D857" s="187" t="str">
        <f>IFERROR(__xludf.DUMMYFUNCTION("IF(A857&lt;&gt;"""", IFNA(""- ""&amp;JOIN(CHAR(10)&amp;""- "",FILTER('IMPORT COMPETENCES'!C:C,'IMPORT COMPETENCES'!A:A=A857))),)"),"")</f>
        <v/>
      </c>
      <c r="E857" s="192"/>
    </row>
    <row r="858">
      <c r="A858" s="187"/>
      <c r="B858" s="188"/>
      <c r="C858" s="187"/>
      <c r="D858" s="187" t="str">
        <f>IFERROR(__xludf.DUMMYFUNCTION("IF(A858&lt;&gt;"""", IFNA(""- ""&amp;JOIN(CHAR(10)&amp;""- "",FILTER('IMPORT COMPETENCES'!C:C,'IMPORT COMPETENCES'!A:A=A858))),)"),"")</f>
        <v/>
      </c>
      <c r="E858" s="192"/>
    </row>
    <row r="859">
      <c r="A859" s="187"/>
      <c r="B859" s="188"/>
      <c r="C859" s="187"/>
      <c r="D859" s="187" t="str">
        <f>IFERROR(__xludf.DUMMYFUNCTION("IF(A859&lt;&gt;"""", IFNA(""- ""&amp;JOIN(CHAR(10)&amp;""- "",FILTER('IMPORT COMPETENCES'!C:C,'IMPORT COMPETENCES'!A:A=A859))),)"),"")</f>
        <v/>
      </c>
      <c r="E859" s="192"/>
    </row>
    <row r="860">
      <c r="A860" s="187"/>
      <c r="B860" s="188"/>
      <c r="C860" s="187"/>
      <c r="D860" s="187" t="str">
        <f>IFERROR(__xludf.DUMMYFUNCTION("IF(A860&lt;&gt;"""", IFNA(""- ""&amp;JOIN(CHAR(10)&amp;""- "",FILTER('IMPORT COMPETENCES'!C:C,'IMPORT COMPETENCES'!A:A=A860))),)"),"")</f>
        <v/>
      </c>
      <c r="E860" s="192"/>
    </row>
    <row r="861">
      <c r="A861" s="187"/>
      <c r="B861" s="188"/>
      <c r="C861" s="187"/>
      <c r="D861" s="187" t="str">
        <f>IFERROR(__xludf.DUMMYFUNCTION("IF(A861&lt;&gt;"""", IFNA(""- ""&amp;JOIN(CHAR(10)&amp;""- "",FILTER('IMPORT COMPETENCES'!C:C,'IMPORT COMPETENCES'!A:A=A861))),)"),"")</f>
        <v/>
      </c>
      <c r="E861" s="192"/>
    </row>
    <row r="862">
      <c r="A862" s="187"/>
      <c r="B862" s="188"/>
      <c r="C862" s="187"/>
      <c r="D862" s="187" t="str">
        <f>IFERROR(__xludf.DUMMYFUNCTION("IF(A862&lt;&gt;"""", IFNA(""- ""&amp;JOIN(CHAR(10)&amp;""- "",FILTER('IMPORT COMPETENCES'!C:C,'IMPORT COMPETENCES'!A:A=A862))),)"),"")</f>
        <v/>
      </c>
      <c r="E862" s="192"/>
    </row>
    <row r="863">
      <c r="A863" s="187"/>
      <c r="B863" s="188"/>
      <c r="C863" s="187"/>
      <c r="D863" s="187" t="str">
        <f>IFERROR(__xludf.DUMMYFUNCTION("IF(A863&lt;&gt;"""", IFNA(""- ""&amp;JOIN(CHAR(10)&amp;""- "",FILTER('IMPORT COMPETENCES'!C:C,'IMPORT COMPETENCES'!A:A=A863))),)"),"")</f>
        <v/>
      </c>
      <c r="E863" s="192"/>
    </row>
    <row r="864">
      <c r="A864" s="187"/>
      <c r="B864" s="188"/>
      <c r="C864" s="187"/>
      <c r="D864" s="187" t="str">
        <f>IFERROR(__xludf.DUMMYFUNCTION("IF(A864&lt;&gt;"""", IFNA(""- ""&amp;JOIN(CHAR(10)&amp;""- "",FILTER('IMPORT COMPETENCES'!C:C,'IMPORT COMPETENCES'!A:A=A864))),)"),"")</f>
        <v/>
      </c>
      <c r="E864" s="192"/>
    </row>
    <row r="865">
      <c r="A865" s="187"/>
      <c r="B865" s="188"/>
      <c r="C865" s="187"/>
      <c r="D865" s="187" t="str">
        <f>IFERROR(__xludf.DUMMYFUNCTION("IF(A865&lt;&gt;"""", IFNA(""- ""&amp;JOIN(CHAR(10)&amp;""- "",FILTER('IMPORT COMPETENCES'!C:C,'IMPORT COMPETENCES'!A:A=A865))),)"),"")</f>
        <v/>
      </c>
      <c r="E865" s="192"/>
    </row>
    <row r="866">
      <c r="A866" s="187"/>
      <c r="B866" s="188"/>
      <c r="C866" s="187"/>
      <c r="D866" s="187" t="str">
        <f>IFERROR(__xludf.DUMMYFUNCTION("IF(A866&lt;&gt;"""", IFNA(""- ""&amp;JOIN(CHAR(10)&amp;""- "",FILTER('IMPORT COMPETENCES'!C:C,'IMPORT COMPETENCES'!A:A=A866))),)"),"")</f>
        <v/>
      </c>
      <c r="E866" s="192"/>
    </row>
    <row r="867">
      <c r="A867" s="187"/>
      <c r="B867" s="188"/>
      <c r="C867" s="187"/>
      <c r="D867" s="187" t="str">
        <f>IFERROR(__xludf.DUMMYFUNCTION("IF(A867&lt;&gt;"""", IFNA(""- ""&amp;JOIN(CHAR(10)&amp;""- "",FILTER('IMPORT COMPETENCES'!C:C,'IMPORT COMPETENCES'!A:A=A867))),)"),"")</f>
        <v/>
      </c>
      <c r="E867" s="192"/>
    </row>
    <row r="868">
      <c r="A868" s="187"/>
      <c r="B868" s="188"/>
      <c r="C868" s="187"/>
      <c r="D868" s="187" t="str">
        <f>IFERROR(__xludf.DUMMYFUNCTION("IF(A868&lt;&gt;"""", IFNA(""- ""&amp;JOIN(CHAR(10)&amp;""- "",FILTER('IMPORT COMPETENCES'!C:C,'IMPORT COMPETENCES'!A:A=A868))),)"),"")</f>
        <v/>
      </c>
      <c r="E868" s="192"/>
    </row>
    <row r="869">
      <c r="A869" s="187"/>
      <c r="B869" s="188"/>
      <c r="C869" s="187"/>
      <c r="D869" s="187" t="str">
        <f>IFERROR(__xludf.DUMMYFUNCTION("IF(A869&lt;&gt;"""", IFNA(""- ""&amp;JOIN(CHAR(10)&amp;""- "",FILTER('IMPORT COMPETENCES'!C:C,'IMPORT COMPETENCES'!A:A=A869))),)"),"")</f>
        <v/>
      </c>
      <c r="E869" s="192"/>
    </row>
    <row r="870">
      <c r="A870" s="187"/>
      <c r="B870" s="188"/>
      <c r="C870" s="187"/>
      <c r="D870" s="187" t="str">
        <f>IFERROR(__xludf.DUMMYFUNCTION("IF(A870&lt;&gt;"""", IFNA(""- ""&amp;JOIN(CHAR(10)&amp;""- "",FILTER('IMPORT COMPETENCES'!C:C,'IMPORT COMPETENCES'!A:A=A870))),)"),"")</f>
        <v/>
      </c>
      <c r="E870" s="192"/>
    </row>
    <row r="871">
      <c r="A871" s="187"/>
      <c r="B871" s="188"/>
      <c r="C871" s="187"/>
      <c r="D871" s="187" t="str">
        <f>IFERROR(__xludf.DUMMYFUNCTION("IF(A871&lt;&gt;"""", IFNA(""- ""&amp;JOIN(CHAR(10)&amp;""- "",FILTER('IMPORT COMPETENCES'!C:C,'IMPORT COMPETENCES'!A:A=A871))),)"),"")</f>
        <v/>
      </c>
      <c r="E871" s="192"/>
    </row>
    <row r="872">
      <c r="A872" s="187"/>
      <c r="B872" s="188"/>
      <c r="C872" s="187"/>
      <c r="D872" s="187" t="str">
        <f>IFERROR(__xludf.DUMMYFUNCTION("IF(A872&lt;&gt;"""", IFNA(""- ""&amp;JOIN(CHAR(10)&amp;""- "",FILTER('IMPORT COMPETENCES'!C:C,'IMPORT COMPETENCES'!A:A=A872))),)"),"")</f>
        <v/>
      </c>
      <c r="E872" s="192"/>
    </row>
    <row r="873">
      <c r="A873" s="187"/>
      <c r="B873" s="188"/>
      <c r="C873" s="187"/>
      <c r="D873" s="187" t="str">
        <f>IFERROR(__xludf.DUMMYFUNCTION("IF(A873&lt;&gt;"""", IFNA(""- ""&amp;JOIN(CHAR(10)&amp;""- "",FILTER('IMPORT COMPETENCES'!C:C,'IMPORT COMPETENCES'!A:A=A873))),)"),"")</f>
        <v/>
      </c>
      <c r="E873" s="192"/>
    </row>
    <row r="874">
      <c r="A874" s="187"/>
      <c r="B874" s="188"/>
      <c r="C874" s="187"/>
      <c r="D874" s="187" t="str">
        <f>IFERROR(__xludf.DUMMYFUNCTION("IF(A874&lt;&gt;"""", IFNA(""- ""&amp;JOIN(CHAR(10)&amp;""- "",FILTER('IMPORT COMPETENCES'!C:C,'IMPORT COMPETENCES'!A:A=A874))),)"),"")</f>
        <v/>
      </c>
      <c r="E874" s="192"/>
    </row>
    <row r="875">
      <c r="A875" s="187"/>
      <c r="B875" s="188"/>
      <c r="C875" s="187"/>
      <c r="D875" s="187" t="str">
        <f>IFERROR(__xludf.DUMMYFUNCTION("IF(A875&lt;&gt;"""", IFNA(""- ""&amp;JOIN(CHAR(10)&amp;""- "",FILTER('IMPORT COMPETENCES'!C:C,'IMPORT COMPETENCES'!A:A=A875))),)"),"")</f>
        <v/>
      </c>
      <c r="E875" s="192"/>
    </row>
    <row r="876">
      <c r="A876" s="187"/>
      <c r="B876" s="188"/>
      <c r="C876" s="187"/>
      <c r="D876" s="187" t="str">
        <f>IFERROR(__xludf.DUMMYFUNCTION("IF(A876&lt;&gt;"""", IFNA(""- ""&amp;JOIN(CHAR(10)&amp;""- "",FILTER('IMPORT COMPETENCES'!C:C,'IMPORT COMPETENCES'!A:A=A876))),)"),"")</f>
        <v/>
      </c>
      <c r="E876" s="192"/>
    </row>
    <row r="877">
      <c r="A877" s="187"/>
      <c r="B877" s="188"/>
      <c r="C877" s="187"/>
      <c r="D877" s="187" t="str">
        <f>IFERROR(__xludf.DUMMYFUNCTION("IF(A877&lt;&gt;"""", IFNA(""- ""&amp;JOIN(CHAR(10)&amp;""- "",FILTER('IMPORT COMPETENCES'!C:C,'IMPORT COMPETENCES'!A:A=A877))),)"),"")</f>
        <v/>
      </c>
      <c r="E877" s="192"/>
    </row>
    <row r="878">
      <c r="A878" s="187"/>
      <c r="B878" s="188"/>
      <c r="C878" s="187"/>
      <c r="D878" s="187" t="str">
        <f>IFERROR(__xludf.DUMMYFUNCTION("IF(A878&lt;&gt;"""", IFNA(""- ""&amp;JOIN(CHAR(10)&amp;""- "",FILTER('IMPORT COMPETENCES'!C:C,'IMPORT COMPETENCES'!A:A=A878))),)"),"")</f>
        <v/>
      </c>
      <c r="E878" s="192"/>
    </row>
    <row r="879">
      <c r="A879" s="187"/>
      <c r="B879" s="188"/>
      <c r="C879" s="187"/>
      <c r="D879" s="187" t="str">
        <f>IFERROR(__xludf.DUMMYFUNCTION("IF(A879&lt;&gt;"""", IFNA(""- ""&amp;JOIN(CHAR(10)&amp;""- "",FILTER('IMPORT COMPETENCES'!C:C,'IMPORT COMPETENCES'!A:A=A879))),)"),"")</f>
        <v/>
      </c>
      <c r="E879" s="192"/>
    </row>
    <row r="880">
      <c r="A880" s="187"/>
      <c r="B880" s="188"/>
      <c r="C880" s="187"/>
      <c r="D880" s="187" t="str">
        <f>IFERROR(__xludf.DUMMYFUNCTION("IF(A880&lt;&gt;"""", IFNA(""- ""&amp;JOIN(CHAR(10)&amp;""- "",FILTER('IMPORT COMPETENCES'!C:C,'IMPORT COMPETENCES'!A:A=A880))),)"),"")</f>
        <v/>
      </c>
      <c r="E880" s="192"/>
    </row>
    <row r="881">
      <c r="A881" s="187"/>
      <c r="B881" s="188"/>
      <c r="C881" s="187"/>
      <c r="D881" s="187" t="str">
        <f>IFERROR(__xludf.DUMMYFUNCTION("IF(A881&lt;&gt;"""", IFNA(""- ""&amp;JOIN(CHAR(10)&amp;""- "",FILTER('IMPORT COMPETENCES'!C:C,'IMPORT COMPETENCES'!A:A=A881))),)"),"")</f>
        <v/>
      </c>
      <c r="E881" s="192"/>
    </row>
    <row r="882">
      <c r="A882" s="187"/>
      <c r="B882" s="188"/>
      <c r="C882" s="187"/>
      <c r="D882" s="187" t="str">
        <f>IFERROR(__xludf.DUMMYFUNCTION("IF(A882&lt;&gt;"""", IFNA(""- ""&amp;JOIN(CHAR(10)&amp;""- "",FILTER('IMPORT COMPETENCES'!C:C,'IMPORT COMPETENCES'!A:A=A882))),)"),"")</f>
        <v/>
      </c>
      <c r="E882" s="192"/>
    </row>
    <row r="883">
      <c r="A883" s="187"/>
      <c r="B883" s="188"/>
      <c r="C883" s="187"/>
      <c r="D883" s="187" t="str">
        <f>IFERROR(__xludf.DUMMYFUNCTION("IF(A883&lt;&gt;"""", IFNA(""- ""&amp;JOIN(CHAR(10)&amp;""- "",FILTER('IMPORT COMPETENCES'!C:C,'IMPORT COMPETENCES'!A:A=A883))),)"),"")</f>
        <v/>
      </c>
      <c r="E883" s="192"/>
    </row>
    <row r="884">
      <c r="A884" s="187"/>
      <c r="B884" s="188"/>
      <c r="C884" s="187"/>
      <c r="D884" s="187" t="str">
        <f>IFERROR(__xludf.DUMMYFUNCTION("IF(A884&lt;&gt;"""", IFNA(""- ""&amp;JOIN(CHAR(10)&amp;""- "",FILTER('IMPORT COMPETENCES'!C:C,'IMPORT COMPETENCES'!A:A=A884))),)"),"")</f>
        <v/>
      </c>
      <c r="E884" s="192"/>
    </row>
    <row r="885">
      <c r="A885" s="187"/>
      <c r="B885" s="188"/>
      <c r="C885" s="187"/>
      <c r="D885" s="187" t="str">
        <f>IFERROR(__xludf.DUMMYFUNCTION("IF(A885&lt;&gt;"""", IFNA(""- ""&amp;JOIN(CHAR(10)&amp;""- "",FILTER('IMPORT COMPETENCES'!C:C,'IMPORT COMPETENCES'!A:A=A885))),)"),"")</f>
        <v/>
      </c>
      <c r="E885" s="192"/>
    </row>
    <row r="886">
      <c r="A886" s="187"/>
      <c r="B886" s="188"/>
      <c r="C886" s="187"/>
      <c r="D886" s="187" t="str">
        <f>IFERROR(__xludf.DUMMYFUNCTION("IF(A886&lt;&gt;"""", IFNA(""- ""&amp;JOIN(CHAR(10)&amp;""- "",FILTER('IMPORT COMPETENCES'!C:C,'IMPORT COMPETENCES'!A:A=A886))),)"),"")</f>
        <v/>
      </c>
      <c r="E886" s="192"/>
    </row>
    <row r="887">
      <c r="A887" s="187"/>
      <c r="B887" s="188"/>
      <c r="C887" s="187"/>
      <c r="D887" s="187" t="str">
        <f>IFERROR(__xludf.DUMMYFUNCTION("IF(A887&lt;&gt;"""", IFNA(""- ""&amp;JOIN(CHAR(10)&amp;""- "",FILTER('IMPORT COMPETENCES'!C:C,'IMPORT COMPETENCES'!A:A=A887))),)"),"")</f>
        <v/>
      </c>
      <c r="E887" s="192"/>
    </row>
    <row r="888">
      <c r="A888" s="187"/>
      <c r="B888" s="188"/>
      <c r="C888" s="187"/>
      <c r="D888" s="187" t="str">
        <f>IFERROR(__xludf.DUMMYFUNCTION("IF(A888&lt;&gt;"""", IFNA(""- ""&amp;JOIN(CHAR(10)&amp;""- "",FILTER('IMPORT COMPETENCES'!C:C,'IMPORT COMPETENCES'!A:A=A888))),)"),"")</f>
        <v/>
      </c>
      <c r="E888" s="192"/>
    </row>
    <row r="889">
      <c r="A889" s="187"/>
      <c r="B889" s="188"/>
      <c r="C889" s="187"/>
      <c r="D889" s="187" t="str">
        <f>IFERROR(__xludf.DUMMYFUNCTION("IF(A889&lt;&gt;"""", IFNA(""- ""&amp;JOIN(CHAR(10)&amp;""- "",FILTER('IMPORT COMPETENCES'!C:C,'IMPORT COMPETENCES'!A:A=A889))),)"),"")</f>
        <v/>
      </c>
      <c r="E889" s="192"/>
    </row>
    <row r="890">
      <c r="A890" s="187"/>
      <c r="B890" s="188"/>
      <c r="C890" s="187"/>
      <c r="D890" s="187" t="str">
        <f>IFERROR(__xludf.DUMMYFUNCTION("IF(A890&lt;&gt;"""", IFNA(""- ""&amp;JOIN(CHAR(10)&amp;""- "",FILTER('IMPORT COMPETENCES'!C:C,'IMPORT COMPETENCES'!A:A=A890))),)"),"")</f>
        <v/>
      </c>
      <c r="E890" s="192"/>
    </row>
    <row r="891">
      <c r="A891" s="187"/>
      <c r="B891" s="188"/>
      <c r="C891" s="187"/>
      <c r="D891" s="187" t="str">
        <f>IFERROR(__xludf.DUMMYFUNCTION("IF(A891&lt;&gt;"""", IFNA(""- ""&amp;JOIN(CHAR(10)&amp;""- "",FILTER('IMPORT COMPETENCES'!C:C,'IMPORT COMPETENCES'!A:A=A891))),)"),"")</f>
        <v/>
      </c>
      <c r="E891" s="192"/>
    </row>
    <row r="892">
      <c r="A892" s="187"/>
      <c r="B892" s="188"/>
      <c r="C892" s="187"/>
      <c r="D892" s="187" t="str">
        <f>IFERROR(__xludf.DUMMYFUNCTION("IF(A892&lt;&gt;"""", IFNA(""- ""&amp;JOIN(CHAR(10)&amp;""- "",FILTER('IMPORT COMPETENCES'!C:C,'IMPORT COMPETENCES'!A:A=A892))),)"),"")</f>
        <v/>
      </c>
      <c r="E892" s="192"/>
    </row>
    <row r="893">
      <c r="A893" s="187"/>
      <c r="B893" s="188"/>
      <c r="C893" s="187"/>
      <c r="D893" s="187" t="str">
        <f>IFERROR(__xludf.DUMMYFUNCTION("IF(A893&lt;&gt;"""", IFNA(""- ""&amp;JOIN(CHAR(10)&amp;""- "",FILTER('IMPORT COMPETENCES'!C:C,'IMPORT COMPETENCES'!A:A=A893))),)"),"")</f>
        <v/>
      </c>
      <c r="E893" s="192"/>
    </row>
    <row r="894">
      <c r="A894" s="187"/>
      <c r="B894" s="188"/>
      <c r="C894" s="187"/>
      <c r="D894" s="187" t="str">
        <f>IFERROR(__xludf.DUMMYFUNCTION("IF(A894&lt;&gt;"""", IFNA(""- ""&amp;JOIN(CHAR(10)&amp;""- "",FILTER('IMPORT COMPETENCES'!C:C,'IMPORT COMPETENCES'!A:A=A894))),)"),"")</f>
        <v/>
      </c>
      <c r="E894" s="192"/>
    </row>
    <row r="895">
      <c r="A895" s="187"/>
      <c r="B895" s="188"/>
      <c r="C895" s="187"/>
      <c r="D895" s="187" t="str">
        <f>IFERROR(__xludf.DUMMYFUNCTION("IF(A895&lt;&gt;"""", IFNA(""- ""&amp;JOIN(CHAR(10)&amp;""- "",FILTER('IMPORT COMPETENCES'!C:C,'IMPORT COMPETENCES'!A:A=A895))),)"),"")</f>
        <v/>
      </c>
      <c r="E895" s="192"/>
    </row>
    <row r="896">
      <c r="A896" s="187"/>
      <c r="B896" s="188"/>
      <c r="C896" s="187"/>
      <c r="D896" s="187" t="str">
        <f>IFERROR(__xludf.DUMMYFUNCTION("IF(A896&lt;&gt;"""", IFNA(""- ""&amp;JOIN(CHAR(10)&amp;""- "",FILTER('IMPORT COMPETENCES'!C:C,'IMPORT COMPETENCES'!A:A=A896))),)"),"")</f>
        <v/>
      </c>
      <c r="E896" s="192"/>
    </row>
    <row r="897">
      <c r="A897" s="187"/>
      <c r="B897" s="188"/>
      <c r="C897" s="187"/>
      <c r="D897" s="187" t="str">
        <f>IFERROR(__xludf.DUMMYFUNCTION("IF(A897&lt;&gt;"""", IFNA(""- ""&amp;JOIN(CHAR(10)&amp;""- "",FILTER('IMPORT COMPETENCES'!C:C,'IMPORT COMPETENCES'!A:A=A897))),)"),"")</f>
        <v/>
      </c>
      <c r="E897" s="192"/>
    </row>
    <row r="898">
      <c r="A898" s="187"/>
      <c r="B898" s="188"/>
      <c r="C898" s="187"/>
      <c r="D898" s="187" t="str">
        <f>IFERROR(__xludf.DUMMYFUNCTION("IF(A898&lt;&gt;"""", IFNA(""- ""&amp;JOIN(CHAR(10)&amp;""- "",FILTER('IMPORT COMPETENCES'!C:C,'IMPORT COMPETENCES'!A:A=A898))),)"),"")</f>
        <v/>
      </c>
      <c r="E898" s="192"/>
    </row>
    <row r="899">
      <c r="A899" s="187"/>
      <c r="B899" s="188"/>
      <c r="C899" s="187"/>
      <c r="D899" s="187" t="str">
        <f>IFERROR(__xludf.DUMMYFUNCTION("IF(A899&lt;&gt;"""", IFNA(""- ""&amp;JOIN(CHAR(10)&amp;""- "",FILTER('IMPORT COMPETENCES'!C:C,'IMPORT COMPETENCES'!A:A=A899))),)"),"")</f>
        <v/>
      </c>
      <c r="E899" s="192"/>
    </row>
    <row r="900">
      <c r="A900" s="187"/>
      <c r="B900" s="188"/>
      <c r="C900" s="187"/>
      <c r="D900" s="187" t="str">
        <f>IFERROR(__xludf.DUMMYFUNCTION("IF(A900&lt;&gt;"""", IFNA(""- ""&amp;JOIN(CHAR(10)&amp;""- "",FILTER('IMPORT COMPETENCES'!C:C,'IMPORT COMPETENCES'!A:A=A900))),)"),"")</f>
        <v/>
      </c>
      <c r="E900" s="192"/>
    </row>
    <row r="901">
      <c r="A901" s="187"/>
      <c r="B901" s="188"/>
      <c r="C901" s="187"/>
      <c r="D901" s="187" t="str">
        <f>IFERROR(__xludf.DUMMYFUNCTION("IF(A901&lt;&gt;"""", IFNA(""- ""&amp;JOIN(CHAR(10)&amp;""- "",FILTER('IMPORT COMPETENCES'!C:C,'IMPORT COMPETENCES'!A:A=A901))),)"),"")</f>
        <v/>
      </c>
      <c r="E901" s="192"/>
    </row>
    <row r="902">
      <c r="A902" s="187"/>
      <c r="B902" s="188"/>
      <c r="C902" s="187"/>
      <c r="D902" s="187" t="str">
        <f>IFERROR(__xludf.DUMMYFUNCTION("IF(A902&lt;&gt;"""", IFNA(""- ""&amp;JOIN(CHAR(10)&amp;""- "",FILTER('IMPORT COMPETENCES'!C:C,'IMPORT COMPETENCES'!A:A=A902))),)"),"")</f>
        <v/>
      </c>
      <c r="E902" s="192"/>
    </row>
    <row r="903">
      <c r="A903" s="187"/>
      <c r="B903" s="188"/>
      <c r="C903" s="187"/>
      <c r="D903" s="187" t="str">
        <f>IFERROR(__xludf.DUMMYFUNCTION("IF(A903&lt;&gt;"""", IFNA(""- ""&amp;JOIN(CHAR(10)&amp;""- "",FILTER('IMPORT COMPETENCES'!C:C,'IMPORT COMPETENCES'!A:A=A903))),)"),"")</f>
        <v/>
      </c>
      <c r="E903" s="192"/>
    </row>
    <row r="904">
      <c r="A904" s="187"/>
      <c r="B904" s="188"/>
      <c r="C904" s="187"/>
      <c r="D904" s="187" t="str">
        <f>IFERROR(__xludf.DUMMYFUNCTION("IF(A904&lt;&gt;"""", IFNA(""- ""&amp;JOIN(CHAR(10)&amp;""- "",FILTER('IMPORT COMPETENCES'!C:C,'IMPORT COMPETENCES'!A:A=A904))),)"),"")</f>
        <v/>
      </c>
      <c r="E904" s="192"/>
    </row>
    <row r="905">
      <c r="A905" s="187"/>
      <c r="B905" s="188"/>
      <c r="C905" s="187"/>
      <c r="D905" s="187" t="str">
        <f>IFERROR(__xludf.DUMMYFUNCTION("IF(A905&lt;&gt;"""", IFNA(""- ""&amp;JOIN(CHAR(10)&amp;""- "",FILTER('IMPORT COMPETENCES'!C:C,'IMPORT COMPETENCES'!A:A=A905))),)"),"")</f>
        <v/>
      </c>
      <c r="E905" s="192"/>
    </row>
    <row r="906">
      <c r="A906" s="187"/>
      <c r="B906" s="188"/>
      <c r="C906" s="187"/>
      <c r="D906" s="187" t="str">
        <f>IFERROR(__xludf.DUMMYFUNCTION("IF(A906&lt;&gt;"""", IFNA(""- ""&amp;JOIN(CHAR(10)&amp;""- "",FILTER('IMPORT COMPETENCES'!C:C,'IMPORT COMPETENCES'!A:A=A906))),)"),"")</f>
        <v/>
      </c>
      <c r="E906" s="192"/>
    </row>
    <row r="907">
      <c r="A907" s="187"/>
      <c r="B907" s="188"/>
      <c r="C907" s="187"/>
      <c r="D907" s="187" t="str">
        <f>IFERROR(__xludf.DUMMYFUNCTION("IF(A907&lt;&gt;"""", IFNA(""- ""&amp;JOIN(CHAR(10)&amp;""- "",FILTER('IMPORT COMPETENCES'!C:C,'IMPORT COMPETENCES'!A:A=A907))),)"),"")</f>
        <v/>
      </c>
      <c r="E907" s="192"/>
    </row>
    <row r="908">
      <c r="A908" s="187"/>
      <c r="B908" s="188"/>
      <c r="C908" s="187"/>
      <c r="D908" s="187" t="str">
        <f>IFERROR(__xludf.DUMMYFUNCTION("IF(A908&lt;&gt;"""", IFNA(""- ""&amp;JOIN(CHAR(10)&amp;""- "",FILTER('IMPORT COMPETENCES'!C:C,'IMPORT COMPETENCES'!A:A=A908))),)"),"")</f>
        <v/>
      </c>
      <c r="E908" s="192"/>
    </row>
    <row r="909">
      <c r="A909" s="187"/>
      <c r="B909" s="188"/>
      <c r="C909" s="187"/>
      <c r="D909" s="187" t="str">
        <f>IFERROR(__xludf.DUMMYFUNCTION("IF(A909&lt;&gt;"""", IFNA(""- ""&amp;JOIN(CHAR(10)&amp;""- "",FILTER('IMPORT COMPETENCES'!C:C,'IMPORT COMPETENCES'!A:A=A909))),)"),"")</f>
        <v/>
      </c>
      <c r="E909" s="192"/>
    </row>
    <row r="910">
      <c r="A910" s="187"/>
      <c r="B910" s="188"/>
      <c r="C910" s="187"/>
      <c r="D910" s="187" t="str">
        <f>IFERROR(__xludf.DUMMYFUNCTION("IF(A910&lt;&gt;"""", IFNA(""- ""&amp;JOIN(CHAR(10)&amp;""- "",FILTER('IMPORT COMPETENCES'!C:C,'IMPORT COMPETENCES'!A:A=A910))),)"),"")</f>
        <v/>
      </c>
      <c r="E910" s="192"/>
    </row>
    <row r="911">
      <c r="A911" s="187"/>
      <c r="B911" s="188"/>
      <c r="C911" s="187"/>
      <c r="D911" s="187" t="str">
        <f>IFERROR(__xludf.DUMMYFUNCTION("IF(A911&lt;&gt;"""", IFNA(""- ""&amp;JOIN(CHAR(10)&amp;""- "",FILTER('IMPORT COMPETENCES'!C:C,'IMPORT COMPETENCES'!A:A=A911))),)"),"")</f>
        <v/>
      </c>
      <c r="E911" s="192"/>
    </row>
    <row r="912">
      <c r="A912" s="187"/>
      <c r="B912" s="188"/>
      <c r="C912" s="187"/>
      <c r="D912" s="187" t="str">
        <f>IFERROR(__xludf.DUMMYFUNCTION("IF(A912&lt;&gt;"""", IFNA(""- ""&amp;JOIN(CHAR(10)&amp;""- "",FILTER('IMPORT COMPETENCES'!C:C,'IMPORT COMPETENCES'!A:A=A912))),)"),"")</f>
        <v/>
      </c>
      <c r="E912" s="192"/>
    </row>
    <row r="913">
      <c r="A913" s="187"/>
      <c r="B913" s="188"/>
      <c r="C913" s="187"/>
      <c r="D913" s="187" t="str">
        <f>IFERROR(__xludf.DUMMYFUNCTION("IF(A913&lt;&gt;"""", IFNA(""- ""&amp;JOIN(CHAR(10)&amp;""- "",FILTER('IMPORT COMPETENCES'!C:C,'IMPORT COMPETENCES'!A:A=A913))),)"),"")</f>
        <v/>
      </c>
      <c r="E913" s="192"/>
    </row>
    <row r="914">
      <c r="A914" s="187"/>
      <c r="B914" s="188"/>
      <c r="C914" s="187"/>
      <c r="D914" s="187" t="str">
        <f>IFERROR(__xludf.DUMMYFUNCTION("IF(A914&lt;&gt;"""", IFNA(""- ""&amp;JOIN(CHAR(10)&amp;""- "",FILTER('IMPORT COMPETENCES'!C:C,'IMPORT COMPETENCES'!A:A=A914))),)"),"")</f>
        <v/>
      </c>
      <c r="E914" s="192"/>
    </row>
    <row r="915">
      <c r="A915" s="187"/>
      <c r="B915" s="188"/>
      <c r="C915" s="187"/>
      <c r="D915" s="187" t="str">
        <f>IFERROR(__xludf.DUMMYFUNCTION("IF(A915&lt;&gt;"""", IFNA(""- ""&amp;JOIN(CHAR(10)&amp;""- "",FILTER('IMPORT COMPETENCES'!C:C,'IMPORT COMPETENCES'!A:A=A915))),)"),"")</f>
        <v/>
      </c>
      <c r="E915" s="192"/>
    </row>
    <row r="916">
      <c r="A916" s="187"/>
      <c r="B916" s="188"/>
      <c r="C916" s="187"/>
      <c r="D916" s="187" t="str">
        <f>IFERROR(__xludf.DUMMYFUNCTION("IF(A916&lt;&gt;"""", IFNA(""- ""&amp;JOIN(CHAR(10)&amp;""- "",FILTER('IMPORT COMPETENCES'!C:C,'IMPORT COMPETENCES'!A:A=A916))),)"),"")</f>
        <v/>
      </c>
      <c r="E916" s="192"/>
    </row>
    <row r="917">
      <c r="A917" s="187"/>
      <c r="B917" s="188"/>
      <c r="C917" s="187"/>
      <c r="D917" s="187" t="str">
        <f>IFERROR(__xludf.DUMMYFUNCTION("IF(A917&lt;&gt;"""", IFNA(""- ""&amp;JOIN(CHAR(10)&amp;""- "",FILTER('IMPORT COMPETENCES'!C:C,'IMPORT COMPETENCES'!A:A=A917))),)"),"")</f>
        <v/>
      </c>
      <c r="E917" s="192"/>
    </row>
    <row r="918">
      <c r="A918" s="187"/>
      <c r="B918" s="188"/>
      <c r="C918" s="187"/>
      <c r="D918" s="187" t="str">
        <f>IFERROR(__xludf.DUMMYFUNCTION("IF(A918&lt;&gt;"""", IFNA(""- ""&amp;JOIN(CHAR(10)&amp;""- "",FILTER('IMPORT COMPETENCES'!C:C,'IMPORT COMPETENCES'!A:A=A918))),)"),"")</f>
        <v/>
      </c>
      <c r="E918" s="192"/>
    </row>
    <row r="919">
      <c r="A919" s="187"/>
      <c r="B919" s="188"/>
      <c r="C919" s="187"/>
      <c r="D919" s="187" t="str">
        <f>IFERROR(__xludf.DUMMYFUNCTION("IF(A919&lt;&gt;"""", IFNA(""- ""&amp;JOIN(CHAR(10)&amp;""- "",FILTER('IMPORT COMPETENCES'!C:C,'IMPORT COMPETENCES'!A:A=A919))),)"),"")</f>
        <v/>
      </c>
      <c r="E919" s="192"/>
    </row>
    <row r="920">
      <c r="A920" s="187"/>
      <c r="B920" s="188"/>
      <c r="C920" s="187"/>
      <c r="D920" s="187" t="str">
        <f>IFERROR(__xludf.DUMMYFUNCTION("IF(A920&lt;&gt;"""", IFNA(""- ""&amp;JOIN(CHAR(10)&amp;""- "",FILTER('IMPORT COMPETENCES'!C:C,'IMPORT COMPETENCES'!A:A=A920))),)"),"")</f>
        <v/>
      </c>
      <c r="E920" s="192"/>
    </row>
    <row r="921">
      <c r="A921" s="187"/>
      <c r="B921" s="188"/>
      <c r="C921" s="187"/>
      <c r="D921" s="187" t="str">
        <f>IFERROR(__xludf.DUMMYFUNCTION("IF(A921&lt;&gt;"""", IFNA(""- ""&amp;JOIN(CHAR(10)&amp;""- "",FILTER('IMPORT COMPETENCES'!C:C,'IMPORT COMPETENCES'!A:A=A921))),)"),"")</f>
        <v/>
      </c>
      <c r="E921" s="192"/>
    </row>
    <row r="922">
      <c r="A922" s="187"/>
      <c r="B922" s="188"/>
      <c r="C922" s="187"/>
      <c r="D922" s="187" t="str">
        <f>IFERROR(__xludf.DUMMYFUNCTION("IF(A922&lt;&gt;"""", IFNA(""- ""&amp;JOIN(CHAR(10)&amp;""- "",FILTER('IMPORT COMPETENCES'!C:C,'IMPORT COMPETENCES'!A:A=A922))),)"),"")</f>
        <v/>
      </c>
      <c r="E922" s="192"/>
    </row>
    <row r="923">
      <c r="A923" s="187"/>
      <c r="B923" s="188"/>
      <c r="C923" s="187"/>
      <c r="D923" s="187" t="str">
        <f>IFERROR(__xludf.DUMMYFUNCTION("IF(A923&lt;&gt;"""", IFNA(""- ""&amp;JOIN(CHAR(10)&amp;""- "",FILTER('IMPORT COMPETENCES'!C:C,'IMPORT COMPETENCES'!A:A=A923))),)"),"")</f>
        <v/>
      </c>
      <c r="E923" s="192"/>
    </row>
    <row r="924">
      <c r="A924" s="187"/>
      <c r="B924" s="188"/>
      <c r="C924" s="187"/>
      <c r="D924" s="187" t="str">
        <f>IFERROR(__xludf.DUMMYFUNCTION("IF(A924&lt;&gt;"""", IFNA(""- ""&amp;JOIN(CHAR(10)&amp;""- "",FILTER('IMPORT COMPETENCES'!C:C,'IMPORT COMPETENCES'!A:A=A924))),)"),"")</f>
        <v/>
      </c>
      <c r="E924" s="192"/>
    </row>
    <row r="925">
      <c r="A925" s="187"/>
      <c r="B925" s="188"/>
      <c r="C925" s="187"/>
      <c r="D925" s="187" t="str">
        <f>IFERROR(__xludf.DUMMYFUNCTION("IF(A925&lt;&gt;"""", IFNA(""- ""&amp;JOIN(CHAR(10)&amp;""- "",FILTER('IMPORT COMPETENCES'!C:C,'IMPORT COMPETENCES'!A:A=A925))),)"),"")</f>
        <v/>
      </c>
      <c r="E925" s="192"/>
    </row>
    <row r="926">
      <c r="A926" s="187"/>
      <c r="B926" s="188"/>
      <c r="C926" s="187"/>
      <c r="D926" s="187" t="str">
        <f>IFERROR(__xludf.DUMMYFUNCTION("IF(A926&lt;&gt;"""", IFNA(""- ""&amp;JOIN(CHAR(10)&amp;""- "",FILTER('IMPORT COMPETENCES'!C:C,'IMPORT COMPETENCES'!A:A=A926))),)"),"")</f>
        <v/>
      </c>
      <c r="E926" s="192"/>
    </row>
    <row r="927">
      <c r="A927" s="187"/>
      <c r="B927" s="188"/>
      <c r="C927" s="187"/>
      <c r="D927" s="187" t="str">
        <f>IFERROR(__xludf.DUMMYFUNCTION("IF(A927&lt;&gt;"""", IFNA(""- ""&amp;JOIN(CHAR(10)&amp;""- "",FILTER('IMPORT COMPETENCES'!C:C,'IMPORT COMPETENCES'!A:A=A927))),)"),"")</f>
        <v/>
      </c>
      <c r="E927" s="192"/>
    </row>
    <row r="928">
      <c r="A928" s="187"/>
      <c r="B928" s="188"/>
      <c r="C928" s="187"/>
      <c r="D928" s="187" t="str">
        <f>IFERROR(__xludf.DUMMYFUNCTION("IF(A928&lt;&gt;"""", IFNA(""- ""&amp;JOIN(CHAR(10)&amp;""- "",FILTER('IMPORT COMPETENCES'!C:C,'IMPORT COMPETENCES'!A:A=A928))),)"),"")</f>
        <v/>
      </c>
      <c r="E928" s="192"/>
    </row>
    <row r="929">
      <c r="A929" s="187"/>
      <c r="B929" s="188"/>
      <c r="C929" s="187"/>
      <c r="D929" s="187" t="str">
        <f>IFERROR(__xludf.DUMMYFUNCTION("IF(A929&lt;&gt;"""", IFNA(""- ""&amp;JOIN(CHAR(10)&amp;""- "",FILTER('IMPORT COMPETENCES'!C:C,'IMPORT COMPETENCES'!A:A=A929))),)"),"")</f>
        <v/>
      </c>
      <c r="E929" s="192"/>
    </row>
    <row r="930">
      <c r="A930" s="187"/>
      <c r="B930" s="188"/>
      <c r="C930" s="187"/>
      <c r="D930" s="187" t="str">
        <f>IFERROR(__xludf.DUMMYFUNCTION("IF(A930&lt;&gt;"""", IFNA(""- ""&amp;JOIN(CHAR(10)&amp;""- "",FILTER('IMPORT COMPETENCES'!C:C,'IMPORT COMPETENCES'!A:A=A930))),)"),"")</f>
        <v/>
      </c>
      <c r="E930" s="192"/>
    </row>
    <row r="931">
      <c r="A931" s="187"/>
      <c r="B931" s="188"/>
      <c r="C931" s="187"/>
      <c r="D931" s="187" t="str">
        <f>IFERROR(__xludf.DUMMYFUNCTION("IF(A931&lt;&gt;"""", IFNA(""- ""&amp;JOIN(CHAR(10)&amp;""- "",FILTER('IMPORT COMPETENCES'!C:C,'IMPORT COMPETENCES'!A:A=A931))),)"),"")</f>
        <v/>
      </c>
      <c r="E931" s="192"/>
    </row>
    <row r="932">
      <c r="A932" s="187"/>
      <c r="B932" s="188"/>
      <c r="C932" s="187"/>
      <c r="D932" s="187" t="str">
        <f>IFERROR(__xludf.DUMMYFUNCTION("IF(A932&lt;&gt;"""", IFNA(""- ""&amp;JOIN(CHAR(10)&amp;""- "",FILTER('IMPORT COMPETENCES'!C:C,'IMPORT COMPETENCES'!A:A=A932))),)"),"")</f>
        <v/>
      </c>
      <c r="E932" s="192"/>
    </row>
    <row r="933">
      <c r="A933" s="187"/>
      <c r="B933" s="188"/>
      <c r="C933" s="187"/>
      <c r="D933" s="187" t="str">
        <f>IFERROR(__xludf.DUMMYFUNCTION("IF(A933&lt;&gt;"""", IFNA(""- ""&amp;JOIN(CHAR(10)&amp;""- "",FILTER('IMPORT COMPETENCES'!C:C,'IMPORT COMPETENCES'!A:A=A933))),)"),"")</f>
        <v/>
      </c>
      <c r="E933" s="192"/>
    </row>
    <row r="934">
      <c r="A934" s="187"/>
      <c r="B934" s="188"/>
      <c r="C934" s="187"/>
      <c r="D934" s="187" t="str">
        <f>IFERROR(__xludf.DUMMYFUNCTION("IF(A934&lt;&gt;"""", IFNA(""- ""&amp;JOIN(CHAR(10)&amp;""- "",FILTER('IMPORT COMPETENCES'!C:C,'IMPORT COMPETENCES'!A:A=A934))),)"),"")</f>
        <v/>
      </c>
      <c r="E934" s="192"/>
    </row>
    <row r="935">
      <c r="A935" s="187"/>
      <c r="B935" s="188"/>
      <c r="C935" s="187"/>
      <c r="D935" s="187" t="str">
        <f>IFERROR(__xludf.DUMMYFUNCTION("IF(A935&lt;&gt;"""", IFNA(""- ""&amp;JOIN(CHAR(10)&amp;""- "",FILTER('IMPORT COMPETENCES'!C:C,'IMPORT COMPETENCES'!A:A=A935))),)"),"")</f>
        <v/>
      </c>
      <c r="E935" s="192"/>
    </row>
    <row r="936">
      <c r="A936" s="187"/>
      <c r="B936" s="188"/>
      <c r="C936" s="187"/>
      <c r="D936" s="187" t="str">
        <f>IFERROR(__xludf.DUMMYFUNCTION("IF(A936&lt;&gt;"""", IFNA(""- ""&amp;JOIN(CHAR(10)&amp;""- "",FILTER('IMPORT COMPETENCES'!C:C,'IMPORT COMPETENCES'!A:A=A936))),)"),"")</f>
        <v/>
      </c>
      <c r="E936" s="192"/>
    </row>
    <row r="937">
      <c r="A937" s="187"/>
      <c r="B937" s="188"/>
      <c r="C937" s="187"/>
      <c r="D937" s="187" t="str">
        <f>IFERROR(__xludf.DUMMYFUNCTION("IF(A937&lt;&gt;"""", IFNA(""- ""&amp;JOIN(CHAR(10)&amp;""- "",FILTER('IMPORT COMPETENCES'!C:C,'IMPORT COMPETENCES'!A:A=A937))),)"),"")</f>
        <v/>
      </c>
      <c r="E937" s="192"/>
    </row>
    <row r="938">
      <c r="A938" s="187"/>
      <c r="B938" s="188"/>
      <c r="C938" s="187"/>
      <c r="D938" s="187" t="str">
        <f>IFERROR(__xludf.DUMMYFUNCTION("IF(A938&lt;&gt;"""", IFNA(""- ""&amp;JOIN(CHAR(10)&amp;""- "",FILTER('IMPORT COMPETENCES'!C:C,'IMPORT COMPETENCES'!A:A=A938))),)"),"")</f>
        <v/>
      </c>
      <c r="E938" s="192"/>
    </row>
    <row r="939">
      <c r="A939" s="187"/>
      <c r="B939" s="188"/>
      <c r="C939" s="187"/>
      <c r="D939" s="187" t="str">
        <f>IFERROR(__xludf.DUMMYFUNCTION("IF(A939&lt;&gt;"""", IFNA(""- ""&amp;JOIN(CHAR(10)&amp;""- "",FILTER('IMPORT COMPETENCES'!C:C,'IMPORT COMPETENCES'!A:A=A939))),)"),"")</f>
        <v/>
      </c>
      <c r="E939" s="192"/>
    </row>
    <row r="940">
      <c r="A940" s="187"/>
      <c r="B940" s="188"/>
      <c r="C940" s="187"/>
      <c r="D940" s="187" t="str">
        <f>IFERROR(__xludf.DUMMYFUNCTION("IF(A940&lt;&gt;"""", IFNA(""- ""&amp;JOIN(CHAR(10)&amp;""- "",FILTER('IMPORT COMPETENCES'!C:C,'IMPORT COMPETENCES'!A:A=A940))),)"),"")</f>
        <v/>
      </c>
      <c r="E940" s="192"/>
    </row>
    <row r="941">
      <c r="A941" s="187"/>
      <c r="B941" s="188"/>
      <c r="C941" s="187"/>
      <c r="D941" s="187" t="str">
        <f>IFERROR(__xludf.DUMMYFUNCTION("IF(A941&lt;&gt;"""", IFNA(""- ""&amp;JOIN(CHAR(10)&amp;""- "",FILTER('IMPORT COMPETENCES'!C:C,'IMPORT COMPETENCES'!A:A=A941))),)"),"")</f>
        <v/>
      </c>
      <c r="E941" s="192"/>
    </row>
    <row r="942">
      <c r="A942" s="187"/>
      <c r="B942" s="188"/>
      <c r="C942" s="187"/>
      <c r="D942" s="187" t="str">
        <f>IFERROR(__xludf.DUMMYFUNCTION("IF(A942&lt;&gt;"""", IFNA(""- ""&amp;JOIN(CHAR(10)&amp;""- "",FILTER('IMPORT COMPETENCES'!C:C,'IMPORT COMPETENCES'!A:A=A942))),)"),"")</f>
        <v/>
      </c>
      <c r="E942" s="192"/>
    </row>
    <row r="943">
      <c r="A943" s="187"/>
      <c r="B943" s="188"/>
      <c r="C943" s="187"/>
      <c r="D943" s="187" t="str">
        <f>IFERROR(__xludf.DUMMYFUNCTION("IF(A943&lt;&gt;"""", IFNA(""- ""&amp;JOIN(CHAR(10)&amp;""- "",FILTER('IMPORT COMPETENCES'!C:C,'IMPORT COMPETENCES'!A:A=A943))),)"),"")</f>
        <v/>
      </c>
      <c r="E943" s="192"/>
    </row>
    <row r="944">
      <c r="A944" s="187"/>
      <c r="B944" s="188"/>
      <c r="C944" s="187"/>
      <c r="D944" s="187" t="str">
        <f>IFERROR(__xludf.DUMMYFUNCTION("IF(A944&lt;&gt;"""", IFNA(""- ""&amp;JOIN(CHAR(10)&amp;""- "",FILTER('IMPORT COMPETENCES'!C:C,'IMPORT COMPETENCES'!A:A=A944))),)"),"")</f>
        <v/>
      </c>
      <c r="E944" s="192"/>
    </row>
    <row r="945">
      <c r="A945" s="187"/>
      <c r="B945" s="188"/>
      <c r="C945" s="187"/>
      <c r="D945" s="187" t="str">
        <f>IFERROR(__xludf.DUMMYFUNCTION("IF(A945&lt;&gt;"""", IFNA(""- ""&amp;JOIN(CHAR(10)&amp;""- "",FILTER('IMPORT COMPETENCES'!C:C,'IMPORT COMPETENCES'!A:A=A945))),)"),"")</f>
        <v/>
      </c>
      <c r="E945" s="192"/>
    </row>
    <row r="946">
      <c r="A946" s="187"/>
      <c r="B946" s="188"/>
      <c r="C946" s="187"/>
      <c r="D946" s="187" t="str">
        <f>IFERROR(__xludf.DUMMYFUNCTION("IF(A946&lt;&gt;"""", IFNA(""- ""&amp;JOIN(CHAR(10)&amp;""- "",FILTER('IMPORT COMPETENCES'!C:C,'IMPORT COMPETENCES'!A:A=A946))),)"),"")</f>
        <v/>
      </c>
      <c r="E946" s="192"/>
    </row>
    <row r="947">
      <c r="A947" s="187"/>
      <c r="B947" s="188"/>
      <c r="C947" s="187"/>
      <c r="D947" s="187" t="str">
        <f>IFERROR(__xludf.DUMMYFUNCTION("IF(A947&lt;&gt;"""", IFNA(""- ""&amp;JOIN(CHAR(10)&amp;""- "",FILTER('IMPORT COMPETENCES'!C:C,'IMPORT COMPETENCES'!A:A=A947))),)"),"")</f>
        <v/>
      </c>
      <c r="E947" s="192"/>
    </row>
    <row r="948">
      <c r="A948" s="187"/>
      <c r="B948" s="188"/>
      <c r="C948" s="187"/>
      <c r="D948" s="187" t="str">
        <f>IFERROR(__xludf.DUMMYFUNCTION("IF(A948&lt;&gt;"""", IFNA(""- ""&amp;JOIN(CHAR(10)&amp;""- "",FILTER('IMPORT COMPETENCES'!C:C,'IMPORT COMPETENCES'!A:A=A948))),)"),"")</f>
        <v/>
      </c>
      <c r="E948" s="192"/>
    </row>
    <row r="949">
      <c r="A949" s="187"/>
      <c r="B949" s="188"/>
      <c r="C949" s="187"/>
      <c r="D949" s="187" t="str">
        <f>IFERROR(__xludf.DUMMYFUNCTION("IF(A949&lt;&gt;"""", IFNA(""- ""&amp;JOIN(CHAR(10)&amp;""- "",FILTER('IMPORT COMPETENCES'!C:C,'IMPORT COMPETENCES'!A:A=A949))),)"),"")</f>
        <v/>
      </c>
      <c r="E949" s="192"/>
    </row>
    <row r="950">
      <c r="A950" s="187"/>
      <c r="B950" s="188"/>
      <c r="C950" s="187"/>
      <c r="D950" s="187" t="str">
        <f>IFERROR(__xludf.DUMMYFUNCTION("IF(A950&lt;&gt;"""", IFNA(""- ""&amp;JOIN(CHAR(10)&amp;""- "",FILTER('IMPORT COMPETENCES'!C:C,'IMPORT COMPETENCES'!A:A=A950))),)"),"")</f>
        <v/>
      </c>
      <c r="E950" s="192"/>
    </row>
    <row r="951">
      <c r="A951" s="187"/>
      <c r="B951" s="188"/>
      <c r="C951" s="187"/>
      <c r="D951" s="187" t="str">
        <f>IFERROR(__xludf.DUMMYFUNCTION("IF(A951&lt;&gt;"""", IFNA(""- ""&amp;JOIN(CHAR(10)&amp;""- "",FILTER('IMPORT COMPETENCES'!C:C,'IMPORT COMPETENCES'!A:A=A951))),)"),"")</f>
        <v/>
      </c>
      <c r="E951" s="192"/>
    </row>
    <row r="952">
      <c r="A952" s="187"/>
      <c r="B952" s="188"/>
      <c r="C952" s="187"/>
      <c r="D952" s="187" t="str">
        <f>IFERROR(__xludf.DUMMYFUNCTION("IF(A952&lt;&gt;"""", IFNA(""- ""&amp;JOIN(CHAR(10)&amp;""- "",FILTER('IMPORT COMPETENCES'!C:C,'IMPORT COMPETENCES'!A:A=A952))),)"),"")</f>
        <v/>
      </c>
      <c r="E952" s="192"/>
    </row>
    <row r="953">
      <c r="A953" s="187"/>
      <c r="B953" s="188"/>
      <c r="C953" s="187"/>
      <c r="D953" s="187" t="str">
        <f>IFERROR(__xludf.DUMMYFUNCTION("IF(A953&lt;&gt;"""", IFNA(""- ""&amp;JOIN(CHAR(10)&amp;""- "",FILTER('IMPORT COMPETENCES'!C:C,'IMPORT COMPETENCES'!A:A=A953))),)"),"")</f>
        <v/>
      </c>
      <c r="E953" s="192"/>
    </row>
    <row r="954">
      <c r="A954" s="187"/>
      <c r="B954" s="188"/>
      <c r="C954" s="187"/>
      <c r="D954" s="187" t="str">
        <f>IFERROR(__xludf.DUMMYFUNCTION("IF(A954&lt;&gt;"""", IFNA(""- ""&amp;JOIN(CHAR(10)&amp;""- "",FILTER('IMPORT COMPETENCES'!C:C,'IMPORT COMPETENCES'!A:A=A954))),)"),"")</f>
        <v/>
      </c>
      <c r="E954" s="192"/>
    </row>
    <row r="955">
      <c r="A955" s="187"/>
      <c r="B955" s="188"/>
      <c r="C955" s="187"/>
      <c r="D955" s="187" t="str">
        <f>IFERROR(__xludf.DUMMYFUNCTION("IF(A955&lt;&gt;"""", IFNA(""- ""&amp;JOIN(CHAR(10)&amp;""- "",FILTER('IMPORT COMPETENCES'!C:C,'IMPORT COMPETENCES'!A:A=A955))),)"),"")</f>
        <v/>
      </c>
      <c r="E955" s="192"/>
    </row>
    <row r="956">
      <c r="A956" s="187"/>
      <c r="B956" s="188"/>
      <c r="C956" s="187"/>
      <c r="D956" s="187" t="str">
        <f>IFERROR(__xludf.DUMMYFUNCTION("IF(A956&lt;&gt;"""", IFNA(""- ""&amp;JOIN(CHAR(10)&amp;""- "",FILTER('IMPORT COMPETENCES'!C:C,'IMPORT COMPETENCES'!A:A=A956))),)"),"")</f>
        <v/>
      </c>
      <c r="E956" s="192"/>
    </row>
    <row r="957">
      <c r="A957" s="187"/>
      <c r="B957" s="188"/>
      <c r="C957" s="187"/>
      <c r="D957" s="187" t="str">
        <f>IFERROR(__xludf.DUMMYFUNCTION("IF(A957&lt;&gt;"""", IFNA(""- ""&amp;JOIN(CHAR(10)&amp;""- "",FILTER('IMPORT COMPETENCES'!C:C,'IMPORT COMPETENCES'!A:A=A957))),)"),"")</f>
        <v/>
      </c>
      <c r="E957" s="192"/>
    </row>
    <row r="958">
      <c r="A958" s="187"/>
      <c r="B958" s="188"/>
      <c r="C958" s="187"/>
      <c r="D958" s="187" t="str">
        <f>IFERROR(__xludf.DUMMYFUNCTION("IF(A958&lt;&gt;"""", IFNA(""- ""&amp;JOIN(CHAR(10)&amp;""- "",FILTER('IMPORT COMPETENCES'!C:C,'IMPORT COMPETENCES'!A:A=A958))),)"),"")</f>
        <v/>
      </c>
      <c r="E958" s="192"/>
    </row>
    <row r="959">
      <c r="A959" s="187"/>
      <c r="B959" s="188"/>
      <c r="C959" s="187"/>
      <c r="D959" s="187" t="str">
        <f>IFERROR(__xludf.DUMMYFUNCTION("IF(A959&lt;&gt;"""", IFNA(""- ""&amp;JOIN(CHAR(10)&amp;""- "",FILTER('IMPORT COMPETENCES'!C:C,'IMPORT COMPETENCES'!A:A=A959))),)"),"")</f>
        <v/>
      </c>
      <c r="E959" s="192"/>
    </row>
    <row r="960">
      <c r="A960" s="187"/>
      <c r="B960" s="188"/>
      <c r="C960" s="187"/>
      <c r="D960" s="187" t="str">
        <f>IFERROR(__xludf.DUMMYFUNCTION("IF(A960&lt;&gt;"""", IFNA(""- ""&amp;JOIN(CHAR(10)&amp;""- "",FILTER('IMPORT COMPETENCES'!C:C,'IMPORT COMPETENCES'!A:A=A960))),)"),"")</f>
        <v/>
      </c>
      <c r="E960" s="192"/>
    </row>
    <row r="961">
      <c r="A961" s="187"/>
      <c r="B961" s="188"/>
      <c r="C961" s="187"/>
      <c r="D961" s="187" t="str">
        <f>IFERROR(__xludf.DUMMYFUNCTION("IF(A961&lt;&gt;"""", IFNA(""- ""&amp;JOIN(CHAR(10)&amp;""- "",FILTER('IMPORT COMPETENCES'!C:C,'IMPORT COMPETENCES'!A:A=A961))),)"),"")</f>
        <v/>
      </c>
      <c r="E961" s="192"/>
    </row>
    <row r="962">
      <c r="A962" s="187"/>
      <c r="B962" s="188"/>
      <c r="C962" s="187"/>
      <c r="D962" s="187" t="str">
        <f>IFERROR(__xludf.DUMMYFUNCTION("IF(A962&lt;&gt;"""", IFNA(""- ""&amp;JOIN(CHAR(10)&amp;""- "",FILTER('IMPORT COMPETENCES'!C:C,'IMPORT COMPETENCES'!A:A=A962))),)"),"")</f>
        <v/>
      </c>
      <c r="E962" s="192"/>
    </row>
    <row r="963">
      <c r="A963" s="187"/>
      <c r="B963" s="188"/>
      <c r="C963" s="187"/>
      <c r="D963" s="187" t="str">
        <f>IFERROR(__xludf.DUMMYFUNCTION("IF(A963&lt;&gt;"""", IFNA(""- ""&amp;JOIN(CHAR(10)&amp;""- "",FILTER('IMPORT COMPETENCES'!C:C,'IMPORT COMPETENCES'!A:A=A963))),)"),"")</f>
        <v/>
      </c>
      <c r="E963" s="192"/>
    </row>
    <row r="964">
      <c r="A964" s="187"/>
      <c r="B964" s="188"/>
      <c r="C964" s="187"/>
      <c r="D964" s="187" t="str">
        <f>IFERROR(__xludf.DUMMYFUNCTION("IF(A964&lt;&gt;"""", IFNA(""- ""&amp;JOIN(CHAR(10)&amp;""- "",FILTER('IMPORT COMPETENCES'!C:C,'IMPORT COMPETENCES'!A:A=A964))),)"),"")</f>
        <v/>
      </c>
      <c r="E964" s="192"/>
    </row>
    <row r="965">
      <c r="A965" s="187"/>
      <c r="B965" s="188"/>
      <c r="C965" s="187"/>
      <c r="D965" s="187" t="str">
        <f>IFERROR(__xludf.DUMMYFUNCTION("IF(A965&lt;&gt;"""", IFNA(""- ""&amp;JOIN(CHAR(10)&amp;""- "",FILTER('IMPORT COMPETENCES'!C:C,'IMPORT COMPETENCES'!A:A=A965))),)"),"")</f>
        <v/>
      </c>
      <c r="E965" s="192"/>
    </row>
    <row r="966">
      <c r="A966" s="187"/>
      <c r="B966" s="188"/>
      <c r="C966" s="187"/>
      <c r="D966" s="187" t="str">
        <f>IFERROR(__xludf.DUMMYFUNCTION("IF(A966&lt;&gt;"""", IFNA(""- ""&amp;JOIN(CHAR(10)&amp;""- "",FILTER('IMPORT COMPETENCES'!C:C,'IMPORT COMPETENCES'!A:A=A966))),)"),"")</f>
        <v/>
      </c>
      <c r="E966" s="192"/>
    </row>
    <row r="967">
      <c r="A967" s="187"/>
      <c r="B967" s="188"/>
      <c r="C967" s="187"/>
      <c r="D967" s="187" t="str">
        <f>IFERROR(__xludf.DUMMYFUNCTION("IF(A967&lt;&gt;"""", IFNA(""- ""&amp;JOIN(CHAR(10)&amp;""- "",FILTER('IMPORT COMPETENCES'!C:C,'IMPORT COMPETENCES'!A:A=A967))),)"),"")</f>
        <v/>
      </c>
      <c r="E967" s="192"/>
    </row>
    <row r="968">
      <c r="A968" s="187"/>
      <c r="B968" s="188"/>
      <c r="C968" s="187"/>
      <c r="D968" s="187" t="str">
        <f>IFERROR(__xludf.DUMMYFUNCTION("IF(A968&lt;&gt;"""", IFNA(""- ""&amp;JOIN(CHAR(10)&amp;""- "",FILTER('IMPORT COMPETENCES'!C:C,'IMPORT COMPETENCES'!A:A=A968))),)"),"")</f>
        <v/>
      </c>
      <c r="E968" s="192"/>
    </row>
    <row r="969">
      <c r="A969" s="187"/>
      <c r="B969" s="188"/>
      <c r="C969" s="187"/>
      <c r="D969" s="187" t="str">
        <f>IFERROR(__xludf.DUMMYFUNCTION("IF(A969&lt;&gt;"""", IFNA(""- ""&amp;JOIN(CHAR(10)&amp;""- "",FILTER('IMPORT COMPETENCES'!C:C,'IMPORT COMPETENCES'!A:A=A969))),)"),"")</f>
        <v/>
      </c>
      <c r="E969" s="192"/>
    </row>
    <row r="970">
      <c r="A970" s="187"/>
      <c r="B970" s="188"/>
      <c r="C970" s="187"/>
      <c r="D970" s="187" t="str">
        <f>IFERROR(__xludf.DUMMYFUNCTION("IF(A970&lt;&gt;"""", IFNA(""- ""&amp;JOIN(CHAR(10)&amp;""- "",FILTER('IMPORT COMPETENCES'!C:C,'IMPORT COMPETENCES'!A:A=A970))),)"),"")</f>
        <v/>
      </c>
      <c r="E970" s="192"/>
    </row>
    <row r="971">
      <c r="A971" s="187"/>
      <c r="B971" s="188"/>
      <c r="C971" s="187"/>
      <c r="D971" s="187" t="str">
        <f>IFERROR(__xludf.DUMMYFUNCTION("IF(A971&lt;&gt;"""", IFNA(""- ""&amp;JOIN(CHAR(10)&amp;""- "",FILTER('IMPORT COMPETENCES'!C:C,'IMPORT COMPETENCES'!A:A=A971))),)"),"")</f>
        <v/>
      </c>
      <c r="E971" s="192"/>
    </row>
    <row r="972">
      <c r="A972" s="187"/>
      <c r="B972" s="188"/>
      <c r="C972" s="187"/>
      <c r="D972" s="187" t="str">
        <f>IFERROR(__xludf.DUMMYFUNCTION("IF(A972&lt;&gt;"""", IFNA(""- ""&amp;JOIN(CHAR(10)&amp;""- "",FILTER('IMPORT COMPETENCES'!C:C,'IMPORT COMPETENCES'!A:A=A972))),)"),"")</f>
        <v/>
      </c>
      <c r="E972" s="192"/>
    </row>
    <row r="973">
      <c r="A973" s="187"/>
      <c r="B973" s="188"/>
      <c r="C973" s="187"/>
      <c r="D973" s="187" t="str">
        <f>IFERROR(__xludf.DUMMYFUNCTION("IF(A973&lt;&gt;"""", IFNA(""- ""&amp;JOIN(CHAR(10)&amp;""- "",FILTER('IMPORT COMPETENCES'!C:C,'IMPORT COMPETENCES'!A:A=A973))),)"),"")</f>
        <v/>
      </c>
      <c r="E973" s="192"/>
    </row>
    <row r="974">
      <c r="A974" s="187"/>
      <c r="B974" s="188"/>
      <c r="C974" s="187"/>
      <c r="D974" s="187" t="str">
        <f>IFERROR(__xludf.DUMMYFUNCTION("IF(A974&lt;&gt;"""", IFNA(""- ""&amp;JOIN(CHAR(10)&amp;""- "",FILTER('IMPORT COMPETENCES'!C:C,'IMPORT COMPETENCES'!A:A=A974))),)"),"")</f>
        <v/>
      </c>
      <c r="E974" s="192"/>
    </row>
    <row r="975">
      <c r="A975" s="187"/>
      <c r="B975" s="188"/>
      <c r="C975" s="187"/>
      <c r="D975" s="187" t="str">
        <f>IFERROR(__xludf.DUMMYFUNCTION("IF(A975&lt;&gt;"""", IFNA(""- ""&amp;JOIN(CHAR(10)&amp;""- "",FILTER('IMPORT COMPETENCES'!C:C,'IMPORT COMPETENCES'!A:A=A975))),)"),"")</f>
        <v/>
      </c>
      <c r="E975" s="192"/>
    </row>
    <row r="976">
      <c r="A976" s="187"/>
      <c r="B976" s="188"/>
      <c r="C976" s="187"/>
      <c r="D976" s="187" t="str">
        <f>IFERROR(__xludf.DUMMYFUNCTION("IF(A976&lt;&gt;"""", IFNA(""- ""&amp;JOIN(CHAR(10)&amp;""- "",FILTER('IMPORT COMPETENCES'!C:C,'IMPORT COMPETENCES'!A:A=A976))),)"),"")</f>
        <v/>
      </c>
      <c r="E976" s="192"/>
    </row>
    <row r="977">
      <c r="A977" s="187"/>
      <c r="B977" s="188"/>
      <c r="C977" s="187"/>
      <c r="D977" s="187" t="str">
        <f>IFERROR(__xludf.DUMMYFUNCTION("IF(A977&lt;&gt;"""", IFNA(""- ""&amp;JOIN(CHAR(10)&amp;""- "",FILTER('IMPORT COMPETENCES'!C:C,'IMPORT COMPETENCES'!A:A=A977))),)"),"")</f>
        <v/>
      </c>
      <c r="E977" s="192"/>
    </row>
    <row r="978">
      <c r="A978" s="187"/>
      <c r="B978" s="188"/>
      <c r="C978" s="187"/>
      <c r="D978" s="187" t="str">
        <f>IFERROR(__xludf.DUMMYFUNCTION("IF(A978&lt;&gt;"""", IFNA(""- ""&amp;JOIN(CHAR(10)&amp;""- "",FILTER('IMPORT COMPETENCES'!C:C,'IMPORT COMPETENCES'!A:A=A978))),)"),"")</f>
        <v/>
      </c>
      <c r="E978" s="192"/>
    </row>
    <row r="979">
      <c r="A979" s="187"/>
      <c r="B979" s="188"/>
      <c r="C979" s="187"/>
      <c r="D979" s="187" t="str">
        <f>IFERROR(__xludf.DUMMYFUNCTION("IF(A979&lt;&gt;"""", IFNA(""- ""&amp;JOIN(CHAR(10)&amp;""- "",FILTER('IMPORT COMPETENCES'!C:C,'IMPORT COMPETENCES'!A:A=A979))),)"),"")</f>
        <v/>
      </c>
      <c r="E979" s="192"/>
    </row>
    <row r="980">
      <c r="A980" s="187"/>
      <c r="B980" s="188"/>
      <c r="C980" s="187"/>
      <c r="D980" s="187" t="str">
        <f>IFERROR(__xludf.DUMMYFUNCTION("IF(A980&lt;&gt;"""", IFNA(""- ""&amp;JOIN(CHAR(10)&amp;""- "",FILTER('IMPORT COMPETENCES'!C:C,'IMPORT COMPETENCES'!A:A=A980))),)"),"")</f>
        <v/>
      </c>
      <c r="E980" s="192"/>
    </row>
    <row r="981">
      <c r="A981" s="187"/>
      <c r="B981" s="188"/>
      <c r="C981" s="187"/>
      <c r="D981" s="187" t="str">
        <f>IFERROR(__xludf.DUMMYFUNCTION("IF(A981&lt;&gt;"""", IFNA(""- ""&amp;JOIN(CHAR(10)&amp;""- "",FILTER('IMPORT COMPETENCES'!C:C,'IMPORT COMPETENCES'!A:A=A981))),)"),"")</f>
        <v/>
      </c>
      <c r="E981" s="192"/>
    </row>
    <row r="982">
      <c r="A982" s="187"/>
      <c r="B982" s="188"/>
      <c r="C982" s="187"/>
      <c r="D982" s="187" t="str">
        <f>IFERROR(__xludf.DUMMYFUNCTION("IF(A982&lt;&gt;"""", IFNA(""- ""&amp;JOIN(CHAR(10)&amp;""- "",FILTER('IMPORT COMPETENCES'!C:C,'IMPORT COMPETENCES'!A:A=A982))),)"),"")</f>
        <v/>
      </c>
      <c r="E982" s="192"/>
    </row>
    <row r="983">
      <c r="A983" s="187"/>
      <c r="B983" s="188"/>
      <c r="C983" s="187"/>
      <c r="D983" s="187" t="str">
        <f>IFERROR(__xludf.DUMMYFUNCTION("IF(A983&lt;&gt;"""", IFNA(""- ""&amp;JOIN(CHAR(10)&amp;""- "",FILTER('IMPORT COMPETENCES'!C:C,'IMPORT COMPETENCES'!A:A=A983))),)"),"")</f>
        <v/>
      </c>
      <c r="E983" s="192"/>
    </row>
    <row r="984">
      <c r="A984" s="187"/>
      <c r="B984" s="188"/>
      <c r="C984" s="187"/>
      <c r="D984" s="187" t="str">
        <f>IFERROR(__xludf.DUMMYFUNCTION("IF(A984&lt;&gt;"""", IFNA(""- ""&amp;JOIN(CHAR(10)&amp;""- "",FILTER('IMPORT COMPETENCES'!C:C,'IMPORT COMPETENCES'!A:A=A984))),)"),"")</f>
        <v/>
      </c>
      <c r="E984" s="192"/>
    </row>
    <row r="985">
      <c r="A985" s="187"/>
      <c r="B985" s="188"/>
      <c r="C985" s="187"/>
      <c r="D985" s="187" t="str">
        <f>IFERROR(__xludf.DUMMYFUNCTION("IF(A985&lt;&gt;"""", IFNA(""- ""&amp;JOIN(CHAR(10)&amp;""- "",FILTER('IMPORT COMPETENCES'!C:C,'IMPORT COMPETENCES'!A:A=A985))),)"),"")</f>
        <v/>
      </c>
      <c r="E985" s="192"/>
    </row>
    <row r="986">
      <c r="A986" s="187"/>
      <c r="B986" s="188"/>
      <c r="C986" s="187"/>
      <c r="D986" s="187" t="str">
        <f>IFERROR(__xludf.DUMMYFUNCTION("IF(A986&lt;&gt;"""", IFNA(""- ""&amp;JOIN(CHAR(10)&amp;""- "",FILTER('IMPORT COMPETENCES'!C:C,'IMPORT COMPETENCES'!A:A=A986))),)"),"")</f>
        <v/>
      </c>
      <c r="E986" s="192"/>
    </row>
    <row r="987">
      <c r="A987" s="187"/>
      <c r="B987" s="188"/>
      <c r="C987" s="187"/>
      <c r="D987" s="187" t="str">
        <f>IFERROR(__xludf.DUMMYFUNCTION("IF(A987&lt;&gt;"""", IFNA(""- ""&amp;JOIN(CHAR(10)&amp;""- "",FILTER('IMPORT COMPETENCES'!C:C,'IMPORT COMPETENCES'!A:A=A987))),)"),"")</f>
        <v/>
      </c>
      <c r="E987" s="192"/>
    </row>
    <row r="988">
      <c r="A988" s="187"/>
      <c r="B988" s="188"/>
      <c r="C988" s="187"/>
      <c r="D988" s="187" t="str">
        <f>IFERROR(__xludf.DUMMYFUNCTION("IF(A988&lt;&gt;"""", IFNA(""- ""&amp;JOIN(CHAR(10)&amp;""- "",FILTER('IMPORT COMPETENCES'!C:C,'IMPORT COMPETENCES'!A:A=A988))),)"),"")</f>
        <v/>
      </c>
      <c r="E988" s="192"/>
    </row>
    <row r="989">
      <c r="A989" s="187"/>
      <c r="B989" s="188"/>
      <c r="C989" s="187"/>
      <c r="D989" s="187" t="str">
        <f>IFERROR(__xludf.DUMMYFUNCTION("IF(A989&lt;&gt;"""", IFNA(""- ""&amp;JOIN(CHAR(10)&amp;""- "",FILTER('IMPORT COMPETENCES'!C:C,'IMPORT COMPETENCES'!A:A=A989))),)"),"")</f>
        <v/>
      </c>
      <c r="E989" s="192"/>
    </row>
    <row r="990">
      <c r="A990" s="187"/>
      <c r="B990" s="188"/>
      <c r="C990" s="187"/>
      <c r="D990" s="187" t="str">
        <f>IFERROR(__xludf.DUMMYFUNCTION("IF(A990&lt;&gt;"""", IFNA(""- ""&amp;JOIN(CHAR(10)&amp;""- "",FILTER('IMPORT COMPETENCES'!C:C,'IMPORT COMPETENCES'!A:A=A990))),)"),"")</f>
        <v/>
      </c>
      <c r="E990" s="192"/>
    </row>
    <row r="991">
      <c r="A991" s="187"/>
      <c r="B991" s="188"/>
      <c r="C991" s="187"/>
      <c r="D991" s="187" t="str">
        <f>IFERROR(__xludf.DUMMYFUNCTION("IF(A991&lt;&gt;"""", IFNA(""- ""&amp;JOIN(CHAR(10)&amp;""- "",FILTER('IMPORT COMPETENCES'!C:C,'IMPORT COMPETENCES'!A:A=A991))),)"),"")</f>
        <v/>
      </c>
      <c r="E991" s="192"/>
    </row>
    <row r="992">
      <c r="A992" s="187"/>
      <c r="B992" s="188"/>
      <c r="C992" s="187"/>
      <c r="D992" s="187" t="str">
        <f>IFERROR(__xludf.DUMMYFUNCTION("IF(A992&lt;&gt;"""", IFNA(""- ""&amp;JOIN(CHAR(10)&amp;""- "",FILTER('IMPORT COMPETENCES'!C:C,'IMPORT COMPETENCES'!A:A=A992))),)"),"")</f>
        <v/>
      </c>
      <c r="E992" s="192"/>
    </row>
    <row r="993">
      <c r="A993" s="187"/>
      <c r="B993" s="188"/>
      <c r="C993" s="187"/>
      <c r="D993" s="187" t="str">
        <f>IFERROR(__xludf.DUMMYFUNCTION("IF(A993&lt;&gt;"""", IFNA(""- ""&amp;JOIN(CHAR(10)&amp;""- "",FILTER('IMPORT COMPETENCES'!C:C,'IMPORT COMPETENCES'!A:A=A993))),)"),"")</f>
        <v/>
      </c>
      <c r="E993" s="192"/>
    </row>
    <row r="994">
      <c r="A994" s="187"/>
      <c r="B994" s="188"/>
      <c r="C994" s="187"/>
      <c r="D994" s="187" t="str">
        <f>IFERROR(__xludf.DUMMYFUNCTION("IF(A994&lt;&gt;"""", IFNA(""- ""&amp;JOIN(CHAR(10)&amp;""- "",FILTER('IMPORT COMPETENCES'!C:C,'IMPORT COMPETENCES'!A:A=A994))),)"),"")</f>
        <v/>
      </c>
      <c r="E994" s="192"/>
    </row>
    <row r="995">
      <c r="A995" s="187"/>
      <c r="B995" s="188"/>
      <c r="C995" s="187"/>
      <c r="D995" s="187" t="str">
        <f>IFERROR(__xludf.DUMMYFUNCTION("IF(A995&lt;&gt;"""", IFNA(""- ""&amp;JOIN(CHAR(10)&amp;""- "",FILTER('IMPORT COMPETENCES'!C:C,'IMPORT COMPETENCES'!A:A=A995))),)"),"")</f>
        <v/>
      </c>
      <c r="E995" s="192"/>
    </row>
    <row r="996">
      <c r="A996" s="187"/>
      <c r="B996" s="188"/>
      <c r="C996" s="187"/>
      <c r="D996" s="187" t="str">
        <f>IFERROR(__xludf.DUMMYFUNCTION("IF(A996&lt;&gt;"""", IFNA(""- ""&amp;JOIN(CHAR(10)&amp;""- "",FILTER('IMPORT COMPETENCES'!C:C,'IMPORT COMPETENCES'!A:A=A996))),)"),"")</f>
        <v/>
      </c>
      <c r="E996" s="192"/>
    </row>
    <row r="997">
      <c r="A997" s="187"/>
      <c r="B997" s="188"/>
      <c r="C997" s="187"/>
      <c r="D997" s="187" t="str">
        <f>IFERROR(__xludf.DUMMYFUNCTION("IF(A997&lt;&gt;"""", IFNA(""- ""&amp;JOIN(CHAR(10)&amp;""- "",FILTER('IMPORT COMPETENCES'!C:C,'IMPORT COMPETENCES'!A:A=A997))),)"),"")</f>
        <v/>
      </c>
      <c r="E997" s="192"/>
    </row>
    <row r="998">
      <c r="A998" s="187"/>
      <c r="B998" s="188"/>
      <c r="C998" s="187"/>
      <c r="D998" s="187" t="str">
        <f>IFERROR(__xludf.DUMMYFUNCTION("IF(A998&lt;&gt;"""", IFNA(""- ""&amp;JOIN(CHAR(10)&amp;""- "",FILTER('IMPORT COMPETENCES'!C:C,'IMPORT COMPETENCES'!A:A=A998))),)"),"")</f>
        <v/>
      </c>
      <c r="E998" s="192"/>
    </row>
    <row r="999">
      <c r="A999" s="187"/>
      <c r="B999" s="188"/>
      <c r="C999" s="187"/>
      <c r="D999" s="187" t="str">
        <f>IFERROR(__xludf.DUMMYFUNCTION("IF(A999&lt;&gt;"""", IFNA(""- ""&amp;JOIN(CHAR(10)&amp;""- "",FILTER('IMPORT COMPETENCES'!C:C,'IMPORT COMPETENCES'!A:A=A999))),)"),"")</f>
        <v/>
      </c>
      <c r="E999" s="192"/>
    </row>
    <row r="1000">
      <c r="A1000" s="187"/>
      <c r="B1000" s="188"/>
      <c r="C1000" s="187"/>
      <c r="D1000" s="187" t="str">
        <f>IFERROR(__xludf.DUMMYFUNCTION("IF(A1000&lt;&gt;"""", IFNA(""- ""&amp;JOIN(CHAR(10)&amp;""- "",FILTER('IMPORT COMPETENCES'!C:C,'IMPORT COMPETENCES'!A:A=A1000))),)"),"")</f>
        <v/>
      </c>
      <c r="E1000" s="19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</hyperlinks>
  <drawing r:id="rId39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25"/>
    <col customWidth="1" min="2" max="2" width="22.75"/>
    <col customWidth="1" min="3" max="3" width="11.25"/>
    <col customWidth="1" min="4" max="6" width="18.88"/>
    <col customWidth="1" min="7" max="7" width="17.13"/>
    <col customWidth="1" min="8" max="8" width="15.88"/>
    <col customWidth="1" min="9" max="9" width="39.13"/>
    <col customWidth="1" min="10" max="10" width="13.63"/>
    <col customWidth="1" min="11" max="12" width="9.0"/>
    <col customWidth="1" min="13" max="14" width="7.0"/>
    <col customWidth="1" min="15" max="15" width="8.0"/>
    <col customWidth="1" min="16" max="16" width="8.63"/>
    <col customWidth="1" min="17" max="17" width="7.13"/>
    <col customWidth="1" min="18" max="18" width="5.63"/>
    <col customWidth="1" min="19" max="19" width="7.5"/>
    <col customWidth="1" min="20" max="20" width="8.13"/>
    <col customWidth="1" min="21" max="21" width="6.88"/>
    <col customWidth="1" min="22" max="22" width="28.0"/>
    <col customWidth="1" min="23" max="23" width="28.75"/>
    <col customWidth="1" min="24" max="24" width="6.13"/>
    <col customWidth="1" min="25" max="25" width="29.25"/>
    <col customWidth="1" min="26" max="27" width="9.0"/>
    <col customWidth="1" min="28" max="29" width="11.63"/>
    <col customWidth="1" min="30" max="30" width="33.38"/>
    <col customWidth="1" min="31" max="31" width="18.25"/>
    <col customWidth="1" min="32" max="32" width="17.13"/>
    <col customWidth="1" min="33" max="33" width="15.25"/>
    <col customWidth="1" min="34" max="34" width="16.13"/>
    <col customWidth="1" min="35" max="35" width="7.38"/>
    <col customWidth="1" min="36" max="36" width="10.0"/>
    <col customWidth="1" min="37" max="37" width="18.0"/>
    <col customWidth="1" min="38" max="38" width="21.25"/>
    <col customWidth="1" min="39" max="39" width="7.75"/>
    <col customWidth="1" min="40" max="41" width="9.63"/>
    <col customWidth="1" min="42" max="42" width="13.63"/>
    <col customWidth="1" min="43" max="43" width="17.13"/>
    <col customWidth="1" min="44" max="44" width="17.75"/>
    <col customWidth="1" min="45" max="45" width="12.13"/>
    <col customWidth="1" min="46" max="46" width="16.13"/>
    <col customWidth="1" min="47" max="47" width="14.88"/>
    <col customWidth="1" min="48" max="48" width="18.0"/>
    <col customWidth="1" min="49" max="50" width="12.13"/>
    <col customWidth="1" min="51" max="53" width="18.88"/>
  </cols>
  <sheetData>
    <row r="1">
      <c r="A1" s="129" t="s">
        <v>64</v>
      </c>
      <c r="B1" s="129" t="s">
        <v>76</v>
      </c>
      <c r="C1" s="129" t="str">
        <f>IFERROR(__xludf.DUMMYFUNCTION("ArrayFormula(IF(H:H&lt;&gt;"""",IF(H:H=$H$1,""ID ""&amp;$H$1,IFNA(REGEXREPLACE(REGEXEXTRACT(H:H,""\[.*\]""),""\[|\]"",""""))),""""))"),"ID Inscription à la formation suivante : ")</f>
        <v>ID Inscription à la formation suivante : </v>
      </c>
      <c r="D1" s="129" t="s">
        <v>93</v>
      </c>
      <c r="E1" s="129" t="s">
        <v>94</v>
      </c>
      <c r="F1" s="129" t="s">
        <v>69</v>
      </c>
      <c r="G1" s="129" t="s">
        <v>4582</v>
      </c>
      <c r="H1" s="129" t="s">
        <v>96</v>
      </c>
      <c r="I1" s="129" t="s">
        <v>4583</v>
      </c>
      <c r="J1" s="129" t="str">
        <f t="array" ref="J1:J2">IF(C:C&lt;&gt;"",IF(C:C=C1,"TITRE de la formation",VLOOKUP(C:C,SESSIONS!B:M,15,FALSE)),)</f>
        <v>TITRE de la formation</v>
      </c>
      <c r="K1" s="193" t="str">
        <f t="array" ref="K1:K2">IF($C:$C&lt;&gt;"",IF($C:$C=$C$1,"Date Session",text(VLOOKUP($C:$C, SESSIONS!$B:D,3,FALSE),"dddd d mmmm yyyy")),)</f>
        <v>Date Session</v>
      </c>
      <c r="L1" s="194" t="str">
        <f t="array" ref="L1:L2">IF($C:$C&lt;&gt;"",IF($C:$C=$C$1,"Heure Début",TEXT(VLOOKUP($C:$C, SESSIONS!$B:E,4,FALSE),"H\hmm")),)</f>
        <v>Heure Début</v>
      </c>
      <c r="M1" s="194" t="str">
        <f t="array" ref="M1:M2">IF($C:$C&lt;&gt;"",IF($C:$C=$C$1,"Heure Fin",TEXT(VLOOKUP($C:$C, SESSIONS!$B:F,5,FALSE),"H\hmm")),)</f>
        <v>Heure Fin</v>
      </c>
      <c r="N1" s="129" t="str">
        <f t="array" ref="N1:N2">IF($C:$C&lt;&gt;"",IF($C:$C=$C$1,"DUREE", VLOOKUP($C:$C, SESSIONS!$B:G,6,FALSE)),)</f>
        <v>DUREE</v>
      </c>
      <c r="O1" s="193" t="str">
        <f t="array" ref="O1:O2">IF($C:$C&lt;&gt;"",IF($C:$C=$C$1,"Lieu ID",VLOOKUP($C:$C, SESSIONS!$B:M,22,FALSE)),)</f>
        <v>Lieu ID</v>
      </c>
      <c r="P1" s="193" t="str">
        <f t="array" ref="P1:P2">IF($O:$O&lt;&gt;"",IF($O:$O=$O$1,"Lieu NOM",VLOOKUP($O:$O, LIEUX!$B:C,2,FALSE)),)</f>
        <v>Lieu NOM</v>
      </c>
      <c r="Q1" s="193" t="str">
        <f t="array" ref="Q1:Q2">IF($O:$O&lt;&gt;"",IF($O:$O=$O$1,"Lieu ADRESSE",VLOOKUP($O:$O, LIEUX!$B:D,3,FALSE)),)</f>
        <v>Lieu ADRESSE</v>
      </c>
      <c r="R1" s="195" t="str">
        <f t="array" ref="R1:R2">IF($O:$O&lt;&gt;"",IF($O:$O=$O$1,"Lieu CP",VLOOKUP($O:$O, LIEUX!$B:E,4,FALSE)),)</f>
        <v>Lieu CP</v>
      </c>
      <c r="S1" s="195" t="str">
        <f t="array" ref="S1:S2">IF($O:$O&lt;&gt;"",IF($O:$O=$O$1,"Lieu VILLE",VLOOKUP($O:$O, LIEUX!$B:F,5,FALSE)),)</f>
        <v>Lieu VILLE</v>
      </c>
      <c r="T1" s="195" t="str">
        <f t="array" ref="T1:T2">IF($O:$O&lt;&gt;"",IF($O:$O=$O$1,"Lieu ACCES",VLOOKUP($O:$O, LIEUX!$B:G,6,FALSE)),)</f>
        <v>Lieu ACCES</v>
      </c>
      <c r="U1" s="195" t="str">
        <f t="array" ref="U1:U2">IF($O:$O&lt;&gt;"",IF($O:$O=$O$1,"Lieu MAP",VLOOKUP($O:$O, LIEUX!$B:H,7,FALSE)),)</f>
        <v>Lieu MAP</v>
      </c>
      <c r="V1" s="196" t="str">
        <f t="array" ref="V1:V2">IF($C:$C&lt;&gt;"",IF($C:$C=$C$1,"COMPETENCES",VLOOKUP($C:$C, SESSIONS!$B:M,20,FALSE)),)</f>
        <v>COMPETENCES</v>
      </c>
      <c r="W1" s="196" t="str">
        <f t="array" ref="W1:W2">IF($C:$C&lt;&gt;"",IF($C:$C=$C$1,"DESCRIPTION",VLOOKUP($C:$C, SESSIONS!$B:M,16,FALSE)),)</f>
        <v>DESCRIPTION</v>
      </c>
      <c r="X1" s="196" t="str">
        <f t="array" ref="X1:X2">IF($C:$C&lt;&gt;"",IF($C:$C=$C$1,"APPLI",VLOOKUP($C:$C, SESSIONS!$B:M,17,FALSE)),)</f>
        <v>APPLI</v>
      </c>
      <c r="Y1" s="195" t="str">
        <f t="array" ref="Y1:Y2">IF(C:C&lt;&gt;"",IF(C:C=C1,"LIEN AGENDA","https://www.google.com/calendar/render?action=TEMPLATE&amp;text=FORMATION "&amp;J:J&amp;"
&amp;dates="&amp;YEAR(AA:AA)&amp;TEXT(MONTH(AA:AA),"00")&amp;TEXT(DAY(AA:AA),"00")&amp;"T"&amp;TEXT(HOUR(AB:AB)-2,"00")&amp;TEXT(minute(AB:AB),"00")&amp;"00Z/"&amp;YEAR(AA:AA)&amp;TEXT(MONTH(AA:AA),"00")&amp;TEXT(DAY(AC:AC),"00")&amp;"T"&amp;(TEXT(HOUR(AC:AC)-2,"00"))&amp;TEXT(minute(AC:AC),"00")&amp;"00Z&amp;ctz=Europe/Paris"),)</f>
        <v>LIEN AGENDA</v>
      </c>
      <c r="Z1" s="195" t="s">
        <v>4584</v>
      </c>
      <c r="AA1" s="197" t="str">
        <f t="array" ref="AA1:AA2">IF($C:$C&lt;&gt;"",IF($C:$C=$C$1,"Date Session", VLOOKUP($C:$C, SESSIONS!$B:M,3,FALSE) ),)</f>
        <v>Date Session</v>
      </c>
      <c r="AB1" s="195" t="str">
        <f t="array" ref="AB1:AB2">IF($C:$C&lt;&gt;"",IF($C:$C=$C$1,"Heure Début", VLOOKUP($C:$C, SESSIONS!$B:M,4,FALSE) ),)</f>
        <v>Heure Début</v>
      </c>
      <c r="AC1" s="195" t="str">
        <f t="array" ref="AC1:AC2">IF($C:$C&lt;&gt;"",IF($C:$C=$C$1,"Heure Fin", VLOOKUP($C:$C, SESSIONS!$B:M,5,FALSE) ),)</f>
        <v>Heure Fin</v>
      </c>
      <c r="AD1" s="195" t="str">
        <f t="array" ref="AD1:AD2">IF(A:A&lt;&gt;"",IF(A:A=A1,"LIEN DESINSCRIPTION","https://docs.google.com/forms/d/e/"&amp;PARAMETRES!C23&amp;"/viewform?usp=pp_url&amp;entry.193822625="&amp;B:B&amp;"&amp;entry.2116080188="&amp;SUBSTITUTE(H:H,"'"," ")&amp;""),)</f>
        <v>LIEN DESINSCRIPTION</v>
      </c>
      <c r="AE1" s="195" t="str">
        <f t="array" ref="AE1:AE2">IF(C:C&lt;&gt;"",IF(C:C=C1,"LIEN IMAGE APPLI",IFNA(VLOOKUP(C:C, SESSIONS!B:M,18,FALSE),"")),)</f>
        <v>LIEN IMAGE APPLI</v>
      </c>
      <c r="AF1" s="195" t="str">
        <f t="array" ref="AF1:AF2">IF(Z:Z&lt;&gt;"",IF(Z:Z=Z1,"PDF CONVOCATION",HYPERLINK(Z:Z,"PDF CONVOCATION "&amp;C:C&amp;" " &amp;E:E&amp;" "&amp;F:F)),)</f>
        <v>PDF CONVOCATION</v>
      </c>
      <c r="AG1" s="195" t="str">
        <f t="array" ref="AG1:AG2">IF(AD:AD&lt;&gt;"",IF(AD:AD=AD1,"DESINSCRIPTION",HYPERLINK(AD:AD,"DESINSCRIPTION "&amp;C:C&amp;" " &amp;E:E&amp;" "&amp;F:F)),)</f>
        <v>DESINSCRIPTION</v>
      </c>
      <c r="AH1" s="193" t="str">
        <f t="array" ref="AH1:AH2">IF(B:B&lt;&gt;"",IF(B:B=B1,"DATE DESINSCRIPTION",IFNA(VLOOKUP(B:B&amp;C:C,'DESINSCRIPTION FORM'!A:B,2,FALSE),"")),)</f>
        <v>DATE DESINSCRIPTION</v>
      </c>
      <c r="AI1" s="199" t="str">
        <f t="array" ref="AI1:AI2">IF(B:B&lt;&gt;"",IF(B:B=B1,"ENTITE ID",IFNA(VLOOKUP(B:B,EMPLOYES!A:E,5,FALSE),"")),)</f>
        <v>ENTITE ID</v>
      </c>
      <c r="AJ1" s="129" t="str">
        <f t="array" ref="AJ1:AJ2">IF(AI:AI&lt;&gt;"",IF(AI:AI=AI1,"ENTITE NOM",IFNA(VLOOKUP(AI:AI,ENTITES!A:C,3,FALSE),"")),)</f>
        <v>ENTITE NOM</v>
      </c>
      <c r="AK1" s="129" t="str">
        <f t="array" ref="AK1:AK2">IF($AI:$AI&lt;&gt;"",IF($AI:$AI=$AI1,"ENTITE ADRESSE",IFNA(VLOOKUP($AI:$AI,ENTITES!$A:H,8,FALSE),"")),)</f>
        <v>ENTITE ADRESSE</v>
      </c>
      <c r="AL1" s="129" t="str">
        <f t="array" ref="AL1:AL2">IF($AI:$AI&lt;&gt;"",IF($AI:$AI=$AI1,"ENTITE ADRESSE SUITE",IFNA(VLOOKUP($AI:$AI,ENTITES!$A:I,9,FALSE),"")),)</f>
        <v>ENTITE ADRESSE SUITE</v>
      </c>
      <c r="AM1" s="129" t="str">
        <f t="array" ref="AM1:AM2">IF($AI:$AI&lt;&gt;"",IF($AI:$AI=$AI1,"ENTITE CP",IFNA(VLOOKUP($AI:$AI,ENTITES!$A:J,10,FALSE),"")),)</f>
        <v>ENTITE CP</v>
      </c>
      <c r="AN1" s="129" t="str">
        <f t="array" ref="AN1:AN2">IF($AI:$AI&lt;&gt;"",IF($AI:$AI=$AI1,"ENTITE VILLE",IFNA(VLOOKUP($AI:$AI,ENTITES!$A:K,11,FALSE),"")),)</f>
        <v>ENTITE VILLE</v>
      </c>
      <c r="AO1" s="129" t="str">
        <f t="array" ref="AO1:AO2">IF($AI:$AI&lt;&gt;"",IF($AI:$AI=$AI1,"ENTITE LOGO",IFNA(VLOOKUP($AI:$AI,ENTITES!$A:L,12,FALSE),"")),)</f>
        <v>ENTITE LOGO</v>
      </c>
      <c r="AP1" s="129" t="str">
        <f t="array" ref="AP1:AP2">IF($AI:$AI&lt;&gt;"", IF($AI:$AI=$AI1,"RF1 NOM",IFNA(VLOOKUP(VLOOKUP($AI:$AI,ENTITES!$A:$E,5,FALSE),'CHARGES DE FORMATION'!$A:G,6,FALSE),"")),)</f>
        <v>RF1 NOM</v>
      </c>
      <c r="AQ1" s="129" t="str">
        <f t="array" ref="AQ1:AQ2">IF($AI:$AI&lt;&gt;"", IF($AI:$AI=$AI1,"RF1 POSTE",IFNA(VLOOKUP(VLOOKUP($AI:$AI,ENTITES!$A:$E,5,FALSE),'CHARGES DE FORMATION'!$A:B,2,FALSE),"")),)</f>
        <v>RF1 POSTE</v>
      </c>
      <c r="AR1" s="129" t="str">
        <f t="array" ref="AR1:AR2">IF($AI:$AI&lt;&gt;"", IF($AI:$AI=$AI1,"RF1 MAIL",IFNA(VLOOKUP($AI:$AI,ENTITES!$A:$E,5,FALSE),"")),)</f>
        <v>RF1 MAIL</v>
      </c>
      <c r="AS1" s="129" t="str">
        <f t="array" ref="AS1:AS2">IF($AI:$AI&lt;&gt;"", IF($AI:$AI=$AI1,"RF1 TELEPHONE",IFNA(TEXT(VLOOKUP(VLOOKUP($AI:$AI,ENTITES!$A:$E,5,FALSE),'CHARGES DE FORMATION'!$A:C,3,FALSE),"00 00 00 00 00"),"")),)</f>
        <v>RF1 TELEPHONE</v>
      </c>
      <c r="AT1" s="129" t="str">
        <f t="array" ref="AT1:AT2">IF($AI:$AI&lt;&gt;"", IF($AI:$AI=$AI1,"RF2 NOM",IFNA(VLOOKUP(VLOOKUP($AI:$AI,ENTITES!$A:$F,6,FALSE),'CHARGES DE FORMATION'!$A:G,6,FALSE),"")),)</f>
        <v>RF2 NOM</v>
      </c>
      <c r="AU1" s="129" t="str">
        <f t="array" ref="AU1:AU2">IF($AI:$AI&lt;&gt;"", IF($AI:$AI=$AI1,"RF2 POSTE",IFNA(VLOOKUP(VLOOKUP($AI:$AI,ENTITES!$A:$F,6,FALSE),'CHARGES DE FORMATION'!$A:B,2,FALSE),"")),)</f>
        <v>RF2 POSTE</v>
      </c>
      <c r="AV1" s="129" t="str">
        <f t="array" ref="AV1:AV2">IF($AI:$AI&lt;&gt;"", IF($AI:$AI=$AI1,"RF2 NOM",IFNA(VLOOKUP($AI:$AI,ENTITES!$A:$F,6,FALSE),"")),)</f>
        <v>RF2 NOM</v>
      </c>
      <c r="AW1" s="129" t="str">
        <f t="array" ref="AW1:AW2">IF($AI:$AI&lt;&gt;"", IF($AI:$AI=$AI1,"RF2 TEL",IFNA(TEXT(VLOOKUP(VLOOKUP($AI:$AI,ENTITES!$A:$F,6,FALSE),'CHARGES DE FORMATION'!$A:C,3,FALSE),"00 00 00 00 00"),"")),)</f>
        <v>RF2 TEL</v>
      </c>
      <c r="AX1" s="129" t="s">
        <v>4593</v>
      </c>
      <c r="AY1" s="129" t="s">
        <v>95</v>
      </c>
      <c r="AZ1" s="129" t="s">
        <v>4594</v>
      </c>
      <c r="BA1" s="129" t="str">
        <f t="array" ref="BA1:BA2">IF(C:C&lt;&gt;"",IF(C:C=C1,"ID EVENT AGENDA",IFNA(VLOOKUP(C:C,SESSIONS!B1:M2,24,FALSE),"")),)</f>
        <v>ID EVENT AGENDA</v>
      </c>
    </row>
    <row r="2">
      <c r="A2" s="200">
        <v>44123.884944317135</v>
      </c>
      <c r="B2" s="201" t="s">
        <v>4595</v>
      </c>
      <c r="C2" s="202" t="str">
        <f>IFERROR(__xludf.DUMMYFUNCTION("""COMPUTED_VALUE"""),"SES-1000")</f>
        <v>SES-1000</v>
      </c>
      <c r="D2" s="201"/>
      <c r="E2" s="201" t="s">
        <v>4596</v>
      </c>
      <c r="F2" s="201" t="s">
        <v>4596</v>
      </c>
      <c r="G2" s="202"/>
      <c r="H2" s="201" t="s">
        <v>4597</v>
      </c>
      <c r="I2" s="202"/>
      <c r="J2" s="202" t="e">
        <v>#REF!</v>
      </c>
      <c r="K2" s="202" t="e">
        <v>#N/A</v>
      </c>
      <c r="L2" s="202" t="e">
        <v>#N/A</v>
      </c>
      <c r="M2" s="202" t="e">
        <v>#N/A</v>
      </c>
      <c r="N2" s="202" t="e">
        <v>#N/A</v>
      </c>
      <c r="O2" s="202" t="e">
        <v>#REF!</v>
      </c>
      <c r="P2" s="202" t="e">
        <v>#REF!</v>
      </c>
      <c r="Q2" s="202" t="e">
        <v>#REF!</v>
      </c>
      <c r="R2" s="202" t="e">
        <v>#REF!</v>
      </c>
      <c r="S2" s="202" t="e">
        <v>#REF!</v>
      </c>
      <c r="T2" s="202" t="e">
        <v>#REF!</v>
      </c>
      <c r="U2" s="202" t="e">
        <v>#REF!</v>
      </c>
      <c r="V2" s="202" t="e">
        <v>#REF!</v>
      </c>
      <c r="W2" s="202" t="e">
        <v>#REF!</v>
      </c>
      <c r="X2" s="202" t="e">
        <v>#REF!</v>
      </c>
      <c r="Y2" s="202" t="e">
        <v>#REF!</v>
      </c>
      <c r="Z2" s="203" t="s">
        <v>4598</v>
      </c>
      <c r="AA2" s="202" t="e">
        <v>#N/A</v>
      </c>
      <c r="AB2" s="202" t="e">
        <v>#N/A</v>
      </c>
      <c r="AC2" s="202" t="e">
        <v>#N/A</v>
      </c>
      <c r="AD2" s="202" t="s">
        <v>4599</v>
      </c>
      <c r="AE2" s="202" t="e">
        <v>#REF!</v>
      </c>
      <c r="AF2" s="204" t="s">
        <v>4600</v>
      </c>
      <c r="AG2" s="204" t="s">
        <v>4601</v>
      </c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1" t="s">
        <v>4602</v>
      </c>
      <c r="AZ2" s="205"/>
      <c r="BA2" s="202" t="e">
        <v>#REF!</v>
      </c>
    </row>
  </sheetData>
  <customSheetViews>
    <customSheetView guid="{28983EAB-076F-416D-B2BA-E3EDB1CE0E4E}" filter="1" showAutoFilter="1">
      <autoFilter ref="$A$1:$BA$2">
        <filterColumn colId="1">
          <filters/>
        </filterColumn>
      </autoFilter>
    </customSheetView>
  </customSheetViews>
  <hyperlinks>
    <hyperlink r:id="rId1" ref="Z2"/>
    <hyperlink r:id="rId2" ref="AF2"/>
    <hyperlink r:id="rId3" ref="AG2"/>
  </hyperlinks>
  <drawing r:id="rId4"/>
  <tableParts count="1">
    <tablePart r:id="rId6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38"/>
  </cols>
  <sheetData>
    <row r="1">
      <c r="A1" s="172" t="s">
        <v>108</v>
      </c>
      <c r="B1" s="172" t="s">
        <v>79</v>
      </c>
      <c r="C1" s="172" t="s">
        <v>110</v>
      </c>
      <c r="D1" s="172" t="s">
        <v>4585</v>
      </c>
    </row>
    <row r="2">
      <c r="A2" s="198">
        <v>44125.49406506945</v>
      </c>
      <c r="B2" s="172" t="s">
        <v>4586</v>
      </c>
      <c r="C2" s="172" t="s">
        <v>2091</v>
      </c>
      <c r="D2" s="172" t="s">
        <v>4587</v>
      </c>
    </row>
    <row r="3">
      <c r="A3" s="198">
        <v>44125.49976502315</v>
      </c>
      <c r="B3" s="172" t="s">
        <v>4588</v>
      </c>
      <c r="C3" s="172" t="s">
        <v>4589</v>
      </c>
      <c r="D3" s="172" t="s">
        <v>4587</v>
      </c>
    </row>
    <row r="4">
      <c r="A4" s="198">
        <v>44125.50446974537</v>
      </c>
      <c r="B4" s="172" t="s">
        <v>4588</v>
      </c>
      <c r="C4" s="172" t="s">
        <v>2159</v>
      </c>
      <c r="D4" s="172" t="s">
        <v>4587</v>
      </c>
    </row>
  </sheetData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37.63"/>
    <col customWidth="1" min="5" max="5" width="27.5"/>
    <col customWidth="1" min="6" max="11" width="18.88"/>
  </cols>
  <sheetData>
    <row r="1" ht="22.5" customHeight="1">
      <c r="A1" s="66" t="s">
        <v>64</v>
      </c>
      <c r="B1" s="66" t="s">
        <v>76</v>
      </c>
      <c r="C1" s="66" t="s">
        <v>4590</v>
      </c>
      <c r="D1" s="66" t="s">
        <v>4591</v>
      </c>
      <c r="E1" s="66" t="s">
        <v>4592</v>
      </c>
    </row>
    <row r="2" ht="22.5" customHeight="1">
      <c r="A2" s="68"/>
      <c r="B2" s="69"/>
      <c r="C2" s="69"/>
      <c r="D2" s="69"/>
      <c r="E2" s="69"/>
    </row>
  </sheetData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16.25"/>
    <col customWidth="1" min="3" max="3" width="22.25"/>
    <col customWidth="1" min="4" max="4" width="51.63"/>
    <col customWidth="1" min="5" max="5" width="18.88"/>
    <col customWidth="1" min="6" max="6" width="57.0"/>
    <col customWidth="1" min="7" max="7" width="18.88"/>
  </cols>
  <sheetData>
    <row r="1">
      <c r="A1" s="206" t="str">
        <f t="array" ref="A1:A138">IF(C:C&lt;&gt;"",C:C&amp;G:G,)</f>
        <v>Votre MailID Session de formation concernée par la désinscription</v>
      </c>
      <c r="B1" s="206" t="s">
        <v>64</v>
      </c>
      <c r="C1" s="207" t="s">
        <v>4603</v>
      </c>
      <c r="D1" s="207" t="s">
        <v>4590</v>
      </c>
      <c r="E1" s="207" t="s">
        <v>4592</v>
      </c>
      <c r="F1" s="207" t="s">
        <v>4591</v>
      </c>
      <c r="G1" s="206" t="str">
        <f>IFERROR(__xludf.DUMMYFUNCTION("ArrayFormula(IF(D:D&lt;&gt;"""",IF(D:D=$D$1,""ID ""&amp;$D$1,IFNA(REGEXREPLACE(REGEXEXTRACT(D:D,""\[.*\]""),""\[|\]"",""""))),""""))"),"ID Session de formation concernée par la désinscription")</f>
        <v>ID Session de formation concernée par la désinscription</v>
      </c>
    </row>
    <row r="2">
      <c r="A2" s="101"/>
      <c r="B2" s="125" t="str">
        <f>IFERROR(__xludf.DUMMYFUNCTION("FILTER(DESINSCRIPTIONS!A2:E138, DESINSCRIPTIONS!A2:A138&lt;&gt;"""")"),"#N/A")</f>
        <v>#N/A</v>
      </c>
      <c r="G2" s="101" t="str">
        <f>IFERROR(__xludf.DUMMYFUNCTION("""COMPUTED_VALUE"""),"")</f>
        <v/>
      </c>
    </row>
    <row r="3">
      <c r="A3" s="101"/>
      <c r="B3" s="125"/>
      <c r="G3" s="101" t="str">
        <f>IFERROR(__xludf.DUMMYFUNCTION("""COMPUTED_VALUE"""),"")</f>
        <v/>
      </c>
    </row>
    <row r="4">
      <c r="A4" s="101"/>
      <c r="B4" s="125"/>
      <c r="G4" s="101" t="str">
        <f>IFERROR(__xludf.DUMMYFUNCTION("""COMPUTED_VALUE"""),"")</f>
        <v/>
      </c>
    </row>
    <row r="5">
      <c r="A5" s="101"/>
      <c r="B5" s="125"/>
      <c r="G5" s="101" t="str">
        <f>IFERROR(__xludf.DUMMYFUNCTION("""COMPUTED_VALUE"""),"")</f>
        <v/>
      </c>
    </row>
    <row r="6">
      <c r="A6" s="101"/>
      <c r="B6" s="125"/>
      <c r="G6" s="101" t="str">
        <f>IFERROR(__xludf.DUMMYFUNCTION("""COMPUTED_VALUE"""),"")</f>
        <v/>
      </c>
    </row>
    <row r="7">
      <c r="A7" s="101"/>
      <c r="B7" s="125"/>
      <c r="G7" s="101" t="str">
        <f>IFERROR(__xludf.DUMMYFUNCTION("""COMPUTED_VALUE"""),"")</f>
        <v/>
      </c>
    </row>
    <row r="8">
      <c r="A8" s="101"/>
      <c r="B8" s="125"/>
      <c r="G8" s="101" t="str">
        <f>IFERROR(__xludf.DUMMYFUNCTION("""COMPUTED_VALUE"""),"")</f>
        <v/>
      </c>
    </row>
    <row r="9">
      <c r="A9" s="101"/>
      <c r="B9" s="125"/>
      <c r="G9" s="101" t="str">
        <f>IFERROR(__xludf.DUMMYFUNCTION("""COMPUTED_VALUE"""),"")</f>
        <v/>
      </c>
    </row>
    <row r="10">
      <c r="A10" s="101"/>
      <c r="B10" s="125"/>
      <c r="G10" s="101" t="str">
        <f>IFERROR(__xludf.DUMMYFUNCTION("""COMPUTED_VALUE"""),"")</f>
        <v/>
      </c>
    </row>
    <row r="11">
      <c r="A11" s="101"/>
      <c r="B11" s="125"/>
      <c r="G11" s="101" t="str">
        <f>IFERROR(__xludf.DUMMYFUNCTION("""COMPUTED_VALUE"""),"")</f>
        <v/>
      </c>
    </row>
    <row r="12">
      <c r="A12" s="101"/>
      <c r="B12" s="125"/>
      <c r="G12" s="101" t="str">
        <f>IFERROR(__xludf.DUMMYFUNCTION("""COMPUTED_VALUE"""),"")</f>
        <v/>
      </c>
    </row>
    <row r="13">
      <c r="A13" s="101"/>
      <c r="B13" s="125"/>
      <c r="G13" s="101" t="str">
        <f>IFERROR(__xludf.DUMMYFUNCTION("""COMPUTED_VALUE"""),"")</f>
        <v/>
      </c>
    </row>
    <row r="14">
      <c r="A14" s="101"/>
      <c r="B14" s="125"/>
      <c r="G14" s="101" t="str">
        <f>IFERROR(__xludf.DUMMYFUNCTION("""COMPUTED_VALUE"""),"")</f>
        <v/>
      </c>
    </row>
    <row r="15">
      <c r="A15" s="101"/>
      <c r="B15" s="125"/>
      <c r="G15" s="101" t="str">
        <f>IFERROR(__xludf.DUMMYFUNCTION("""COMPUTED_VALUE"""),"")</f>
        <v/>
      </c>
    </row>
    <row r="16">
      <c r="A16" s="101"/>
      <c r="B16" s="125"/>
      <c r="G16" s="101" t="str">
        <f>IFERROR(__xludf.DUMMYFUNCTION("""COMPUTED_VALUE"""),"")</f>
        <v/>
      </c>
    </row>
    <row r="17">
      <c r="A17" s="101"/>
      <c r="B17" s="125"/>
      <c r="G17" s="101" t="str">
        <f>IFERROR(__xludf.DUMMYFUNCTION("""COMPUTED_VALUE"""),"")</f>
        <v/>
      </c>
    </row>
    <row r="18">
      <c r="A18" s="101"/>
      <c r="B18" s="125"/>
      <c r="G18" s="101" t="str">
        <f>IFERROR(__xludf.DUMMYFUNCTION("""COMPUTED_VALUE"""),"")</f>
        <v/>
      </c>
    </row>
    <row r="19">
      <c r="A19" s="101"/>
      <c r="B19" s="125"/>
      <c r="G19" s="101" t="str">
        <f>IFERROR(__xludf.DUMMYFUNCTION("""COMPUTED_VALUE"""),"")</f>
        <v/>
      </c>
    </row>
    <row r="20">
      <c r="A20" s="101"/>
      <c r="B20" s="125"/>
      <c r="G20" s="101" t="str">
        <f>IFERROR(__xludf.DUMMYFUNCTION("""COMPUTED_VALUE"""),"")</f>
        <v/>
      </c>
    </row>
    <row r="21">
      <c r="A21" s="101"/>
      <c r="B21" s="125"/>
      <c r="G21" s="101" t="str">
        <f>IFERROR(__xludf.DUMMYFUNCTION("""COMPUTED_VALUE"""),"")</f>
        <v/>
      </c>
    </row>
    <row r="22">
      <c r="A22" s="101"/>
      <c r="B22" s="125"/>
      <c r="G22" s="101" t="str">
        <f>IFERROR(__xludf.DUMMYFUNCTION("""COMPUTED_VALUE"""),"")</f>
        <v/>
      </c>
    </row>
    <row r="23">
      <c r="A23" s="101"/>
      <c r="B23" s="125"/>
      <c r="G23" s="101" t="str">
        <f>IFERROR(__xludf.DUMMYFUNCTION("""COMPUTED_VALUE"""),"")</f>
        <v/>
      </c>
    </row>
    <row r="24">
      <c r="A24" s="101"/>
      <c r="B24" s="125"/>
      <c r="G24" s="101" t="str">
        <f>IFERROR(__xludf.DUMMYFUNCTION("""COMPUTED_VALUE"""),"")</f>
        <v/>
      </c>
    </row>
    <row r="25">
      <c r="A25" s="101"/>
      <c r="B25" s="125"/>
      <c r="G25" s="101" t="str">
        <f>IFERROR(__xludf.DUMMYFUNCTION("""COMPUTED_VALUE"""),"")</f>
        <v/>
      </c>
    </row>
    <row r="26">
      <c r="A26" s="101"/>
      <c r="B26" s="125"/>
      <c r="G26" s="101" t="str">
        <f>IFERROR(__xludf.DUMMYFUNCTION("""COMPUTED_VALUE"""),"")</f>
        <v/>
      </c>
    </row>
    <row r="27">
      <c r="A27" s="101"/>
      <c r="B27" s="125"/>
      <c r="G27" s="101" t="str">
        <f>IFERROR(__xludf.DUMMYFUNCTION("""COMPUTED_VALUE"""),"")</f>
        <v/>
      </c>
    </row>
    <row r="28">
      <c r="A28" s="101"/>
      <c r="B28" s="125"/>
      <c r="G28" s="101" t="str">
        <f>IFERROR(__xludf.DUMMYFUNCTION("""COMPUTED_VALUE"""),"")</f>
        <v/>
      </c>
    </row>
    <row r="29">
      <c r="A29" s="101"/>
      <c r="B29" s="125"/>
      <c r="G29" s="101" t="str">
        <f>IFERROR(__xludf.DUMMYFUNCTION("""COMPUTED_VALUE"""),"")</f>
        <v/>
      </c>
    </row>
    <row r="30">
      <c r="A30" s="101"/>
      <c r="B30" s="125"/>
      <c r="G30" s="101" t="str">
        <f>IFERROR(__xludf.DUMMYFUNCTION("""COMPUTED_VALUE"""),"")</f>
        <v/>
      </c>
    </row>
    <row r="31">
      <c r="A31" s="101"/>
      <c r="B31" s="125"/>
      <c r="G31" s="101" t="str">
        <f>IFERROR(__xludf.DUMMYFUNCTION("""COMPUTED_VALUE"""),"")</f>
        <v/>
      </c>
    </row>
    <row r="32">
      <c r="A32" s="101"/>
      <c r="B32" s="125"/>
      <c r="G32" s="101" t="str">
        <f>IFERROR(__xludf.DUMMYFUNCTION("""COMPUTED_VALUE"""),"")</f>
        <v/>
      </c>
    </row>
    <row r="33">
      <c r="A33" s="101"/>
      <c r="B33" s="125"/>
      <c r="G33" s="101" t="str">
        <f>IFERROR(__xludf.DUMMYFUNCTION("""COMPUTED_VALUE"""),"")</f>
        <v/>
      </c>
    </row>
    <row r="34">
      <c r="A34" s="101"/>
      <c r="B34" s="125"/>
      <c r="G34" s="101" t="str">
        <f>IFERROR(__xludf.DUMMYFUNCTION("""COMPUTED_VALUE"""),"")</f>
        <v/>
      </c>
    </row>
    <row r="35">
      <c r="A35" s="101"/>
      <c r="B35" s="125"/>
      <c r="G35" s="101" t="str">
        <f>IFERROR(__xludf.DUMMYFUNCTION("""COMPUTED_VALUE"""),"")</f>
        <v/>
      </c>
    </row>
    <row r="36">
      <c r="A36" s="101"/>
      <c r="B36" s="125"/>
      <c r="G36" s="101" t="str">
        <f>IFERROR(__xludf.DUMMYFUNCTION("""COMPUTED_VALUE"""),"")</f>
        <v/>
      </c>
    </row>
    <row r="37">
      <c r="A37" s="101"/>
      <c r="B37" s="125"/>
      <c r="G37" s="101" t="str">
        <f>IFERROR(__xludf.DUMMYFUNCTION("""COMPUTED_VALUE"""),"")</f>
        <v/>
      </c>
    </row>
    <row r="38">
      <c r="A38" s="101"/>
      <c r="B38" s="125"/>
      <c r="G38" s="101" t="str">
        <f>IFERROR(__xludf.DUMMYFUNCTION("""COMPUTED_VALUE"""),"")</f>
        <v/>
      </c>
    </row>
    <row r="39">
      <c r="A39" s="101"/>
      <c r="B39" s="125"/>
      <c r="G39" s="101" t="str">
        <f>IFERROR(__xludf.DUMMYFUNCTION("""COMPUTED_VALUE"""),"")</f>
        <v/>
      </c>
    </row>
    <row r="40">
      <c r="A40" s="101"/>
      <c r="B40" s="125"/>
      <c r="G40" s="101" t="str">
        <f>IFERROR(__xludf.DUMMYFUNCTION("""COMPUTED_VALUE"""),"")</f>
        <v/>
      </c>
    </row>
    <row r="41">
      <c r="A41" s="101"/>
      <c r="B41" s="125"/>
      <c r="G41" s="101" t="str">
        <f>IFERROR(__xludf.DUMMYFUNCTION("""COMPUTED_VALUE"""),"")</f>
        <v/>
      </c>
    </row>
    <row r="42">
      <c r="A42" s="101"/>
      <c r="B42" s="125"/>
      <c r="G42" s="101" t="str">
        <f>IFERROR(__xludf.DUMMYFUNCTION("""COMPUTED_VALUE"""),"")</f>
        <v/>
      </c>
    </row>
    <row r="43">
      <c r="A43" s="101"/>
      <c r="B43" s="125"/>
      <c r="G43" s="101" t="str">
        <f>IFERROR(__xludf.DUMMYFUNCTION("""COMPUTED_VALUE"""),"")</f>
        <v/>
      </c>
    </row>
    <row r="44">
      <c r="A44" s="101"/>
      <c r="B44" s="125"/>
      <c r="G44" s="101" t="str">
        <f>IFERROR(__xludf.DUMMYFUNCTION("""COMPUTED_VALUE"""),"")</f>
        <v/>
      </c>
    </row>
    <row r="45">
      <c r="A45" s="101"/>
      <c r="B45" s="125"/>
      <c r="G45" s="101" t="str">
        <f>IFERROR(__xludf.DUMMYFUNCTION("""COMPUTED_VALUE"""),"")</f>
        <v/>
      </c>
    </row>
    <row r="46">
      <c r="A46" s="101"/>
      <c r="B46" s="125"/>
      <c r="G46" s="101" t="str">
        <f>IFERROR(__xludf.DUMMYFUNCTION("""COMPUTED_VALUE"""),"")</f>
        <v/>
      </c>
    </row>
    <row r="47">
      <c r="A47" s="101"/>
      <c r="B47" s="125"/>
      <c r="G47" s="101" t="str">
        <f>IFERROR(__xludf.DUMMYFUNCTION("""COMPUTED_VALUE"""),"")</f>
        <v/>
      </c>
    </row>
    <row r="48">
      <c r="A48" s="101"/>
      <c r="B48" s="125"/>
      <c r="G48" s="101" t="str">
        <f>IFERROR(__xludf.DUMMYFUNCTION("""COMPUTED_VALUE"""),"")</f>
        <v/>
      </c>
    </row>
    <row r="49">
      <c r="A49" s="101"/>
      <c r="B49" s="125"/>
      <c r="G49" s="101" t="str">
        <f>IFERROR(__xludf.DUMMYFUNCTION("""COMPUTED_VALUE"""),"")</f>
        <v/>
      </c>
    </row>
    <row r="50">
      <c r="A50" s="101"/>
      <c r="B50" s="125"/>
      <c r="G50" s="101" t="str">
        <f>IFERROR(__xludf.DUMMYFUNCTION("""COMPUTED_VALUE"""),"")</f>
        <v/>
      </c>
    </row>
    <row r="51">
      <c r="A51" s="101"/>
      <c r="B51" s="125"/>
      <c r="G51" s="101" t="str">
        <f>IFERROR(__xludf.DUMMYFUNCTION("""COMPUTED_VALUE"""),"")</f>
        <v/>
      </c>
    </row>
    <row r="52">
      <c r="A52" s="101"/>
      <c r="B52" s="125"/>
      <c r="G52" s="101" t="str">
        <f>IFERROR(__xludf.DUMMYFUNCTION("""COMPUTED_VALUE"""),"")</f>
        <v/>
      </c>
    </row>
    <row r="53">
      <c r="A53" s="101"/>
      <c r="B53" s="125"/>
      <c r="G53" s="101" t="str">
        <f>IFERROR(__xludf.DUMMYFUNCTION("""COMPUTED_VALUE"""),"")</f>
        <v/>
      </c>
    </row>
    <row r="54">
      <c r="A54" s="101"/>
      <c r="B54" s="125"/>
      <c r="G54" s="101" t="str">
        <f>IFERROR(__xludf.DUMMYFUNCTION("""COMPUTED_VALUE"""),"")</f>
        <v/>
      </c>
    </row>
    <row r="55">
      <c r="A55" s="101"/>
      <c r="B55" s="125"/>
      <c r="G55" s="101" t="str">
        <f>IFERROR(__xludf.DUMMYFUNCTION("""COMPUTED_VALUE"""),"")</f>
        <v/>
      </c>
    </row>
    <row r="56">
      <c r="A56" s="101"/>
      <c r="B56" s="125"/>
      <c r="G56" s="101" t="str">
        <f>IFERROR(__xludf.DUMMYFUNCTION("""COMPUTED_VALUE"""),"")</f>
        <v/>
      </c>
    </row>
    <row r="57">
      <c r="A57" s="101"/>
      <c r="B57" s="125"/>
      <c r="G57" s="101" t="str">
        <f>IFERROR(__xludf.DUMMYFUNCTION("""COMPUTED_VALUE"""),"")</f>
        <v/>
      </c>
    </row>
    <row r="58">
      <c r="A58" s="101"/>
      <c r="B58" s="125"/>
      <c r="G58" s="101" t="str">
        <f>IFERROR(__xludf.DUMMYFUNCTION("""COMPUTED_VALUE"""),"")</f>
        <v/>
      </c>
    </row>
    <row r="59">
      <c r="A59" s="101"/>
      <c r="B59" s="125"/>
      <c r="G59" s="101" t="str">
        <f>IFERROR(__xludf.DUMMYFUNCTION("""COMPUTED_VALUE"""),"")</f>
        <v/>
      </c>
    </row>
    <row r="60">
      <c r="A60" s="101"/>
      <c r="B60" s="125"/>
      <c r="G60" s="101" t="str">
        <f>IFERROR(__xludf.DUMMYFUNCTION("""COMPUTED_VALUE"""),"")</f>
        <v/>
      </c>
    </row>
    <row r="61">
      <c r="A61" s="101"/>
      <c r="B61" s="125"/>
      <c r="G61" s="101" t="str">
        <f>IFERROR(__xludf.DUMMYFUNCTION("""COMPUTED_VALUE"""),"")</f>
        <v/>
      </c>
    </row>
    <row r="62">
      <c r="A62" s="101"/>
      <c r="B62" s="125"/>
      <c r="G62" s="101" t="str">
        <f>IFERROR(__xludf.DUMMYFUNCTION("""COMPUTED_VALUE"""),"")</f>
        <v/>
      </c>
    </row>
    <row r="63">
      <c r="A63" s="101"/>
      <c r="B63" s="125"/>
      <c r="G63" s="101" t="str">
        <f>IFERROR(__xludf.DUMMYFUNCTION("""COMPUTED_VALUE"""),"")</f>
        <v/>
      </c>
    </row>
    <row r="64">
      <c r="A64" s="101"/>
      <c r="B64" s="125"/>
      <c r="G64" s="101" t="str">
        <f>IFERROR(__xludf.DUMMYFUNCTION("""COMPUTED_VALUE"""),"")</f>
        <v/>
      </c>
    </row>
    <row r="65">
      <c r="A65" s="101"/>
      <c r="B65" s="125"/>
      <c r="G65" s="101" t="str">
        <f>IFERROR(__xludf.DUMMYFUNCTION("""COMPUTED_VALUE"""),"")</f>
        <v/>
      </c>
    </row>
    <row r="66">
      <c r="A66" s="101"/>
      <c r="B66" s="125"/>
      <c r="G66" s="101" t="str">
        <f>IFERROR(__xludf.DUMMYFUNCTION("""COMPUTED_VALUE"""),"")</f>
        <v/>
      </c>
    </row>
    <row r="67">
      <c r="A67" s="101"/>
      <c r="B67" s="125"/>
      <c r="G67" s="101" t="str">
        <f>IFERROR(__xludf.DUMMYFUNCTION("""COMPUTED_VALUE"""),"")</f>
        <v/>
      </c>
    </row>
    <row r="68">
      <c r="A68" s="101"/>
      <c r="B68" s="125"/>
      <c r="G68" s="101" t="str">
        <f>IFERROR(__xludf.DUMMYFUNCTION("""COMPUTED_VALUE"""),"")</f>
        <v/>
      </c>
    </row>
    <row r="69">
      <c r="A69" s="101"/>
      <c r="B69" s="125"/>
      <c r="G69" s="101" t="str">
        <f>IFERROR(__xludf.DUMMYFUNCTION("""COMPUTED_VALUE"""),"")</f>
        <v/>
      </c>
    </row>
    <row r="70">
      <c r="A70" s="101"/>
      <c r="B70" s="125"/>
      <c r="G70" s="101" t="str">
        <f>IFERROR(__xludf.DUMMYFUNCTION("""COMPUTED_VALUE"""),"")</f>
        <v/>
      </c>
    </row>
    <row r="71">
      <c r="A71" s="101"/>
      <c r="B71" s="125"/>
      <c r="G71" s="101" t="str">
        <f>IFERROR(__xludf.DUMMYFUNCTION("""COMPUTED_VALUE"""),"")</f>
        <v/>
      </c>
    </row>
    <row r="72">
      <c r="A72" s="101"/>
      <c r="B72" s="125"/>
      <c r="G72" s="101" t="str">
        <f>IFERROR(__xludf.DUMMYFUNCTION("""COMPUTED_VALUE"""),"")</f>
        <v/>
      </c>
    </row>
    <row r="73">
      <c r="A73" s="101"/>
      <c r="B73" s="125"/>
      <c r="G73" s="101" t="str">
        <f>IFERROR(__xludf.DUMMYFUNCTION("""COMPUTED_VALUE"""),"")</f>
        <v/>
      </c>
    </row>
    <row r="74">
      <c r="A74" s="101"/>
      <c r="B74" s="125"/>
      <c r="G74" s="101" t="str">
        <f>IFERROR(__xludf.DUMMYFUNCTION("""COMPUTED_VALUE"""),"")</f>
        <v/>
      </c>
    </row>
    <row r="75">
      <c r="A75" s="101"/>
      <c r="B75" s="125"/>
      <c r="G75" s="101" t="str">
        <f>IFERROR(__xludf.DUMMYFUNCTION("""COMPUTED_VALUE"""),"")</f>
        <v/>
      </c>
    </row>
    <row r="76">
      <c r="A76" s="101"/>
      <c r="B76" s="125"/>
      <c r="G76" s="101" t="str">
        <f>IFERROR(__xludf.DUMMYFUNCTION("""COMPUTED_VALUE"""),"")</f>
        <v/>
      </c>
    </row>
    <row r="77">
      <c r="A77" s="101"/>
      <c r="B77" s="125"/>
      <c r="G77" s="101" t="str">
        <f>IFERROR(__xludf.DUMMYFUNCTION("""COMPUTED_VALUE"""),"")</f>
        <v/>
      </c>
    </row>
    <row r="78">
      <c r="A78" s="101"/>
      <c r="B78" s="125"/>
      <c r="G78" s="101" t="str">
        <f>IFERROR(__xludf.DUMMYFUNCTION("""COMPUTED_VALUE"""),"")</f>
        <v/>
      </c>
    </row>
    <row r="79">
      <c r="A79" s="101"/>
      <c r="B79" s="125"/>
      <c r="G79" s="101" t="str">
        <f>IFERROR(__xludf.DUMMYFUNCTION("""COMPUTED_VALUE"""),"")</f>
        <v/>
      </c>
    </row>
    <row r="80">
      <c r="A80" s="101"/>
      <c r="B80" s="125"/>
      <c r="G80" s="101" t="str">
        <f>IFERROR(__xludf.DUMMYFUNCTION("""COMPUTED_VALUE"""),"")</f>
        <v/>
      </c>
    </row>
    <row r="81">
      <c r="A81" s="101"/>
      <c r="B81" s="125"/>
      <c r="G81" s="101" t="str">
        <f>IFERROR(__xludf.DUMMYFUNCTION("""COMPUTED_VALUE"""),"")</f>
        <v/>
      </c>
    </row>
    <row r="82">
      <c r="A82" s="101"/>
      <c r="B82" s="125"/>
      <c r="G82" s="101" t="str">
        <f>IFERROR(__xludf.DUMMYFUNCTION("""COMPUTED_VALUE"""),"")</f>
        <v/>
      </c>
    </row>
    <row r="83">
      <c r="A83" s="101"/>
      <c r="B83" s="125"/>
      <c r="G83" s="101" t="str">
        <f>IFERROR(__xludf.DUMMYFUNCTION("""COMPUTED_VALUE"""),"")</f>
        <v/>
      </c>
    </row>
    <row r="84">
      <c r="A84" s="101"/>
      <c r="B84" s="125"/>
      <c r="G84" s="101" t="str">
        <f>IFERROR(__xludf.DUMMYFUNCTION("""COMPUTED_VALUE"""),"")</f>
        <v/>
      </c>
    </row>
    <row r="85">
      <c r="A85" s="101"/>
      <c r="B85" s="125"/>
      <c r="G85" s="101" t="str">
        <f>IFERROR(__xludf.DUMMYFUNCTION("""COMPUTED_VALUE"""),"")</f>
        <v/>
      </c>
    </row>
    <row r="86">
      <c r="A86" s="101"/>
      <c r="B86" s="125"/>
      <c r="G86" s="101" t="str">
        <f>IFERROR(__xludf.DUMMYFUNCTION("""COMPUTED_VALUE"""),"")</f>
        <v/>
      </c>
    </row>
    <row r="87">
      <c r="A87" s="101"/>
      <c r="B87" s="125"/>
      <c r="G87" s="101" t="str">
        <f>IFERROR(__xludf.DUMMYFUNCTION("""COMPUTED_VALUE"""),"")</f>
        <v/>
      </c>
    </row>
    <row r="88">
      <c r="A88" s="101"/>
      <c r="B88" s="125"/>
      <c r="G88" s="101" t="str">
        <f>IFERROR(__xludf.DUMMYFUNCTION("""COMPUTED_VALUE"""),"")</f>
        <v/>
      </c>
    </row>
    <row r="89">
      <c r="A89" s="101"/>
      <c r="B89" s="125"/>
      <c r="G89" s="101" t="str">
        <f>IFERROR(__xludf.DUMMYFUNCTION("""COMPUTED_VALUE"""),"")</f>
        <v/>
      </c>
    </row>
    <row r="90">
      <c r="A90" s="101"/>
      <c r="B90" s="125"/>
      <c r="G90" s="101" t="str">
        <f>IFERROR(__xludf.DUMMYFUNCTION("""COMPUTED_VALUE"""),"")</f>
        <v/>
      </c>
    </row>
    <row r="91">
      <c r="A91" s="101"/>
      <c r="B91" s="125"/>
      <c r="G91" s="101" t="str">
        <f>IFERROR(__xludf.DUMMYFUNCTION("""COMPUTED_VALUE"""),"")</f>
        <v/>
      </c>
    </row>
    <row r="92">
      <c r="A92" s="101"/>
      <c r="B92" s="125"/>
      <c r="G92" s="101" t="str">
        <f>IFERROR(__xludf.DUMMYFUNCTION("""COMPUTED_VALUE"""),"")</f>
        <v/>
      </c>
    </row>
    <row r="93">
      <c r="A93" s="101"/>
      <c r="B93" s="125"/>
      <c r="G93" s="101" t="str">
        <f>IFERROR(__xludf.DUMMYFUNCTION("""COMPUTED_VALUE"""),"")</f>
        <v/>
      </c>
    </row>
    <row r="94">
      <c r="A94" s="101"/>
      <c r="B94" s="125"/>
      <c r="G94" s="101" t="str">
        <f>IFERROR(__xludf.DUMMYFUNCTION("""COMPUTED_VALUE"""),"")</f>
        <v/>
      </c>
    </row>
    <row r="95">
      <c r="A95" s="101"/>
      <c r="B95" s="125"/>
      <c r="G95" s="101" t="str">
        <f>IFERROR(__xludf.DUMMYFUNCTION("""COMPUTED_VALUE"""),"")</f>
        <v/>
      </c>
    </row>
    <row r="96">
      <c r="A96" s="101"/>
      <c r="B96" s="125"/>
      <c r="G96" s="101" t="str">
        <f>IFERROR(__xludf.DUMMYFUNCTION("""COMPUTED_VALUE"""),"")</f>
        <v/>
      </c>
    </row>
    <row r="97">
      <c r="A97" s="101"/>
      <c r="B97" s="125"/>
      <c r="G97" s="101" t="str">
        <f>IFERROR(__xludf.DUMMYFUNCTION("""COMPUTED_VALUE"""),"")</f>
        <v/>
      </c>
    </row>
    <row r="98">
      <c r="A98" s="101"/>
      <c r="B98" s="125"/>
      <c r="G98" s="101" t="str">
        <f>IFERROR(__xludf.DUMMYFUNCTION("""COMPUTED_VALUE"""),"")</f>
        <v/>
      </c>
    </row>
    <row r="99">
      <c r="A99" s="101"/>
      <c r="B99" s="125"/>
      <c r="G99" s="101" t="str">
        <f>IFERROR(__xludf.DUMMYFUNCTION("""COMPUTED_VALUE"""),"")</f>
        <v/>
      </c>
    </row>
    <row r="100">
      <c r="A100" s="101"/>
      <c r="B100" s="125"/>
      <c r="G100" s="101" t="str">
        <f>IFERROR(__xludf.DUMMYFUNCTION("""COMPUTED_VALUE"""),"")</f>
        <v/>
      </c>
    </row>
    <row r="101">
      <c r="A101" s="101"/>
      <c r="B101" s="125"/>
      <c r="G101" s="101" t="str">
        <f>IFERROR(__xludf.DUMMYFUNCTION("""COMPUTED_VALUE"""),"")</f>
        <v/>
      </c>
    </row>
    <row r="102">
      <c r="A102" s="101"/>
      <c r="B102" s="125"/>
      <c r="G102" s="101" t="str">
        <f>IFERROR(__xludf.DUMMYFUNCTION("""COMPUTED_VALUE"""),"")</f>
        <v/>
      </c>
    </row>
    <row r="103">
      <c r="A103" s="101"/>
      <c r="B103" s="125"/>
      <c r="G103" s="101" t="str">
        <f>IFERROR(__xludf.DUMMYFUNCTION("""COMPUTED_VALUE"""),"")</f>
        <v/>
      </c>
    </row>
    <row r="104">
      <c r="A104" s="101"/>
      <c r="B104" s="125"/>
      <c r="G104" s="101" t="str">
        <f>IFERROR(__xludf.DUMMYFUNCTION("""COMPUTED_VALUE"""),"")</f>
        <v/>
      </c>
    </row>
    <row r="105">
      <c r="A105" s="101"/>
      <c r="B105" s="125"/>
      <c r="G105" s="101" t="str">
        <f>IFERROR(__xludf.DUMMYFUNCTION("""COMPUTED_VALUE"""),"")</f>
        <v/>
      </c>
    </row>
    <row r="106">
      <c r="A106" s="101"/>
      <c r="B106" s="125"/>
      <c r="G106" s="101" t="str">
        <f>IFERROR(__xludf.DUMMYFUNCTION("""COMPUTED_VALUE"""),"")</f>
        <v/>
      </c>
    </row>
    <row r="107">
      <c r="A107" s="101"/>
      <c r="B107" s="125"/>
      <c r="G107" s="101" t="str">
        <f>IFERROR(__xludf.DUMMYFUNCTION("""COMPUTED_VALUE"""),"")</f>
        <v/>
      </c>
    </row>
    <row r="108">
      <c r="A108" s="101"/>
      <c r="B108" s="125"/>
      <c r="G108" s="101" t="str">
        <f>IFERROR(__xludf.DUMMYFUNCTION("""COMPUTED_VALUE"""),"")</f>
        <v/>
      </c>
    </row>
    <row r="109">
      <c r="A109" s="101"/>
      <c r="B109" s="125"/>
      <c r="G109" s="101" t="str">
        <f>IFERROR(__xludf.DUMMYFUNCTION("""COMPUTED_VALUE"""),"")</f>
        <v/>
      </c>
    </row>
    <row r="110">
      <c r="A110" s="101"/>
      <c r="B110" s="125"/>
      <c r="G110" s="101" t="str">
        <f>IFERROR(__xludf.DUMMYFUNCTION("""COMPUTED_VALUE"""),"")</f>
        <v/>
      </c>
    </row>
    <row r="111">
      <c r="A111" s="101"/>
      <c r="B111" s="125"/>
      <c r="G111" s="101" t="str">
        <f>IFERROR(__xludf.DUMMYFUNCTION("""COMPUTED_VALUE"""),"")</f>
        <v/>
      </c>
    </row>
    <row r="112">
      <c r="A112" s="101"/>
      <c r="B112" s="125"/>
      <c r="G112" s="101" t="str">
        <f>IFERROR(__xludf.DUMMYFUNCTION("""COMPUTED_VALUE"""),"")</f>
        <v/>
      </c>
    </row>
    <row r="113">
      <c r="A113" s="101"/>
      <c r="B113" s="125"/>
      <c r="G113" s="101" t="str">
        <f>IFERROR(__xludf.DUMMYFUNCTION("""COMPUTED_VALUE"""),"")</f>
        <v/>
      </c>
    </row>
    <row r="114">
      <c r="A114" s="101"/>
      <c r="B114" s="125"/>
      <c r="G114" s="101" t="str">
        <f>IFERROR(__xludf.DUMMYFUNCTION("""COMPUTED_VALUE"""),"")</f>
        <v/>
      </c>
    </row>
    <row r="115">
      <c r="A115" s="101"/>
      <c r="B115" s="125"/>
      <c r="G115" s="101" t="str">
        <f>IFERROR(__xludf.DUMMYFUNCTION("""COMPUTED_VALUE"""),"")</f>
        <v/>
      </c>
    </row>
    <row r="116">
      <c r="A116" s="101"/>
      <c r="B116" s="125"/>
      <c r="G116" s="101" t="str">
        <f>IFERROR(__xludf.DUMMYFUNCTION("""COMPUTED_VALUE"""),"")</f>
        <v/>
      </c>
    </row>
    <row r="117">
      <c r="A117" s="101"/>
      <c r="B117" s="125"/>
      <c r="G117" s="101" t="str">
        <f>IFERROR(__xludf.DUMMYFUNCTION("""COMPUTED_VALUE"""),"")</f>
        <v/>
      </c>
    </row>
    <row r="118">
      <c r="A118" s="101"/>
      <c r="B118" s="125"/>
      <c r="G118" s="101" t="str">
        <f>IFERROR(__xludf.DUMMYFUNCTION("""COMPUTED_VALUE"""),"")</f>
        <v/>
      </c>
    </row>
    <row r="119">
      <c r="A119" s="101"/>
      <c r="B119" s="125"/>
      <c r="G119" s="101" t="str">
        <f>IFERROR(__xludf.DUMMYFUNCTION("""COMPUTED_VALUE"""),"")</f>
        <v/>
      </c>
    </row>
    <row r="120">
      <c r="A120" s="101"/>
      <c r="B120" s="125"/>
      <c r="G120" s="101" t="str">
        <f>IFERROR(__xludf.DUMMYFUNCTION("""COMPUTED_VALUE"""),"")</f>
        <v/>
      </c>
    </row>
    <row r="121">
      <c r="A121" s="101"/>
      <c r="B121" s="125"/>
      <c r="G121" s="101" t="str">
        <f>IFERROR(__xludf.DUMMYFUNCTION("""COMPUTED_VALUE"""),"")</f>
        <v/>
      </c>
    </row>
    <row r="122">
      <c r="A122" s="101"/>
      <c r="B122" s="125"/>
      <c r="G122" s="101" t="str">
        <f>IFERROR(__xludf.DUMMYFUNCTION("""COMPUTED_VALUE"""),"")</f>
        <v/>
      </c>
    </row>
    <row r="123">
      <c r="A123" s="101"/>
      <c r="B123" s="125"/>
      <c r="G123" s="101" t="str">
        <f>IFERROR(__xludf.DUMMYFUNCTION("""COMPUTED_VALUE"""),"")</f>
        <v/>
      </c>
    </row>
    <row r="124">
      <c r="A124" s="101"/>
      <c r="B124" s="125"/>
      <c r="G124" s="101" t="str">
        <f>IFERROR(__xludf.DUMMYFUNCTION("""COMPUTED_VALUE"""),"")</f>
        <v/>
      </c>
    </row>
    <row r="125">
      <c r="A125" s="101"/>
      <c r="B125" s="125"/>
      <c r="G125" s="101" t="str">
        <f>IFERROR(__xludf.DUMMYFUNCTION("""COMPUTED_VALUE"""),"")</f>
        <v/>
      </c>
    </row>
    <row r="126">
      <c r="A126" s="101"/>
      <c r="B126" s="125"/>
      <c r="G126" s="101" t="str">
        <f>IFERROR(__xludf.DUMMYFUNCTION("""COMPUTED_VALUE"""),"")</f>
        <v/>
      </c>
    </row>
    <row r="127">
      <c r="A127" s="101"/>
      <c r="B127" s="125"/>
      <c r="G127" s="101" t="str">
        <f>IFERROR(__xludf.DUMMYFUNCTION("""COMPUTED_VALUE"""),"")</f>
        <v/>
      </c>
    </row>
    <row r="128">
      <c r="A128" s="101"/>
      <c r="B128" s="125"/>
      <c r="G128" s="101" t="str">
        <f>IFERROR(__xludf.DUMMYFUNCTION("""COMPUTED_VALUE"""),"")</f>
        <v/>
      </c>
    </row>
    <row r="129">
      <c r="A129" s="101"/>
      <c r="B129" s="125"/>
      <c r="G129" s="101" t="str">
        <f>IFERROR(__xludf.DUMMYFUNCTION("""COMPUTED_VALUE"""),"")</f>
        <v/>
      </c>
    </row>
    <row r="130">
      <c r="A130" s="101"/>
      <c r="B130" s="125"/>
      <c r="G130" s="101" t="str">
        <f>IFERROR(__xludf.DUMMYFUNCTION("""COMPUTED_VALUE"""),"")</f>
        <v/>
      </c>
    </row>
    <row r="131">
      <c r="A131" s="101"/>
      <c r="B131" s="125"/>
      <c r="G131" s="101" t="str">
        <f>IFERROR(__xludf.DUMMYFUNCTION("""COMPUTED_VALUE"""),"")</f>
        <v/>
      </c>
    </row>
    <row r="132">
      <c r="A132" s="101"/>
      <c r="B132" s="125"/>
      <c r="G132" s="101" t="str">
        <f>IFERROR(__xludf.DUMMYFUNCTION("""COMPUTED_VALUE"""),"")</f>
        <v/>
      </c>
    </row>
    <row r="133">
      <c r="A133" s="101"/>
      <c r="B133" s="125"/>
      <c r="G133" s="101" t="str">
        <f>IFERROR(__xludf.DUMMYFUNCTION("""COMPUTED_VALUE"""),"")</f>
        <v/>
      </c>
    </row>
    <row r="134">
      <c r="A134" s="101"/>
      <c r="B134" s="125"/>
      <c r="G134" s="101" t="str">
        <f>IFERROR(__xludf.DUMMYFUNCTION("""COMPUTED_VALUE"""),"")</f>
        <v/>
      </c>
    </row>
    <row r="135">
      <c r="A135" s="101"/>
      <c r="B135" s="125"/>
      <c r="G135" s="101" t="str">
        <f>IFERROR(__xludf.DUMMYFUNCTION("""COMPUTED_VALUE"""),"")</f>
        <v/>
      </c>
    </row>
    <row r="136">
      <c r="A136" s="101"/>
      <c r="B136" s="125"/>
      <c r="G136" s="101" t="str">
        <f>IFERROR(__xludf.DUMMYFUNCTION("""COMPUTED_VALUE"""),"")</f>
        <v/>
      </c>
    </row>
    <row r="137">
      <c r="A137" s="101"/>
      <c r="B137" s="125"/>
      <c r="G137" s="101" t="str">
        <f>IFERROR(__xludf.DUMMYFUNCTION("""COMPUTED_VALUE"""),"")</f>
        <v/>
      </c>
    </row>
    <row r="138">
      <c r="A138" s="101"/>
      <c r="B138" s="125"/>
      <c r="G138" s="101" t="str">
        <f>IFERROR(__xludf.DUMMYFUNCTION("""COMPUTED_VALUE"""),"")</f>
        <v/>
      </c>
    </row>
  </sheetData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1" t="str">
        <f t="array" ref="A1:A53">transpose('INSCRIPTIONS FORM'!1:1)</f>
        <v>Horodateur</v>
      </c>
      <c r="B1" s="124">
        <v>0.0</v>
      </c>
    </row>
    <row r="2">
      <c r="A2" s="101" t="s">
        <v>76</v>
      </c>
      <c r="B2" s="124">
        <v>1.0</v>
      </c>
    </row>
    <row r="3">
      <c r="A3" s="101" t="s">
        <v>4604</v>
      </c>
      <c r="B3" s="124">
        <v>2.0</v>
      </c>
    </row>
    <row r="4">
      <c r="A4" s="101" t="s">
        <v>93</v>
      </c>
      <c r="B4" s="124">
        <v>3.0</v>
      </c>
    </row>
    <row r="5">
      <c r="A5" s="101" t="s">
        <v>94</v>
      </c>
      <c r="B5" s="124">
        <v>4.0</v>
      </c>
    </row>
    <row r="6">
      <c r="A6" s="101" t="s">
        <v>69</v>
      </c>
      <c r="B6" s="124">
        <v>5.0</v>
      </c>
    </row>
    <row r="7">
      <c r="A7" s="101" t="s">
        <v>4582</v>
      </c>
      <c r="B7" s="124">
        <v>6.0</v>
      </c>
    </row>
    <row r="8">
      <c r="A8" s="101" t="s">
        <v>96</v>
      </c>
      <c r="B8" s="124">
        <v>7.0</v>
      </c>
    </row>
    <row r="9">
      <c r="A9" s="101" t="s">
        <v>4583</v>
      </c>
      <c r="B9" s="124">
        <v>8.0</v>
      </c>
    </row>
    <row r="10">
      <c r="A10" s="101" t="s">
        <v>4605</v>
      </c>
      <c r="B10" s="124">
        <v>9.0</v>
      </c>
    </row>
    <row r="11">
      <c r="A11" s="208" t="s">
        <v>4606</v>
      </c>
      <c r="B11" s="124">
        <v>10.0</v>
      </c>
    </row>
    <row r="12">
      <c r="A12" s="209" t="s">
        <v>4607</v>
      </c>
      <c r="B12" s="124">
        <v>11.0</v>
      </c>
    </row>
    <row r="13">
      <c r="A13" s="209" t="s">
        <v>4608</v>
      </c>
      <c r="B13" s="124">
        <v>12.0</v>
      </c>
    </row>
    <row r="14">
      <c r="A14" s="101" t="s">
        <v>4609</v>
      </c>
      <c r="B14" s="124">
        <v>13.0</v>
      </c>
    </row>
    <row r="15">
      <c r="A15" s="208" t="s">
        <v>4610</v>
      </c>
      <c r="B15" s="124">
        <v>14.0</v>
      </c>
    </row>
    <row r="16">
      <c r="A16" s="208" t="s">
        <v>4611</v>
      </c>
      <c r="B16" s="124">
        <v>15.0</v>
      </c>
    </row>
    <row r="17">
      <c r="A17" s="208" t="s">
        <v>4612</v>
      </c>
      <c r="B17" s="124">
        <v>16.0</v>
      </c>
    </row>
    <row r="18">
      <c r="A18" s="210" t="s">
        <v>4613</v>
      </c>
      <c r="B18" s="124">
        <v>17.0</v>
      </c>
    </row>
    <row r="19">
      <c r="A19" s="210" t="s">
        <v>4614</v>
      </c>
      <c r="B19" s="124">
        <v>18.0</v>
      </c>
    </row>
    <row r="20">
      <c r="A20" s="210" t="s">
        <v>4615</v>
      </c>
      <c r="B20" s="124">
        <v>19.0</v>
      </c>
    </row>
    <row r="21">
      <c r="A21" s="210" t="s">
        <v>4616</v>
      </c>
      <c r="B21" s="124">
        <v>20.0</v>
      </c>
    </row>
    <row r="22">
      <c r="A22" s="101" t="s">
        <v>2504</v>
      </c>
      <c r="B22" s="124">
        <v>21.0</v>
      </c>
    </row>
    <row r="23">
      <c r="A23" s="101" t="s">
        <v>12</v>
      </c>
      <c r="B23" s="124">
        <v>22.0</v>
      </c>
    </row>
    <row r="24">
      <c r="A24" s="101" t="s">
        <v>11</v>
      </c>
      <c r="B24" s="124">
        <v>23.0</v>
      </c>
    </row>
    <row r="25">
      <c r="A25" s="210" t="s">
        <v>4617</v>
      </c>
      <c r="B25" s="124">
        <v>24.0</v>
      </c>
    </row>
    <row r="26">
      <c r="A26" s="210" t="s">
        <v>4584</v>
      </c>
      <c r="B26" s="124">
        <v>25.0</v>
      </c>
    </row>
    <row r="27">
      <c r="A27" s="211" t="s">
        <v>4606</v>
      </c>
      <c r="B27" s="124">
        <v>26.0</v>
      </c>
    </row>
    <row r="28">
      <c r="A28" s="210" t="s">
        <v>4607</v>
      </c>
      <c r="B28" s="124">
        <v>27.0</v>
      </c>
    </row>
    <row r="29">
      <c r="A29" s="210" t="s">
        <v>4608</v>
      </c>
      <c r="B29" s="124">
        <v>28.0</v>
      </c>
    </row>
    <row r="30">
      <c r="A30" s="210" t="s">
        <v>4618</v>
      </c>
      <c r="B30" s="124">
        <v>29.0</v>
      </c>
    </row>
    <row r="31">
      <c r="A31" s="210" t="s">
        <v>2506</v>
      </c>
      <c r="B31" s="124">
        <v>30.0</v>
      </c>
    </row>
    <row r="32">
      <c r="A32" s="210" t="s">
        <v>4619</v>
      </c>
      <c r="B32" s="124">
        <v>31.0</v>
      </c>
    </row>
    <row r="33">
      <c r="A33" s="210" t="s">
        <v>4620</v>
      </c>
      <c r="B33" s="124">
        <v>32.0</v>
      </c>
    </row>
    <row r="34">
      <c r="A34" s="208" t="s">
        <v>4621</v>
      </c>
      <c r="B34" s="124">
        <v>33.0</v>
      </c>
    </row>
    <row r="35">
      <c r="A35" s="101" t="s">
        <v>4622</v>
      </c>
      <c r="B35" s="124">
        <v>34.0</v>
      </c>
    </row>
    <row r="36">
      <c r="A36" s="101" t="s">
        <v>4623</v>
      </c>
      <c r="B36" s="124">
        <v>35.0</v>
      </c>
    </row>
    <row r="37">
      <c r="A37" s="101" t="s">
        <v>4624</v>
      </c>
      <c r="B37" s="124">
        <v>36.0</v>
      </c>
    </row>
    <row r="38">
      <c r="A38" s="101" t="s">
        <v>4625</v>
      </c>
      <c r="B38" s="124">
        <v>37.0</v>
      </c>
    </row>
    <row r="39">
      <c r="A39" s="101" t="s">
        <v>4626</v>
      </c>
      <c r="B39" s="124">
        <v>38.0</v>
      </c>
    </row>
    <row r="40">
      <c r="A40" s="101" t="s">
        <v>4627</v>
      </c>
      <c r="B40" s="124">
        <v>39.0</v>
      </c>
    </row>
    <row r="41">
      <c r="A41" s="101" t="s">
        <v>4628</v>
      </c>
      <c r="B41" s="124">
        <v>40.0</v>
      </c>
    </row>
    <row r="42">
      <c r="A42" s="101" t="s">
        <v>4629</v>
      </c>
      <c r="B42" s="124">
        <v>41.0</v>
      </c>
    </row>
    <row r="43">
      <c r="A43" s="101" t="s">
        <v>4630</v>
      </c>
      <c r="B43" s="124">
        <v>42.0</v>
      </c>
    </row>
    <row r="44">
      <c r="A44" s="101" t="s">
        <v>4631</v>
      </c>
      <c r="B44" s="124">
        <v>43.0</v>
      </c>
    </row>
    <row r="45">
      <c r="A45" s="101" t="s">
        <v>4632</v>
      </c>
      <c r="B45" s="124">
        <v>44.0</v>
      </c>
    </row>
    <row r="46">
      <c r="A46" s="101" t="s">
        <v>4633</v>
      </c>
      <c r="B46" s="124">
        <v>45.0</v>
      </c>
    </row>
    <row r="47">
      <c r="A47" s="101" t="s">
        <v>4634</v>
      </c>
      <c r="B47" s="124">
        <v>46.0</v>
      </c>
    </row>
    <row r="48">
      <c r="A48" s="101" t="s">
        <v>4633</v>
      </c>
      <c r="B48" s="124">
        <v>47.0</v>
      </c>
    </row>
    <row r="49">
      <c r="A49" s="101" t="s">
        <v>4635</v>
      </c>
      <c r="B49" s="124">
        <v>48.0</v>
      </c>
    </row>
    <row r="50">
      <c r="A50" s="101" t="s">
        <v>4593</v>
      </c>
      <c r="B50" s="124">
        <v>49.0</v>
      </c>
    </row>
    <row r="51">
      <c r="A51" s="101" t="s">
        <v>95</v>
      </c>
      <c r="B51" s="124">
        <v>50.0</v>
      </c>
    </row>
    <row r="52">
      <c r="A52" s="101" t="s">
        <v>4594</v>
      </c>
      <c r="B52" s="124">
        <v>51.0</v>
      </c>
    </row>
    <row r="53">
      <c r="A53" s="101" t="s">
        <v>4636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0.88"/>
    <col customWidth="1" min="4" max="4" width="20.0"/>
    <col customWidth="1" min="5" max="5" width="47.25"/>
    <col customWidth="1" min="6" max="18" width="3.63"/>
  </cols>
  <sheetData>
    <row r="1">
      <c r="A1" s="163" t="str">
        <f>IFERROR(__xludf.DUMMYFUNCTION("IMPORTRANGE(""https://docs.google.com/spreadsheets/d/10wK9Lw8Oq_Fv9LaMPEQMmvsDiqSRNOWnDGbtIqgqOFM/edit?usp=sharing"",""COMPETENCES_APPLI"")"),"APPLI")</f>
        <v>APPLI</v>
      </c>
      <c r="B1" s="163" t="str">
        <f>IFERROR(__xludf.DUMMYFUNCTION("IMPORTRANGE(""https://docs.google.com/spreadsheets/d/10wK9Lw8Oq_Fv9LaMPEQMmvsDiqSRNOWnDGbtIqgqOFM/edit?usp=sharing"",""COMPETENCES_ID"")"),"CMP-CODE")</f>
        <v>CMP-CODE</v>
      </c>
      <c r="C1" s="163" t="str">
        <f>IFERROR(__xludf.DUMMYFUNCTION("IMPORTRANGE(""https://docs.google.com/spreadsheets/d/10wK9Lw8Oq_Fv9LaMPEQMmvsDiqSRNOWnDGbtIqgqOFM/edit?usp=sharing"",""COMPETENCES_TITRE"")"),"COMPETENCE")</f>
        <v>COMPETENCE</v>
      </c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</row>
    <row r="2">
      <c r="A2" s="163" t="str">
        <f>IFERROR(__xludf.DUMMYFUNCTION("""COMPUTED_VALUE"""),"AGENDA")</f>
        <v>AGENDA</v>
      </c>
      <c r="B2" s="163" t="str">
        <f>IFERROR(__xludf.DUMMYFUNCTION("""COMPUTED_VALUE"""),"CMP-008")</f>
        <v>CMP-008</v>
      </c>
      <c r="C2" s="163" t="str">
        <f>IFERROR(__xludf.DUMMYFUNCTION("""COMPUTED_VALUE"""),"GÉRER SES AGENDAS")</f>
        <v>GÉRER SES AGENDAS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</row>
    <row r="3">
      <c r="A3" s="163" t="str">
        <f>IFERROR(__xludf.DUMMYFUNCTION("""COMPUTED_VALUE"""),"AGENDA")</f>
        <v>AGENDA</v>
      </c>
      <c r="B3" s="163" t="str">
        <f>IFERROR(__xludf.DUMMYFUNCTION("""COMPUTED_VALUE"""),"CMP-009")</f>
        <v>CMP-009</v>
      </c>
      <c r="C3" s="163" t="str">
        <f>IFERROR(__xludf.DUMMYFUNCTION("""COMPUTED_VALUE"""),"COLLABORER AVEC LES AGENDAS")</f>
        <v>COLLABORER AVEC LES AGENDAS</v>
      </c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</row>
    <row r="4">
      <c r="A4" s="163" t="str">
        <f>IFERROR(__xludf.DUMMYFUNCTION("""COMPUTED_VALUE"""),"AGENDA")</f>
        <v>AGENDA</v>
      </c>
      <c r="B4" s="163" t="str">
        <f>IFERROR(__xludf.DUMMYFUNCTION("""COMPUTED_VALUE"""),"CMP-014")</f>
        <v>CMP-014</v>
      </c>
      <c r="C4" s="163" t="str">
        <f>IFERROR(__xludf.DUMMYFUNCTION("""COMPUTED_VALUE"""),"GÉRER DES ÉVÉNEMENTS")</f>
        <v>GÉRER DES ÉVÉNEMENTS</v>
      </c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</row>
    <row r="5">
      <c r="A5" s="163" t="str">
        <f>IFERROR(__xludf.DUMMYFUNCTION("""COMPUTED_VALUE"""),"ANALYTICS")</f>
        <v>ANALYTICS</v>
      </c>
      <c r="B5" s="163" t="str">
        <f>IFERROR(__xludf.DUMMYFUNCTION("""COMPUTED_VALUE"""),"CMP-054")</f>
        <v>CMP-054</v>
      </c>
      <c r="C5" s="163" t="str">
        <f>IFERROR(__xludf.DUMMYFUNCTION("""COMPUTED_VALUE"""),"UTILISER LA CONSOLE GOOGLE ANALYTICS")</f>
        <v>UTILISER LA CONSOLE GOOGLE ANALYTICS</v>
      </c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</row>
    <row r="6">
      <c r="A6" s="163" t="str">
        <f>IFERROR(__xludf.DUMMYFUNCTION("""COMPUTED_VALUE"""),"CHROME")</f>
        <v>CHROME</v>
      </c>
      <c r="B6" s="163" t="str">
        <f>IFERROR(__xludf.DUMMYFUNCTION("""COMPUTED_VALUE"""),"CMP-032")</f>
        <v>CMP-032</v>
      </c>
      <c r="C6" s="163" t="str">
        <f>IFERROR(__xludf.DUMMYFUNCTION("""COMPUTED_VALUE"""),"OPTIMISER L'UTILISATION DU NAVIGATEUR GOOGLE CHROME ")</f>
        <v>OPTIMISER L'UTILISATION DU NAVIGATEUR GOOGLE CHROME </v>
      </c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</row>
    <row r="7">
      <c r="A7" s="163" t="str">
        <f>IFERROR(__xludf.DUMMYFUNCTION("""COMPUTED_VALUE"""),"CHROME")</f>
        <v>CHROME</v>
      </c>
      <c r="B7" s="163" t="str">
        <f>IFERROR(__xludf.DUMMYFUNCTION("""COMPUTED_VALUE"""),"CMP-033")</f>
        <v>CMP-033</v>
      </c>
      <c r="C7" s="163" t="str">
        <f>IFERROR(__xludf.DUMMYFUNCTION("""COMPUTED_VALUE"""),"UTILISER GOOGLE CHROME EN TOUTE SÉCURITÉ")</f>
        <v>UTILISER GOOGLE CHROME EN TOUTE SÉCURITÉ</v>
      </c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</row>
    <row r="8">
      <c r="A8" s="163" t="str">
        <f>IFERROR(__xludf.DUMMYFUNCTION("""COMPUTED_VALUE"""),"CHROME BOOK")</f>
        <v>CHROME BOOK</v>
      </c>
      <c r="B8" s="163" t="str">
        <f>IFERROR(__xludf.DUMMYFUNCTION("""COMPUTED_VALUE"""),"CMP-055")</f>
        <v>CMP-055</v>
      </c>
      <c r="C8" s="163" t="str">
        <f>IFERROR(__xludf.DUMMYFUNCTION("""COMPUTED_VALUE"""),"UTILISER UN CHROME BOOK")</f>
        <v>UTILISER UN CHROME BOOK</v>
      </c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</row>
    <row r="9">
      <c r="A9" s="163" t="str">
        <f>IFERROR(__xludf.DUMMYFUNCTION("""COMPUTED_VALUE"""),"CONTACTS")</f>
        <v>CONTACTS</v>
      </c>
      <c r="B9" s="163" t="str">
        <f>IFERROR(__xludf.DUMMYFUNCTION("""COMPUTED_VALUE"""),"CMP-052")</f>
        <v>CMP-052</v>
      </c>
      <c r="C9" s="163" t="str">
        <f>IFERROR(__xludf.DUMMYFUNCTION("""COMPUTED_VALUE"""),"UTILISER GOOGLE CONTACTS")</f>
        <v>UTILISER GOOGLE CONTACTS</v>
      </c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</row>
    <row r="10">
      <c r="A10" s="163" t="str">
        <f>IFERROR(__xludf.DUMMYFUNCTION("""COMPUTED_VALUE"""),"LOOKER STUDIO")</f>
        <v>LOOKER STUDIO</v>
      </c>
      <c r="B10" s="163" t="str">
        <f>IFERROR(__xludf.DUMMYFUNCTION("""COMPUTED_VALUE"""),"CMP-056")</f>
        <v>CMP-056</v>
      </c>
      <c r="C10" s="163" t="str">
        <f>IFERROR(__xludf.DUMMYFUNCTION("""COMPUTED_VALUE"""),"GÉRER LES SOURCES DE DONNÉES")</f>
        <v>GÉRER LES SOURCES DE DONNÉES</v>
      </c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</row>
    <row r="11">
      <c r="A11" s="163" t="str">
        <f>IFERROR(__xludf.DUMMYFUNCTION("""COMPUTED_VALUE"""),"LOOKER STUDIO")</f>
        <v>LOOKER STUDIO</v>
      </c>
      <c r="B11" s="163" t="str">
        <f>IFERROR(__xludf.DUMMYFUNCTION("""COMPUTED_VALUE"""),"CMP-028")</f>
        <v>CMP-028</v>
      </c>
      <c r="C11" s="163" t="str">
        <f>IFERROR(__xludf.DUMMYFUNCTION("""COMPUTED_VALUE"""),"CREER SES GRAPHIQUES")</f>
        <v>CREER SES GRAPHIQUES</v>
      </c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</row>
    <row r="12">
      <c r="A12" s="163" t="str">
        <f>IFERROR(__xludf.DUMMYFUNCTION("""COMPUTED_VALUE"""),"LOOKER STUDIO")</f>
        <v>LOOKER STUDIO</v>
      </c>
      <c r="B12" s="163" t="str">
        <f>IFERROR(__xludf.DUMMYFUNCTION("""COMPUTED_VALUE"""),"CMP-029")</f>
        <v>CMP-029</v>
      </c>
      <c r="C12" s="163" t="str">
        <f>IFERROR(__xludf.DUMMYFUNCTION("""COMPUTED_VALUE"""),"CREER, METTRE EN FORME SON RAPPORT ET SES OBJETS")</f>
        <v>CREER, METTRE EN FORME SON RAPPORT ET SES OBJETS</v>
      </c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</row>
    <row r="13">
      <c r="A13" s="163" t="str">
        <f>IFERROR(__xludf.DUMMYFUNCTION("""COMPUTED_VALUE"""),"LOOKER STUDIO")</f>
        <v>LOOKER STUDIO</v>
      </c>
      <c r="B13" s="163" t="str">
        <f>IFERROR(__xludf.DUMMYFUNCTION("""COMPUTED_VALUE"""),"CMP-030")</f>
        <v>CMP-030</v>
      </c>
      <c r="C13" s="163" t="str">
        <f>IFERROR(__xludf.DUMMYFUNCTION("""COMPUTED_VALUE"""),"COMMUNIQUER SON RAPPORT")</f>
        <v>COMMUNIQUER SON RAPPORT</v>
      </c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</row>
    <row r="14">
      <c r="A14" s="163" t="str">
        <f>IFERROR(__xludf.DUMMYFUNCTION("""COMPUTED_VALUE"""),"DOCS")</f>
        <v>DOCS</v>
      </c>
      <c r="B14" s="163" t="str">
        <f>IFERROR(__xludf.DUMMYFUNCTION("""COMPUTED_VALUE"""),"CMP-005")</f>
        <v>CMP-005</v>
      </c>
      <c r="C14" s="163" t="str">
        <f>IFERROR(__xludf.DUMMYFUNCTION("""COMPUTED_VALUE"""),"METTRE EN FORME UN DOCUMENT")</f>
        <v>METTRE EN FORME UN DOCUMENT</v>
      </c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</row>
    <row r="15">
      <c r="A15" s="163" t="str">
        <f>IFERROR(__xludf.DUMMYFUNCTION("""COMPUTED_VALUE"""),"DOCS")</f>
        <v>DOCS</v>
      </c>
      <c r="B15" s="163" t="str">
        <f>IFERROR(__xludf.DUMMYFUNCTION("""COMPUTED_VALUE"""),"CMP-006")</f>
        <v>CMP-006</v>
      </c>
      <c r="C15" s="163" t="str">
        <f>IFERROR(__xludf.DUMMYFUNCTION("""COMPUTED_VALUE"""),"MANIPULER DES OBJETS (IMAGES, TABLEAUX...) DANS UN DOCUMENT")</f>
        <v>MANIPULER DES OBJETS (IMAGES, TABLEAUX...) DANS UN DOCUMENT</v>
      </c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</row>
    <row r="16">
      <c r="A16" s="163" t="str">
        <f>IFERROR(__xludf.DUMMYFUNCTION("""COMPUTED_VALUE"""),"DOCS")</f>
        <v>DOCS</v>
      </c>
      <c r="B16" s="163" t="str">
        <f>IFERROR(__xludf.DUMMYFUNCTION("""COMPUTED_VALUE"""),"CMP-007")</f>
        <v>CMP-007</v>
      </c>
      <c r="C16" s="163" t="str">
        <f>IFERROR(__xludf.DUMMYFUNCTION("""COMPUTED_VALUE"""),"COLLABORER AU SEIN D'UN DOCUMENT")</f>
        <v>COLLABORER AU SEIN D'UN DOCUMENT</v>
      </c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</row>
    <row r="17">
      <c r="A17" s="163" t="str">
        <f>IFERROR(__xludf.DUMMYFUNCTION("""COMPUTED_VALUE"""),"DRIVE")</f>
        <v>DRIVE</v>
      </c>
      <c r="B17" s="163" t="str">
        <f>IFERROR(__xludf.DUMMYFUNCTION("""COMPUTED_VALUE"""),"CMP-017")</f>
        <v>CMP-017</v>
      </c>
      <c r="C17" s="163" t="str">
        <f>IFERROR(__xludf.DUMMYFUNCTION("""COMPUTED_VALUE"""),"PARTAGER AU SEIN DU DRIVE")</f>
        <v>PARTAGER AU SEIN DU DRIVE</v>
      </c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</row>
    <row r="18">
      <c r="A18" s="163" t="str">
        <f>IFERROR(__xludf.DUMMYFUNCTION("""COMPUTED_VALUE"""),"DRIVE")</f>
        <v>DRIVE</v>
      </c>
      <c r="B18" s="163" t="str">
        <f>IFERROR(__xludf.DUMMYFUNCTION("""COMPUTED_VALUE"""),"CMP-016")</f>
        <v>CMP-016</v>
      </c>
      <c r="C18" s="163" t="str">
        <f>IFERROR(__xludf.DUMMYFUNCTION("""COMPUTED_VALUE"""),"STOCKER AU SEIN DU DRIVE")</f>
        <v>STOCKER AU SEIN DU DRIVE</v>
      </c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</row>
    <row r="19">
      <c r="A19" s="163" t="str">
        <f>IFERROR(__xludf.DUMMYFUNCTION("""COMPUTED_VALUE"""),"DRIVE")</f>
        <v>DRIVE</v>
      </c>
      <c r="B19" s="163" t="str">
        <f>IFERROR(__xludf.DUMMYFUNCTION("""COMPUTED_VALUE"""),"CMP-025")</f>
        <v>CMP-025</v>
      </c>
      <c r="C19" s="163" t="str">
        <f>IFERROR(__xludf.DUMMYFUNCTION("""COMPUTED_VALUE"""),"CRÉER AU SEIN DU DRIVE")</f>
        <v>CRÉER AU SEIN DU DRIVE</v>
      </c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</row>
    <row r="20">
      <c r="A20" s="163" t="str">
        <f>IFERROR(__xludf.DUMMYFUNCTION("""COMPUTED_VALUE"""),"DRIVE")</f>
        <v>DRIVE</v>
      </c>
      <c r="B20" s="163" t="str">
        <f>IFERROR(__xludf.DUMMYFUNCTION("""COMPUTED_VALUE"""),"CMP-026")</f>
        <v>CMP-026</v>
      </c>
      <c r="C20" s="163" t="str">
        <f>IFERROR(__xludf.DUMMYFUNCTION("""COMPUTED_VALUE"""),"S'ORGANISER AU SEIN DU DRIVE")</f>
        <v>S'ORGANISER AU SEIN DU DRIVE</v>
      </c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</row>
    <row r="21">
      <c r="A21" s="163" t="str">
        <f>IFERROR(__xludf.DUMMYFUNCTION("""COMPUTED_VALUE"""),"DRIVE")</f>
        <v>DRIVE</v>
      </c>
      <c r="B21" s="163" t="str">
        <f>IFERROR(__xludf.DUMMYFUNCTION("""COMPUTED_VALUE"""),"CMP-027")</f>
        <v>CMP-027</v>
      </c>
      <c r="C21" s="163" t="str">
        <f>IFERROR(__xludf.DUMMYFUNCTION("""COMPUTED_VALUE"""),"COLLABORER AU SEIN DU DRIVE")</f>
        <v>COLLABORER AU SEIN DU DRIVE</v>
      </c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</row>
    <row r="22">
      <c r="A22" s="163" t="str">
        <f>IFERROR(__xludf.DUMMYFUNCTION("""COMPUTED_VALUE"""),"FORMS")</f>
        <v>FORMS</v>
      </c>
      <c r="B22" s="163" t="str">
        <f>IFERROR(__xludf.DUMMYFUNCTION("""COMPUTED_VALUE"""),"CMP-020")</f>
        <v>CMP-020</v>
      </c>
      <c r="C22" s="163" t="str">
        <f>IFERROR(__xludf.DUMMYFUNCTION("""COMPUTED_VALUE"""),"CRÉER ET ORGANISER LE FORMULAIRE")</f>
        <v>CRÉER ET ORGANISER LE FORMULAIRE</v>
      </c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</row>
    <row r="23">
      <c r="A23" s="163" t="str">
        <f>IFERROR(__xludf.DUMMYFUNCTION("""COMPUTED_VALUE"""),"FORMS")</f>
        <v>FORMS</v>
      </c>
      <c r="B23" s="163" t="str">
        <f>IFERROR(__xludf.DUMMYFUNCTION("""COMPUTED_VALUE"""),"CMP-021")</f>
        <v>CMP-021</v>
      </c>
      <c r="C23" s="163" t="str">
        <f>IFERROR(__xludf.DUMMYFUNCTION("""COMPUTED_VALUE"""),"METTRE EN FORME UN FORMULAIRE")</f>
        <v>METTRE EN FORME UN FORMULAIRE</v>
      </c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</row>
    <row r="24">
      <c r="A24" s="163" t="str">
        <f>IFERROR(__xludf.DUMMYFUNCTION("""COMPUTED_VALUE"""),"FORMS")</f>
        <v>FORMS</v>
      </c>
      <c r="B24" s="163" t="str">
        <f>IFERROR(__xludf.DUMMYFUNCTION("""COMPUTED_VALUE"""),"CMP-022")</f>
        <v>CMP-022</v>
      </c>
      <c r="C24" s="163" t="str">
        <f>IFERROR(__xludf.DUMMYFUNCTION("""COMPUTED_VALUE"""),"ENVOYER LE FORMULAIRE ET GÉRER LES REPONSES")</f>
        <v>ENVOYER LE FORMULAIRE ET GÉRER LES REPONSES</v>
      </c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</row>
    <row r="25">
      <c r="A25" s="163" t="str">
        <f>IFERROR(__xludf.DUMMYFUNCTION("""COMPUTED_VALUE"""),"FORMS")</f>
        <v>FORMS</v>
      </c>
      <c r="B25" s="163" t="str">
        <f>IFERROR(__xludf.DUMMYFUNCTION("""COMPUTED_VALUE"""),"CMP-023")</f>
        <v>CMP-023</v>
      </c>
      <c r="C25" s="163" t="str">
        <f>IFERROR(__xludf.DUMMYFUNCTION("""COMPUTED_VALUE"""),"COLLABORER AU SEIN D'UN FORMULAIRE")</f>
        <v>COLLABORER AU SEIN D'UN FORMULAIRE</v>
      </c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</row>
    <row r="26">
      <c r="A26" s="163" t="str">
        <f>IFERROR(__xludf.DUMMYFUNCTION("""COMPUTED_VALUE"""),"GMAIL")</f>
        <v>GMAIL</v>
      </c>
      <c r="B26" s="163" t="str">
        <f>IFERROR(__xludf.DUMMYFUNCTION("""COMPUTED_VALUE"""),"CMP-010")</f>
        <v>CMP-010</v>
      </c>
      <c r="C26" s="163" t="str">
        <f>IFERROR(__xludf.DUMMYFUNCTION("""COMPUTED_VALUE"""),"CONFIGURER SON INTERFACE DE MESSAGERIE")</f>
        <v>CONFIGURER SON INTERFACE DE MESSAGERIE</v>
      </c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</row>
    <row r="27">
      <c r="A27" s="163" t="str">
        <f>IFERROR(__xludf.DUMMYFUNCTION("""COMPUTED_VALUE"""),"GMAIL")</f>
        <v>GMAIL</v>
      </c>
      <c r="B27" s="163" t="str">
        <f>IFERROR(__xludf.DUMMYFUNCTION("""COMPUTED_VALUE"""),"CMP-011")</f>
        <v>CMP-011</v>
      </c>
      <c r="C27" s="163" t="str">
        <f>IFERROR(__xludf.DUMMYFUNCTION("""COMPUTED_VALUE"""),"PARAMÉTRER SA MESSAGERIE")</f>
        <v>PARAMÉTRER SA MESSAGERIE</v>
      </c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</row>
    <row r="28">
      <c r="A28" s="163" t="str">
        <f>IFERROR(__xludf.DUMMYFUNCTION("""COMPUTED_VALUE"""),"GMAIL")</f>
        <v>GMAIL</v>
      </c>
      <c r="B28" s="163" t="str">
        <f>IFERROR(__xludf.DUMMYFUNCTION("""COMPUTED_VALUE"""),"CMP-012")</f>
        <v>CMP-012</v>
      </c>
      <c r="C28" s="163" t="str">
        <f>IFERROR(__xludf.DUMMYFUNCTION("""COMPUTED_VALUE"""),"GÉRER LE CONTENU DES E-MAILS")</f>
        <v>GÉRER LE CONTENU DES E-MAILS</v>
      </c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</row>
    <row r="29">
      <c r="A29" s="163" t="str">
        <f>IFERROR(__xludf.DUMMYFUNCTION("""COMPUTED_VALUE"""),"GMAIL")</f>
        <v>GMAIL</v>
      </c>
      <c r="B29" s="163" t="str">
        <f>IFERROR(__xludf.DUMMYFUNCTION("""COMPUTED_VALUE"""),"CMP-024")</f>
        <v>CMP-024</v>
      </c>
      <c r="C29" s="163" t="str">
        <f>IFERROR(__xludf.DUMMYFUNCTION("""COMPUTED_VALUE"""),"GÉRER LE FLUX DES E-MAILS")</f>
        <v>GÉRER LE FLUX DES E-MAILS</v>
      </c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</row>
    <row r="30">
      <c r="A30" s="163" t="str">
        <f>IFERROR(__xludf.DUMMYFUNCTION("""COMPUTED_VALUE"""),"GOOGLE APPS SCRIPT")</f>
        <v>GOOGLE APPS SCRIPT</v>
      </c>
      <c r="B30" s="163" t="str">
        <f>IFERROR(__xludf.DUMMYFUNCTION("""COMPUTED_VALUE"""),"CMP-042")</f>
        <v>CMP-042</v>
      </c>
      <c r="C30" s="163" t="str">
        <f>IFERROR(__xludf.DUMMYFUNCTION("""COMPUTED_VALUE"""),"CONNAITRE ET UTILISER JAVA SCRIPT")</f>
        <v>CONNAITRE ET UTILISER JAVA SCRIPT</v>
      </c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</row>
    <row r="31">
      <c r="A31" s="163" t="str">
        <f>IFERROR(__xludf.DUMMYFUNCTION("""COMPUTED_VALUE"""),"GOOGLE APPS SCRIPT")</f>
        <v>GOOGLE APPS SCRIPT</v>
      </c>
      <c r="B31" s="163" t="str">
        <f>IFERROR(__xludf.DUMMYFUNCTION("""COMPUTED_VALUE"""),"CMP-043")</f>
        <v>CMP-043</v>
      </c>
      <c r="C31" s="163" t="str">
        <f>IFERROR(__xludf.DUMMYFUNCTION("""COMPUTED_VALUE"""),"CONNAITRE ET UTILISER  L'ENVIRONNEMENT GOOGLE APPS SCRIPT")</f>
        <v>CONNAITRE ET UTILISER  L'ENVIRONNEMENT GOOGLE APPS SCRIPT</v>
      </c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</row>
    <row r="32">
      <c r="A32" s="163" t="str">
        <f>IFERROR(__xludf.DUMMYFUNCTION("""COMPUTED_VALUE"""),"GOOGLE APPS SCRIPT")</f>
        <v>GOOGLE APPS SCRIPT</v>
      </c>
      <c r="B32" s="163" t="str">
        <f>IFERROR(__xludf.DUMMYFUNCTION("""COMPUTED_VALUE"""),"CMP-044")</f>
        <v>CMP-044</v>
      </c>
      <c r="C32" s="163" t="str">
        <f>IFERROR(__xludf.DUMMYFUNCTION("""COMPUTED_VALUE"""),"INTERAGIR AVEC GOOGLE SHEETS")</f>
        <v>INTERAGIR AVEC GOOGLE SHEETS</v>
      </c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</row>
    <row r="33">
      <c r="A33" s="163" t="str">
        <f>IFERROR(__xludf.DUMMYFUNCTION("""COMPUTED_VALUE"""),"GOOGLE APPS SCRIPT")</f>
        <v>GOOGLE APPS SCRIPT</v>
      </c>
      <c r="B33" s="163" t="str">
        <f>IFERROR(__xludf.DUMMYFUNCTION("""COMPUTED_VALUE"""),"CMP-048")</f>
        <v>CMP-048</v>
      </c>
      <c r="C33" s="163" t="str">
        <f>IFERROR(__xludf.DUMMYFUNCTION("""COMPUTED_VALUE"""),"INTERAGIR AVEC LES APPLICATION DOCS, SLIDES, AGENDA, FORMS, GMAIL")</f>
        <v>INTERAGIR AVEC LES APPLICATION DOCS, SLIDES, AGENDA, FORMS, GMAIL</v>
      </c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</row>
    <row r="34">
      <c r="A34" s="163" t="str">
        <f>IFERROR(__xludf.DUMMYFUNCTION("""COMPUTED_VALUE"""),"GOOGLE APPS SCRIPT")</f>
        <v>GOOGLE APPS SCRIPT</v>
      </c>
      <c r="B34" s="163" t="str">
        <f>IFERROR(__xludf.DUMMYFUNCTION("""COMPUTED_VALUE"""),"CMP-049")</f>
        <v>CMP-049</v>
      </c>
      <c r="C34" s="163" t="str">
        <f>IFERROR(__xludf.DUMMYFUNCTION("""COMPUTED_VALUE"""),"CREER ET DIFFUSER UNE APPLICATION WEB")</f>
        <v>CREER ET DIFFUSER UNE APPLICATION WEB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</row>
    <row r="35">
      <c r="A35" s="163" t="str">
        <f>IFERROR(__xludf.DUMMYFUNCTION("""COMPUTED_VALUE"""),"GOOGLE WORKSPACE")</f>
        <v>GOOGLE WORKSPACE</v>
      </c>
      <c r="B35" s="163" t="str">
        <f>IFERROR(__xludf.DUMMYFUNCTION("""COMPUTED_VALUE"""),"CMP-040")</f>
        <v>CMP-040</v>
      </c>
      <c r="C35" s="163" t="str">
        <f>IFERROR(__xludf.DUMMYFUNCTION("""COMPUTED_VALUE"""),"UTILISER GOOGLE WORKSPACE POUR UNE ORGANISATION PROFESSIONNELLE")</f>
        <v>UTILISER GOOGLE WORKSPACE POUR UNE ORGANISATION PROFESSIONNELLE</v>
      </c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</row>
    <row r="36">
      <c r="A36" s="163" t="str">
        <f>IFERROR(__xludf.DUMMYFUNCTION("""COMPUTED_VALUE"""),"GOOGLE WORKSPACE")</f>
        <v>GOOGLE WORKSPACE</v>
      </c>
      <c r="B36" s="163" t="str">
        <f>IFERROR(__xludf.DUMMYFUNCTION("""COMPUTED_VALUE"""),"CMP-041")</f>
        <v>CMP-041</v>
      </c>
      <c r="C36" s="163" t="str">
        <f>IFERROR(__xludf.DUMMYFUNCTION("""COMPUTED_VALUE"""),"CONFIGURER GOOGLE WORKSPACE")</f>
        <v>CONFIGURER GOOGLE WORKSPACE</v>
      </c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</row>
    <row r="37">
      <c r="A37" s="163" t="str">
        <f>IFERROR(__xludf.DUMMYFUNCTION("""COMPUTED_VALUE"""),"CHAT")</f>
        <v>CHAT</v>
      </c>
      <c r="B37" s="163" t="str">
        <f>IFERROR(__xludf.DUMMYFUNCTION("""COMPUTED_VALUE"""),"CMP-036")</f>
        <v>CMP-036</v>
      </c>
      <c r="C37" s="163" t="str">
        <f>IFERROR(__xludf.DUMMYFUNCTION("""COMPUTED_VALUE"""),"COMMUNIQUER AVEC GOOGLE CHAT")</f>
        <v>COMMUNIQUER AVEC GOOGLE CHAT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</row>
    <row r="38">
      <c r="A38" s="163" t="str">
        <f>IFERROR(__xludf.DUMMYFUNCTION("""COMPUTED_VALUE"""),"JAMBOARD")</f>
        <v>JAMBOARD</v>
      </c>
      <c r="B38" s="163" t="str">
        <f>IFERROR(__xludf.DUMMYFUNCTION("""COMPUTED_VALUE"""),"CMP-053")</f>
        <v>CMP-053</v>
      </c>
      <c r="C38" s="163" t="str">
        <f>IFERROR(__xludf.DUMMYFUNCTION("""COMPUTED_VALUE"""),"UTILISER JAMBOARD")</f>
        <v>UTILISER JAMBOARD</v>
      </c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</row>
    <row r="39">
      <c r="A39" s="163" t="str">
        <f>IFERROR(__xludf.DUMMYFUNCTION("""COMPUTED_VALUE"""),"KEEP")</f>
        <v>KEEP</v>
      </c>
      <c r="B39" s="163" t="str">
        <f>IFERROR(__xludf.DUMMYFUNCTION("""COMPUTED_VALUE"""),"CMP-034")</f>
        <v>CMP-034</v>
      </c>
      <c r="C39" s="163" t="str">
        <f>IFERROR(__xludf.DUMMYFUNCTION("""COMPUTED_VALUE"""),"GÉRER DES NOTES AVEC KEEP")</f>
        <v>GÉRER DES NOTES AVEC KEEP</v>
      </c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</row>
    <row r="40">
      <c r="A40" s="163" t="str">
        <f>IFERROR(__xludf.DUMMYFUNCTION("""COMPUTED_VALUE"""),"KEEP")</f>
        <v>KEEP</v>
      </c>
      <c r="B40" s="163" t="str">
        <f>IFERROR(__xludf.DUMMYFUNCTION("""COMPUTED_VALUE"""),"CMP-035")</f>
        <v>CMP-035</v>
      </c>
      <c r="C40" s="163" t="str">
        <f>IFERROR(__xludf.DUMMYFUNCTION("""COMPUTED_VALUE"""),"COLLABORER AVEC KEEP")</f>
        <v>COLLABORER AVEC KEEP</v>
      </c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</row>
    <row r="41">
      <c r="A41" s="163" t="str">
        <f>IFERROR(__xludf.DUMMYFUNCTION("""COMPUTED_VALUE"""),"MAPS")</f>
        <v>MAPS</v>
      </c>
      <c r="B41" s="163" t="str">
        <f>IFERROR(__xludf.DUMMYFUNCTION("""COMPUTED_VALUE"""),"CMP-051")</f>
        <v>CMP-051</v>
      </c>
      <c r="C41" s="163" t="str">
        <f>IFERROR(__xludf.DUMMYFUNCTION("""COMPUTED_VALUE"""),"UTILISER GOOGLE MAPS")</f>
        <v>UTILISER GOOGLE MAPS</v>
      </c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</row>
    <row r="42">
      <c r="A42" s="163" t="str">
        <f>IFERROR(__xludf.DUMMYFUNCTION("""COMPUTED_VALUE"""),"MEET")</f>
        <v>MEET</v>
      </c>
      <c r="B42" s="163" t="str">
        <f>IFERROR(__xludf.DUMMYFUNCTION("""COMPUTED_VALUE"""),"CMP-031")</f>
        <v>CMP-031</v>
      </c>
      <c r="C42" s="163" t="str">
        <f>IFERROR(__xludf.DUMMYFUNCTION("""COMPUTED_VALUE"""),"CREER ET ANIMER UNE VISIO CONFERENCE")</f>
        <v>CREER ET ANIMER UNE VISIO CONFERENCE</v>
      </c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</row>
    <row r="43">
      <c r="A43" s="163" t="str">
        <f>IFERROR(__xludf.DUMMYFUNCTION("""COMPUTED_VALUE"""),"PHOTOS")</f>
        <v>PHOTOS</v>
      </c>
      <c r="B43" s="163" t="str">
        <f>IFERROR(__xludf.DUMMYFUNCTION("""COMPUTED_VALUE"""),"CMP-050")</f>
        <v>CMP-050</v>
      </c>
      <c r="C43" s="163" t="str">
        <f>IFERROR(__xludf.DUMMYFUNCTION("""COMPUTED_VALUE"""),"UTILISER GOOGLE PHOTOS")</f>
        <v>UTILISER GOOGLE PHOTOS</v>
      </c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</row>
    <row r="44">
      <c r="A44" s="163" t="str">
        <f>IFERROR(__xludf.DUMMYFUNCTION("""COMPUTED_VALUE"""),"SHEETS")</f>
        <v>SHEETS</v>
      </c>
      <c r="B44" s="163" t="str">
        <f>IFERROR(__xludf.DUMMYFUNCTION("""COMPUTED_VALUE"""),"CMP-001")</f>
        <v>CMP-001</v>
      </c>
      <c r="C44" s="163" t="str">
        <f>IFERROR(__xludf.DUMMYFUNCTION("""COMPUTED_VALUE"""),"NAVIGUER DANS SA BASE DE DONNÉES")</f>
        <v>NAVIGUER DANS SA BASE DE DONNÉES</v>
      </c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</row>
    <row r="45">
      <c r="A45" s="163" t="str">
        <f>IFERROR(__xludf.DUMMYFUNCTION("""COMPUTED_VALUE"""),"SHEETS")</f>
        <v>SHEETS</v>
      </c>
      <c r="B45" s="163" t="str">
        <f>IFERROR(__xludf.DUMMYFUNCTION("""COMPUTED_VALUE"""),"CMP-002")</f>
        <v>CMP-002</v>
      </c>
      <c r="C45" s="163" t="str">
        <f>IFERROR(__xludf.DUMMYFUNCTION("""COMPUTED_VALUE"""),"METTRE EN FORME SA BASE DE DONNÉES")</f>
        <v>METTRE EN FORME SA BASE DE DONNÉES</v>
      </c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</row>
    <row r="46">
      <c r="A46" s="163" t="str">
        <f>IFERROR(__xludf.DUMMYFUNCTION("""COMPUTED_VALUE"""),"SHEETS")</f>
        <v>SHEETS</v>
      </c>
      <c r="B46" s="163" t="str">
        <f>IFERROR(__xludf.DUMMYFUNCTION("""COMPUTED_VALUE"""),"CMP-003")</f>
        <v>CMP-003</v>
      </c>
      <c r="C46" s="163" t="str">
        <f>IFERROR(__xludf.DUMMYFUNCTION("""COMPUTED_VALUE"""),"COLLABORER AVEC DES BASES DE DONNÉES")</f>
        <v>COLLABORER AVEC DES BASES DE DONNÉES</v>
      </c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</row>
    <row r="47">
      <c r="A47" s="163" t="str">
        <f>IFERROR(__xludf.DUMMYFUNCTION("""COMPUTED_VALUE"""),"SHEETS")</f>
        <v>SHEETS</v>
      </c>
      <c r="B47" s="163" t="str">
        <f>IFERROR(__xludf.DUMMYFUNCTION("""COMPUTED_VALUE"""),"CMP-004")</f>
        <v>CMP-004</v>
      </c>
      <c r="C47" s="163" t="str">
        <f>IFERROR(__xludf.DUMMYFUNCTION("""COMPUTED_VALUE"""),"SYNTHETISER DES DONNÉES POUR LES PRÉSENTER")</f>
        <v>SYNTHETISER DES DONNÉES POUR LES PRÉSENTER</v>
      </c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</row>
    <row r="48">
      <c r="A48" s="163" t="str">
        <f>IFERROR(__xludf.DUMMYFUNCTION("""COMPUTED_VALUE"""),"SHEETS")</f>
        <v>SHEETS</v>
      </c>
      <c r="B48" s="163" t="str">
        <f>IFERROR(__xludf.DUMMYFUNCTION("""COMPUTED_VALUE"""),"CMP-018")</f>
        <v>CMP-018</v>
      </c>
      <c r="C48" s="163" t="str">
        <f>IFERROR(__xludf.DUMMYFUNCTION("""COMPUTED_VALUE"""),"ALIMENTER UNE BASE DE DONNÉES")</f>
        <v>ALIMENTER UNE BASE DE DONNÉES</v>
      </c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</row>
    <row r="49">
      <c r="A49" s="163" t="str">
        <f>IFERROR(__xludf.DUMMYFUNCTION("""COMPUTED_VALUE"""),"SHEETS")</f>
        <v>SHEETS</v>
      </c>
      <c r="B49" s="163" t="str">
        <f>IFERROR(__xludf.DUMMYFUNCTION("""COMPUTED_VALUE"""),"CMP-019")</f>
        <v>CMP-019</v>
      </c>
      <c r="C49" s="163" t="str">
        <f>IFERROR(__xludf.DUMMYFUNCTION("""COMPUTED_VALUE"""),"UTILISER DES FONCTIONS")</f>
        <v>UTILISER DES FONCTIONS</v>
      </c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</row>
    <row r="50">
      <c r="A50" s="163" t="str">
        <f>IFERROR(__xludf.DUMMYFUNCTION("""COMPUTED_VALUE"""),"SITES")</f>
        <v>SITES</v>
      </c>
      <c r="B50" s="163" t="str">
        <f>IFERROR(__xludf.DUMMYFUNCTION("""COMPUTED_VALUE"""),"CMP-037")</f>
        <v>CMP-037</v>
      </c>
      <c r="C50" s="163" t="str">
        <f>IFERROR(__xludf.DUMMYFUNCTION("""COMPUTED_VALUE"""),"CREER UN SITE INTERNET AVEC GOOGLE SITES")</f>
        <v>CREER UN SITE INTERNET AVEC GOOGLE SITES</v>
      </c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</row>
    <row r="51">
      <c r="A51" s="163" t="str">
        <f>IFERROR(__xludf.DUMMYFUNCTION("""COMPUTED_VALUE"""),"SITES")</f>
        <v>SITES</v>
      </c>
      <c r="B51" s="163" t="str">
        <f>IFERROR(__xludf.DUMMYFUNCTION("""COMPUTED_VALUE"""),"CMP-038")</f>
        <v>CMP-038</v>
      </c>
      <c r="C51" s="163" t="str">
        <f>IFERROR(__xludf.DUMMYFUNCTION("""COMPUTED_VALUE"""),"INSERER ET METTRE EN FORME DES ÉLÉMENTS SUR UNE PAGE")</f>
        <v>INSERER ET METTRE EN FORME DES ÉLÉMENTS SUR UNE PAGE</v>
      </c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</row>
    <row r="52">
      <c r="A52" s="163" t="str">
        <f>IFERROR(__xludf.DUMMYFUNCTION("""COMPUTED_VALUE"""),"SITES")</f>
        <v>SITES</v>
      </c>
      <c r="B52" s="163" t="str">
        <f>IFERROR(__xludf.DUMMYFUNCTION("""COMPUTED_VALUE"""),"CMP-039")</f>
        <v>CMP-039</v>
      </c>
      <c r="C52" s="163" t="str">
        <f>IFERROR(__xludf.DUMMYFUNCTION("""COMPUTED_VALUE"""),"DIFFUSER SON SITE")</f>
        <v>DIFFUSER SON SITE</v>
      </c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</row>
    <row r="53">
      <c r="A53" s="163" t="str">
        <f>IFERROR(__xludf.DUMMYFUNCTION("""COMPUTED_VALUE"""),"SLIDES")</f>
        <v>SLIDES</v>
      </c>
      <c r="B53" s="163" t="str">
        <f>IFERROR(__xludf.DUMMYFUNCTION("""COMPUTED_VALUE"""),"CMP-013")</f>
        <v>CMP-013</v>
      </c>
      <c r="C53" s="163" t="str">
        <f>IFERROR(__xludf.DUMMYFUNCTION("""COMPUTED_VALUE"""),"CREER ET METTRE EN FORME UNE PRÉSENTATION")</f>
        <v>CREER ET METTRE EN FORME UNE PRÉSENTATION</v>
      </c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</row>
    <row r="54">
      <c r="A54" s="163" t="str">
        <f>IFERROR(__xludf.DUMMYFUNCTION("""COMPUTED_VALUE"""),"SLIDES")</f>
        <v>SLIDES</v>
      </c>
      <c r="B54" s="163" t="str">
        <f>IFERROR(__xludf.DUMMYFUNCTION("""COMPUTED_VALUE"""),"CMP-015")</f>
        <v>CMP-015</v>
      </c>
      <c r="C54" s="163" t="str">
        <f>IFERROR(__xludf.DUMMYFUNCTION("""COMPUTED_VALUE"""),"ANIMER ET PRÉSENTER SA PRÉSENTATION")</f>
        <v>ANIMER ET PRÉSENTER SA PRÉSENTATION</v>
      </c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</row>
    <row r="55">
      <c r="A55" s="163" t="str">
        <f>IFERROR(__xludf.DUMMYFUNCTION("""COMPUTED_VALUE"""),"CLASSROOM")</f>
        <v>CLASSROOM</v>
      </c>
      <c r="B55" s="163" t="str">
        <f>IFERROR(__xludf.DUMMYFUNCTION("""COMPUTED_VALUE"""),"CMP-057")</f>
        <v>CMP-057</v>
      </c>
      <c r="C55" s="163" t="str">
        <f>IFERROR(__xludf.DUMMYFUNCTION("""COMPUTED_VALUE"""),"UTILISER CLASSROOM")</f>
        <v>UTILISER CLASSROOM</v>
      </c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</row>
    <row r="56">
      <c r="A56" s="163" t="str">
        <f>IFERROR(__xludf.DUMMYFUNCTION("""COMPUTED_VALUE"""),"TASKS")</f>
        <v>TASKS</v>
      </c>
      <c r="B56" s="163" t="str">
        <f>IFERROR(__xludf.DUMMYFUNCTION("""COMPUTED_VALUE"""),"CMP-058")</f>
        <v>CMP-058</v>
      </c>
      <c r="C56" s="163" t="str">
        <f>IFERROR(__xludf.DUMMYFUNCTION("""COMPUTED_VALUE"""),"UTILISER TASKS")</f>
        <v>UTILISER TASKS</v>
      </c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</row>
    <row r="57">
      <c r="A57" s="163" t="str">
        <f>IFERROR(__xludf.DUMMYFUNCTION("""COMPUTED_VALUE"""),"DUO")</f>
        <v>DUO</v>
      </c>
      <c r="B57" s="163" t="str">
        <f>IFERROR(__xludf.DUMMYFUNCTION("""COMPUTED_VALUE"""),"CMP-059")</f>
        <v>CMP-059</v>
      </c>
      <c r="C57" s="163" t="str">
        <f>IFERROR(__xludf.DUMMYFUNCTION("""COMPUTED_VALUE"""),"UTILISER DUO")</f>
        <v>UTILISER DUO</v>
      </c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</row>
    <row r="58">
      <c r="A58" s="163" t="str">
        <f>IFERROR(__xludf.DUMMYFUNCTION("""COMPUTED_VALUE"""),"GOOGLE +")</f>
        <v>GOOGLE +</v>
      </c>
      <c r="B58" s="163" t="str">
        <f>IFERROR(__xludf.DUMMYFUNCTION("""COMPUTED_VALUE"""),"CMP-060")</f>
        <v>CMP-060</v>
      </c>
      <c r="C58" s="163" t="str">
        <f>IFERROR(__xludf.DUMMYFUNCTION("""COMPUTED_VALUE"""),"UTILISER GOOGLE +")</f>
        <v>UTILISER GOOGLE +</v>
      </c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</row>
    <row r="59">
      <c r="A59" s="163" t="str">
        <f>IFERROR(__xludf.DUMMYFUNCTION("""COMPUTED_VALUE"""),"DRAWINGS")</f>
        <v>DRAWINGS</v>
      </c>
      <c r="B59" s="163" t="str">
        <f>IFERROR(__xludf.DUMMYFUNCTION("""COMPUTED_VALUE"""),"CMP-061")</f>
        <v>CMP-061</v>
      </c>
      <c r="C59" s="163" t="str">
        <f>IFERROR(__xludf.DUMMYFUNCTION("""COMPUTED_VALUE"""),"UTILISER DRAWINGS")</f>
        <v>UTILISER DRAWINGS</v>
      </c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</row>
    <row r="60">
      <c r="A60" s="163" t="str">
        <f>IFERROR(__xludf.DUMMYFUNCTION("""COMPUTED_VALUE"""),"YOUTUBE")</f>
        <v>YOUTUBE</v>
      </c>
      <c r="B60" s="163" t="str">
        <f>IFERROR(__xludf.DUMMYFUNCTION("""COMPUTED_VALUE"""),"CMP-062")</f>
        <v>CMP-062</v>
      </c>
      <c r="C60" s="163" t="str">
        <f>IFERROR(__xludf.DUMMYFUNCTION("""COMPUTED_VALUE"""),"UTILISER YOUTUBE")</f>
        <v>UTILISER YOUTUBE</v>
      </c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</row>
    <row r="61">
      <c r="A61" s="163" t="str">
        <f>IFERROR(__xludf.DUMMYFUNCTION("""COMPUTED_VALUE"""),"CHAT")</f>
        <v>CHAT</v>
      </c>
      <c r="B61" s="163" t="str">
        <f>IFERROR(__xludf.DUMMYFUNCTION("""COMPUTED_VALUE"""),"CMP-063")</f>
        <v>CMP-063</v>
      </c>
      <c r="C61" s="163" t="str">
        <f>IFERROR(__xludf.DUMMYFUNCTION("""COMPUTED_VALUE"""),"UTILISER GOOGLE CHAT POUR COMMUNIQUER")</f>
        <v>UTILISER GOOGLE CHAT POUR COMMUNIQUER</v>
      </c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</row>
    <row r="62">
      <c r="A62" s="163" t="str">
        <f>IFERROR(__xludf.DUMMYFUNCTION("""COMPUTED_VALUE"""),"GROUPS")</f>
        <v>GROUPS</v>
      </c>
      <c r="B62" s="163" t="str">
        <f>IFERROR(__xludf.DUMMYFUNCTION("""COMPUTED_VALUE"""),"CMP-064")</f>
        <v>CMP-064</v>
      </c>
      <c r="C62" s="163" t="str">
        <f>IFERROR(__xludf.DUMMYFUNCTION("""COMPUTED_VALUE"""),"CRÉER ET GÉRER LES GROUPES")</f>
        <v>CRÉER ET GÉRER LES GROUPES</v>
      </c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</row>
    <row r="63">
      <c r="A63" s="163" t="str">
        <f>IFERROR(__xludf.DUMMYFUNCTION("""COMPUTED_VALUE"""),"APPSHEET")</f>
        <v>APPSHEET</v>
      </c>
      <c r="B63" s="163" t="str">
        <f>IFERROR(__xludf.DUMMYFUNCTION("""COMPUTED_VALUE"""),"CMP-065")</f>
        <v>CMP-065</v>
      </c>
      <c r="C63" s="163" t="str">
        <f>IFERROR(__xludf.DUMMYFUNCTION("""COMPUTED_VALUE"""),"CREER UNE APPLICATION")</f>
        <v>CREER UNE APPLICATION</v>
      </c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</row>
    <row r="64">
      <c r="A64" s="163" t="str">
        <f>IFERROR(__xludf.DUMMYFUNCTION("""COMPUTED_VALUE"""),"CHROME BOOK")</f>
        <v>CHROME BOOK</v>
      </c>
      <c r="B64" s="163" t="str">
        <f>IFERROR(__xludf.DUMMYFUNCTION("""COMPUTED_VALUE"""),"CMP-066")</f>
        <v>CMP-066</v>
      </c>
      <c r="C64" s="163" t="str">
        <f>IFERROR(__xludf.DUMMYFUNCTION("""COMPUTED_VALUE"""),"DÉCOUVRIR LE CHROMEBOOK")</f>
        <v>DÉCOUVRIR LE CHROMEBOOK</v>
      </c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</row>
    <row r="65">
      <c r="A65" s="163" t="str">
        <f>IFERROR(__xludf.DUMMYFUNCTION("""COMPUTED_VALUE"""),"CHROME BOOK")</f>
        <v>CHROME BOOK</v>
      </c>
      <c r="B65" s="163" t="str">
        <f>IFERROR(__xludf.DUMMYFUNCTION("""COMPUTED_VALUE"""),"CMP-067")</f>
        <v>CMP-067</v>
      </c>
      <c r="C65" s="163" t="str">
        <f>IFERROR(__xludf.DUMMYFUNCTION("""COMPUTED_VALUE"""),"UTILISER LE CLAVIER ET LES FONCTIONNALITÉS CHROMEBOOK")</f>
        <v>UTILISER LE CLAVIER ET LES FONCTIONNALITÉS CHROMEBOOK</v>
      </c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</row>
    <row r="66">
      <c r="A66" s="163" t="str">
        <f>IFERROR(__xludf.DUMMYFUNCTION("""COMPUTED_VALUE"""),"CHROME BOOK")</f>
        <v>CHROME BOOK</v>
      </c>
      <c r="B66" s="163" t="str">
        <f>IFERROR(__xludf.DUMMYFUNCTION("""COMPUTED_VALUE"""),"CMP-068")</f>
        <v>CMP-068</v>
      </c>
      <c r="C66" s="163" t="str">
        <f>IFERROR(__xludf.DUMMYFUNCTION("""COMPUTED_VALUE"""),"DÉCOUVRIR LES APPLICATIONS GOOGLE WORKSPACE SUR CHROMEBOOK")</f>
        <v>DÉCOUVRIR LES APPLICATIONS GOOGLE WORKSPACE SUR CHROMEBOOK</v>
      </c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</row>
    <row r="67">
      <c r="A67" s="163" t="str">
        <f>IFERROR(__xludf.DUMMYFUNCTION("""COMPUTED_VALUE"""),"CHROME BOOK")</f>
        <v>CHROME BOOK</v>
      </c>
      <c r="B67" s="163" t="str">
        <f>IFERROR(__xludf.DUMMYFUNCTION("""COMPUTED_VALUE"""),"CMP-069")</f>
        <v>CMP-069</v>
      </c>
      <c r="C67" s="163" t="str">
        <f>IFERROR(__xludf.DUMMYFUNCTION("""COMPUTED_VALUE"""),"EXPLOITER PLEINEMENT LE NAVIGATEUR CHROME SUR CHROMEBOOK")</f>
        <v>EXPLOITER PLEINEMENT LE NAVIGATEUR CHROME SUR CHROMEBOOK</v>
      </c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</row>
    <row r="68">
      <c r="A68" s="163" t="str">
        <f>IFERROR(__xludf.DUMMYFUNCTION("""COMPUTED_VALUE"""),"DRIVE")</f>
        <v>DRIVE</v>
      </c>
      <c r="B68" s="163" t="str">
        <f>IFERROR(__xludf.DUMMYFUNCTION("""COMPUTED_VALUE"""),"CMP-070")</f>
        <v>CMP-070</v>
      </c>
      <c r="C68" s="163" t="str">
        <f>IFERROR(__xludf.DUMMYFUNCTION("""COMPUTED_VALUE"""),"ORGANISER SON ESPACE DANS DRIVE PARTAGÉS")</f>
        <v>ORGANISER SON ESPACE DANS DRIVE PARTAGÉS</v>
      </c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</row>
    <row r="69">
      <c r="A69" s="163" t="str">
        <f>IFERROR(__xludf.DUMMYFUNCTION("""COMPUTED_VALUE"""),"DRIVE")</f>
        <v>DRIVE</v>
      </c>
      <c r="B69" s="163" t="str">
        <f>IFERROR(__xludf.DUMMYFUNCTION("""COMPUTED_VALUE"""),"CMP-071")</f>
        <v>CMP-071</v>
      </c>
      <c r="C69" s="163" t="str">
        <f>IFERROR(__xludf.DUMMYFUNCTION("""COMPUTED_VALUE"""),"ADMINISTRER UN DRIVE PARTAGÉS")</f>
        <v>ADMINISTRER UN DRIVE PARTAGÉS</v>
      </c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</row>
    <row r="70">
      <c r="A70" s="163" t="str">
        <f>IFERROR(__xludf.DUMMYFUNCTION("""COMPUTED_VALUE"""),"SHEETS")</f>
        <v>SHEETS</v>
      </c>
      <c r="B70" s="163" t="str">
        <f>IFERROR(__xludf.DUMMYFUNCTION("""COMPUTED_VALUE"""),"CMP-072")</f>
        <v>CMP-072</v>
      </c>
      <c r="C70" s="163" t="str">
        <f>IFERROR(__xludf.DUMMYFUNCTION("""COMPUTED_VALUE"""),"CONSTRUIRE UNE BASE DE DONNÉES CONSÉQUENTE")</f>
        <v>CONSTRUIRE UNE BASE DE DONNÉES CONSÉQUENTE</v>
      </c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</row>
    <row r="71">
      <c r="A71" s="163" t="str">
        <f>IFERROR(__xludf.DUMMYFUNCTION("""COMPUTED_VALUE"""),"SHEETS")</f>
        <v>SHEETS</v>
      </c>
      <c r="B71" s="163" t="str">
        <f>IFERROR(__xludf.DUMMYFUNCTION("""COMPUTED_VALUE"""),"CMP-073")</f>
        <v>CMP-073</v>
      </c>
      <c r="C71" s="163" t="str">
        <f>IFERROR(__xludf.DUMMYFUNCTION("""COMPUTED_VALUE"""),"RÉALISER DES CALCULS ÉLABORÉES")</f>
        <v>RÉALISER DES CALCULS ÉLABORÉES</v>
      </c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</row>
    <row r="72">
      <c r="A72" s="163" t="str">
        <f>IFERROR(__xludf.DUMMYFUNCTION("""COMPUTED_VALUE"""),"SHEETS")</f>
        <v>SHEETS</v>
      </c>
      <c r="B72" s="163" t="str">
        <f>IFERROR(__xludf.DUMMYFUNCTION("""COMPUTED_VALUE"""),"CMP-074")</f>
        <v>CMP-074</v>
      </c>
      <c r="C72" s="163" t="str">
        <f>IFERROR(__xludf.DUMMYFUNCTION("""COMPUTED_VALUE"""),"NETTOYER UNE BASE DE DONNÉES ET LA RENDRE DYNAMIQUE")</f>
        <v>NETTOYER UNE BASE DE DONNÉES ET LA RENDRE DYNAMIQUE</v>
      </c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</row>
    <row r="73">
      <c r="A73" s="163" t="str">
        <f>IFERROR(__xludf.DUMMYFUNCTION("""COMPUTED_VALUE"""),"SHEETS")</f>
        <v>SHEETS</v>
      </c>
      <c r="B73" s="163" t="str">
        <f>IFERROR(__xludf.DUMMYFUNCTION("""COMPUTED_VALUE"""),"CMP-075")</f>
        <v>CMP-075</v>
      </c>
      <c r="C73" s="163" t="str">
        <f>IFERROR(__xludf.DUMMYFUNCTION("""COMPUTED_VALUE"""),"CONSOLIDER DES DONNÉES ENTRE PLUSIEURS FEUILLES DE CALCUL")</f>
        <v>CONSOLIDER DES DONNÉES ENTRE PLUSIEURS FEUILLES DE CALCUL</v>
      </c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</row>
    <row r="74">
      <c r="A74" s="163" t="str">
        <f>IFERROR(__xludf.DUMMYFUNCTION("""COMPUTED_VALUE"""),"CLOUD PLATFORM")</f>
        <v>CLOUD PLATFORM</v>
      </c>
      <c r="B74" s="163" t="str">
        <f>IFERROR(__xludf.DUMMYFUNCTION("""COMPUTED_VALUE"""),"CMP-076")</f>
        <v>CMP-076</v>
      </c>
      <c r="C74" s="163" t="str">
        <f>IFERROR(__xludf.DUMMYFUNCTION("""COMPUTED_VALUE"""),"DÉFINIR GOOGLE CLOUD PLATFORM")</f>
        <v>DÉFINIR GOOGLE CLOUD PLATFORM</v>
      </c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</row>
    <row r="75">
      <c r="A75" s="163" t="str">
        <f>IFERROR(__xludf.DUMMYFUNCTION("""COMPUTED_VALUE"""),"CLOUD PLATFORM")</f>
        <v>CLOUD PLATFORM</v>
      </c>
      <c r="B75" s="163" t="str">
        <f>IFERROR(__xludf.DUMMYFUNCTION("""COMPUTED_VALUE"""),"CMP-077")</f>
        <v>CMP-077</v>
      </c>
      <c r="C75" s="163" t="str">
        <f>IFERROR(__xludf.DUMMYFUNCTION("""COMPUTED_VALUE"""),"CRÉER UN PROJET")</f>
        <v>CRÉER UN PROJET</v>
      </c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</row>
    <row r="76">
      <c r="A76" s="163" t="str">
        <f>IFERROR(__xludf.DUMMYFUNCTION("""COMPUTED_VALUE"""),"CLOUD PLATFORM")</f>
        <v>CLOUD PLATFORM</v>
      </c>
      <c r="B76" s="163" t="str">
        <f>IFERROR(__xludf.DUMMYFUNCTION("""COMPUTED_VALUE"""),"CMP-078")</f>
        <v>CMP-078</v>
      </c>
      <c r="C76" s="163" t="str">
        <f>IFERROR(__xludf.DUMMYFUNCTION("""COMPUTED_VALUE"""),"IDENTIFIER LES PRINCIPAUX SERVICES")</f>
        <v>IDENTIFIER LES PRINCIPAUX SERVICES</v>
      </c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</row>
    <row r="77">
      <c r="A77" s="163" t="str">
        <f>IFERROR(__xludf.DUMMYFUNCTION("""COMPUTED_VALUE"""),"CLOUD PLATFORM")</f>
        <v>CLOUD PLATFORM</v>
      </c>
      <c r="B77" s="163" t="str">
        <f>IFERROR(__xludf.DUMMYFUNCTION("""COMPUTED_VALUE"""),"CMP-079")</f>
        <v>CMP-079</v>
      </c>
      <c r="C77" s="163" t="str">
        <f>IFERROR(__xludf.DUMMYFUNCTION("""COMPUTED_VALUE"""),"UTILISER BIGQUERY")</f>
        <v>UTILISER BIGQUERY</v>
      </c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</row>
    <row r="78">
      <c r="A78" s="163" t="str">
        <f>IFERROR(__xludf.DUMMYFUNCTION("""COMPUTED_VALUE"""),"CONSOLE ADMIN")</f>
        <v>CONSOLE ADMIN</v>
      </c>
      <c r="B78" s="163" t="str">
        <f>IFERROR(__xludf.DUMMYFUNCTION("""COMPUTED_VALUE"""),"CMP-080")</f>
        <v>CMP-080</v>
      </c>
      <c r="C78" s="163" t="str">
        <f>IFERROR(__xludf.DUMMYFUNCTION("""COMPUTED_VALUE"""),"PARAMÉTRER LES SERVICES GOOGLE WORKSPACE")</f>
        <v>PARAMÉTRER LES SERVICES GOOGLE WORKSPACE</v>
      </c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</row>
    <row r="79">
      <c r="A79" s="163" t="str">
        <f>IFERROR(__xludf.DUMMYFUNCTION("""COMPUTED_VALUE"""),"CONSOLE ADMIN")</f>
        <v>CONSOLE ADMIN</v>
      </c>
      <c r="B79" s="163" t="str">
        <f>IFERROR(__xludf.DUMMYFUNCTION("""COMPUTED_VALUE"""),"CMP-081")</f>
        <v>CMP-081</v>
      </c>
      <c r="C79" s="163" t="str">
        <f>IFERROR(__xludf.DUMMYFUNCTION("""COMPUTED_VALUE"""),"SÉCURISER LA CONSOLE D'ADMINISTRATION")</f>
        <v>SÉCURISER LA CONSOLE D'ADMINISTRATION</v>
      </c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</row>
    <row r="80">
      <c r="A80" s="163" t="str">
        <f>IFERROR(__xludf.DUMMYFUNCTION("""COMPUTED_VALUE"""),"CONSOLE ADMIN")</f>
        <v>CONSOLE ADMIN</v>
      </c>
      <c r="B80" s="163" t="str">
        <f>IFERROR(__xludf.DUMMYFUNCTION("""COMPUTED_VALUE"""),"CMP-082")</f>
        <v>CMP-082</v>
      </c>
      <c r="C80" s="163" t="str">
        <f>IFERROR(__xludf.DUMMYFUNCTION("""COMPUTED_VALUE"""),"IDENTIFIER LES CONNECTEURS ET LEURS FONCTIONS")</f>
        <v>IDENTIFIER LES CONNECTEURS ET LEURS FONCTIONS</v>
      </c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</row>
    <row r="81">
      <c r="A81" s="163" t="str">
        <f>IFERROR(__xludf.DUMMYFUNCTION("""COMPUTED_VALUE"""),"SHEETS")</f>
        <v>SHEETS</v>
      </c>
      <c r="B81" s="163" t="str">
        <f>IFERROR(__xludf.DUMMYFUNCTION("""COMPUTED_VALUE"""),"CMP-083")</f>
        <v>CMP-083</v>
      </c>
      <c r="C81" s="163" t="str">
        <f>IFERROR(__xludf.DUMMYFUNCTION("""COMPUTED_VALUE"""),"BONNES PRATIQUES ET FONDAMENTAUX")</f>
        <v>BONNES PRATIQUES ET FONDAMENTAUX</v>
      </c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</row>
    <row r="82">
      <c r="A82" s="163" t="str">
        <f>IFERROR(__xludf.DUMMYFUNCTION("""COMPUTED_VALUE"""),"SHEETS")</f>
        <v>SHEETS</v>
      </c>
      <c r="B82" s="163" t="str">
        <f>IFERROR(__xludf.DUMMYFUNCTION("""COMPUTED_VALUE"""),"CMP-084")</f>
        <v>CMP-084</v>
      </c>
      <c r="C82" s="163" t="str">
        <f>IFERROR(__xludf.DUMMYFUNCTION("""COMPUTED_VALUE"""),"DATA CLEANING ET BUSINESS INTELLIGENCE")</f>
        <v>DATA CLEANING ET BUSINESS INTELLIGENCE</v>
      </c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</row>
    <row r="83">
      <c r="A83" s="163" t="str">
        <f>IFERROR(__xludf.DUMMYFUNCTION("""COMPUTED_VALUE"""),"SHEETS")</f>
        <v>SHEETS</v>
      </c>
      <c r="B83" s="163" t="str">
        <f>IFERROR(__xludf.DUMMYFUNCTION("""COMPUTED_VALUE"""),"CMP-085")</f>
        <v>CMP-085</v>
      </c>
      <c r="C83" s="163" t="str">
        <f>IFERROR(__xludf.DUMMYFUNCTION("""COMPUTED_VALUE"""),"CONSOLIDATIONS DE DONNÉES")</f>
        <v>CONSOLIDATIONS DE DONNÉES</v>
      </c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</row>
    <row r="84">
      <c r="A84" s="163" t="str">
        <f>IFERROR(__xludf.DUMMYFUNCTION("""COMPUTED_VALUE"""),"SHEETS")</f>
        <v>SHEETS</v>
      </c>
      <c r="B84" s="163" t="str">
        <f>IFERROR(__xludf.DUMMYFUNCTION("""COMPUTED_VALUE"""),"CMP-086")</f>
        <v>CMP-086</v>
      </c>
      <c r="C84" s="163" t="str">
        <f>IFERROR(__xludf.DUMMYFUNCTION("""COMPUTED_VALUE"""),"AUTOMATISATION DES PROCESS")</f>
        <v>AUTOMATISATION DES PROCESS</v>
      </c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</row>
    <row r="85">
      <c r="A85" s="163" t="str">
        <f>IFERROR(__xludf.DUMMYFUNCTION("""COMPUTED_VALUE"""),"SHEETS")</f>
        <v>SHEETS</v>
      </c>
      <c r="B85" s="163" t="str">
        <f>IFERROR(__xludf.DUMMYFUNCTION("""COMPUTED_VALUE"""),"CMP-087")</f>
        <v>CMP-087</v>
      </c>
      <c r="C85" s="163" t="str">
        <f>IFERROR(__xludf.DUMMYFUNCTION("""COMPUTED_VALUE"""),"REPORTING ET PROMOTION")</f>
        <v>REPORTING ET PROMOTION</v>
      </c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</row>
    <row r="86">
      <c r="A86" s="163" t="str">
        <f>IFERROR(__xludf.DUMMYFUNCTION("""COMPUTED_VALUE"""),"SHEETS")</f>
        <v>SHEETS</v>
      </c>
      <c r="B86" s="163" t="str">
        <f>IFERROR(__xludf.DUMMYFUNCTION("""COMPUTED_VALUE"""),"CMP-088")</f>
        <v>CMP-088</v>
      </c>
      <c r="C86" s="163" t="str">
        <f>IFERROR(__xludf.DUMMYFUNCTION("""COMPUTED_VALUE"""),"REPORTING ET BUSINESS INTELLIGENCE")</f>
        <v>REPORTING ET BUSINESS INTELLIGENCE</v>
      </c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</row>
    <row r="87">
      <c r="A87" s="163" t="str">
        <f>IFERROR(__xludf.DUMMYFUNCTION("""COMPUTED_VALUE"""),"SHEETS")</f>
        <v>SHEETS</v>
      </c>
      <c r="B87" s="163" t="str">
        <f>IFERROR(__xludf.DUMMYFUNCTION("""COMPUTED_VALUE"""),"CMP-089")</f>
        <v>CMP-089</v>
      </c>
      <c r="C87" s="163" t="str">
        <f>IFERROR(__xludf.DUMMYFUNCTION("""COMPUTED_VALUE"""),"RENFORCER SES CONNAISSANCES SUR SHEETS")</f>
        <v>RENFORCER SES CONNAISSANCES SUR SHEETS</v>
      </c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</row>
    <row r="88">
      <c r="A88" s="163" t="str">
        <f>IFERROR(__xludf.DUMMYFUNCTION("""COMPUTED_VALUE"""),"GOOGLE APPS SCRIPT")</f>
        <v>GOOGLE APPS SCRIPT</v>
      </c>
      <c r="B88" s="163" t="str">
        <f>IFERROR(__xludf.DUMMYFUNCTION("""COMPUTED_VALUE"""),"CMP-090")</f>
        <v>CMP-090</v>
      </c>
      <c r="C88" s="163" t="str">
        <f>IFERROR(__xludf.DUMMYFUNCTION("""COMPUTED_VALUE"""),"APPROFONDIR SES CONNAISSANCES EN PROGRAMMATION")</f>
        <v>APPROFONDIR SES CONNAISSANCES EN PROGRAMMATION</v>
      </c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</row>
    <row r="89">
      <c r="A89" s="163" t="str">
        <f>IFERROR(__xludf.DUMMYFUNCTION("""COMPUTED_VALUE"""),"GOOGLE APPS SCRIPT")</f>
        <v>GOOGLE APPS SCRIPT</v>
      </c>
      <c r="B89" s="163" t="str">
        <f>IFERROR(__xludf.DUMMYFUNCTION("""COMPUTED_VALUE"""),"CMP-091")</f>
        <v>CMP-091</v>
      </c>
      <c r="C89" s="163" t="str">
        <f>IFERROR(__xludf.DUMMYFUNCTION("""COMPUTED_VALUE"""),"LIRE ET ÉCRIRE DANS UN SHEETS")</f>
        <v>LIRE ET ÉCRIRE DANS UN SHEETS</v>
      </c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</row>
    <row r="90">
      <c r="A90" s="163" t="str">
        <f>IFERROR(__xludf.DUMMYFUNCTION("""COMPUTED_VALUE"""),"GOOGLE APPS SCRIPT")</f>
        <v>GOOGLE APPS SCRIPT</v>
      </c>
      <c r="B90" s="163" t="str">
        <f>IFERROR(__xludf.DUMMYFUNCTION("""COMPUTED_VALUE"""),"CMP-092")</f>
        <v>CMP-092</v>
      </c>
      <c r="C90" s="163" t="str">
        <f>IFERROR(__xludf.DUMMYFUNCTION("""COMPUTED_VALUE"""),"MANIPULER LES DONNÉES DANS UN SHEETS")</f>
        <v>MANIPULER LES DONNÉES DANS UN SHEETS</v>
      </c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</row>
    <row r="91">
      <c r="A91" s="163" t="str">
        <f>IFERROR(__xludf.DUMMYFUNCTION("""COMPUTED_VALUE"""),"GOOGLE APPS SCRIPT")</f>
        <v>GOOGLE APPS SCRIPT</v>
      </c>
      <c r="B91" s="163" t="str">
        <f>IFERROR(__xludf.DUMMYFUNCTION("""COMPUTED_VALUE"""),"CMP-093")</f>
        <v>CMP-093</v>
      </c>
      <c r="C91" s="163" t="str">
        <f>IFERROR(__xludf.DUMMYFUNCTION("""COMPUTED_VALUE"""),"PERSONNALISER L'INTERFACE DE SHEETS")</f>
        <v>PERSONNALISER L'INTERFACE DE SHEETS</v>
      </c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</row>
    <row r="92">
      <c r="A92" s="163" t="str">
        <f>IFERROR(__xludf.DUMMYFUNCTION("""COMPUTED_VALUE"""),"GOOGLE APPS SCRIPT")</f>
        <v>GOOGLE APPS SCRIPT</v>
      </c>
      <c r="B92" s="163" t="str">
        <f>IFERROR(__xludf.DUMMYFUNCTION("""COMPUTED_VALUE"""),"CMP-094")</f>
        <v>CMP-094</v>
      </c>
      <c r="C92" s="163" t="str">
        <f>IFERROR(__xludf.DUMMYFUNCTION("""COMPUTED_VALUE"""),"DIALOGUER AVEC L'UTILISATEUR ET GÉRER LES DÉCLENCHEURS")</f>
        <v>DIALOGUER AVEC L'UTILISATEUR ET GÉRER LES DÉCLENCHEURS</v>
      </c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</row>
    <row r="93">
      <c r="A93" s="163" t="str">
        <f>IFERROR(__xludf.DUMMYFUNCTION("""COMPUTED_VALUE"""),"GOOGLE APPS SCRIPT")</f>
        <v>GOOGLE APPS SCRIPT</v>
      </c>
      <c r="B93" s="163" t="str">
        <f>IFERROR(__xludf.DUMMYFUNCTION("""COMPUTED_VALUE"""),"CMP-095")</f>
        <v>CMP-095</v>
      </c>
      <c r="C93" s="163" t="str">
        <f>IFERROR(__xludf.DUMMYFUNCTION("""COMPUTED_VALUE"""),"ENVOYER DES MAILS DEPUIS SHEETS")</f>
        <v>ENVOYER DES MAILS DEPUIS SHEETS</v>
      </c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</row>
    <row r="94">
      <c r="A94" s="163" t="str">
        <f>IFERROR(__xludf.DUMMYFUNCTION("""COMPUTED_VALUE"""),"GOOGLE APPS SCRIPT")</f>
        <v>GOOGLE APPS SCRIPT</v>
      </c>
      <c r="B94" s="163" t="str">
        <f>IFERROR(__xludf.DUMMYFUNCTION("""COMPUTED_VALUE"""),"CMP-096")</f>
        <v>CMP-096</v>
      </c>
      <c r="C94" s="163" t="str">
        <f>IFERROR(__xludf.DUMMYFUNCTION("""COMPUTED_VALUE"""),"INTERAGIR AVEC D'AUTRES APPLICATIONS GOOGLE")</f>
        <v>INTERAGIR AVEC D'AUTRES APPLICATIONS GOOGLE</v>
      </c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</row>
    <row r="95">
      <c r="A95" s="163" t="str">
        <f>IFERROR(__xludf.DUMMYFUNCTION("""COMPUTED_VALUE"""),"GOOGLE APPS SCRIPT")</f>
        <v>GOOGLE APPS SCRIPT</v>
      </c>
      <c r="B95" s="163" t="str">
        <f>IFERROR(__xludf.DUMMYFUNCTION("""COMPUTED_VALUE"""),"CMP-097")</f>
        <v>CMP-097</v>
      </c>
      <c r="C95" s="163" t="str">
        <f>IFERROR(__xludf.DUMMYFUNCTION("""COMPUTED_VALUE"""),"CRÉER UN MODULE WEB")</f>
        <v>CRÉER UN MODULE WEB</v>
      </c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</row>
    <row r="96">
      <c r="A96" s="163" t="str">
        <f>IFERROR(__xludf.DUMMYFUNCTION("""COMPUTED_VALUE"""),"GROUPS")</f>
        <v>GROUPS</v>
      </c>
      <c r="B96" s="163" t="str">
        <f>IFERROR(__xludf.DUMMYFUNCTION("""COMPUTED_VALUE"""),"CMP-098")</f>
        <v>CMP-098</v>
      </c>
      <c r="C96" s="163" t="str">
        <f>IFERROR(__xludf.DUMMYFUNCTION("""COMPUTED_VALUE"""),"DÉCOUVRIR L'APPLICATION GOOGLE GROUPS")</f>
        <v>DÉCOUVRIR L'APPLICATION GOOGLE GROUPS</v>
      </c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</row>
    <row r="97">
      <c r="A97" s="163" t="str">
        <f>IFERROR(__xludf.DUMMYFUNCTION("""COMPUTED_VALUE"""),"GROUPS")</f>
        <v>GROUPS</v>
      </c>
      <c r="B97" s="163" t="str">
        <f>IFERROR(__xludf.DUMMYFUNCTION("""COMPUTED_VALUE"""),"CMP-099")</f>
        <v>CMP-099</v>
      </c>
      <c r="C97" s="163" t="str">
        <f>IFERROR(__xludf.DUMMYFUNCTION("""COMPUTED_VALUE"""),"GÉRER LES UTILISATEURS ET LEURS RÔLES")</f>
        <v>GÉRER LES UTILISATEURS ET LEURS RÔLES</v>
      </c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</row>
    <row r="98">
      <c r="A98" s="163" t="str">
        <f>IFERROR(__xludf.DUMMYFUNCTION("""COMPUTED_VALUE"""),"GROUPS")</f>
        <v>GROUPS</v>
      </c>
      <c r="B98" s="163" t="str">
        <f>IFERROR(__xludf.DUMMYFUNCTION("""COMPUTED_VALUE"""),"CMP-100")</f>
        <v>CMP-100</v>
      </c>
      <c r="C98" s="163" t="str">
        <f>IFERROR(__xludf.DUMMYFUNCTION("""COMPUTED_VALUE"""),"GÉRER ET MODÉRER LES CONVERSATIONS")</f>
        <v>GÉRER ET MODÉRER LES CONVERSATIONS</v>
      </c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</row>
    <row r="99">
      <c r="A99" s="163" t="str">
        <f>IFERROR(__xludf.DUMMYFUNCTION("""COMPUTED_VALUE"""),"CONSOLE ADMIN")</f>
        <v>CONSOLE ADMIN</v>
      </c>
      <c r="B99" s="163" t="str">
        <f>IFERROR(__xludf.DUMMYFUNCTION("""COMPUTED_VALUE"""),"CMP-101")</f>
        <v>CMP-101</v>
      </c>
      <c r="C99" s="163" t="str">
        <f>IFERROR(__xludf.DUMMYFUNCTION("""COMPUTED_VALUE"""),"DÉCOUVRIR LA CONSOLE D'ADMINISTRATION")</f>
        <v>DÉCOUVRIR LA CONSOLE D'ADMINISTRATION</v>
      </c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</row>
    <row r="100">
      <c r="A100" s="163" t="str">
        <f>IFERROR(__xludf.DUMMYFUNCTION("""COMPUTED_VALUE"""),"CONSOLE ADMIN")</f>
        <v>CONSOLE ADMIN</v>
      </c>
      <c r="B100" s="163" t="str">
        <f>IFERROR(__xludf.DUMMYFUNCTION("""COMPUTED_VALUE"""),"CMP-102")</f>
        <v>CMP-102</v>
      </c>
      <c r="C100" s="163" t="str">
        <f>IFERROR(__xludf.DUMMYFUNCTION("""COMPUTED_VALUE"""),"UTILISER LA CONSOLE DE FAÇON AVANCÉE")</f>
        <v>UTILISER LA CONSOLE DE FAÇON AVANCÉE</v>
      </c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</row>
    <row r="101">
      <c r="A101" s="163" t="str">
        <f>IFERROR(__xludf.DUMMYFUNCTION("""COMPUTED_VALUE"""),"CONSOLE ADMIN")</f>
        <v>CONSOLE ADMIN</v>
      </c>
      <c r="B101" s="163" t="str">
        <f>IFERROR(__xludf.DUMMYFUNCTION("""COMPUTED_VALUE"""),"CMP-103")</f>
        <v>CMP-103</v>
      </c>
      <c r="C101" s="163" t="str">
        <f>IFERROR(__xludf.DUMMYFUNCTION("""COMPUTED_VALUE"""),"GÉRER UNE FLOTTE MOBILE")</f>
        <v>GÉRER UNE FLOTTE MOBILE</v>
      </c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</row>
    <row r="102">
      <c r="A102" s="163" t="str">
        <f>IFERROR(__xludf.DUMMYFUNCTION("""COMPUTED_VALUE"""),"CONSOLE ADMIN")</f>
        <v>CONSOLE ADMIN</v>
      </c>
      <c r="B102" s="163" t="str">
        <f>IFERROR(__xludf.DUMMYFUNCTION("""COMPUTED_VALUE"""),"CMP-104")</f>
        <v>CMP-104</v>
      </c>
      <c r="C102" s="163" t="str">
        <f>IFERROR(__xludf.DUMMYFUNCTION("""COMPUTED_VALUE"""),"GÉRER DES CHROMEBOOKS")</f>
        <v>GÉRER DES CHROMEBOOKS</v>
      </c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</row>
    <row r="103">
      <c r="A103" s="163" t="str">
        <f>IFERROR(__xludf.DUMMYFUNCTION("""COMPUTED_VALUE"""),"APPSHEET")</f>
        <v>APPSHEET</v>
      </c>
      <c r="B103" s="163" t="str">
        <f>IFERROR(__xludf.DUMMYFUNCTION("""COMPUTED_VALUE"""),"CMP-105")</f>
        <v>CMP-105</v>
      </c>
      <c r="C103" s="163" t="str">
        <f>IFERROR(__xludf.DUMMYFUNCTION("""COMPUTED_VALUE"""),"DÉCOUVRIR APPSHEET")</f>
        <v>DÉCOUVRIR APPSHEET</v>
      </c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</row>
    <row r="104">
      <c r="A104" s="163" t="str">
        <f>IFERROR(__xludf.DUMMYFUNCTION("""COMPUTED_VALUE"""),"APPSHEET")</f>
        <v>APPSHEET</v>
      </c>
      <c r="B104" s="163" t="str">
        <f>IFERROR(__xludf.DUMMYFUNCTION("""COMPUTED_VALUE"""),"CMP-106")</f>
        <v>CMP-106</v>
      </c>
      <c r="C104" s="163" t="str">
        <f>IFERROR(__xludf.DUMMYFUNCTION("""COMPUTED_VALUE"""),"OPTIMISER SON UTILISATION")</f>
        <v>OPTIMISER SON UTILISATION</v>
      </c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</row>
    <row r="105">
      <c r="A105" s="163" t="str">
        <f>IFERROR(__xludf.DUMMYFUNCTION("""COMPUTED_VALUE"""),"APPSHEET")</f>
        <v>APPSHEET</v>
      </c>
      <c r="B105" s="163" t="str">
        <f>IFERROR(__xludf.DUMMYFUNCTION("""COMPUTED_VALUE"""),"CMP-107")</f>
        <v>CMP-107</v>
      </c>
      <c r="C105" s="163" t="str">
        <f>IFERROR(__xludf.DUMMYFUNCTION("""COMPUTED_VALUE"""),"PARAMÉTRER APPSHEET")</f>
        <v>PARAMÉTRER APPSHEET</v>
      </c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</row>
    <row r="106">
      <c r="A106" s="163" t="str">
        <f>IFERROR(__xludf.DUMMYFUNCTION("""COMPUTED_VALUE"""),"CURRENTS")</f>
        <v>CURRENTS</v>
      </c>
      <c r="B106" s="163" t="str">
        <f>IFERROR(__xludf.DUMMYFUNCTION("""COMPUTED_VALUE"""),"CMP-108")</f>
        <v>CMP-108</v>
      </c>
      <c r="C106" s="163" t="str">
        <f>IFERROR(__xludf.DUMMYFUNCTION("""COMPUTED_VALUE"""),"UTILISER GOOGLE CURRENTS")</f>
        <v>UTILISER GOOGLE CURRENTS</v>
      </c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</row>
    <row r="107">
      <c r="A107" s="163" t="str">
        <f>IFERROR(__xludf.DUMMYFUNCTION("""COMPUTED_VALUE"""),"CURRENTS")</f>
        <v>CURRENTS</v>
      </c>
      <c r="B107" s="163" t="str">
        <f>IFERROR(__xludf.DUMMYFUNCTION("""COMPUTED_VALUE"""),"CMP-109")</f>
        <v>CMP-109</v>
      </c>
      <c r="C107" s="163" t="str">
        <f>IFERROR(__xludf.DUMMYFUNCTION("""COMPUTED_VALUE"""),"CRÉER UNE COMMUNAUTÉ")</f>
        <v>CRÉER UNE COMMUNAUTÉ</v>
      </c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</row>
    <row r="108">
      <c r="A108" s="163" t="str">
        <f>IFERROR(__xludf.DUMMYFUNCTION("""COMPUTED_VALUE"""),"CURRENTS")</f>
        <v>CURRENTS</v>
      </c>
      <c r="B108" s="163" t="str">
        <f>IFERROR(__xludf.DUMMYFUNCTION("""COMPUTED_VALUE"""),"CMP-110")</f>
        <v>CMP-110</v>
      </c>
      <c r="C108" s="163" t="str">
        <f>IFERROR(__xludf.DUMMYFUNCTION("""COMPUTED_VALUE"""),"GÉRER UNE COMMUNAUTÉ")</f>
        <v>GÉRER UNE COMMUNAUTÉ</v>
      </c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</row>
    <row r="109">
      <c r="A109" s="163" t="str">
        <f>IFERROR(__xludf.DUMMYFUNCTION("""COMPUTED_VALUE"""),"BIGQUERY")</f>
        <v>BIGQUERY</v>
      </c>
      <c r="B109" s="163" t="str">
        <f>IFERROR(__xludf.DUMMYFUNCTION("""COMPUTED_VALUE"""),"CMP-111")</f>
        <v>CMP-111</v>
      </c>
      <c r="C109" s="163" t="str">
        <f>IFERROR(__xludf.DUMMYFUNCTION("""COMPUTED_VALUE"""),"IDENTIFIER DES LANGAGES INFORMATIQUES")</f>
        <v>IDENTIFIER DES LANGAGES INFORMATIQUES</v>
      </c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</row>
    <row r="110">
      <c r="A110" s="163" t="str">
        <f>IFERROR(__xludf.DUMMYFUNCTION("""COMPUTED_VALUE"""),"BIGQUERY")</f>
        <v>BIGQUERY</v>
      </c>
      <c r="B110" s="163" t="str">
        <f>IFERROR(__xludf.DUMMYFUNCTION("""COMPUTED_VALUE"""),"CMP-112")</f>
        <v>CMP-112</v>
      </c>
      <c r="C110" s="163" t="str">
        <f>IFERROR(__xludf.DUMMYFUNCTION("""COMPUTED_VALUE"""),"CONCEVOIR DES REQUÊTES SQL")</f>
        <v>CONCEVOIR DES REQUÊTES SQL</v>
      </c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</row>
    <row r="111">
      <c r="A111" s="163" t="str">
        <f>IFERROR(__xludf.DUMMYFUNCTION("""COMPUTED_VALUE"""),"BIGQUERY")</f>
        <v>BIGQUERY</v>
      </c>
      <c r="B111" s="163" t="str">
        <f>IFERROR(__xludf.DUMMYFUNCTION("""COMPUTED_VALUE"""),"CMP-113")</f>
        <v>CMP-113</v>
      </c>
      <c r="C111" s="163" t="str">
        <f>IFERROR(__xludf.DUMMYFUNCTION("""COMPUTED_VALUE"""),"ANALYSER DES DONNÉES")</f>
        <v>ANALYSER DES DONNÉES</v>
      </c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</row>
    <row r="112">
      <c r="A112" s="163" t="str">
        <f>IFERROR(__xludf.DUMMYFUNCTION("""COMPUTED_VALUE"""),"MEET")</f>
        <v>MEET</v>
      </c>
      <c r="B112" s="163" t="str">
        <f>IFERROR(__xludf.DUMMYFUNCTION("""COMPUTED_VALUE"""),"CMP-114")</f>
        <v>CMP-114</v>
      </c>
      <c r="C112" s="163" t="str">
        <f>IFERROR(__xludf.DUMMYFUNCTION("""COMPUTED_VALUE"""),"GÉRER LES PARTICIPANTS D'UNE VISIOCONFÉRENCE")</f>
        <v>GÉRER LES PARTICIPANTS D'UNE VISIOCONFÉRENCE</v>
      </c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</row>
    <row r="113">
      <c r="A113" s="163" t="str">
        <f>IFERROR(__xludf.DUMMYFUNCTION("""COMPUTED_VALUE"""),"MEET")</f>
        <v>MEET</v>
      </c>
      <c r="B113" s="163" t="str">
        <f>IFERROR(__xludf.DUMMYFUNCTION("""COMPUTED_VALUE"""),"CMP-115")</f>
        <v>CMP-115</v>
      </c>
      <c r="C113" s="163" t="str">
        <f>IFERROR(__xludf.DUMMYFUNCTION("""COMPUTED_VALUE"""),"COLLABORER AU SEIN D'UNE VISIOCONFÉRENCE")</f>
        <v>COLLABORER AU SEIN D'UNE VISIOCONFÉRENCE</v>
      </c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</row>
    <row r="114">
      <c r="A114" s="163" t="str">
        <f>IFERROR(__xludf.DUMMYFUNCTION("""COMPUTED_VALUE"""),"CLOUD PLATFORM")</f>
        <v>CLOUD PLATFORM</v>
      </c>
      <c r="B114" s="163" t="str">
        <f>IFERROR(__xludf.DUMMYFUNCTION("""COMPUTED_VALUE"""),"CMP-116")</f>
        <v>CMP-116</v>
      </c>
      <c r="C114" s="163" t="str">
        <f>IFERROR(__xludf.DUMMYFUNCTION("""COMPUTED_VALUE"""),"ANALYSER LA FACTURATION")</f>
        <v>ANALYSER LA FACTURATION</v>
      </c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</row>
    <row r="115">
      <c r="A115" s="163" t="str">
        <f>IFERROR(__xludf.DUMMYFUNCTION("""COMPUTED_VALUE"""),"GOOGLE WORKSPACE")</f>
        <v>GOOGLE WORKSPACE</v>
      </c>
      <c r="B115" s="163" t="str">
        <f>IFERROR(__xludf.DUMMYFUNCTION("""COMPUTED_VALUE"""),"CMP-117")</f>
        <v>CMP-117</v>
      </c>
      <c r="C115" s="163" t="str">
        <f>IFERROR(__xludf.DUMMYFUNCTION("""COMPUTED_VALUE"""),"AUTOMATISER AVEC EXPLORER")</f>
        <v>AUTOMATISER AVEC EXPLORER</v>
      </c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</row>
    <row r="116">
      <c r="A116" s="163" t="str">
        <f>IFERROR(__xludf.DUMMYFUNCTION("""COMPUTED_VALUE"""),"FORMS")</f>
        <v>FORMS</v>
      </c>
      <c r="B116" s="163" t="str">
        <f>IFERROR(__xludf.DUMMYFUNCTION("""COMPUTED_VALUE"""),"CMP-118")</f>
        <v>CMP-118</v>
      </c>
      <c r="C116" s="163" t="str">
        <f>IFERROR(__xludf.DUMMYFUNCTION("""COMPUTED_VALUE"""),"CRÉER ET ORGANISER UN QUESTIONNAIRE")</f>
        <v>CRÉER ET ORGANISER UN QUESTIONNAIRE</v>
      </c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</row>
    <row r="117">
      <c r="A117" s="163" t="str">
        <f>IFERROR(__xludf.DUMMYFUNCTION("""COMPUTED_VALUE"""),"SHEETS")</f>
        <v>SHEETS</v>
      </c>
      <c r="B117" s="163" t="str">
        <f>IFERROR(__xludf.DUMMYFUNCTION("""COMPUTED_VALUE"""),"CMP-119")</f>
        <v>CMP-119</v>
      </c>
      <c r="C117" s="163" t="str">
        <f>IFERROR(__xludf.DUMMYFUNCTION("""COMPUTED_VALUE"""),"DEFINIR LES BONNES PRATIQUES ET LES FONDAMENTAUX")</f>
        <v>DEFINIR LES BONNES PRATIQUES ET LES FONDAMENTAUX</v>
      </c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</row>
    <row r="118">
      <c r="A118" s="163" t="str">
        <f>IFERROR(__xludf.DUMMYFUNCTION("""COMPUTED_VALUE"""),"FORMS")</f>
        <v>FORMS</v>
      </c>
      <c r="B118" s="163" t="str">
        <f>IFERROR(__xludf.DUMMYFUNCTION("""COMPUTED_VALUE"""),"CMP-120")</f>
        <v>CMP-120</v>
      </c>
      <c r="C118" s="163" t="str">
        <f>IFERROR(__xludf.DUMMYFUNCTION("""COMPUTED_VALUE"""),"EXPLOITER LES RESULTATS D'UN FORMULAIRE")</f>
        <v>EXPLOITER LES RESULTATS D'UN FORMULAIRE</v>
      </c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</row>
    <row r="119">
      <c r="A119" s="163" t="str">
        <f>IFERROR(__xludf.DUMMYFUNCTION("""COMPUTED_VALUE"""),"LOOKER STUDIO")</f>
        <v>LOOKER STUDIO</v>
      </c>
      <c r="B119" s="163" t="str">
        <f>IFERROR(__xludf.DUMMYFUNCTION("""COMPUTED_VALUE"""),"CMP-121")</f>
        <v>CMP-121</v>
      </c>
      <c r="C119" s="163" t="str">
        <f>IFERROR(__xludf.DUMMYFUNCTION("""COMPUTED_VALUE"""),"DECOUVRIR LOOKER STUDIO")</f>
        <v>DECOUVRIR LOOKER STUDIO</v>
      </c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</row>
    <row r="120">
      <c r="A120" s="163"/>
      <c r="B120" s="163" t="str">
        <f>IFERROR(__xludf.DUMMYFUNCTION("""COMPUTED_VALUE"""),"")</f>
        <v/>
      </c>
      <c r="C120" s="163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</row>
    <row r="121">
      <c r="A121" s="163"/>
      <c r="B121" s="163" t="str">
        <f>IFERROR(__xludf.DUMMYFUNCTION("""COMPUTED_VALUE"""),"")</f>
        <v/>
      </c>
      <c r="C121" s="163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</row>
    <row r="122">
      <c r="A122" s="163"/>
      <c r="B122" s="163" t="str">
        <f>IFERROR(__xludf.DUMMYFUNCTION("""COMPUTED_VALUE"""),"")</f>
        <v/>
      </c>
      <c r="C122" s="163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</row>
    <row r="123">
      <c r="A123" s="163"/>
      <c r="B123" s="163" t="str">
        <f>IFERROR(__xludf.DUMMYFUNCTION("""COMPUTED_VALUE"""),"")</f>
        <v/>
      </c>
      <c r="C123" s="163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</row>
    <row r="124">
      <c r="A124" s="163"/>
      <c r="B124" s="163" t="str">
        <f>IFERROR(__xludf.DUMMYFUNCTION("""COMPUTED_VALUE"""),"")</f>
        <v/>
      </c>
      <c r="C124" s="163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</row>
    <row r="125">
      <c r="A125" s="163"/>
      <c r="B125" s="163" t="str">
        <f>IFERROR(__xludf.DUMMYFUNCTION("""COMPUTED_VALUE"""),"")</f>
        <v/>
      </c>
      <c r="C125" s="163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</row>
    <row r="126">
      <c r="A126" s="163"/>
      <c r="B126" s="163" t="str">
        <f>IFERROR(__xludf.DUMMYFUNCTION("""COMPUTED_VALUE"""),"")</f>
        <v/>
      </c>
      <c r="C126" s="163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</row>
    <row r="127">
      <c r="A127" s="163"/>
      <c r="B127" s="163" t="str">
        <f>IFERROR(__xludf.DUMMYFUNCTION("""COMPUTED_VALUE"""),"")</f>
        <v/>
      </c>
      <c r="C127" s="163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</row>
    <row r="128">
      <c r="A128" s="163"/>
      <c r="B128" s="163" t="str">
        <f>IFERROR(__xludf.DUMMYFUNCTION("""COMPUTED_VALUE"""),"")</f>
        <v/>
      </c>
      <c r="C128" s="163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</row>
    <row r="129">
      <c r="A129" s="163"/>
      <c r="B129" s="163" t="str">
        <f>IFERROR(__xludf.DUMMYFUNCTION("""COMPUTED_VALUE"""),"")</f>
        <v/>
      </c>
      <c r="C129" s="163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</row>
    <row r="130">
      <c r="A130" s="163"/>
      <c r="B130" s="163" t="str">
        <f>IFERROR(__xludf.DUMMYFUNCTION("""COMPUTED_VALUE"""),"")</f>
        <v/>
      </c>
      <c r="C130" s="163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</row>
    <row r="131">
      <c r="A131" s="163"/>
      <c r="B131" s="163" t="str">
        <f>IFERROR(__xludf.DUMMYFUNCTION("""COMPUTED_VALUE"""),"")</f>
        <v/>
      </c>
      <c r="C131" s="163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</row>
    <row r="132">
      <c r="A132" s="163"/>
      <c r="B132" s="163" t="str">
        <f>IFERROR(__xludf.DUMMYFUNCTION("""COMPUTED_VALUE"""),"")</f>
        <v/>
      </c>
      <c r="C132" s="163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</row>
    <row r="133">
      <c r="A133" s="163"/>
      <c r="B133" s="163" t="str">
        <f>IFERROR(__xludf.DUMMYFUNCTION("""COMPUTED_VALUE"""),"")</f>
        <v/>
      </c>
      <c r="C133" s="163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</row>
    <row r="134">
      <c r="A134" s="163"/>
      <c r="B134" s="163" t="str">
        <f>IFERROR(__xludf.DUMMYFUNCTION("""COMPUTED_VALUE"""),"")</f>
        <v/>
      </c>
      <c r="C134" s="163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</row>
    <row r="135">
      <c r="A135" s="163"/>
      <c r="B135" s="163" t="str">
        <f>IFERROR(__xludf.DUMMYFUNCTION("""COMPUTED_VALUE"""),"")</f>
        <v/>
      </c>
      <c r="C135" s="163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</row>
    <row r="136">
      <c r="A136" s="163"/>
      <c r="B136" s="163" t="str">
        <f>IFERROR(__xludf.DUMMYFUNCTION("""COMPUTED_VALUE"""),"")</f>
        <v/>
      </c>
      <c r="C136" s="163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</row>
    <row r="137">
      <c r="A137" s="163"/>
      <c r="B137" s="163" t="str">
        <f>IFERROR(__xludf.DUMMYFUNCTION("""COMPUTED_VALUE"""),"")</f>
        <v/>
      </c>
      <c r="C137" s="163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</row>
    <row r="138">
      <c r="A138" s="163"/>
      <c r="B138" s="163" t="str">
        <f>IFERROR(__xludf.DUMMYFUNCTION("""COMPUTED_VALUE"""),"")</f>
        <v/>
      </c>
      <c r="C138" s="163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</row>
    <row r="139">
      <c r="A139" s="163"/>
      <c r="B139" s="163" t="str">
        <f>IFERROR(__xludf.DUMMYFUNCTION("""COMPUTED_VALUE"""),"")</f>
        <v/>
      </c>
      <c r="C139" s="163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</row>
    <row r="140">
      <c r="A140" s="163"/>
      <c r="B140" s="163" t="str">
        <f>IFERROR(__xludf.DUMMYFUNCTION("""COMPUTED_VALUE"""),"")</f>
        <v/>
      </c>
      <c r="C140" s="163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</row>
    <row r="141">
      <c r="A141" s="163"/>
      <c r="B141" s="163" t="str">
        <f>IFERROR(__xludf.DUMMYFUNCTION("""COMPUTED_VALUE"""),"")</f>
        <v/>
      </c>
      <c r="C141" s="163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</row>
    <row r="142">
      <c r="A142" s="163"/>
      <c r="B142" s="163" t="str">
        <f>IFERROR(__xludf.DUMMYFUNCTION("""COMPUTED_VALUE"""),"")</f>
        <v/>
      </c>
      <c r="C142" s="163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</row>
    <row r="143">
      <c r="A143" s="163"/>
      <c r="B143" s="163" t="str">
        <f>IFERROR(__xludf.DUMMYFUNCTION("""COMPUTED_VALUE"""),"")</f>
        <v/>
      </c>
      <c r="C143" s="163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</row>
    <row r="144">
      <c r="A144" s="163"/>
      <c r="B144" s="163" t="str">
        <f>IFERROR(__xludf.DUMMYFUNCTION("""COMPUTED_VALUE"""),"")</f>
        <v/>
      </c>
      <c r="C144" s="163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</row>
    <row r="145">
      <c r="A145" s="163"/>
      <c r="B145" s="163" t="str">
        <f>IFERROR(__xludf.DUMMYFUNCTION("""COMPUTED_VALUE"""),"")</f>
        <v/>
      </c>
      <c r="C145" s="163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</row>
    <row r="146">
      <c r="A146" s="163"/>
      <c r="B146" s="163" t="str">
        <f>IFERROR(__xludf.DUMMYFUNCTION("""COMPUTED_VALUE"""),"")</f>
        <v/>
      </c>
      <c r="C146" s="163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</row>
    <row r="147">
      <c r="A147" s="163"/>
      <c r="B147" s="163" t="str">
        <f>IFERROR(__xludf.DUMMYFUNCTION("""COMPUTED_VALUE"""),"")</f>
        <v/>
      </c>
      <c r="C147" s="163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</row>
    <row r="148">
      <c r="A148" s="163"/>
      <c r="B148" s="163" t="str">
        <f>IFERROR(__xludf.DUMMYFUNCTION("""COMPUTED_VALUE"""),"")</f>
        <v/>
      </c>
      <c r="C148" s="163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</row>
    <row r="149">
      <c r="A149" s="163"/>
      <c r="B149" s="163" t="str">
        <f>IFERROR(__xludf.DUMMYFUNCTION("""COMPUTED_VALUE"""),"")</f>
        <v/>
      </c>
      <c r="C149" s="163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</row>
    <row r="150">
      <c r="A150" s="163"/>
      <c r="B150" s="163" t="str">
        <f>IFERROR(__xludf.DUMMYFUNCTION("""COMPUTED_VALUE"""),"")</f>
        <v/>
      </c>
      <c r="C150" s="163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</row>
    <row r="151">
      <c r="A151" s="163"/>
      <c r="B151" s="163" t="str">
        <f>IFERROR(__xludf.DUMMYFUNCTION("""COMPUTED_VALUE"""),"")</f>
        <v/>
      </c>
      <c r="C151" s="163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</row>
    <row r="152">
      <c r="A152" s="163"/>
      <c r="B152" s="163" t="str">
        <f>IFERROR(__xludf.DUMMYFUNCTION("""COMPUTED_VALUE"""),"")</f>
        <v/>
      </c>
      <c r="C152" s="163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</row>
    <row r="153">
      <c r="A153" s="163"/>
      <c r="B153" s="163" t="str">
        <f>IFERROR(__xludf.DUMMYFUNCTION("""COMPUTED_VALUE"""),"")</f>
        <v/>
      </c>
      <c r="C153" s="163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</row>
    <row r="154">
      <c r="A154" s="163"/>
      <c r="B154" s="163" t="str">
        <f>IFERROR(__xludf.DUMMYFUNCTION("""COMPUTED_VALUE"""),"")</f>
        <v/>
      </c>
      <c r="C154" s="163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</row>
    <row r="155">
      <c r="A155" s="163"/>
      <c r="B155" s="163" t="str">
        <f>IFERROR(__xludf.DUMMYFUNCTION("""COMPUTED_VALUE"""),"")</f>
        <v/>
      </c>
      <c r="C155" s="163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</row>
    <row r="156">
      <c r="A156" s="163"/>
      <c r="B156" s="163" t="str">
        <f>IFERROR(__xludf.DUMMYFUNCTION("""COMPUTED_VALUE"""),"")</f>
        <v/>
      </c>
      <c r="C156" s="163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</row>
    <row r="157">
      <c r="A157" s="163"/>
      <c r="B157" s="163" t="str">
        <f>IFERROR(__xludf.DUMMYFUNCTION("""COMPUTED_VALUE"""),"")</f>
        <v/>
      </c>
      <c r="C157" s="163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</row>
    <row r="158">
      <c r="A158" s="163"/>
      <c r="B158" s="163" t="str">
        <f>IFERROR(__xludf.DUMMYFUNCTION("""COMPUTED_VALUE"""),"")</f>
        <v/>
      </c>
      <c r="C158" s="163"/>
      <c r="D158" s="212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</row>
    <row r="159">
      <c r="A159" s="163"/>
      <c r="B159" s="163" t="str">
        <f>IFERROR(__xludf.DUMMYFUNCTION("""COMPUTED_VALUE"""),"")</f>
        <v/>
      </c>
      <c r="C159" s="163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</row>
    <row r="160">
      <c r="A160" s="163"/>
      <c r="B160" s="163" t="str">
        <f>IFERROR(__xludf.DUMMYFUNCTION("""COMPUTED_VALUE"""),"")</f>
        <v/>
      </c>
      <c r="C160" s="163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</row>
    <row r="161">
      <c r="A161" s="163"/>
      <c r="B161" s="163" t="str">
        <f>IFERROR(__xludf.DUMMYFUNCTION("""COMPUTED_VALUE"""),"")</f>
        <v/>
      </c>
      <c r="C161" s="163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</row>
    <row r="162">
      <c r="A162" s="163"/>
      <c r="B162" s="163" t="str">
        <f>IFERROR(__xludf.DUMMYFUNCTION("""COMPUTED_VALUE"""),"")</f>
        <v/>
      </c>
      <c r="C162" s="163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</row>
    <row r="163">
      <c r="A163" s="163"/>
      <c r="B163" s="163" t="str">
        <f>IFERROR(__xludf.DUMMYFUNCTION("""COMPUTED_VALUE"""),"")</f>
        <v/>
      </c>
      <c r="C163" s="163"/>
      <c r="D163" s="212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</row>
    <row r="164">
      <c r="A164" s="163"/>
      <c r="B164" s="163" t="str">
        <f>IFERROR(__xludf.DUMMYFUNCTION("""COMPUTED_VALUE"""),"")</f>
        <v/>
      </c>
      <c r="C164" s="163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</row>
    <row r="165">
      <c r="A165" s="163"/>
      <c r="B165" s="163" t="str">
        <f>IFERROR(__xludf.DUMMYFUNCTION("""COMPUTED_VALUE"""),"")</f>
        <v/>
      </c>
      <c r="C165" s="163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</row>
    <row r="166">
      <c r="A166" s="163"/>
      <c r="B166" s="163" t="str">
        <f>IFERROR(__xludf.DUMMYFUNCTION("""COMPUTED_VALUE"""),"")</f>
        <v/>
      </c>
      <c r="C166" s="163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</row>
    <row r="167">
      <c r="A167" s="163"/>
      <c r="B167" s="163" t="str">
        <f>IFERROR(__xludf.DUMMYFUNCTION("""COMPUTED_VALUE"""),"")</f>
        <v/>
      </c>
      <c r="C167" s="163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</row>
    <row r="168">
      <c r="A168" s="163"/>
      <c r="B168" s="163" t="str">
        <f>IFERROR(__xludf.DUMMYFUNCTION("""COMPUTED_VALUE"""),"")</f>
        <v/>
      </c>
      <c r="C168" s="163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</row>
    <row r="169">
      <c r="A169" s="163"/>
      <c r="B169" s="163" t="str">
        <f>IFERROR(__xludf.DUMMYFUNCTION("""COMPUTED_VALUE"""),"")</f>
        <v/>
      </c>
      <c r="C169" s="163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</row>
    <row r="170">
      <c r="A170" s="163"/>
      <c r="B170" s="163" t="str">
        <f>IFERROR(__xludf.DUMMYFUNCTION("""COMPUTED_VALUE"""),"")</f>
        <v/>
      </c>
      <c r="C170" s="163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</row>
    <row r="171">
      <c r="A171" s="163"/>
      <c r="B171" s="163" t="str">
        <f>IFERROR(__xludf.DUMMYFUNCTION("""COMPUTED_VALUE"""),"")</f>
        <v/>
      </c>
      <c r="C171" s="163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</row>
    <row r="172">
      <c r="A172" s="163"/>
      <c r="B172" s="163" t="str">
        <f>IFERROR(__xludf.DUMMYFUNCTION("""COMPUTED_VALUE"""),"")</f>
        <v/>
      </c>
      <c r="C172" s="163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</row>
    <row r="173">
      <c r="A173" s="163"/>
      <c r="B173" s="163" t="str">
        <f>IFERROR(__xludf.DUMMYFUNCTION("""COMPUTED_VALUE"""),"")</f>
        <v/>
      </c>
      <c r="C173" s="163"/>
      <c r="D173" s="212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</row>
    <row r="174">
      <c r="A174" s="163"/>
      <c r="B174" s="163" t="str">
        <f>IFERROR(__xludf.DUMMYFUNCTION("""COMPUTED_VALUE"""),"")</f>
        <v/>
      </c>
      <c r="C174" s="163"/>
      <c r="D174" s="212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</row>
    <row r="175">
      <c r="A175" s="163"/>
      <c r="B175" s="163" t="str">
        <f>IFERROR(__xludf.DUMMYFUNCTION("""COMPUTED_VALUE"""),"")</f>
        <v/>
      </c>
      <c r="C175" s="163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</row>
    <row r="176">
      <c r="A176" s="163"/>
      <c r="B176" s="163" t="str">
        <f>IFERROR(__xludf.DUMMYFUNCTION("""COMPUTED_VALUE"""),"")</f>
        <v/>
      </c>
      <c r="C176" s="163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</row>
    <row r="177">
      <c r="A177" s="163"/>
      <c r="B177" s="163" t="str">
        <f>IFERROR(__xludf.DUMMYFUNCTION("""COMPUTED_VALUE"""),"")</f>
        <v/>
      </c>
      <c r="C177" s="163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</row>
    <row r="178">
      <c r="A178" s="163"/>
      <c r="B178" s="163" t="str">
        <f>IFERROR(__xludf.DUMMYFUNCTION("""COMPUTED_VALUE"""),"")</f>
        <v/>
      </c>
      <c r="C178" s="163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</row>
    <row r="179">
      <c r="A179" s="163"/>
      <c r="B179" s="163" t="str">
        <f>IFERROR(__xludf.DUMMYFUNCTION("""COMPUTED_VALUE"""),"")</f>
        <v/>
      </c>
      <c r="C179" s="163"/>
      <c r="D179" s="212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</row>
    <row r="180">
      <c r="A180" s="163"/>
      <c r="B180" s="163" t="str">
        <f>IFERROR(__xludf.DUMMYFUNCTION("""COMPUTED_VALUE"""),"")</f>
        <v/>
      </c>
      <c r="C180" s="163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</row>
    <row r="181">
      <c r="A181" s="163"/>
      <c r="B181" s="163" t="str">
        <f>IFERROR(__xludf.DUMMYFUNCTION("""COMPUTED_VALUE"""),"")</f>
        <v/>
      </c>
      <c r="C181" s="163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</row>
    <row r="182">
      <c r="A182" s="163"/>
      <c r="B182" s="163" t="str">
        <f>IFERROR(__xludf.DUMMYFUNCTION("""COMPUTED_VALUE"""),"")</f>
        <v/>
      </c>
      <c r="C182" s="163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</row>
    <row r="183">
      <c r="A183" s="163"/>
      <c r="B183" s="163" t="str">
        <f>IFERROR(__xludf.DUMMYFUNCTION("""COMPUTED_VALUE"""),"")</f>
        <v/>
      </c>
      <c r="C183" s="163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</row>
    <row r="184">
      <c r="A184" s="163"/>
      <c r="B184" s="163" t="str">
        <f>IFERROR(__xludf.DUMMYFUNCTION("""COMPUTED_VALUE"""),"")</f>
        <v/>
      </c>
      <c r="C184" s="163"/>
      <c r="D184" s="212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</row>
    <row r="185">
      <c r="A185" s="163"/>
      <c r="B185" s="163" t="str">
        <f>IFERROR(__xludf.DUMMYFUNCTION("""COMPUTED_VALUE"""),"")</f>
        <v/>
      </c>
      <c r="C185" s="163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</row>
    <row r="186">
      <c r="A186" s="163"/>
      <c r="B186" s="163" t="str">
        <f>IFERROR(__xludf.DUMMYFUNCTION("""COMPUTED_VALUE"""),"")</f>
        <v/>
      </c>
      <c r="C186" s="163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</row>
    <row r="187">
      <c r="A187" s="163"/>
      <c r="B187" s="163" t="str">
        <f>IFERROR(__xludf.DUMMYFUNCTION("""COMPUTED_VALUE"""),"")</f>
        <v/>
      </c>
      <c r="C187" s="163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</row>
    <row r="188">
      <c r="A188" s="163"/>
      <c r="B188" s="163" t="str">
        <f>IFERROR(__xludf.DUMMYFUNCTION("""COMPUTED_VALUE"""),"")</f>
        <v/>
      </c>
      <c r="C188" s="163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</row>
    <row r="189">
      <c r="A189" s="163"/>
      <c r="B189" s="163" t="str">
        <f>IFERROR(__xludf.DUMMYFUNCTION("""COMPUTED_VALUE"""),"")</f>
        <v/>
      </c>
      <c r="C189" s="163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</row>
    <row r="190">
      <c r="A190" s="163"/>
      <c r="B190" s="163" t="str">
        <f>IFERROR(__xludf.DUMMYFUNCTION("""COMPUTED_VALUE"""),"")</f>
        <v/>
      </c>
      <c r="C190" s="163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</row>
    <row r="191">
      <c r="A191" s="163"/>
      <c r="B191" s="163" t="str">
        <f>IFERROR(__xludf.DUMMYFUNCTION("""COMPUTED_VALUE"""),"")</f>
        <v/>
      </c>
      <c r="C191" s="163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</row>
    <row r="192">
      <c r="A192" s="163"/>
      <c r="B192" s="163" t="str">
        <f>IFERROR(__xludf.DUMMYFUNCTION("""COMPUTED_VALUE"""),"")</f>
        <v/>
      </c>
      <c r="C192" s="163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</row>
    <row r="193">
      <c r="A193" s="163"/>
      <c r="B193" s="163" t="str">
        <f>IFERROR(__xludf.DUMMYFUNCTION("""COMPUTED_VALUE"""),"")</f>
        <v/>
      </c>
      <c r="C193" s="163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</row>
    <row r="194">
      <c r="A194" s="163"/>
      <c r="B194" s="163" t="str">
        <f>IFERROR(__xludf.DUMMYFUNCTION("""COMPUTED_VALUE"""),"")</f>
        <v/>
      </c>
      <c r="C194" s="163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</row>
    <row r="195">
      <c r="A195" s="163"/>
      <c r="B195" s="163" t="str">
        <f>IFERROR(__xludf.DUMMYFUNCTION("""COMPUTED_VALUE"""),"")</f>
        <v/>
      </c>
      <c r="C195" s="163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</row>
    <row r="196">
      <c r="A196" s="163"/>
      <c r="B196" s="163" t="str">
        <f>IFERROR(__xludf.DUMMYFUNCTION("""COMPUTED_VALUE"""),"")</f>
        <v/>
      </c>
      <c r="C196" s="163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</row>
    <row r="197">
      <c r="A197" s="163"/>
      <c r="B197" s="163" t="str">
        <f>IFERROR(__xludf.DUMMYFUNCTION("""COMPUTED_VALUE"""),"")</f>
        <v/>
      </c>
      <c r="C197" s="163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</row>
    <row r="198">
      <c r="A198" s="163"/>
      <c r="B198" s="163" t="str">
        <f>IFERROR(__xludf.DUMMYFUNCTION("""COMPUTED_VALUE"""),"")</f>
        <v/>
      </c>
      <c r="C198" s="163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</row>
    <row r="199">
      <c r="A199" s="163"/>
      <c r="B199" s="163" t="str">
        <f>IFERROR(__xludf.DUMMYFUNCTION("""COMPUTED_VALUE"""),"")</f>
        <v/>
      </c>
      <c r="C199" s="163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</row>
    <row r="200">
      <c r="A200" s="163"/>
      <c r="B200" s="163" t="str">
        <f>IFERROR(__xludf.DUMMYFUNCTION("""COMPUTED_VALUE"""),"")</f>
        <v/>
      </c>
      <c r="C200" s="163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</row>
    <row r="201">
      <c r="A201" s="163"/>
      <c r="B201" s="163" t="str">
        <f>IFERROR(__xludf.DUMMYFUNCTION("""COMPUTED_VALUE"""),"")</f>
        <v/>
      </c>
      <c r="C201" s="163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</row>
    <row r="202">
      <c r="A202" s="163"/>
      <c r="B202" s="163" t="str">
        <f>IFERROR(__xludf.DUMMYFUNCTION("""COMPUTED_VALUE"""),"")</f>
        <v/>
      </c>
      <c r="C202" s="163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</row>
    <row r="203">
      <c r="A203" s="163"/>
      <c r="B203" s="163" t="str">
        <f>IFERROR(__xludf.DUMMYFUNCTION("""COMPUTED_VALUE"""),"")</f>
        <v/>
      </c>
      <c r="C203" s="163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</row>
    <row r="204">
      <c r="A204" s="163"/>
      <c r="B204" s="163" t="str">
        <f>IFERROR(__xludf.DUMMYFUNCTION("""COMPUTED_VALUE"""),"")</f>
        <v/>
      </c>
      <c r="C204" s="163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</row>
    <row r="205">
      <c r="A205" s="163"/>
      <c r="B205" s="163" t="str">
        <f>IFERROR(__xludf.DUMMYFUNCTION("""COMPUTED_VALUE"""),"")</f>
        <v/>
      </c>
      <c r="C205" s="163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</row>
    <row r="206">
      <c r="A206" s="163"/>
      <c r="B206" s="163" t="str">
        <f>IFERROR(__xludf.DUMMYFUNCTION("""COMPUTED_VALUE"""),"")</f>
        <v/>
      </c>
      <c r="C206" s="163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</row>
    <row r="207">
      <c r="A207" s="163"/>
      <c r="B207" s="163" t="str">
        <f>IFERROR(__xludf.DUMMYFUNCTION("""COMPUTED_VALUE"""),"")</f>
        <v/>
      </c>
      <c r="C207" s="163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</row>
    <row r="208">
      <c r="A208" s="163"/>
      <c r="B208" s="163" t="str">
        <f>IFERROR(__xludf.DUMMYFUNCTION("""COMPUTED_VALUE"""),"")</f>
        <v/>
      </c>
      <c r="C208" s="163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</row>
    <row r="209">
      <c r="A209" s="163"/>
      <c r="B209" s="163" t="str">
        <f>IFERROR(__xludf.DUMMYFUNCTION("""COMPUTED_VALUE"""),"")</f>
        <v/>
      </c>
      <c r="C209" s="163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</row>
    <row r="210">
      <c r="A210" s="163"/>
      <c r="B210" s="163" t="str">
        <f>IFERROR(__xludf.DUMMYFUNCTION("""COMPUTED_VALUE"""),"")</f>
        <v/>
      </c>
      <c r="C210" s="163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</row>
    <row r="211">
      <c r="A211" s="163"/>
      <c r="B211" s="163" t="str">
        <f>IFERROR(__xludf.DUMMYFUNCTION("""COMPUTED_VALUE"""),"")</f>
        <v/>
      </c>
      <c r="C211" s="163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</row>
    <row r="212">
      <c r="A212" s="163"/>
      <c r="B212" s="163" t="str">
        <f>IFERROR(__xludf.DUMMYFUNCTION("""COMPUTED_VALUE"""),"")</f>
        <v/>
      </c>
      <c r="C212" s="163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</row>
    <row r="213">
      <c r="A213" s="163"/>
      <c r="B213" s="163" t="str">
        <f>IFERROR(__xludf.DUMMYFUNCTION("""COMPUTED_VALUE"""),"")</f>
        <v/>
      </c>
      <c r="C213" s="163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</row>
    <row r="214">
      <c r="A214" s="163"/>
      <c r="B214" s="163" t="str">
        <f>IFERROR(__xludf.DUMMYFUNCTION("""COMPUTED_VALUE"""),"")</f>
        <v/>
      </c>
      <c r="C214" s="163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</row>
    <row r="215">
      <c r="A215" s="163"/>
      <c r="B215" s="163" t="str">
        <f>IFERROR(__xludf.DUMMYFUNCTION("""COMPUTED_VALUE"""),"")</f>
        <v/>
      </c>
      <c r="C215" s="163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</row>
    <row r="216">
      <c r="A216" s="163"/>
      <c r="B216" s="163" t="str">
        <f>IFERROR(__xludf.DUMMYFUNCTION("""COMPUTED_VALUE"""),"")</f>
        <v/>
      </c>
      <c r="C216" s="163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</row>
    <row r="217">
      <c r="A217" s="163"/>
      <c r="B217" s="163" t="str">
        <f>IFERROR(__xludf.DUMMYFUNCTION("""COMPUTED_VALUE"""),"")</f>
        <v/>
      </c>
      <c r="C217" s="163"/>
      <c r="D217" s="212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</row>
    <row r="218">
      <c r="A218" s="163"/>
      <c r="B218" s="163" t="str">
        <f>IFERROR(__xludf.DUMMYFUNCTION("""COMPUTED_VALUE"""),"")</f>
        <v/>
      </c>
      <c r="C218" s="163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</row>
    <row r="219">
      <c r="A219" s="163"/>
      <c r="B219" s="163" t="str">
        <f>IFERROR(__xludf.DUMMYFUNCTION("""COMPUTED_VALUE"""),"")</f>
        <v/>
      </c>
      <c r="C219" s="163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</row>
    <row r="220">
      <c r="A220" s="163"/>
      <c r="B220" s="163" t="str">
        <f>IFERROR(__xludf.DUMMYFUNCTION("""COMPUTED_VALUE"""),"")</f>
        <v/>
      </c>
      <c r="C220" s="163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</row>
    <row r="221">
      <c r="A221" s="163"/>
      <c r="B221" s="163" t="str">
        <f>IFERROR(__xludf.DUMMYFUNCTION("""COMPUTED_VALUE"""),"")</f>
        <v/>
      </c>
      <c r="C221" s="163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</row>
    <row r="222">
      <c r="A222" s="163"/>
      <c r="B222" s="163" t="str">
        <f>IFERROR(__xludf.DUMMYFUNCTION("""COMPUTED_VALUE"""),"")</f>
        <v/>
      </c>
      <c r="C222" s="163"/>
      <c r="D222" s="212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</row>
    <row r="223">
      <c r="A223" s="163"/>
      <c r="B223" s="163" t="str">
        <f>IFERROR(__xludf.DUMMYFUNCTION("""COMPUTED_VALUE"""),"")</f>
        <v/>
      </c>
      <c r="C223" s="163"/>
      <c r="D223" s="212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</row>
    <row r="224">
      <c r="A224" s="163"/>
      <c r="B224" s="163" t="str">
        <f>IFERROR(__xludf.DUMMYFUNCTION("""COMPUTED_VALUE"""),"")</f>
        <v/>
      </c>
      <c r="C224" s="163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</row>
    <row r="225">
      <c r="A225" s="163"/>
      <c r="B225" s="163" t="str">
        <f>IFERROR(__xludf.DUMMYFUNCTION("""COMPUTED_VALUE"""),"")</f>
        <v/>
      </c>
      <c r="C225" s="163"/>
      <c r="D225" s="212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</row>
    <row r="226">
      <c r="A226" s="163"/>
      <c r="B226" s="163" t="str">
        <f>IFERROR(__xludf.DUMMYFUNCTION("""COMPUTED_VALUE"""),"")</f>
        <v/>
      </c>
      <c r="C226" s="163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</row>
    <row r="227">
      <c r="A227" s="163"/>
      <c r="B227" s="163" t="str">
        <f>IFERROR(__xludf.DUMMYFUNCTION("""COMPUTED_VALUE"""),"")</f>
        <v/>
      </c>
      <c r="C227" s="163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</row>
    <row r="228">
      <c r="A228" s="163"/>
      <c r="B228" s="163" t="str">
        <f>IFERROR(__xludf.DUMMYFUNCTION("""COMPUTED_VALUE"""),"")</f>
        <v/>
      </c>
      <c r="C228" s="163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</row>
    <row r="229">
      <c r="A229" s="163"/>
      <c r="B229" s="163" t="str">
        <f>IFERROR(__xludf.DUMMYFUNCTION("""COMPUTED_VALUE"""),"")</f>
        <v/>
      </c>
      <c r="C229" s="163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</row>
    <row r="230">
      <c r="A230" s="163"/>
      <c r="B230" s="163" t="str">
        <f>IFERROR(__xludf.DUMMYFUNCTION("""COMPUTED_VALUE"""),"")</f>
        <v/>
      </c>
      <c r="C230" s="163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</row>
    <row r="231">
      <c r="A231" s="163"/>
      <c r="B231" s="163" t="str">
        <f>IFERROR(__xludf.DUMMYFUNCTION("""COMPUTED_VALUE"""),"")</f>
        <v/>
      </c>
      <c r="C231" s="163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</row>
    <row r="232">
      <c r="A232" s="163"/>
      <c r="B232" s="163" t="str">
        <f>IFERROR(__xludf.DUMMYFUNCTION("""COMPUTED_VALUE"""),"")</f>
        <v/>
      </c>
      <c r="C232" s="163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</row>
    <row r="233">
      <c r="A233" s="163"/>
      <c r="B233" s="163" t="str">
        <f>IFERROR(__xludf.DUMMYFUNCTION("""COMPUTED_VALUE"""),"")</f>
        <v/>
      </c>
      <c r="C233" s="163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</row>
    <row r="234">
      <c r="A234" s="163"/>
      <c r="B234" s="163" t="str">
        <f>IFERROR(__xludf.DUMMYFUNCTION("""COMPUTED_VALUE"""),"")</f>
        <v/>
      </c>
      <c r="C234" s="163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</row>
    <row r="235">
      <c r="A235" s="163"/>
      <c r="B235" s="163" t="str">
        <f>IFERROR(__xludf.DUMMYFUNCTION("""COMPUTED_VALUE"""),"")</f>
        <v/>
      </c>
      <c r="C235" s="163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</row>
    <row r="236">
      <c r="A236" s="163"/>
      <c r="B236" s="163" t="str">
        <f>IFERROR(__xludf.DUMMYFUNCTION("""COMPUTED_VALUE"""),"")</f>
        <v/>
      </c>
      <c r="C236" s="163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</row>
    <row r="237">
      <c r="A237" s="163"/>
      <c r="B237" s="163" t="str">
        <f>IFERROR(__xludf.DUMMYFUNCTION("""COMPUTED_VALUE"""),"")</f>
        <v/>
      </c>
      <c r="C237" s="163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</row>
    <row r="238">
      <c r="A238" s="163"/>
      <c r="B238" s="163" t="str">
        <f>IFERROR(__xludf.DUMMYFUNCTION("""COMPUTED_VALUE"""),"")</f>
        <v/>
      </c>
      <c r="C238" s="163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</row>
    <row r="239">
      <c r="A239" s="163"/>
      <c r="B239" s="163" t="str">
        <f>IFERROR(__xludf.DUMMYFUNCTION("""COMPUTED_VALUE"""),"")</f>
        <v/>
      </c>
      <c r="C239" s="163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</row>
    <row r="240">
      <c r="A240" s="163"/>
      <c r="B240" s="163" t="str">
        <f>IFERROR(__xludf.DUMMYFUNCTION("""COMPUTED_VALUE"""),"")</f>
        <v/>
      </c>
      <c r="C240" s="163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</row>
    <row r="241">
      <c r="A241" s="163"/>
      <c r="B241" s="163" t="str">
        <f>IFERROR(__xludf.DUMMYFUNCTION("""COMPUTED_VALUE"""),"")</f>
        <v/>
      </c>
      <c r="C241" s="163"/>
      <c r="D241" s="212"/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</row>
    <row r="242">
      <c r="A242" s="163"/>
      <c r="B242" s="163" t="str">
        <f>IFERROR(__xludf.DUMMYFUNCTION("""COMPUTED_VALUE"""),"")</f>
        <v/>
      </c>
      <c r="C242" s="163"/>
      <c r="D242" s="212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</row>
    <row r="243">
      <c r="A243" s="163"/>
      <c r="B243" s="163" t="str">
        <f>IFERROR(__xludf.DUMMYFUNCTION("""COMPUTED_VALUE"""),"")</f>
        <v/>
      </c>
      <c r="C243" s="163"/>
      <c r="D243" s="212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</row>
    <row r="244">
      <c r="A244" s="163"/>
      <c r="B244" s="163" t="str">
        <f>IFERROR(__xludf.DUMMYFUNCTION("""COMPUTED_VALUE"""),"")</f>
        <v/>
      </c>
      <c r="C244" s="163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</row>
    <row r="245">
      <c r="A245" s="163"/>
      <c r="B245" s="163" t="str">
        <f>IFERROR(__xludf.DUMMYFUNCTION("""COMPUTED_VALUE"""),"")</f>
        <v/>
      </c>
      <c r="C245" s="163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</row>
    <row r="246">
      <c r="A246" s="163"/>
      <c r="B246" s="163" t="str">
        <f>IFERROR(__xludf.DUMMYFUNCTION("""COMPUTED_VALUE"""),"")</f>
        <v/>
      </c>
      <c r="C246" s="163"/>
      <c r="D246" s="212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</row>
    <row r="247">
      <c r="A247" s="163"/>
      <c r="B247" s="163" t="str">
        <f>IFERROR(__xludf.DUMMYFUNCTION("""COMPUTED_VALUE"""),"")</f>
        <v/>
      </c>
      <c r="C247" s="163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</row>
    <row r="248">
      <c r="A248" s="163"/>
      <c r="B248" s="163" t="str">
        <f>IFERROR(__xludf.DUMMYFUNCTION("""COMPUTED_VALUE"""),"")</f>
        <v/>
      </c>
      <c r="C248" s="163"/>
      <c r="D248" s="212"/>
      <c r="E248" s="212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</row>
    <row r="249">
      <c r="A249" s="163"/>
      <c r="B249" s="163" t="str">
        <f>IFERROR(__xludf.DUMMYFUNCTION("""COMPUTED_VALUE"""),"")</f>
        <v/>
      </c>
      <c r="C249" s="163"/>
      <c r="D249" s="212"/>
      <c r="E249" s="212"/>
      <c r="F249" s="212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</row>
    <row r="250">
      <c r="A250" s="163"/>
      <c r="B250" s="163" t="str">
        <f>IFERROR(__xludf.DUMMYFUNCTION("""COMPUTED_VALUE"""),"")</f>
        <v/>
      </c>
      <c r="C250" s="163"/>
      <c r="D250" s="212"/>
      <c r="E250" s="212"/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</row>
    <row r="251">
      <c r="A251" s="163"/>
      <c r="B251" s="163" t="str">
        <f>IFERROR(__xludf.DUMMYFUNCTION("""COMPUTED_VALUE"""),"")</f>
        <v/>
      </c>
      <c r="C251" s="163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</row>
    <row r="252">
      <c r="A252" s="163"/>
      <c r="B252" s="163" t="str">
        <f>IFERROR(__xludf.DUMMYFUNCTION("""COMPUTED_VALUE"""),"")</f>
        <v/>
      </c>
      <c r="C252" s="163"/>
      <c r="D252" s="212"/>
      <c r="E252" s="212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</row>
    <row r="253">
      <c r="A253" s="163"/>
      <c r="B253" s="163" t="str">
        <f>IFERROR(__xludf.DUMMYFUNCTION("""COMPUTED_VALUE"""),"")</f>
        <v/>
      </c>
      <c r="C253" s="163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</row>
    <row r="254">
      <c r="A254" s="163"/>
      <c r="B254" s="163" t="str">
        <f>IFERROR(__xludf.DUMMYFUNCTION("""COMPUTED_VALUE"""),"")</f>
        <v/>
      </c>
      <c r="C254" s="163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</row>
    <row r="255">
      <c r="A255" s="163"/>
      <c r="B255" s="163" t="str">
        <f>IFERROR(__xludf.DUMMYFUNCTION("""COMPUTED_VALUE"""),"")</f>
        <v/>
      </c>
      <c r="C255" s="163"/>
      <c r="D255" s="212"/>
      <c r="E255" s="212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</row>
    <row r="256">
      <c r="A256" s="163"/>
      <c r="B256" s="163" t="str">
        <f>IFERROR(__xludf.DUMMYFUNCTION("""COMPUTED_VALUE"""),"")</f>
        <v/>
      </c>
      <c r="C256" s="163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</row>
    <row r="257">
      <c r="A257" s="163"/>
      <c r="B257" s="163" t="str">
        <f>IFERROR(__xludf.DUMMYFUNCTION("""COMPUTED_VALUE"""),"")</f>
        <v/>
      </c>
      <c r="C257" s="163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</row>
    <row r="258">
      <c r="A258" s="163"/>
      <c r="B258" s="163" t="str">
        <f>IFERROR(__xludf.DUMMYFUNCTION("""COMPUTED_VALUE"""),"")</f>
        <v/>
      </c>
      <c r="C258" s="163"/>
      <c r="D258" s="212"/>
      <c r="E258" s="212"/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</row>
    <row r="259">
      <c r="A259" s="163"/>
      <c r="B259" s="163" t="str">
        <f>IFERROR(__xludf.DUMMYFUNCTION("""COMPUTED_VALUE"""),"")</f>
        <v/>
      </c>
      <c r="C259" s="163"/>
      <c r="D259" s="212"/>
      <c r="E259" s="212"/>
      <c r="F259" s="212"/>
      <c r="G259" s="212"/>
      <c r="H259" s="212"/>
      <c r="I259" s="212"/>
      <c r="J259" s="212"/>
      <c r="K259" s="212"/>
      <c r="L259" s="212"/>
      <c r="M259" s="212"/>
      <c r="N259" s="212"/>
      <c r="O259" s="212"/>
      <c r="P259" s="212"/>
      <c r="Q259" s="212"/>
      <c r="R259" s="212"/>
    </row>
    <row r="260">
      <c r="A260" s="163"/>
      <c r="B260" s="163" t="str">
        <f>IFERROR(__xludf.DUMMYFUNCTION("""COMPUTED_VALUE"""),"")</f>
        <v/>
      </c>
      <c r="C260" s="163"/>
      <c r="D260" s="212"/>
      <c r="E260" s="212"/>
      <c r="F260" s="212"/>
      <c r="G260" s="212"/>
      <c r="H260" s="212"/>
      <c r="I260" s="212"/>
      <c r="J260" s="212"/>
      <c r="K260" s="212"/>
      <c r="L260" s="212"/>
      <c r="M260" s="212"/>
      <c r="N260" s="212"/>
      <c r="O260" s="212"/>
      <c r="P260" s="212"/>
      <c r="Q260" s="212"/>
      <c r="R260" s="212"/>
    </row>
    <row r="261">
      <c r="A261" s="163"/>
      <c r="B261" s="163" t="str">
        <f>IFERROR(__xludf.DUMMYFUNCTION("""COMPUTED_VALUE"""),"")</f>
        <v/>
      </c>
      <c r="C261" s="163"/>
      <c r="D261" s="212"/>
      <c r="E261" s="212"/>
      <c r="F261" s="212"/>
      <c r="G261" s="212"/>
      <c r="H261" s="212"/>
      <c r="I261" s="212"/>
      <c r="J261" s="212"/>
      <c r="K261" s="212"/>
      <c r="L261" s="212"/>
      <c r="M261" s="212"/>
      <c r="N261" s="212"/>
      <c r="O261" s="212"/>
      <c r="P261" s="212"/>
      <c r="Q261" s="212"/>
      <c r="R261" s="212"/>
    </row>
    <row r="262">
      <c r="A262" s="163"/>
      <c r="B262" s="163" t="str">
        <f>IFERROR(__xludf.DUMMYFUNCTION("""COMPUTED_VALUE"""),"")</f>
        <v/>
      </c>
      <c r="C262" s="163"/>
      <c r="D262" s="212"/>
      <c r="E262" s="212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</row>
    <row r="263">
      <c r="A263" s="163"/>
      <c r="B263" s="163" t="str">
        <f>IFERROR(__xludf.DUMMYFUNCTION("""COMPUTED_VALUE"""),"")</f>
        <v/>
      </c>
      <c r="C263" s="163"/>
      <c r="D263" s="212"/>
      <c r="E263" s="212"/>
      <c r="F263" s="212"/>
      <c r="G263" s="212"/>
      <c r="H263" s="212"/>
      <c r="I263" s="212"/>
      <c r="J263" s="212"/>
      <c r="K263" s="212"/>
      <c r="L263" s="212"/>
      <c r="M263" s="212"/>
      <c r="N263" s="212"/>
      <c r="O263" s="212"/>
      <c r="P263" s="212"/>
      <c r="Q263" s="212"/>
      <c r="R263" s="212"/>
    </row>
    <row r="264">
      <c r="A264" s="163"/>
      <c r="B264" s="163" t="str">
        <f>IFERROR(__xludf.DUMMYFUNCTION("""COMPUTED_VALUE"""),"")</f>
        <v/>
      </c>
      <c r="C264" s="163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</row>
    <row r="265">
      <c r="A265" s="163"/>
      <c r="B265" s="163" t="str">
        <f>IFERROR(__xludf.DUMMYFUNCTION("""COMPUTED_VALUE"""),"")</f>
        <v/>
      </c>
      <c r="C265" s="163"/>
      <c r="D265" s="212"/>
      <c r="E265" s="212"/>
      <c r="F265" s="212"/>
      <c r="G265" s="212"/>
      <c r="H265" s="212"/>
      <c r="I265" s="212"/>
      <c r="J265" s="212"/>
      <c r="K265" s="212"/>
      <c r="L265" s="212"/>
      <c r="M265" s="212"/>
      <c r="N265" s="212"/>
      <c r="O265" s="212"/>
      <c r="P265" s="212"/>
      <c r="Q265" s="212"/>
      <c r="R265" s="212"/>
    </row>
    <row r="266">
      <c r="A266" s="163"/>
      <c r="B266" s="163" t="str">
        <f>IFERROR(__xludf.DUMMYFUNCTION("""COMPUTED_VALUE"""),"")</f>
        <v/>
      </c>
      <c r="C266" s="163"/>
      <c r="D266" s="212"/>
      <c r="E266" s="212"/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</row>
    <row r="267">
      <c r="A267" s="163"/>
      <c r="B267" s="163" t="str">
        <f>IFERROR(__xludf.DUMMYFUNCTION("""COMPUTED_VALUE"""),"")</f>
        <v/>
      </c>
      <c r="C267" s="163"/>
      <c r="D267" s="212"/>
      <c r="E267" s="212"/>
      <c r="F267" s="212"/>
      <c r="G267" s="212"/>
      <c r="H267" s="212"/>
      <c r="I267" s="212"/>
      <c r="J267" s="212"/>
      <c r="K267" s="212"/>
      <c r="L267" s="212"/>
      <c r="M267" s="212"/>
      <c r="N267" s="212"/>
      <c r="O267" s="212"/>
      <c r="P267" s="212"/>
      <c r="Q267" s="212"/>
      <c r="R267" s="212"/>
    </row>
    <row r="268">
      <c r="A268" s="163"/>
      <c r="B268" s="163" t="str">
        <f>IFERROR(__xludf.DUMMYFUNCTION("""COMPUTED_VALUE"""),"")</f>
        <v/>
      </c>
      <c r="C268" s="163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</row>
    <row r="269">
      <c r="A269" s="163"/>
      <c r="B269" s="163" t="str">
        <f>IFERROR(__xludf.DUMMYFUNCTION("""COMPUTED_VALUE"""),"")</f>
        <v/>
      </c>
      <c r="C269" s="163"/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</row>
    <row r="270">
      <c r="A270" s="163"/>
      <c r="B270" s="163" t="str">
        <f>IFERROR(__xludf.DUMMYFUNCTION("""COMPUTED_VALUE"""),"")</f>
        <v/>
      </c>
      <c r="C270" s="163"/>
      <c r="D270" s="212"/>
      <c r="E270" s="212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</row>
    <row r="271">
      <c r="A271" s="163"/>
      <c r="B271" s="163" t="str">
        <f>IFERROR(__xludf.DUMMYFUNCTION("""COMPUTED_VALUE"""),"")</f>
        <v/>
      </c>
      <c r="C271" s="163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</row>
    <row r="272">
      <c r="A272" s="163"/>
      <c r="B272" s="163" t="str">
        <f>IFERROR(__xludf.DUMMYFUNCTION("""COMPUTED_VALUE"""),"")</f>
        <v/>
      </c>
      <c r="C272" s="163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</row>
    <row r="273">
      <c r="A273" s="163"/>
      <c r="B273" s="163" t="str">
        <f>IFERROR(__xludf.DUMMYFUNCTION("""COMPUTED_VALUE"""),"")</f>
        <v/>
      </c>
      <c r="C273" s="163"/>
      <c r="D273" s="212"/>
      <c r="E273" s="212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/>
      <c r="R273" s="212"/>
    </row>
    <row r="274">
      <c r="A274" s="163"/>
      <c r="B274" s="163" t="str">
        <f>IFERROR(__xludf.DUMMYFUNCTION("""COMPUTED_VALUE"""),"")</f>
        <v/>
      </c>
      <c r="C274" s="163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</row>
    <row r="275">
      <c r="A275" s="163"/>
      <c r="B275" s="163" t="str">
        <f>IFERROR(__xludf.DUMMYFUNCTION("""COMPUTED_VALUE"""),"")</f>
        <v/>
      </c>
      <c r="C275" s="163"/>
      <c r="D275" s="212"/>
      <c r="E275" s="212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</row>
    <row r="276">
      <c r="A276" s="163"/>
      <c r="B276" s="163" t="str">
        <f>IFERROR(__xludf.DUMMYFUNCTION("""COMPUTED_VALUE"""),"")</f>
        <v/>
      </c>
      <c r="C276" s="163"/>
      <c r="D276" s="212"/>
      <c r="E276" s="212"/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</row>
    <row r="277">
      <c r="A277" s="163"/>
      <c r="B277" s="163" t="str">
        <f>IFERROR(__xludf.DUMMYFUNCTION("""COMPUTED_VALUE"""),"")</f>
        <v/>
      </c>
      <c r="C277" s="163"/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2"/>
    </row>
    <row r="278">
      <c r="A278" s="163"/>
      <c r="B278" s="163" t="str">
        <f>IFERROR(__xludf.DUMMYFUNCTION("""COMPUTED_VALUE"""),"")</f>
        <v/>
      </c>
      <c r="C278" s="163"/>
      <c r="D278" s="212"/>
      <c r="E278" s="212"/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/>
      <c r="R278" s="212"/>
    </row>
    <row r="279">
      <c r="A279" s="163"/>
      <c r="B279" s="163" t="str">
        <f>IFERROR(__xludf.DUMMYFUNCTION("""COMPUTED_VALUE"""),"")</f>
        <v/>
      </c>
      <c r="C279" s="163"/>
      <c r="D279" s="212"/>
      <c r="E279" s="212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</row>
    <row r="280">
      <c r="A280" s="163"/>
      <c r="B280" s="163" t="str">
        <f>IFERROR(__xludf.DUMMYFUNCTION("""COMPUTED_VALUE"""),"")</f>
        <v/>
      </c>
      <c r="C280" s="163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</row>
    <row r="281">
      <c r="A281" s="163"/>
      <c r="B281" s="163" t="str">
        <f>IFERROR(__xludf.DUMMYFUNCTION("""COMPUTED_VALUE"""),"")</f>
        <v/>
      </c>
      <c r="C281" s="163"/>
      <c r="D281" s="212"/>
      <c r="E281" s="212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</row>
    <row r="282">
      <c r="A282" s="163"/>
      <c r="B282" s="163" t="str">
        <f>IFERROR(__xludf.DUMMYFUNCTION("""COMPUTED_VALUE"""),"")</f>
        <v/>
      </c>
      <c r="C282" s="163"/>
      <c r="D282" s="212"/>
      <c r="E282" s="212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2"/>
    </row>
    <row r="283">
      <c r="A283" s="163"/>
      <c r="B283" s="163" t="str">
        <f>IFERROR(__xludf.DUMMYFUNCTION("""COMPUTED_VALUE"""),"")</f>
        <v/>
      </c>
      <c r="C283" s="163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</row>
    <row r="284">
      <c r="A284" s="163"/>
      <c r="B284" s="163" t="str">
        <f>IFERROR(__xludf.DUMMYFUNCTION("""COMPUTED_VALUE"""),"")</f>
        <v/>
      </c>
      <c r="C284" s="163"/>
      <c r="D284" s="212"/>
      <c r="E284" s="212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</row>
    <row r="285">
      <c r="A285" s="163"/>
      <c r="B285" s="163" t="str">
        <f>IFERROR(__xludf.DUMMYFUNCTION("""COMPUTED_VALUE"""),"")</f>
        <v/>
      </c>
      <c r="C285" s="163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2"/>
    </row>
    <row r="286">
      <c r="A286" s="163"/>
      <c r="B286" s="163" t="str">
        <f>IFERROR(__xludf.DUMMYFUNCTION("""COMPUTED_VALUE"""),"")</f>
        <v/>
      </c>
      <c r="C286" s="163"/>
      <c r="D286" s="212"/>
      <c r="E286" s="212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</row>
    <row r="287">
      <c r="A287" s="163"/>
      <c r="B287" s="163" t="str">
        <f>IFERROR(__xludf.DUMMYFUNCTION("""COMPUTED_VALUE"""),"")</f>
        <v/>
      </c>
      <c r="C287" s="163"/>
      <c r="D287" s="212"/>
      <c r="E287" s="212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</row>
    <row r="288">
      <c r="A288" s="163"/>
      <c r="B288" s="163" t="str">
        <f>IFERROR(__xludf.DUMMYFUNCTION("""COMPUTED_VALUE"""),"")</f>
        <v/>
      </c>
      <c r="C288" s="163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</row>
    <row r="289">
      <c r="A289" s="163"/>
      <c r="B289" s="163" t="str">
        <f>IFERROR(__xludf.DUMMYFUNCTION("""COMPUTED_VALUE"""),"")</f>
        <v/>
      </c>
      <c r="C289" s="163"/>
      <c r="D289" s="212"/>
      <c r="E289" s="212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</row>
    <row r="290">
      <c r="A290" s="163"/>
      <c r="B290" s="163" t="str">
        <f>IFERROR(__xludf.DUMMYFUNCTION("""COMPUTED_VALUE"""),"")</f>
        <v/>
      </c>
      <c r="C290" s="163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</row>
    <row r="291">
      <c r="A291" s="163"/>
      <c r="B291" s="163" t="str">
        <f>IFERROR(__xludf.DUMMYFUNCTION("""COMPUTED_VALUE"""),"")</f>
        <v/>
      </c>
      <c r="C291" s="163"/>
      <c r="D291" s="212"/>
      <c r="E291" s="212"/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2"/>
    </row>
    <row r="292">
      <c r="A292" s="163"/>
      <c r="B292" s="163" t="str">
        <f>IFERROR(__xludf.DUMMYFUNCTION("""COMPUTED_VALUE"""),"")</f>
        <v/>
      </c>
      <c r="C292" s="163"/>
      <c r="D292" s="212"/>
      <c r="E292" s="212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/>
      <c r="R292" s="212"/>
    </row>
    <row r="293">
      <c r="A293" s="163"/>
      <c r="B293" s="163" t="str">
        <f>IFERROR(__xludf.DUMMYFUNCTION("""COMPUTED_VALUE"""),"")</f>
        <v/>
      </c>
      <c r="C293" s="163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2"/>
    </row>
    <row r="294">
      <c r="A294" s="163"/>
      <c r="B294" s="163" t="str">
        <f>IFERROR(__xludf.DUMMYFUNCTION("""COMPUTED_VALUE"""),"")</f>
        <v/>
      </c>
      <c r="C294" s="163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</row>
    <row r="295">
      <c r="A295" s="163"/>
      <c r="B295" s="163" t="str">
        <f>IFERROR(__xludf.DUMMYFUNCTION("""COMPUTED_VALUE"""),"")</f>
        <v/>
      </c>
      <c r="C295" s="163"/>
      <c r="D295" s="212"/>
      <c r="E295" s="212"/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/>
      <c r="R295" s="212"/>
    </row>
    <row r="296">
      <c r="A296" s="163"/>
      <c r="B296" s="163" t="str">
        <f>IFERROR(__xludf.DUMMYFUNCTION("""COMPUTED_VALUE"""),"")</f>
        <v/>
      </c>
      <c r="C296" s="163"/>
      <c r="D296" s="212"/>
      <c r="E296" s="212"/>
      <c r="F296" s="212"/>
      <c r="G296" s="212"/>
      <c r="H296" s="212"/>
      <c r="I296" s="212"/>
      <c r="J296" s="212"/>
      <c r="K296" s="212"/>
      <c r="L296" s="212"/>
      <c r="M296" s="212"/>
      <c r="N296" s="212"/>
      <c r="O296" s="212"/>
      <c r="P296" s="212"/>
      <c r="Q296" s="212"/>
      <c r="R296" s="212"/>
    </row>
    <row r="297">
      <c r="A297" s="163"/>
      <c r="B297" s="163" t="str">
        <f>IFERROR(__xludf.DUMMYFUNCTION("""COMPUTED_VALUE"""),"")</f>
        <v/>
      </c>
      <c r="C297" s="163"/>
      <c r="D297" s="212"/>
      <c r="E297" s="212"/>
      <c r="F297" s="212"/>
      <c r="G297" s="212"/>
      <c r="H297" s="212"/>
      <c r="I297" s="212"/>
      <c r="J297" s="212"/>
      <c r="K297" s="212"/>
      <c r="L297" s="212"/>
      <c r="M297" s="212"/>
      <c r="N297" s="212"/>
      <c r="O297" s="212"/>
      <c r="P297" s="212"/>
      <c r="Q297" s="212"/>
      <c r="R297" s="212"/>
    </row>
    <row r="298">
      <c r="A298" s="163"/>
      <c r="B298" s="163" t="str">
        <f>IFERROR(__xludf.DUMMYFUNCTION("""COMPUTED_VALUE"""),"")</f>
        <v/>
      </c>
      <c r="C298" s="163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</row>
    <row r="299">
      <c r="A299" s="163"/>
      <c r="B299" s="163" t="str">
        <f>IFERROR(__xludf.DUMMYFUNCTION("""COMPUTED_VALUE"""),"")</f>
        <v/>
      </c>
      <c r="C299" s="163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</row>
    <row r="300">
      <c r="A300" s="163"/>
      <c r="B300" s="163" t="str">
        <f>IFERROR(__xludf.DUMMYFUNCTION("""COMPUTED_VALUE"""),"")</f>
        <v/>
      </c>
      <c r="C300" s="163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/>
      <c r="R300" s="212"/>
    </row>
    <row r="301">
      <c r="A301" s="163"/>
      <c r="B301" s="163" t="str">
        <f>IFERROR(__xludf.DUMMYFUNCTION("""COMPUTED_VALUE"""),"")</f>
        <v/>
      </c>
      <c r="C301" s="163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2"/>
    </row>
    <row r="302">
      <c r="A302" s="163"/>
      <c r="B302" s="163" t="str">
        <f>IFERROR(__xludf.DUMMYFUNCTION("""COMPUTED_VALUE"""),"")</f>
        <v/>
      </c>
      <c r="C302" s="163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</row>
    <row r="303">
      <c r="A303" s="163"/>
      <c r="B303" s="163" t="str">
        <f>IFERROR(__xludf.DUMMYFUNCTION("""COMPUTED_VALUE"""),"")</f>
        <v/>
      </c>
      <c r="C303" s="163"/>
      <c r="D303" s="212"/>
      <c r="E303" s="212"/>
      <c r="F303" s="212"/>
      <c r="G303" s="212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/>
      <c r="R303" s="212"/>
    </row>
    <row r="304">
      <c r="A304" s="163"/>
      <c r="B304" s="163" t="str">
        <f>IFERROR(__xludf.DUMMYFUNCTION("""COMPUTED_VALUE"""),"")</f>
        <v/>
      </c>
      <c r="C304" s="163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</row>
    <row r="305">
      <c r="A305" s="163"/>
      <c r="B305" s="163" t="str">
        <f>IFERROR(__xludf.DUMMYFUNCTION("""COMPUTED_VALUE"""),"")</f>
        <v/>
      </c>
      <c r="C305" s="163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/>
      <c r="R305" s="212"/>
    </row>
    <row r="306">
      <c r="A306" s="163"/>
      <c r="B306" s="163" t="str">
        <f>IFERROR(__xludf.DUMMYFUNCTION("""COMPUTED_VALUE"""),"")</f>
        <v/>
      </c>
      <c r="C306" s="163"/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/>
      <c r="R306" s="212"/>
    </row>
    <row r="307">
      <c r="A307" s="163"/>
      <c r="B307" s="163" t="str">
        <f>IFERROR(__xludf.DUMMYFUNCTION("""COMPUTED_VALUE"""),"")</f>
        <v/>
      </c>
      <c r="C307" s="163"/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/>
      <c r="R307" s="212"/>
    </row>
    <row r="308">
      <c r="A308" s="163"/>
      <c r="B308" s="163" t="str">
        <f>IFERROR(__xludf.DUMMYFUNCTION("""COMPUTED_VALUE"""),"")</f>
        <v/>
      </c>
      <c r="C308" s="163"/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/>
      <c r="R308" s="212"/>
    </row>
    <row r="309">
      <c r="A309" s="163"/>
      <c r="B309" s="163" t="str">
        <f>IFERROR(__xludf.DUMMYFUNCTION("""COMPUTED_VALUE"""),"")</f>
        <v/>
      </c>
      <c r="C309" s="163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/>
      <c r="R309" s="212"/>
    </row>
    <row r="310">
      <c r="A310" s="163"/>
      <c r="B310" s="163" t="str">
        <f>IFERROR(__xludf.DUMMYFUNCTION("""COMPUTED_VALUE"""),"")</f>
        <v/>
      </c>
      <c r="C310" s="163"/>
      <c r="D310" s="212"/>
      <c r="E310" s="212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/>
      <c r="R310" s="212"/>
    </row>
    <row r="311">
      <c r="A311" s="163"/>
      <c r="B311" s="163" t="str">
        <f>IFERROR(__xludf.DUMMYFUNCTION("""COMPUTED_VALUE"""),"")</f>
        <v/>
      </c>
      <c r="C311" s="163"/>
      <c r="D311" s="212"/>
      <c r="E311" s="212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</row>
    <row r="312">
      <c r="A312" s="163"/>
      <c r="B312" s="163" t="str">
        <f>IFERROR(__xludf.DUMMYFUNCTION("""COMPUTED_VALUE"""),"")</f>
        <v/>
      </c>
      <c r="C312" s="163"/>
      <c r="D312" s="212"/>
      <c r="E312" s="212"/>
      <c r="F312" s="212"/>
      <c r="G312" s="212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/>
      <c r="R312" s="212"/>
    </row>
    <row r="313">
      <c r="A313" s="163"/>
      <c r="B313" s="163" t="str">
        <f>IFERROR(__xludf.DUMMYFUNCTION("""COMPUTED_VALUE"""),"")</f>
        <v/>
      </c>
      <c r="C313" s="163"/>
      <c r="D313" s="212"/>
      <c r="E313" s="212"/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/>
      <c r="R313" s="212"/>
    </row>
    <row r="314">
      <c r="A314" s="163"/>
      <c r="B314" s="163" t="str">
        <f>IFERROR(__xludf.DUMMYFUNCTION("""COMPUTED_VALUE"""),"")</f>
        <v/>
      </c>
      <c r="C314" s="163"/>
      <c r="D314" s="212"/>
      <c r="E314" s="212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</row>
    <row r="315">
      <c r="A315" s="163"/>
      <c r="B315" s="163" t="str">
        <f>IFERROR(__xludf.DUMMYFUNCTION("""COMPUTED_VALUE"""),"")</f>
        <v/>
      </c>
      <c r="C315" s="163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/>
      <c r="R315" s="212"/>
    </row>
    <row r="316">
      <c r="A316" s="163"/>
      <c r="B316" s="163" t="str">
        <f>IFERROR(__xludf.DUMMYFUNCTION("""COMPUTED_VALUE"""),"")</f>
        <v/>
      </c>
      <c r="C316" s="163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</row>
    <row r="317">
      <c r="A317" s="163"/>
      <c r="B317" s="163" t="str">
        <f>IFERROR(__xludf.DUMMYFUNCTION("""COMPUTED_VALUE"""),"")</f>
        <v/>
      </c>
      <c r="C317" s="163"/>
      <c r="D317" s="212"/>
      <c r="E317" s="212"/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</row>
    <row r="318">
      <c r="A318" s="163"/>
      <c r="B318" s="163" t="str">
        <f>IFERROR(__xludf.DUMMYFUNCTION("""COMPUTED_VALUE"""),"")</f>
        <v/>
      </c>
      <c r="C318" s="163"/>
      <c r="D318" s="212"/>
      <c r="E318" s="212"/>
      <c r="F318" s="212"/>
      <c r="G318" s="212"/>
      <c r="H318" s="212"/>
      <c r="I318" s="212"/>
      <c r="J318" s="212"/>
      <c r="K318" s="212"/>
      <c r="L318" s="212"/>
      <c r="M318" s="212"/>
      <c r="N318" s="212"/>
      <c r="O318" s="212"/>
      <c r="P318" s="212"/>
      <c r="Q318" s="212"/>
      <c r="R318" s="212"/>
    </row>
    <row r="319">
      <c r="A319" s="163"/>
      <c r="B319" s="163" t="str">
        <f>IFERROR(__xludf.DUMMYFUNCTION("""COMPUTED_VALUE"""),"")</f>
        <v/>
      </c>
      <c r="C319" s="163"/>
      <c r="D319" s="212"/>
      <c r="E319" s="212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</row>
    <row r="320">
      <c r="A320" s="163"/>
      <c r="B320" s="163" t="str">
        <f>IFERROR(__xludf.DUMMYFUNCTION("""COMPUTED_VALUE"""),"")</f>
        <v/>
      </c>
      <c r="C320" s="163"/>
      <c r="D320" s="212"/>
      <c r="E320" s="212"/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</row>
    <row r="321">
      <c r="A321" s="163"/>
      <c r="B321" s="163" t="str">
        <f>IFERROR(__xludf.DUMMYFUNCTION("""COMPUTED_VALUE"""),"")</f>
        <v/>
      </c>
      <c r="C321" s="163"/>
      <c r="D321" s="212"/>
      <c r="E321" s="212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/>
      <c r="R321" s="212"/>
    </row>
    <row r="322">
      <c r="A322" s="163"/>
      <c r="B322" s="163" t="str">
        <f>IFERROR(__xludf.DUMMYFUNCTION("""COMPUTED_VALUE"""),"")</f>
        <v/>
      </c>
      <c r="C322" s="163"/>
      <c r="D322" s="212"/>
      <c r="E322" s="212"/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</row>
    <row r="323">
      <c r="A323" s="163"/>
      <c r="B323" s="163" t="str">
        <f>IFERROR(__xludf.DUMMYFUNCTION("""COMPUTED_VALUE"""),"")</f>
        <v/>
      </c>
      <c r="C323" s="163"/>
      <c r="D323" s="212"/>
      <c r="E323" s="212"/>
      <c r="F323" s="212"/>
      <c r="G323" s="212"/>
      <c r="H323" s="212"/>
      <c r="I323" s="212"/>
      <c r="J323" s="212"/>
      <c r="K323" s="212"/>
      <c r="L323" s="212"/>
      <c r="M323" s="212"/>
      <c r="N323" s="212"/>
      <c r="O323" s="212"/>
      <c r="P323" s="212"/>
      <c r="Q323" s="212"/>
      <c r="R323" s="212"/>
    </row>
    <row r="324">
      <c r="A324" s="163"/>
      <c r="B324" s="163" t="str">
        <f>IFERROR(__xludf.DUMMYFUNCTION("""COMPUTED_VALUE"""),"")</f>
        <v/>
      </c>
      <c r="C324" s="163"/>
      <c r="D324" s="212"/>
      <c r="E324" s="212"/>
      <c r="F324" s="212"/>
      <c r="G324" s="212"/>
      <c r="H324" s="212"/>
      <c r="I324" s="212"/>
      <c r="J324" s="212"/>
      <c r="K324" s="212"/>
      <c r="L324" s="212"/>
      <c r="M324" s="212"/>
      <c r="N324" s="212"/>
      <c r="O324" s="212"/>
      <c r="P324" s="212"/>
      <c r="Q324" s="212"/>
      <c r="R324" s="212"/>
    </row>
    <row r="325">
      <c r="A325" s="163"/>
      <c r="B325" s="163" t="str">
        <f>IFERROR(__xludf.DUMMYFUNCTION("""COMPUTED_VALUE"""),"")</f>
        <v/>
      </c>
      <c r="C325" s="163"/>
      <c r="D325" s="212"/>
      <c r="E325" s="212"/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</row>
    <row r="326">
      <c r="A326" s="163"/>
      <c r="B326" s="163" t="str">
        <f>IFERROR(__xludf.DUMMYFUNCTION("""COMPUTED_VALUE"""),"")</f>
        <v/>
      </c>
      <c r="C326" s="163"/>
      <c r="D326" s="212"/>
      <c r="E326" s="212"/>
      <c r="F326" s="212"/>
      <c r="G326" s="212"/>
      <c r="H326" s="212"/>
      <c r="I326" s="212"/>
      <c r="J326" s="212"/>
      <c r="K326" s="212"/>
      <c r="L326" s="212"/>
      <c r="M326" s="212"/>
      <c r="N326" s="212"/>
      <c r="O326" s="212"/>
      <c r="P326" s="212"/>
      <c r="Q326" s="212"/>
      <c r="R326" s="212"/>
    </row>
    <row r="327">
      <c r="A327" s="163"/>
      <c r="B327" s="163" t="str">
        <f>IFERROR(__xludf.DUMMYFUNCTION("""COMPUTED_VALUE"""),"")</f>
        <v/>
      </c>
      <c r="C327" s="163"/>
      <c r="D327" s="212"/>
      <c r="E327" s="212"/>
      <c r="F327" s="212"/>
      <c r="G327" s="212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</row>
    <row r="328">
      <c r="A328" s="163"/>
      <c r="B328" s="163" t="str">
        <f>IFERROR(__xludf.DUMMYFUNCTION("""COMPUTED_VALUE"""),"")</f>
        <v/>
      </c>
      <c r="C328" s="163"/>
      <c r="D328" s="212"/>
      <c r="E328" s="212"/>
      <c r="F328" s="212"/>
      <c r="G328" s="212"/>
      <c r="H328" s="212"/>
      <c r="I328" s="212"/>
      <c r="J328" s="212"/>
      <c r="K328" s="212"/>
      <c r="L328" s="212"/>
      <c r="M328" s="212"/>
      <c r="N328" s="212"/>
      <c r="O328" s="212"/>
      <c r="P328" s="212"/>
      <c r="Q328" s="212"/>
      <c r="R328" s="212"/>
    </row>
    <row r="329">
      <c r="A329" s="163"/>
      <c r="B329" s="163" t="str">
        <f>IFERROR(__xludf.DUMMYFUNCTION("""COMPUTED_VALUE"""),"")</f>
        <v/>
      </c>
      <c r="C329" s="163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</row>
    <row r="330">
      <c r="A330" s="163"/>
      <c r="B330" s="163" t="str">
        <f>IFERROR(__xludf.DUMMYFUNCTION("""COMPUTED_VALUE"""),"")</f>
        <v/>
      </c>
      <c r="C330" s="163"/>
      <c r="D330" s="212"/>
      <c r="E330" s="212"/>
      <c r="F330" s="212"/>
      <c r="G330" s="212"/>
      <c r="H330" s="212"/>
      <c r="I330" s="212"/>
      <c r="J330" s="212"/>
      <c r="K330" s="212"/>
      <c r="L330" s="212"/>
      <c r="M330" s="212"/>
      <c r="N330" s="212"/>
      <c r="O330" s="212"/>
      <c r="P330" s="212"/>
      <c r="Q330" s="212"/>
      <c r="R330" s="212"/>
    </row>
    <row r="331">
      <c r="A331" s="163"/>
      <c r="B331" s="163" t="str">
        <f>IFERROR(__xludf.DUMMYFUNCTION("""COMPUTED_VALUE"""),"")</f>
        <v/>
      </c>
      <c r="C331" s="163"/>
      <c r="D331" s="212"/>
      <c r="E331" s="212"/>
      <c r="F331" s="212"/>
      <c r="G331" s="212"/>
      <c r="H331" s="212"/>
      <c r="I331" s="212"/>
      <c r="J331" s="212"/>
      <c r="K331" s="212"/>
      <c r="L331" s="212"/>
      <c r="M331" s="212"/>
      <c r="N331" s="212"/>
      <c r="O331" s="212"/>
      <c r="P331" s="212"/>
      <c r="Q331" s="212"/>
      <c r="R331" s="212"/>
    </row>
    <row r="332">
      <c r="A332" s="163"/>
      <c r="B332" s="163" t="str">
        <f>IFERROR(__xludf.DUMMYFUNCTION("""COMPUTED_VALUE"""),"")</f>
        <v/>
      </c>
      <c r="C332" s="163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</row>
    <row r="333">
      <c r="A333" s="163"/>
      <c r="B333" s="163" t="str">
        <f>IFERROR(__xludf.DUMMYFUNCTION("""COMPUTED_VALUE"""),"")</f>
        <v/>
      </c>
      <c r="C333" s="163"/>
      <c r="D333" s="212"/>
      <c r="E333" s="212"/>
      <c r="F333" s="212"/>
      <c r="G333" s="212"/>
      <c r="H333" s="212"/>
      <c r="I333" s="212"/>
      <c r="J333" s="212"/>
      <c r="K333" s="212"/>
      <c r="L333" s="212"/>
      <c r="M333" s="212"/>
      <c r="N333" s="212"/>
      <c r="O333" s="212"/>
      <c r="P333" s="212"/>
      <c r="Q333" s="212"/>
      <c r="R333" s="212"/>
    </row>
    <row r="334">
      <c r="A334" s="163"/>
      <c r="B334" s="163" t="str">
        <f>IFERROR(__xludf.DUMMYFUNCTION("""COMPUTED_VALUE"""),"")</f>
        <v/>
      </c>
      <c r="C334" s="163"/>
      <c r="D334" s="212"/>
      <c r="E334" s="212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</row>
    <row r="335">
      <c r="A335" s="163"/>
      <c r="B335" s="163" t="str">
        <f>IFERROR(__xludf.DUMMYFUNCTION("""COMPUTED_VALUE"""),"")</f>
        <v/>
      </c>
      <c r="C335" s="163"/>
      <c r="D335" s="212"/>
      <c r="E335" s="212"/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</row>
    <row r="336">
      <c r="A336" s="163"/>
      <c r="B336" s="163" t="str">
        <f>IFERROR(__xludf.DUMMYFUNCTION("""COMPUTED_VALUE"""),"")</f>
        <v/>
      </c>
      <c r="C336" s="163"/>
      <c r="D336" s="212"/>
      <c r="E336" s="212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</row>
    <row r="337">
      <c r="A337" s="163"/>
      <c r="B337" s="163" t="str">
        <f>IFERROR(__xludf.DUMMYFUNCTION("""COMPUTED_VALUE"""),"")</f>
        <v/>
      </c>
      <c r="C337" s="163"/>
      <c r="D337" s="212"/>
      <c r="E337" s="212"/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</row>
    <row r="338">
      <c r="A338" s="163"/>
      <c r="B338" s="163" t="str">
        <f>IFERROR(__xludf.DUMMYFUNCTION("""COMPUTED_VALUE"""),"")</f>
        <v/>
      </c>
      <c r="C338" s="163"/>
      <c r="D338" s="212"/>
      <c r="E338" s="212"/>
      <c r="F338" s="212"/>
      <c r="G338" s="212"/>
      <c r="H338" s="212"/>
      <c r="I338" s="212"/>
      <c r="J338" s="212"/>
      <c r="K338" s="212"/>
      <c r="L338" s="212"/>
      <c r="M338" s="212"/>
      <c r="N338" s="212"/>
      <c r="O338" s="212"/>
      <c r="P338" s="212"/>
      <c r="Q338" s="212"/>
      <c r="R338" s="212"/>
    </row>
    <row r="339">
      <c r="A339" s="163"/>
      <c r="B339" s="163" t="str">
        <f>IFERROR(__xludf.DUMMYFUNCTION("""COMPUTED_VALUE"""),"")</f>
        <v/>
      </c>
      <c r="C339" s="163"/>
      <c r="D339" s="212"/>
      <c r="E339" s="212"/>
      <c r="F339" s="212"/>
      <c r="G339" s="212"/>
      <c r="H339" s="212"/>
      <c r="I339" s="212"/>
      <c r="J339" s="212"/>
      <c r="K339" s="212"/>
      <c r="L339" s="212"/>
      <c r="M339" s="212"/>
      <c r="N339" s="212"/>
      <c r="O339" s="212"/>
      <c r="P339" s="212"/>
      <c r="Q339" s="212"/>
      <c r="R339" s="212"/>
    </row>
    <row r="340">
      <c r="A340" s="163"/>
      <c r="B340" s="163" t="str">
        <f>IFERROR(__xludf.DUMMYFUNCTION("""COMPUTED_VALUE"""),"")</f>
        <v/>
      </c>
      <c r="C340" s="163"/>
      <c r="D340" s="212"/>
      <c r="E340" s="212"/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</row>
    <row r="341">
      <c r="A341" s="163"/>
      <c r="B341" s="163" t="str">
        <f>IFERROR(__xludf.DUMMYFUNCTION("""COMPUTED_VALUE"""),"")</f>
        <v/>
      </c>
      <c r="C341" s="163"/>
      <c r="D341" s="212"/>
      <c r="E341" s="212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</row>
    <row r="342">
      <c r="A342" s="163"/>
      <c r="B342" s="163" t="str">
        <f>IFERROR(__xludf.DUMMYFUNCTION("""COMPUTED_VALUE"""),"")</f>
        <v/>
      </c>
      <c r="C342" s="163"/>
      <c r="D342" s="212"/>
      <c r="E342" s="212"/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</row>
    <row r="343">
      <c r="A343" s="163"/>
      <c r="B343" s="163" t="str">
        <f>IFERROR(__xludf.DUMMYFUNCTION("""COMPUTED_VALUE"""),"")</f>
        <v/>
      </c>
      <c r="C343" s="163"/>
      <c r="D343" s="212"/>
      <c r="E343" s="212"/>
      <c r="F343" s="212"/>
      <c r="G343" s="212"/>
      <c r="H343" s="212"/>
      <c r="I343" s="212"/>
      <c r="J343" s="212"/>
      <c r="K343" s="212"/>
      <c r="L343" s="212"/>
      <c r="M343" s="212"/>
      <c r="N343" s="212"/>
      <c r="O343" s="212"/>
      <c r="P343" s="212"/>
      <c r="Q343" s="212"/>
      <c r="R343" s="212"/>
    </row>
    <row r="344">
      <c r="A344" s="163"/>
      <c r="B344" s="163" t="str">
        <f>IFERROR(__xludf.DUMMYFUNCTION("""COMPUTED_VALUE"""),"")</f>
        <v/>
      </c>
      <c r="C344" s="163"/>
      <c r="D344" s="212"/>
      <c r="E344" s="212"/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</row>
    <row r="345">
      <c r="A345" s="163"/>
      <c r="B345" s="163" t="str">
        <f>IFERROR(__xludf.DUMMYFUNCTION("""COMPUTED_VALUE"""),"")</f>
        <v/>
      </c>
      <c r="C345" s="163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</row>
    <row r="346">
      <c r="A346" s="163"/>
      <c r="B346" s="163" t="str">
        <f>IFERROR(__xludf.DUMMYFUNCTION("""COMPUTED_VALUE"""),"")</f>
        <v/>
      </c>
      <c r="C346" s="163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</row>
    <row r="347">
      <c r="A347" s="163"/>
      <c r="B347" s="163" t="str">
        <f>IFERROR(__xludf.DUMMYFUNCTION("""COMPUTED_VALUE"""),"")</f>
        <v/>
      </c>
      <c r="C347" s="163"/>
      <c r="D347" s="212"/>
      <c r="E347" s="212"/>
      <c r="F347" s="212"/>
      <c r="G347" s="212"/>
      <c r="H347" s="212"/>
      <c r="I347" s="212"/>
      <c r="J347" s="212"/>
      <c r="K347" s="212"/>
      <c r="L347" s="212"/>
      <c r="M347" s="212"/>
      <c r="N347" s="212"/>
      <c r="O347" s="212"/>
      <c r="P347" s="212"/>
      <c r="Q347" s="212"/>
      <c r="R347" s="212"/>
    </row>
    <row r="348">
      <c r="A348" s="163"/>
      <c r="B348" s="163" t="str">
        <f>IFERROR(__xludf.DUMMYFUNCTION("""COMPUTED_VALUE"""),"")</f>
        <v/>
      </c>
      <c r="C348" s="163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</row>
    <row r="349">
      <c r="A349" s="163"/>
      <c r="B349" s="163" t="str">
        <f>IFERROR(__xludf.DUMMYFUNCTION("""COMPUTED_VALUE"""),"")</f>
        <v/>
      </c>
      <c r="C349" s="163"/>
      <c r="D349" s="212"/>
      <c r="E349" s="212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</row>
    <row r="350">
      <c r="A350" s="163"/>
      <c r="B350" s="163" t="str">
        <f>IFERROR(__xludf.DUMMYFUNCTION("""COMPUTED_VALUE"""),"")</f>
        <v/>
      </c>
      <c r="C350" s="163"/>
      <c r="D350" s="212"/>
      <c r="E350" s="212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</row>
    <row r="351">
      <c r="A351" s="163"/>
      <c r="B351" s="163" t="str">
        <f>IFERROR(__xludf.DUMMYFUNCTION("""COMPUTED_VALUE"""),"")</f>
        <v/>
      </c>
      <c r="C351" s="163"/>
      <c r="D351" s="212"/>
      <c r="E351" s="212"/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</row>
    <row r="352">
      <c r="A352" s="163"/>
      <c r="B352" s="163" t="str">
        <f>IFERROR(__xludf.DUMMYFUNCTION("""COMPUTED_VALUE"""),"")</f>
        <v/>
      </c>
      <c r="C352" s="163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</row>
    <row r="353">
      <c r="A353" s="163"/>
      <c r="B353" s="163" t="str">
        <f>IFERROR(__xludf.DUMMYFUNCTION("""COMPUTED_VALUE"""),"")</f>
        <v/>
      </c>
      <c r="C353" s="163"/>
      <c r="D353" s="212"/>
      <c r="E353" s="212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</row>
    <row r="354">
      <c r="A354" s="163"/>
      <c r="B354" s="163" t="str">
        <f>IFERROR(__xludf.DUMMYFUNCTION("""COMPUTED_VALUE"""),"")</f>
        <v/>
      </c>
      <c r="C354" s="163"/>
      <c r="D354" s="212"/>
      <c r="E354" s="212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</row>
    <row r="355">
      <c r="A355" s="163"/>
      <c r="B355" s="163" t="str">
        <f>IFERROR(__xludf.DUMMYFUNCTION("""COMPUTED_VALUE"""),"")</f>
        <v/>
      </c>
      <c r="C355" s="163"/>
      <c r="D355" s="212"/>
      <c r="E355" s="212"/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</row>
    <row r="356">
      <c r="A356" s="163"/>
      <c r="B356" s="163" t="str">
        <f>IFERROR(__xludf.DUMMYFUNCTION("""COMPUTED_VALUE"""),"")</f>
        <v/>
      </c>
      <c r="C356" s="163"/>
      <c r="D356" s="212"/>
      <c r="E356" s="212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/>
      <c r="R356" s="212"/>
    </row>
    <row r="357">
      <c r="A357" s="163"/>
      <c r="B357" s="163" t="str">
        <f>IFERROR(__xludf.DUMMYFUNCTION("""COMPUTED_VALUE"""),"")</f>
        <v/>
      </c>
      <c r="C357" s="163"/>
      <c r="D357" s="212"/>
      <c r="E357" s="212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/>
      <c r="R357" s="212"/>
    </row>
    <row r="358">
      <c r="A358" s="163"/>
      <c r="B358" s="163" t="str">
        <f>IFERROR(__xludf.DUMMYFUNCTION("""COMPUTED_VALUE"""),"")</f>
        <v/>
      </c>
      <c r="C358" s="163"/>
      <c r="D358" s="212"/>
      <c r="E358" s="212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/>
      <c r="R358" s="212"/>
    </row>
    <row r="359">
      <c r="A359" s="163"/>
      <c r="B359" s="163" t="str">
        <f>IFERROR(__xludf.DUMMYFUNCTION("""COMPUTED_VALUE"""),"")</f>
        <v/>
      </c>
      <c r="C359" s="163"/>
      <c r="D359" s="212"/>
      <c r="E359" s="212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</row>
    <row r="360">
      <c r="A360" s="163"/>
      <c r="B360" s="163" t="str">
        <f>IFERROR(__xludf.DUMMYFUNCTION("""COMPUTED_VALUE"""),"")</f>
        <v/>
      </c>
      <c r="C360" s="163"/>
      <c r="D360" s="212"/>
      <c r="E360" s="212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/>
      <c r="R360" s="212"/>
    </row>
    <row r="361">
      <c r="A361" s="163"/>
      <c r="B361" s="163" t="str">
        <f>IFERROR(__xludf.DUMMYFUNCTION("""COMPUTED_VALUE"""),"")</f>
        <v/>
      </c>
      <c r="C361" s="163"/>
      <c r="D361" s="212"/>
      <c r="E361" s="212"/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</row>
    <row r="362">
      <c r="A362" s="163"/>
      <c r="B362" s="163" t="str">
        <f>IFERROR(__xludf.DUMMYFUNCTION("""COMPUTED_VALUE"""),"")</f>
        <v/>
      </c>
      <c r="C362" s="163"/>
      <c r="D362" s="212"/>
      <c r="E362" s="212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</row>
    <row r="363">
      <c r="A363" s="163"/>
      <c r="B363" s="163" t="str">
        <f>IFERROR(__xludf.DUMMYFUNCTION("""COMPUTED_VALUE"""),"")</f>
        <v/>
      </c>
      <c r="C363" s="163"/>
      <c r="D363" s="212"/>
      <c r="E363" s="21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</row>
    <row r="364">
      <c r="A364" s="163"/>
      <c r="B364" s="163" t="str">
        <f>IFERROR(__xludf.DUMMYFUNCTION("""COMPUTED_VALUE"""),"")</f>
        <v/>
      </c>
      <c r="C364" s="163"/>
      <c r="D364" s="212"/>
      <c r="E364" s="212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</row>
    <row r="365">
      <c r="A365" s="163"/>
      <c r="B365" s="163" t="str">
        <f>IFERROR(__xludf.DUMMYFUNCTION("""COMPUTED_VALUE"""),"")</f>
        <v/>
      </c>
      <c r="C365" s="163"/>
      <c r="D365" s="212"/>
      <c r="E365" s="21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</row>
    <row r="366">
      <c r="A366" s="163"/>
      <c r="B366" s="163" t="str">
        <f>IFERROR(__xludf.DUMMYFUNCTION("""COMPUTED_VALUE"""),"")</f>
        <v/>
      </c>
      <c r="C366" s="163"/>
      <c r="D366" s="212"/>
      <c r="E366" s="212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</row>
    <row r="367">
      <c r="A367" s="163"/>
      <c r="B367" s="163" t="str">
        <f>IFERROR(__xludf.DUMMYFUNCTION("""COMPUTED_VALUE"""),"")</f>
        <v/>
      </c>
      <c r="C367" s="163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/>
      <c r="R367" s="212"/>
    </row>
    <row r="368">
      <c r="A368" s="163"/>
      <c r="B368" s="163" t="str">
        <f>IFERROR(__xludf.DUMMYFUNCTION("""COMPUTED_VALUE"""),"")</f>
        <v/>
      </c>
      <c r="C368" s="163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/>
      <c r="R368" s="212"/>
    </row>
    <row r="369">
      <c r="A369" s="163"/>
      <c r="B369" s="163" t="str">
        <f>IFERROR(__xludf.DUMMYFUNCTION("""COMPUTED_VALUE"""),"")</f>
        <v/>
      </c>
      <c r="C369" s="163"/>
      <c r="D369" s="212"/>
      <c r="E369" s="212"/>
      <c r="F369" s="212"/>
      <c r="G369" s="212"/>
      <c r="H369" s="212"/>
      <c r="I369" s="212"/>
      <c r="J369" s="212"/>
      <c r="K369" s="212"/>
      <c r="L369" s="212"/>
      <c r="M369" s="212"/>
      <c r="N369" s="212"/>
      <c r="O369" s="212"/>
      <c r="P369" s="212"/>
      <c r="Q369" s="212"/>
      <c r="R369" s="212"/>
    </row>
    <row r="370">
      <c r="A370" s="163"/>
      <c r="B370" s="163" t="str">
        <f>IFERROR(__xludf.DUMMYFUNCTION("""COMPUTED_VALUE"""),"")</f>
        <v/>
      </c>
      <c r="C370" s="163"/>
      <c r="D370" s="212"/>
      <c r="E370" s="212"/>
      <c r="F370" s="212"/>
      <c r="G370" s="212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/>
      <c r="R370" s="212"/>
    </row>
    <row r="371">
      <c r="A371" s="163"/>
      <c r="B371" s="163" t="str">
        <f>IFERROR(__xludf.DUMMYFUNCTION("""COMPUTED_VALUE"""),"")</f>
        <v/>
      </c>
      <c r="C371" s="163"/>
      <c r="D371" s="212"/>
      <c r="E371" s="212"/>
      <c r="F371" s="212"/>
      <c r="G371" s="212"/>
      <c r="H371" s="212"/>
      <c r="I371" s="212"/>
      <c r="J371" s="212"/>
      <c r="K371" s="212"/>
      <c r="L371" s="212"/>
      <c r="M371" s="212"/>
      <c r="N371" s="212"/>
      <c r="O371" s="212"/>
      <c r="P371" s="212"/>
      <c r="Q371" s="212"/>
      <c r="R371" s="212"/>
    </row>
    <row r="372">
      <c r="A372" s="163"/>
      <c r="B372" s="163" t="str">
        <f>IFERROR(__xludf.DUMMYFUNCTION("""COMPUTED_VALUE"""),"")</f>
        <v/>
      </c>
      <c r="C372" s="163"/>
      <c r="D372" s="212"/>
      <c r="E372" s="212"/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/>
      <c r="R372" s="212"/>
    </row>
    <row r="373">
      <c r="A373" s="163"/>
      <c r="B373" s="163" t="str">
        <f>IFERROR(__xludf.DUMMYFUNCTION("""COMPUTED_VALUE"""),"")</f>
        <v/>
      </c>
      <c r="C373" s="163"/>
      <c r="D373" s="212"/>
      <c r="E373" s="212"/>
      <c r="F373" s="212"/>
      <c r="G373" s="212"/>
      <c r="H373" s="212"/>
      <c r="I373" s="212"/>
      <c r="J373" s="212"/>
      <c r="K373" s="212"/>
      <c r="L373" s="212"/>
      <c r="M373" s="212"/>
      <c r="N373" s="212"/>
      <c r="O373" s="212"/>
      <c r="P373" s="212"/>
      <c r="Q373" s="212"/>
      <c r="R373" s="212"/>
    </row>
    <row r="374">
      <c r="A374" s="163"/>
      <c r="B374" s="163" t="str">
        <f>IFERROR(__xludf.DUMMYFUNCTION("""COMPUTED_VALUE"""),"")</f>
        <v/>
      </c>
      <c r="C374" s="163"/>
      <c r="D374" s="212"/>
      <c r="E374" s="212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/>
      <c r="R374" s="212"/>
    </row>
    <row r="375">
      <c r="A375" s="163"/>
      <c r="B375" s="163" t="str">
        <f>IFERROR(__xludf.DUMMYFUNCTION("""COMPUTED_VALUE"""),"")</f>
        <v/>
      </c>
      <c r="C375" s="163"/>
      <c r="D375" s="212"/>
      <c r="E375" s="212"/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/>
      <c r="R375" s="212"/>
    </row>
    <row r="376">
      <c r="A376" s="163"/>
      <c r="B376" s="163" t="str">
        <f>IFERROR(__xludf.DUMMYFUNCTION("""COMPUTED_VALUE"""),"")</f>
        <v/>
      </c>
      <c r="C376" s="163"/>
      <c r="D376" s="212"/>
      <c r="E376" s="212"/>
      <c r="F376" s="212"/>
      <c r="G376" s="212"/>
      <c r="H376" s="212"/>
      <c r="I376" s="212"/>
      <c r="J376" s="212"/>
      <c r="K376" s="212"/>
      <c r="L376" s="212"/>
      <c r="M376" s="212"/>
      <c r="N376" s="212"/>
      <c r="O376" s="212"/>
      <c r="P376" s="212"/>
      <c r="Q376" s="212"/>
      <c r="R376" s="212"/>
    </row>
    <row r="377">
      <c r="A377" s="163"/>
      <c r="B377" s="163" t="str">
        <f>IFERROR(__xludf.DUMMYFUNCTION("""COMPUTED_VALUE"""),"")</f>
        <v/>
      </c>
      <c r="C377" s="163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/>
      <c r="R377" s="212"/>
    </row>
    <row r="378">
      <c r="A378" s="163"/>
      <c r="B378" s="163" t="str">
        <f>IFERROR(__xludf.DUMMYFUNCTION("""COMPUTED_VALUE"""),"")</f>
        <v/>
      </c>
      <c r="C378" s="163"/>
      <c r="D378" s="212"/>
      <c r="E378" s="212"/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/>
      <c r="R378" s="212"/>
    </row>
    <row r="379">
      <c r="A379" s="163"/>
      <c r="B379" s="163" t="str">
        <f>IFERROR(__xludf.DUMMYFUNCTION("""COMPUTED_VALUE"""),"")</f>
        <v/>
      </c>
      <c r="C379" s="163"/>
      <c r="D379" s="212"/>
      <c r="E379" s="212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/>
      <c r="R379" s="212"/>
    </row>
    <row r="380">
      <c r="A380" s="163"/>
      <c r="B380" s="163" t="str">
        <f>IFERROR(__xludf.DUMMYFUNCTION("""COMPUTED_VALUE"""),"")</f>
        <v/>
      </c>
      <c r="C380" s="163"/>
      <c r="D380" s="212"/>
      <c r="E380" s="212"/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/>
      <c r="R380" s="212"/>
    </row>
    <row r="381">
      <c r="A381" s="163"/>
      <c r="B381" s="163" t="str">
        <f>IFERROR(__xludf.DUMMYFUNCTION("""COMPUTED_VALUE"""),"")</f>
        <v/>
      </c>
      <c r="C381" s="163"/>
      <c r="D381" s="212"/>
      <c r="E381" s="212"/>
      <c r="F381" s="212"/>
      <c r="G381" s="212"/>
      <c r="H381" s="212"/>
      <c r="I381" s="212"/>
      <c r="J381" s="212"/>
      <c r="K381" s="212"/>
      <c r="L381" s="212"/>
      <c r="M381" s="212"/>
      <c r="N381" s="212"/>
      <c r="O381" s="212"/>
      <c r="P381" s="212"/>
      <c r="Q381" s="212"/>
      <c r="R381" s="212"/>
    </row>
    <row r="382">
      <c r="A382" s="163"/>
      <c r="B382" s="163" t="str">
        <f>IFERROR(__xludf.DUMMYFUNCTION("""COMPUTED_VALUE"""),"")</f>
        <v/>
      </c>
      <c r="C382" s="163"/>
      <c r="D382" s="212"/>
      <c r="E382" s="212"/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/>
      <c r="R382" s="212"/>
    </row>
    <row r="383">
      <c r="A383" s="163"/>
      <c r="B383" s="163" t="str">
        <f>IFERROR(__xludf.DUMMYFUNCTION("""COMPUTED_VALUE"""),"")</f>
        <v/>
      </c>
      <c r="C383" s="163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/>
      <c r="R383" s="212"/>
    </row>
    <row r="384">
      <c r="A384" s="163"/>
      <c r="B384" s="163" t="str">
        <f>IFERROR(__xludf.DUMMYFUNCTION("""COMPUTED_VALUE"""),"")</f>
        <v/>
      </c>
      <c r="C384" s="163"/>
      <c r="D384" s="212"/>
      <c r="E384" s="212"/>
      <c r="F384" s="212"/>
      <c r="G384" s="212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/>
      <c r="R384" s="212"/>
    </row>
    <row r="385">
      <c r="A385" s="163"/>
      <c r="B385" s="163" t="str">
        <f>IFERROR(__xludf.DUMMYFUNCTION("""COMPUTED_VALUE"""),"")</f>
        <v/>
      </c>
      <c r="C385" s="163"/>
      <c r="D385" s="212"/>
      <c r="E385" s="212"/>
      <c r="F385" s="212"/>
      <c r="G385" s="212"/>
      <c r="H385" s="212"/>
      <c r="I385" s="212"/>
      <c r="J385" s="212"/>
      <c r="K385" s="212"/>
      <c r="L385" s="212"/>
      <c r="M385" s="212"/>
      <c r="N385" s="212"/>
      <c r="O385" s="212"/>
      <c r="P385" s="212"/>
      <c r="Q385" s="212"/>
      <c r="R385" s="212"/>
    </row>
    <row r="386">
      <c r="A386" s="163"/>
      <c r="B386" s="163" t="str">
        <f>IFERROR(__xludf.DUMMYFUNCTION("""COMPUTED_VALUE"""),"")</f>
        <v/>
      </c>
      <c r="C386" s="163"/>
      <c r="D386" s="212"/>
      <c r="E386" s="212"/>
      <c r="F386" s="212"/>
      <c r="G386" s="212"/>
      <c r="H386" s="212"/>
      <c r="I386" s="212"/>
      <c r="J386" s="212"/>
      <c r="K386" s="212"/>
      <c r="L386" s="212"/>
      <c r="M386" s="212"/>
      <c r="N386" s="212"/>
      <c r="O386" s="212"/>
      <c r="P386" s="212"/>
      <c r="Q386" s="212"/>
      <c r="R386" s="212"/>
    </row>
    <row r="387">
      <c r="A387" s="163"/>
      <c r="B387" s="163" t="str">
        <f>IFERROR(__xludf.DUMMYFUNCTION("""COMPUTED_VALUE"""),"")</f>
        <v/>
      </c>
      <c r="C387" s="163"/>
      <c r="D387" s="212"/>
      <c r="E387" s="212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/>
      <c r="R387" s="212"/>
    </row>
    <row r="388">
      <c r="A388" s="163"/>
      <c r="B388" s="163" t="str">
        <f>IFERROR(__xludf.DUMMYFUNCTION("""COMPUTED_VALUE"""),"")</f>
        <v/>
      </c>
      <c r="C388" s="163"/>
      <c r="D388" s="212"/>
      <c r="E388" s="212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</row>
    <row r="389">
      <c r="A389" s="163"/>
      <c r="B389" s="163" t="str">
        <f>IFERROR(__xludf.DUMMYFUNCTION("""COMPUTED_VALUE"""),"")</f>
        <v/>
      </c>
      <c r="C389" s="163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</row>
    <row r="390">
      <c r="A390" s="163"/>
      <c r="B390" s="163" t="str">
        <f>IFERROR(__xludf.DUMMYFUNCTION("""COMPUTED_VALUE"""),"")</f>
        <v/>
      </c>
      <c r="C390" s="163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</row>
    <row r="391">
      <c r="A391" s="163"/>
      <c r="B391" s="163" t="str">
        <f>IFERROR(__xludf.DUMMYFUNCTION("""COMPUTED_VALUE"""),"")</f>
        <v/>
      </c>
      <c r="C391" s="163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</row>
    <row r="392">
      <c r="A392" s="163"/>
      <c r="B392" s="163" t="str">
        <f>IFERROR(__xludf.DUMMYFUNCTION("""COMPUTED_VALUE"""),"")</f>
        <v/>
      </c>
      <c r="C392" s="163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/>
      <c r="R392" s="212"/>
    </row>
    <row r="393">
      <c r="A393" s="163"/>
      <c r="B393" s="163" t="str">
        <f>IFERROR(__xludf.DUMMYFUNCTION("""COMPUTED_VALUE"""),"")</f>
        <v/>
      </c>
      <c r="C393" s="163"/>
      <c r="D393" s="212"/>
      <c r="E393" s="212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</row>
    <row r="394">
      <c r="A394" s="163"/>
      <c r="B394" s="163" t="str">
        <f>IFERROR(__xludf.DUMMYFUNCTION("""COMPUTED_VALUE"""),"")</f>
        <v/>
      </c>
      <c r="C394" s="163"/>
      <c r="D394" s="212"/>
      <c r="E394" s="212"/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/>
      <c r="R394" s="212"/>
    </row>
    <row r="395">
      <c r="A395" s="163"/>
      <c r="B395" s="163" t="str">
        <f>IFERROR(__xludf.DUMMYFUNCTION("""COMPUTED_VALUE"""),"")</f>
        <v/>
      </c>
      <c r="C395" s="163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</row>
    <row r="396">
      <c r="A396" s="163"/>
      <c r="B396" s="163" t="str">
        <f>IFERROR(__xludf.DUMMYFUNCTION("""COMPUTED_VALUE"""),"")</f>
        <v/>
      </c>
      <c r="C396" s="163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</row>
    <row r="397">
      <c r="A397" s="163"/>
      <c r="B397" s="163" t="str">
        <f>IFERROR(__xludf.DUMMYFUNCTION("""COMPUTED_VALUE"""),"")</f>
        <v/>
      </c>
      <c r="C397" s="163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</row>
    <row r="398">
      <c r="A398" s="163"/>
      <c r="B398" s="163" t="str">
        <f>IFERROR(__xludf.DUMMYFUNCTION("""COMPUTED_VALUE"""),"")</f>
        <v/>
      </c>
      <c r="C398" s="163"/>
      <c r="D398" s="212"/>
      <c r="E398" s="212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</row>
    <row r="399">
      <c r="A399" s="163"/>
      <c r="B399" s="163" t="str">
        <f>IFERROR(__xludf.DUMMYFUNCTION("""COMPUTED_VALUE"""),"")</f>
        <v/>
      </c>
      <c r="C399" s="163"/>
      <c r="D399" s="212"/>
      <c r="E399" s="212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</row>
    <row r="400">
      <c r="A400" s="163"/>
      <c r="B400" s="163" t="str">
        <f>IFERROR(__xludf.DUMMYFUNCTION("""COMPUTED_VALUE"""),"")</f>
        <v/>
      </c>
      <c r="C400" s="163"/>
      <c r="D400" s="212"/>
      <c r="E400" s="212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</row>
    <row r="401">
      <c r="A401" s="163"/>
      <c r="B401" s="163" t="str">
        <f>IFERROR(__xludf.DUMMYFUNCTION("""COMPUTED_VALUE"""),"")</f>
        <v/>
      </c>
      <c r="C401" s="163"/>
      <c r="D401" s="212"/>
      <c r="E401" s="212"/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/>
      <c r="R401" s="212"/>
    </row>
    <row r="402">
      <c r="A402" s="163"/>
      <c r="B402" s="163" t="str">
        <f>IFERROR(__xludf.DUMMYFUNCTION("""COMPUTED_VALUE"""),"")</f>
        <v/>
      </c>
      <c r="C402" s="163"/>
      <c r="D402" s="212"/>
      <c r="E402" s="212"/>
      <c r="F402" s="212"/>
      <c r="G402" s="212"/>
      <c r="H402" s="212"/>
      <c r="I402" s="212"/>
      <c r="J402" s="212"/>
      <c r="K402" s="212"/>
      <c r="L402" s="212"/>
      <c r="M402" s="212"/>
      <c r="N402" s="212"/>
      <c r="O402" s="212"/>
      <c r="P402" s="212"/>
      <c r="Q402" s="212"/>
      <c r="R402" s="212"/>
    </row>
    <row r="403">
      <c r="A403" s="163"/>
      <c r="B403" s="163" t="str">
        <f>IFERROR(__xludf.DUMMYFUNCTION("""COMPUTED_VALUE"""),"")</f>
        <v/>
      </c>
      <c r="C403" s="163"/>
      <c r="D403" s="212"/>
      <c r="E403" s="212"/>
      <c r="F403" s="212"/>
      <c r="G403" s="212"/>
      <c r="H403" s="212"/>
      <c r="I403" s="212"/>
      <c r="J403" s="212"/>
      <c r="K403" s="212"/>
      <c r="L403" s="212"/>
      <c r="M403" s="212"/>
      <c r="N403" s="212"/>
      <c r="O403" s="212"/>
      <c r="P403" s="212"/>
      <c r="Q403" s="212"/>
      <c r="R403" s="212"/>
    </row>
    <row r="404">
      <c r="A404" s="163"/>
      <c r="B404" s="163" t="str">
        <f>IFERROR(__xludf.DUMMYFUNCTION("""COMPUTED_VALUE"""),"")</f>
        <v/>
      </c>
      <c r="C404" s="163"/>
      <c r="D404" s="212"/>
      <c r="E404" s="212"/>
      <c r="F404" s="212"/>
      <c r="G404" s="212"/>
      <c r="H404" s="212"/>
      <c r="I404" s="212"/>
      <c r="J404" s="212"/>
      <c r="K404" s="212"/>
      <c r="L404" s="212"/>
      <c r="M404" s="212"/>
      <c r="N404" s="212"/>
      <c r="O404" s="212"/>
      <c r="P404" s="212"/>
      <c r="Q404" s="212"/>
      <c r="R404" s="212"/>
    </row>
    <row r="405">
      <c r="A405" s="163"/>
      <c r="B405" s="163" t="str">
        <f>IFERROR(__xludf.DUMMYFUNCTION("""COMPUTED_VALUE"""),"")</f>
        <v/>
      </c>
      <c r="C405" s="163"/>
      <c r="D405" s="212"/>
      <c r="E405" s="212"/>
      <c r="F405" s="212"/>
      <c r="G405" s="212"/>
      <c r="H405" s="212"/>
      <c r="I405" s="212"/>
      <c r="J405" s="212"/>
      <c r="K405" s="212"/>
      <c r="L405" s="212"/>
      <c r="M405" s="212"/>
      <c r="N405" s="212"/>
      <c r="O405" s="212"/>
      <c r="P405" s="212"/>
      <c r="Q405" s="212"/>
      <c r="R405" s="212"/>
    </row>
    <row r="406">
      <c r="A406" s="163"/>
      <c r="B406" s="163" t="str">
        <f>IFERROR(__xludf.DUMMYFUNCTION("""COMPUTED_VALUE"""),"")</f>
        <v/>
      </c>
      <c r="C406" s="163"/>
      <c r="D406" s="212"/>
      <c r="E406" s="212"/>
      <c r="F406" s="212"/>
      <c r="G406" s="212"/>
      <c r="H406" s="212"/>
      <c r="I406" s="212"/>
      <c r="J406" s="212"/>
      <c r="K406" s="212"/>
      <c r="L406" s="212"/>
      <c r="M406" s="212"/>
      <c r="N406" s="212"/>
      <c r="O406" s="212"/>
      <c r="P406" s="212"/>
      <c r="Q406" s="212"/>
      <c r="R406" s="212"/>
    </row>
    <row r="407">
      <c r="A407" s="163"/>
      <c r="B407" s="163" t="str">
        <f>IFERROR(__xludf.DUMMYFUNCTION("""COMPUTED_VALUE"""),"")</f>
        <v/>
      </c>
      <c r="C407" s="163"/>
      <c r="D407" s="212"/>
      <c r="E407" s="212"/>
      <c r="F407" s="212"/>
      <c r="G407" s="212"/>
      <c r="H407" s="212"/>
      <c r="I407" s="212"/>
      <c r="J407" s="212"/>
      <c r="K407" s="212"/>
      <c r="L407" s="212"/>
      <c r="M407" s="212"/>
      <c r="N407" s="212"/>
      <c r="O407" s="212"/>
      <c r="P407" s="212"/>
      <c r="Q407" s="212"/>
      <c r="R407" s="212"/>
    </row>
    <row r="408">
      <c r="A408" s="163"/>
      <c r="B408" s="163" t="str">
        <f>IFERROR(__xludf.DUMMYFUNCTION("""COMPUTED_VALUE"""),"")</f>
        <v/>
      </c>
      <c r="C408" s="163"/>
      <c r="D408" s="212"/>
      <c r="E408" s="212"/>
      <c r="F408" s="212"/>
      <c r="G408" s="212"/>
      <c r="H408" s="212"/>
      <c r="I408" s="212"/>
      <c r="J408" s="212"/>
      <c r="K408" s="212"/>
      <c r="L408" s="212"/>
      <c r="M408" s="212"/>
      <c r="N408" s="212"/>
      <c r="O408" s="212"/>
      <c r="P408" s="212"/>
      <c r="Q408" s="212"/>
      <c r="R408" s="212"/>
    </row>
    <row r="409">
      <c r="A409" s="163"/>
      <c r="B409" s="163" t="str">
        <f>IFERROR(__xludf.DUMMYFUNCTION("""COMPUTED_VALUE"""),"")</f>
        <v/>
      </c>
      <c r="C409" s="163"/>
      <c r="D409" s="212"/>
      <c r="E409" s="212"/>
      <c r="F409" s="212"/>
      <c r="G409" s="212"/>
      <c r="H409" s="212"/>
      <c r="I409" s="212"/>
      <c r="J409" s="212"/>
      <c r="K409" s="212"/>
      <c r="L409" s="212"/>
      <c r="M409" s="212"/>
      <c r="N409" s="212"/>
      <c r="O409" s="212"/>
      <c r="P409" s="212"/>
      <c r="Q409" s="212"/>
      <c r="R409" s="212"/>
    </row>
    <row r="410">
      <c r="A410" s="163"/>
      <c r="B410" s="163" t="str">
        <f>IFERROR(__xludf.DUMMYFUNCTION("""COMPUTED_VALUE"""),"")</f>
        <v/>
      </c>
      <c r="C410" s="163"/>
      <c r="D410" s="212"/>
      <c r="E410" s="212"/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</row>
    <row r="411">
      <c r="A411" s="163"/>
      <c r="B411" s="163" t="str">
        <f>IFERROR(__xludf.DUMMYFUNCTION("""COMPUTED_VALUE"""),"")</f>
        <v/>
      </c>
      <c r="C411" s="163"/>
      <c r="D411" s="212"/>
      <c r="E411" s="212"/>
      <c r="F411" s="212"/>
      <c r="G411" s="212"/>
      <c r="H411" s="212"/>
      <c r="I411" s="212"/>
      <c r="J411" s="212"/>
      <c r="K411" s="212"/>
      <c r="L411" s="212"/>
      <c r="M411" s="212"/>
      <c r="N411" s="212"/>
      <c r="O411" s="212"/>
      <c r="P411" s="212"/>
      <c r="Q411" s="212"/>
      <c r="R411" s="212"/>
    </row>
    <row r="412">
      <c r="A412" s="163"/>
      <c r="B412" s="163" t="str">
        <f>IFERROR(__xludf.DUMMYFUNCTION("""COMPUTED_VALUE"""),"")</f>
        <v/>
      </c>
      <c r="C412" s="163"/>
      <c r="D412" s="212"/>
      <c r="E412" s="212"/>
      <c r="F412" s="212"/>
      <c r="G412" s="212"/>
      <c r="H412" s="212"/>
      <c r="I412" s="212"/>
      <c r="J412" s="212"/>
      <c r="K412" s="212"/>
      <c r="L412" s="212"/>
      <c r="M412" s="212"/>
      <c r="N412" s="212"/>
      <c r="O412" s="212"/>
      <c r="P412" s="212"/>
      <c r="Q412" s="212"/>
      <c r="R412" s="212"/>
    </row>
    <row r="413">
      <c r="A413" s="163"/>
      <c r="B413" s="163" t="str">
        <f>IFERROR(__xludf.DUMMYFUNCTION("""COMPUTED_VALUE"""),"")</f>
        <v/>
      </c>
      <c r="C413" s="163"/>
      <c r="D413" s="212"/>
      <c r="E413" s="212"/>
      <c r="F413" s="212"/>
      <c r="G413" s="212"/>
      <c r="H413" s="212"/>
      <c r="I413" s="212"/>
      <c r="J413" s="212"/>
      <c r="K413" s="212"/>
      <c r="L413" s="212"/>
      <c r="M413" s="212"/>
      <c r="N413" s="212"/>
      <c r="O413" s="212"/>
      <c r="P413" s="212"/>
      <c r="Q413" s="212"/>
      <c r="R413" s="212"/>
    </row>
    <row r="414">
      <c r="A414" s="163"/>
      <c r="B414" s="163" t="str">
        <f>IFERROR(__xludf.DUMMYFUNCTION("""COMPUTED_VALUE"""),"")</f>
        <v/>
      </c>
      <c r="C414" s="163"/>
      <c r="D414" s="212"/>
      <c r="E414" s="212"/>
      <c r="F414" s="212"/>
      <c r="G414" s="212"/>
      <c r="H414" s="212"/>
      <c r="I414" s="212"/>
      <c r="J414" s="212"/>
      <c r="K414" s="212"/>
      <c r="L414" s="212"/>
      <c r="M414" s="212"/>
      <c r="N414" s="212"/>
      <c r="O414" s="212"/>
      <c r="P414" s="212"/>
      <c r="Q414" s="212"/>
      <c r="R414" s="212"/>
    </row>
    <row r="415">
      <c r="A415" s="163"/>
      <c r="B415" s="163" t="str">
        <f>IFERROR(__xludf.DUMMYFUNCTION("""COMPUTED_VALUE"""),"")</f>
        <v/>
      </c>
      <c r="C415" s="163"/>
      <c r="D415" s="212"/>
      <c r="E415" s="212"/>
      <c r="F415" s="212"/>
      <c r="G415" s="212"/>
      <c r="H415" s="212"/>
      <c r="I415" s="212"/>
      <c r="J415" s="212"/>
      <c r="K415" s="212"/>
      <c r="L415" s="212"/>
      <c r="M415" s="212"/>
      <c r="N415" s="212"/>
      <c r="O415" s="212"/>
      <c r="P415" s="212"/>
      <c r="Q415" s="212"/>
      <c r="R415" s="212"/>
    </row>
    <row r="416">
      <c r="A416" s="163"/>
      <c r="B416" s="163" t="str">
        <f>IFERROR(__xludf.DUMMYFUNCTION("""COMPUTED_VALUE"""),"")</f>
        <v/>
      </c>
      <c r="C416" s="163"/>
      <c r="D416" s="212"/>
      <c r="E416" s="212"/>
      <c r="F416" s="212"/>
      <c r="G416" s="212"/>
      <c r="H416" s="212"/>
      <c r="I416" s="212"/>
      <c r="J416" s="212"/>
      <c r="K416" s="212"/>
      <c r="L416" s="212"/>
      <c r="M416" s="212"/>
      <c r="N416" s="212"/>
      <c r="O416" s="212"/>
      <c r="P416" s="212"/>
      <c r="Q416" s="212"/>
      <c r="R416" s="212"/>
    </row>
    <row r="417">
      <c r="A417" s="163"/>
      <c r="B417" s="163" t="str">
        <f>IFERROR(__xludf.DUMMYFUNCTION("""COMPUTED_VALUE"""),"")</f>
        <v/>
      </c>
      <c r="C417" s="163"/>
      <c r="D417" s="212"/>
      <c r="E417" s="212"/>
      <c r="F417" s="212"/>
      <c r="G417" s="212"/>
      <c r="H417" s="212"/>
      <c r="I417" s="212"/>
      <c r="J417" s="212"/>
      <c r="K417" s="212"/>
      <c r="L417" s="212"/>
      <c r="M417" s="212"/>
      <c r="N417" s="212"/>
      <c r="O417" s="212"/>
      <c r="P417" s="212"/>
      <c r="Q417" s="212"/>
      <c r="R417" s="212"/>
    </row>
    <row r="418">
      <c r="A418" s="163"/>
      <c r="B418" s="163" t="str">
        <f>IFERROR(__xludf.DUMMYFUNCTION("""COMPUTED_VALUE"""),"")</f>
        <v/>
      </c>
      <c r="C418" s="163"/>
      <c r="D418" s="212"/>
      <c r="E418" s="212"/>
      <c r="F418" s="212"/>
      <c r="G418" s="212"/>
      <c r="H418" s="212"/>
      <c r="I418" s="212"/>
      <c r="J418" s="212"/>
      <c r="K418" s="212"/>
      <c r="L418" s="212"/>
      <c r="M418" s="212"/>
      <c r="N418" s="212"/>
      <c r="O418" s="212"/>
      <c r="P418" s="212"/>
      <c r="Q418" s="212"/>
      <c r="R418" s="212"/>
    </row>
    <row r="419">
      <c r="A419" s="163"/>
      <c r="B419" s="163" t="str">
        <f>IFERROR(__xludf.DUMMYFUNCTION("""COMPUTED_VALUE"""),"")</f>
        <v/>
      </c>
      <c r="C419" s="163"/>
      <c r="D419" s="212"/>
      <c r="E419" s="212"/>
      <c r="F419" s="212"/>
      <c r="G419" s="212"/>
      <c r="H419" s="212"/>
      <c r="I419" s="212"/>
      <c r="J419" s="212"/>
      <c r="K419" s="212"/>
      <c r="L419" s="212"/>
      <c r="M419" s="212"/>
      <c r="N419" s="212"/>
      <c r="O419" s="212"/>
      <c r="P419" s="212"/>
      <c r="Q419" s="212"/>
      <c r="R419" s="212"/>
    </row>
    <row r="420">
      <c r="A420" s="163"/>
      <c r="B420" s="163" t="str">
        <f>IFERROR(__xludf.DUMMYFUNCTION("""COMPUTED_VALUE"""),"")</f>
        <v/>
      </c>
      <c r="C420" s="163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2"/>
      <c r="O420" s="212"/>
      <c r="P420" s="212"/>
      <c r="Q420" s="212"/>
      <c r="R420" s="212"/>
    </row>
    <row r="421">
      <c r="A421" s="163"/>
      <c r="B421" s="163" t="str">
        <f>IFERROR(__xludf.DUMMYFUNCTION("""COMPUTED_VALUE"""),"")</f>
        <v/>
      </c>
      <c r="C421" s="163"/>
      <c r="D421" s="212"/>
      <c r="E421" s="212"/>
      <c r="F421" s="212"/>
      <c r="G421" s="212"/>
      <c r="H421" s="212"/>
      <c r="I421" s="212"/>
      <c r="J421" s="212"/>
      <c r="K421" s="212"/>
      <c r="L421" s="212"/>
      <c r="M421" s="212"/>
      <c r="N421" s="212"/>
      <c r="O421" s="212"/>
      <c r="P421" s="212"/>
      <c r="Q421" s="212"/>
      <c r="R421" s="212"/>
    </row>
    <row r="422">
      <c r="A422" s="163"/>
      <c r="B422" s="163" t="str">
        <f>IFERROR(__xludf.DUMMYFUNCTION("""COMPUTED_VALUE"""),"")</f>
        <v/>
      </c>
      <c r="C422" s="163"/>
      <c r="D422" s="212"/>
      <c r="E422" s="212"/>
      <c r="F422" s="212"/>
      <c r="G422" s="212"/>
      <c r="H422" s="212"/>
      <c r="I422" s="212"/>
      <c r="J422" s="212"/>
      <c r="K422" s="212"/>
      <c r="L422" s="212"/>
      <c r="M422" s="212"/>
      <c r="N422" s="212"/>
      <c r="O422" s="212"/>
      <c r="P422" s="212"/>
      <c r="Q422" s="212"/>
      <c r="R422" s="212"/>
    </row>
    <row r="423">
      <c r="A423" s="163"/>
      <c r="B423" s="163" t="str">
        <f>IFERROR(__xludf.DUMMYFUNCTION("""COMPUTED_VALUE"""),"")</f>
        <v/>
      </c>
      <c r="C423" s="163"/>
      <c r="D423" s="212"/>
      <c r="E423" s="212"/>
      <c r="F423" s="212"/>
      <c r="G423" s="212"/>
      <c r="H423" s="212"/>
      <c r="I423" s="212"/>
      <c r="J423" s="212"/>
      <c r="K423" s="212"/>
      <c r="L423" s="212"/>
      <c r="M423" s="212"/>
      <c r="N423" s="212"/>
      <c r="O423" s="212"/>
      <c r="P423" s="212"/>
      <c r="Q423" s="212"/>
      <c r="R423" s="212"/>
    </row>
    <row r="424">
      <c r="A424" s="163"/>
      <c r="B424" s="163" t="str">
        <f>IFERROR(__xludf.DUMMYFUNCTION("""COMPUTED_VALUE"""),"")</f>
        <v/>
      </c>
      <c r="C424" s="163"/>
      <c r="D424" s="212"/>
      <c r="E424" s="212"/>
      <c r="F424" s="212"/>
      <c r="G424" s="212"/>
      <c r="H424" s="212"/>
      <c r="I424" s="212"/>
      <c r="J424" s="212"/>
      <c r="K424" s="212"/>
      <c r="L424" s="212"/>
      <c r="M424" s="212"/>
      <c r="N424" s="212"/>
      <c r="O424" s="212"/>
      <c r="P424" s="212"/>
      <c r="Q424" s="212"/>
      <c r="R424" s="212"/>
    </row>
    <row r="425">
      <c r="A425" s="163"/>
      <c r="B425" s="163" t="str">
        <f>IFERROR(__xludf.DUMMYFUNCTION("""COMPUTED_VALUE"""),"")</f>
        <v/>
      </c>
      <c r="C425" s="163"/>
      <c r="D425" s="212"/>
      <c r="E425" s="212"/>
      <c r="F425" s="212"/>
      <c r="G425" s="212"/>
      <c r="H425" s="212"/>
      <c r="I425" s="212"/>
      <c r="J425" s="212"/>
      <c r="K425" s="212"/>
      <c r="L425" s="212"/>
      <c r="M425" s="212"/>
      <c r="N425" s="212"/>
      <c r="O425" s="212"/>
      <c r="P425" s="212"/>
      <c r="Q425" s="212"/>
      <c r="R425" s="212"/>
    </row>
    <row r="426">
      <c r="A426" s="163"/>
      <c r="B426" s="163" t="str">
        <f>IFERROR(__xludf.DUMMYFUNCTION("""COMPUTED_VALUE"""),"")</f>
        <v/>
      </c>
      <c r="C426" s="163"/>
      <c r="D426" s="212"/>
      <c r="E426" s="212"/>
      <c r="F426" s="212"/>
      <c r="G426" s="212"/>
      <c r="H426" s="212"/>
      <c r="I426" s="212"/>
      <c r="J426" s="212"/>
      <c r="K426" s="212"/>
      <c r="L426" s="212"/>
      <c r="M426" s="212"/>
      <c r="N426" s="212"/>
      <c r="O426" s="212"/>
      <c r="P426" s="212"/>
      <c r="Q426" s="212"/>
      <c r="R426" s="212"/>
    </row>
    <row r="427">
      <c r="A427" s="163"/>
      <c r="B427" s="163" t="str">
        <f>IFERROR(__xludf.DUMMYFUNCTION("""COMPUTED_VALUE"""),"")</f>
        <v/>
      </c>
      <c r="C427" s="163"/>
      <c r="D427" s="212"/>
      <c r="E427" s="212"/>
      <c r="F427" s="212"/>
      <c r="G427" s="212"/>
      <c r="H427" s="212"/>
      <c r="I427" s="212"/>
      <c r="J427" s="212"/>
      <c r="K427" s="212"/>
      <c r="L427" s="212"/>
      <c r="M427" s="212"/>
      <c r="N427" s="212"/>
      <c r="O427" s="212"/>
      <c r="P427" s="212"/>
      <c r="Q427" s="212"/>
      <c r="R427" s="212"/>
    </row>
    <row r="428">
      <c r="A428" s="163"/>
      <c r="B428" s="163" t="str">
        <f>IFERROR(__xludf.DUMMYFUNCTION("""COMPUTED_VALUE"""),"")</f>
        <v/>
      </c>
      <c r="C428" s="163"/>
      <c r="D428" s="212"/>
      <c r="E428" s="212"/>
      <c r="F428" s="212"/>
      <c r="G428" s="212"/>
      <c r="H428" s="212"/>
      <c r="I428" s="212"/>
      <c r="J428" s="212"/>
      <c r="K428" s="212"/>
      <c r="L428" s="212"/>
      <c r="M428" s="212"/>
      <c r="N428" s="212"/>
      <c r="O428" s="212"/>
      <c r="P428" s="212"/>
      <c r="Q428" s="212"/>
      <c r="R428" s="212"/>
    </row>
    <row r="429">
      <c r="A429" s="163"/>
      <c r="B429" s="163" t="str">
        <f>IFERROR(__xludf.DUMMYFUNCTION("""COMPUTED_VALUE"""),"")</f>
        <v/>
      </c>
      <c r="C429" s="163"/>
      <c r="D429" s="212"/>
      <c r="E429" s="212"/>
      <c r="F429" s="212"/>
      <c r="G429" s="212"/>
      <c r="H429" s="212"/>
      <c r="I429" s="212"/>
      <c r="J429" s="212"/>
      <c r="K429" s="212"/>
      <c r="L429" s="212"/>
      <c r="M429" s="212"/>
      <c r="N429" s="212"/>
      <c r="O429" s="212"/>
      <c r="P429" s="212"/>
      <c r="Q429" s="212"/>
      <c r="R429" s="212"/>
    </row>
    <row r="430">
      <c r="A430" s="163"/>
      <c r="B430" s="163" t="str">
        <f>IFERROR(__xludf.DUMMYFUNCTION("""COMPUTED_VALUE"""),"")</f>
        <v/>
      </c>
      <c r="C430" s="163"/>
      <c r="D430" s="212"/>
      <c r="E430" s="212"/>
      <c r="F430" s="212"/>
      <c r="G430" s="212"/>
      <c r="H430" s="212"/>
      <c r="I430" s="212"/>
      <c r="J430" s="212"/>
      <c r="K430" s="212"/>
      <c r="L430" s="212"/>
      <c r="M430" s="212"/>
      <c r="N430" s="212"/>
      <c r="O430" s="212"/>
      <c r="P430" s="212"/>
      <c r="Q430" s="212"/>
      <c r="R430" s="212"/>
    </row>
    <row r="431">
      <c r="A431" s="163"/>
      <c r="B431" s="163" t="str">
        <f>IFERROR(__xludf.DUMMYFUNCTION("""COMPUTED_VALUE"""),"")</f>
        <v/>
      </c>
      <c r="C431" s="163"/>
      <c r="D431" s="212"/>
      <c r="E431" s="212"/>
      <c r="F431" s="212"/>
      <c r="G431" s="212"/>
      <c r="H431" s="212"/>
      <c r="I431" s="212"/>
      <c r="J431" s="212"/>
      <c r="K431" s="212"/>
      <c r="L431" s="212"/>
      <c r="M431" s="212"/>
      <c r="N431" s="212"/>
      <c r="O431" s="212"/>
      <c r="P431" s="212"/>
      <c r="Q431" s="212"/>
      <c r="R431" s="212"/>
    </row>
    <row r="432">
      <c r="A432" s="163"/>
      <c r="B432" s="163" t="str">
        <f>IFERROR(__xludf.DUMMYFUNCTION("""COMPUTED_VALUE"""),"")</f>
        <v/>
      </c>
      <c r="C432" s="163"/>
      <c r="D432" s="212"/>
      <c r="E432" s="212"/>
      <c r="F432" s="212"/>
      <c r="G432" s="212"/>
      <c r="H432" s="212"/>
      <c r="I432" s="212"/>
      <c r="J432" s="212"/>
      <c r="K432" s="212"/>
      <c r="L432" s="212"/>
      <c r="M432" s="212"/>
      <c r="N432" s="212"/>
      <c r="O432" s="212"/>
      <c r="P432" s="212"/>
      <c r="Q432" s="212"/>
      <c r="R432" s="212"/>
    </row>
    <row r="433">
      <c r="A433" s="163"/>
      <c r="B433" s="163" t="str">
        <f>IFERROR(__xludf.DUMMYFUNCTION("""COMPUTED_VALUE"""),"")</f>
        <v/>
      </c>
      <c r="C433" s="163"/>
      <c r="D433" s="212"/>
      <c r="E433" s="212"/>
      <c r="F433" s="212"/>
      <c r="G433" s="212"/>
      <c r="H433" s="212"/>
      <c r="I433" s="212"/>
      <c r="J433" s="212"/>
      <c r="K433" s="212"/>
      <c r="L433" s="212"/>
      <c r="M433" s="212"/>
      <c r="N433" s="212"/>
      <c r="O433" s="212"/>
      <c r="P433" s="212"/>
      <c r="Q433" s="212"/>
      <c r="R433" s="212"/>
    </row>
    <row r="434">
      <c r="A434" s="163"/>
      <c r="B434" s="163" t="str">
        <f>IFERROR(__xludf.DUMMYFUNCTION("""COMPUTED_VALUE"""),"")</f>
        <v/>
      </c>
      <c r="C434" s="163"/>
      <c r="D434" s="212"/>
      <c r="E434" s="212"/>
      <c r="F434" s="212"/>
      <c r="G434" s="212"/>
      <c r="H434" s="212"/>
      <c r="I434" s="212"/>
      <c r="J434" s="212"/>
      <c r="K434" s="212"/>
      <c r="L434" s="212"/>
      <c r="M434" s="212"/>
      <c r="N434" s="212"/>
      <c r="O434" s="212"/>
      <c r="P434" s="212"/>
      <c r="Q434" s="212"/>
      <c r="R434" s="212"/>
    </row>
    <row r="435">
      <c r="A435" s="163"/>
      <c r="B435" s="163" t="str">
        <f>IFERROR(__xludf.DUMMYFUNCTION("""COMPUTED_VALUE"""),"")</f>
        <v/>
      </c>
      <c r="C435" s="163"/>
      <c r="D435" s="212"/>
      <c r="E435" s="212"/>
      <c r="F435" s="212"/>
      <c r="G435" s="212"/>
      <c r="H435" s="212"/>
      <c r="I435" s="212"/>
      <c r="J435" s="212"/>
      <c r="K435" s="212"/>
      <c r="L435" s="212"/>
      <c r="M435" s="212"/>
      <c r="N435" s="212"/>
      <c r="O435" s="212"/>
      <c r="P435" s="212"/>
      <c r="Q435" s="212"/>
      <c r="R435" s="212"/>
    </row>
    <row r="436">
      <c r="A436" s="163"/>
      <c r="B436" s="163" t="str">
        <f>IFERROR(__xludf.DUMMYFUNCTION("""COMPUTED_VALUE"""),"")</f>
        <v/>
      </c>
      <c r="C436" s="163"/>
      <c r="D436" s="212"/>
      <c r="E436" s="212"/>
      <c r="F436" s="212"/>
      <c r="G436" s="212"/>
      <c r="H436" s="212"/>
      <c r="I436" s="212"/>
      <c r="J436" s="212"/>
      <c r="K436" s="212"/>
      <c r="L436" s="212"/>
      <c r="M436" s="212"/>
      <c r="N436" s="212"/>
      <c r="O436" s="212"/>
      <c r="P436" s="212"/>
      <c r="Q436" s="212"/>
      <c r="R436" s="212"/>
    </row>
    <row r="437">
      <c r="A437" s="163"/>
      <c r="B437" s="163" t="str">
        <f>IFERROR(__xludf.DUMMYFUNCTION("""COMPUTED_VALUE"""),"")</f>
        <v/>
      </c>
      <c r="C437" s="163"/>
      <c r="D437" s="212"/>
      <c r="E437" s="212"/>
      <c r="F437" s="212"/>
      <c r="G437" s="212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</row>
    <row r="438">
      <c r="A438" s="163"/>
      <c r="B438" s="163" t="str">
        <f>IFERROR(__xludf.DUMMYFUNCTION("""COMPUTED_VALUE"""),"")</f>
        <v/>
      </c>
      <c r="C438" s="163"/>
      <c r="D438" s="212"/>
      <c r="E438" s="212"/>
      <c r="F438" s="212"/>
      <c r="G438" s="212"/>
      <c r="H438" s="212"/>
      <c r="I438" s="212"/>
      <c r="J438" s="212"/>
      <c r="K438" s="212"/>
      <c r="L438" s="212"/>
      <c r="M438" s="212"/>
      <c r="N438" s="212"/>
      <c r="O438" s="212"/>
      <c r="P438" s="212"/>
      <c r="Q438" s="212"/>
      <c r="R438" s="212"/>
    </row>
    <row r="439">
      <c r="A439" s="163"/>
      <c r="B439" s="163" t="str">
        <f>IFERROR(__xludf.DUMMYFUNCTION("""COMPUTED_VALUE"""),"")</f>
        <v/>
      </c>
      <c r="C439" s="163"/>
      <c r="D439" s="212"/>
      <c r="E439" s="212"/>
      <c r="F439" s="212"/>
      <c r="G439" s="212"/>
      <c r="H439" s="212"/>
      <c r="I439" s="212"/>
      <c r="J439" s="212"/>
      <c r="K439" s="212"/>
      <c r="L439" s="212"/>
      <c r="M439" s="212"/>
      <c r="N439" s="212"/>
      <c r="O439" s="212"/>
      <c r="P439" s="212"/>
      <c r="Q439" s="212"/>
      <c r="R439" s="212"/>
    </row>
    <row r="440">
      <c r="A440" s="163"/>
      <c r="B440" s="163" t="str">
        <f>IFERROR(__xludf.DUMMYFUNCTION("""COMPUTED_VALUE"""),"")</f>
        <v/>
      </c>
      <c r="C440" s="163"/>
      <c r="D440" s="212"/>
      <c r="E440" s="212"/>
      <c r="F440" s="212"/>
      <c r="G440" s="212"/>
      <c r="H440" s="212"/>
      <c r="I440" s="212"/>
      <c r="J440" s="212"/>
      <c r="K440" s="212"/>
      <c r="L440" s="212"/>
      <c r="M440" s="212"/>
      <c r="N440" s="212"/>
      <c r="O440" s="212"/>
      <c r="P440" s="212"/>
      <c r="Q440" s="212"/>
      <c r="R440" s="212"/>
    </row>
    <row r="441">
      <c r="A441" s="163"/>
      <c r="B441" s="163" t="str">
        <f>IFERROR(__xludf.DUMMYFUNCTION("""COMPUTED_VALUE"""),"")</f>
        <v/>
      </c>
      <c r="C441" s="163"/>
      <c r="D441" s="212"/>
      <c r="E441" s="212"/>
      <c r="F441" s="212"/>
      <c r="G441" s="212"/>
      <c r="H441" s="212"/>
      <c r="I441" s="212"/>
      <c r="J441" s="212"/>
      <c r="K441" s="212"/>
      <c r="L441" s="212"/>
      <c r="M441" s="212"/>
      <c r="N441" s="212"/>
      <c r="O441" s="212"/>
      <c r="P441" s="212"/>
      <c r="Q441" s="212"/>
      <c r="R441" s="212"/>
    </row>
    <row r="442">
      <c r="A442" s="163"/>
      <c r="B442" s="163" t="str">
        <f>IFERROR(__xludf.DUMMYFUNCTION("""COMPUTED_VALUE"""),"")</f>
        <v/>
      </c>
      <c r="C442" s="163"/>
      <c r="D442" s="212"/>
      <c r="E442" s="212"/>
      <c r="F442" s="212"/>
      <c r="G442" s="212"/>
      <c r="H442" s="212"/>
      <c r="I442" s="212"/>
      <c r="J442" s="212"/>
      <c r="K442" s="212"/>
      <c r="L442" s="212"/>
      <c r="M442" s="212"/>
      <c r="N442" s="212"/>
      <c r="O442" s="212"/>
      <c r="P442" s="212"/>
      <c r="Q442" s="212"/>
      <c r="R442" s="212"/>
    </row>
    <row r="443">
      <c r="A443" s="163"/>
      <c r="B443" s="163" t="str">
        <f>IFERROR(__xludf.DUMMYFUNCTION("""COMPUTED_VALUE"""),"")</f>
        <v/>
      </c>
      <c r="C443" s="163"/>
      <c r="D443" s="212"/>
      <c r="E443" s="212"/>
      <c r="F443" s="212"/>
      <c r="G443" s="212"/>
      <c r="H443" s="212"/>
      <c r="I443" s="212"/>
      <c r="J443" s="212"/>
      <c r="K443" s="212"/>
      <c r="L443" s="212"/>
      <c r="M443" s="212"/>
      <c r="N443" s="212"/>
      <c r="O443" s="212"/>
      <c r="P443" s="212"/>
      <c r="Q443" s="212"/>
      <c r="R443" s="212"/>
    </row>
    <row r="444">
      <c r="A444" s="163"/>
      <c r="B444" s="163" t="str">
        <f>IFERROR(__xludf.DUMMYFUNCTION("""COMPUTED_VALUE"""),"")</f>
        <v/>
      </c>
      <c r="C444" s="163"/>
      <c r="D444" s="212"/>
      <c r="E444" s="212"/>
      <c r="F444" s="212"/>
      <c r="G444" s="212"/>
      <c r="H444" s="212"/>
      <c r="I444" s="212"/>
      <c r="J444" s="212"/>
      <c r="K444" s="212"/>
      <c r="L444" s="212"/>
      <c r="M444" s="212"/>
      <c r="N444" s="212"/>
      <c r="O444" s="212"/>
      <c r="P444" s="212"/>
      <c r="Q444" s="212"/>
      <c r="R444" s="212"/>
    </row>
    <row r="445">
      <c r="A445" s="163"/>
      <c r="B445" s="163" t="str">
        <f>IFERROR(__xludf.DUMMYFUNCTION("""COMPUTED_VALUE"""),"")</f>
        <v/>
      </c>
      <c r="C445" s="163"/>
      <c r="D445" s="212"/>
      <c r="E445" s="212"/>
      <c r="F445" s="212"/>
      <c r="G445" s="212"/>
      <c r="H445" s="212"/>
      <c r="I445" s="212"/>
      <c r="J445" s="212"/>
      <c r="K445" s="212"/>
      <c r="L445" s="212"/>
      <c r="M445" s="212"/>
      <c r="N445" s="212"/>
      <c r="O445" s="212"/>
      <c r="P445" s="212"/>
      <c r="Q445" s="212"/>
      <c r="R445" s="212"/>
    </row>
    <row r="446">
      <c r="A446" s="163"/>
      <c r="B446" s="163" t="str">
        <f>IFERROR(__xludf.DUMMYFUNCTION("""COMPUTED_VALUE"""),"")</f>
        <v/>
      </c>
      <c r="C446" s="163"/>
      <c r="D446" s="212"/>
      <c r="E446" s="212"/>
      <c r="F446" s="212"/>
      <c r="G446" s="212"/>
      <c r="H446" s="212"/>
      <c r="I446" s="212"/>
      <c r="J446" s="212"/>
      <c r="K446" s="212"/>
      <c r="L446" s="212"/>
      <c r="M446" s="212"/>
      <c r="N446" s="212"/>
      <c r="O446" s="212"/>
      <c r="P446" s="212"/>
      <c r="Q446" s="212"/>
      <c r="R446" s="212"/>
    </row>
    <row r="447">
      <c r="A447" s="163"/>
      <c r="B447" s="163" t="str">
        <f>IFERROR(__xludf.DUMMYFUNCTION("""COMPUTED_VALUE"""),"")</f>
        <v/>
      </c>
      <c r="C447" s="163"/>
      <c r="D447" s="212"/>
      <c r="E447" s="212"/>
      <c r="F447" s="212"/>
      <c r="G447" s="212"/>
      <c r="H447" s="212"/>
      <c r="I447" s="212"/>
      <c r="J447" s="212"/>
      <c r="K447" s="212"/>
      <c r="L447" s="212"/>
      <c r="M447" s="212"/>
      <c r="N447" s="212"/>
      <c r="O447" s="212"/>
      <c r="P447" s="212"/>
      <c r="Q447" s="212"/>
      <c r="R447" s="212"/>
    </row>
    <row r="448">
      <c r="A448" s="163"/>
      <c r="B448" s="163" t="str">
        <f>IFERROR(__xludf.DUMMYFUNCTION("""COMPUTED_VALUE"""),"")</f>
        <v/>
      </c>
      <c r="C448" s="163"/>
      <c r="D448" s="212"/>
      <c r="E448" s="212"/>
      <c r="F448" s="212"/>
      <c r="G448" s="212"/>
      <c r="H448" s="212"/>
      <c r="I448" s="212"/>
      <c r="J448" s="212"/>
      <c r="K448" s="212"/>
      <c r="L448" s="212"/>
      <c r="M448" s="212"/>
      <c r="N448" s="212"/>
      <c r="O448" s="212"/>
      <c r="P448" s="212"/>
      <c r="Q448" s="212"/>
      <c r="R448" s="212"/>
    </row>
    <row r="449">
      <c r="A449" s="163"/>
      <c r="B449" s="163" t="str">
        <f>IFERROR(__xludf.DUMMYFUNCTION("""COMPUTED_VALUE"""),"")</f>
        <v/>
      </c>
      <c r="C449" s="163"/>
      <c r="D449" s="212"/>
      <c r="E449" s="212"/>
      <c r="F449" s="212"/>
      <c r="G449" s="212"/>
      <c r="H449" s="212"/>
      <c r="I449" s="212"/>
      <c r="J449" s="212"/>
      <c r="K449" s="212"/>
      <c r="L449" s="212"/>
      <c r="M449" s="212"/>
      <c r="N449" s="212"/>
      <c r="O449" s="212"/>
      <c r="P449" s="212"/>
      <c r="Q449" s="212"/>
      <c r="R449" s="212"/>
    </row>
    <row r="450">
      <c r="A450" s="163"/>
      <c r="B450" s="163" t="str">
        <f>IFERROR(__xludf.DUMMYFUNCTION("""COMPUTED_VALUE"""),"")</f>
        <v/>
      </c>
      <c r="C450" s="163"/>
      <c r="D450" s="212"/>
      <c r="E450" s="212"/>
      <c r="F450" s="212"/>
      <c r="G450" s="212"/>
      <c r="H450" s="212"/>
      <c r="I450" s="212"/>
      <c r="J450" s="212"/>
      <c r="K450" s="212"/>
      <c r="L450" s="212"/>
      <c r="M450" s="212"/>
      <c r="N450" s="212"/>
      <c r="O450" s="212"/>
      <c r="P450" s="212"/>
      <c r="Q450" s="212"/>
      <c r="R450" s="212"/>
    </row>
    <row r="451">
      <c r="A451" s="163"/>
      <c r="B451" s="163" t="str">
        <f>IFERROR(__xludf.DUMMYFUNCTION("""COMPUTED_VALUE"""),"")</f>
        <v/>
      </c>
      <c r="C451" s="163"/>
      <c r="D451" s="212"/>
      <c r="E451" s="212"/>
      <c r="F451" s="212"/>
      <c r="G451" s="212"/>
      <c r="H451" s="212"/>
      <c r="I451" s="212"/>
      <c r="J451" s="212"/>
      <c r="K451" s="212"/>
      <c r="L451" s="212"/>
      <c r="M451" s="212"/>
      <c r="N451" s="212"/>
      <c r="O451" s="212"/>
      <c r="P451" s="212"/>
      <c r="Q451" s="212"/>
      <c r="R451" s="212"/>
    </row>
    <row r="452">
      <c r="A452" s="163"/>
      <c r="B452" s="163" t="str">
        <f>IFERROR(__xludf.DUMMYFUNCTION("""COMPUTED_VALUE"""),"")</f>
        <v/>
      </c>
      <c r="C452" s="163"/>
      <c r="D452" s="212"/>
      <c r="E452" s="212"/>
      <c r="F452" s="212"/>
      <c r="G452" s="212"/>
      <c r="H452" s="212"/>
      <c r="I452" s="212"/>
      <c r="J452" s="212"/>
      <c r="K452" s="212"/>
      <c r="L452" s="212"/>
      <c r="M452" s="212"/>
      <c r="N452" s="212"/>
      <c r="O452" s="212"/>
      <c r="P452" s="212"/>
      <c r="Q452" s="212"/>
      <c r="R452" s="212"/>
    </row>
    <row r="453">
      <c r="A453" s="163"/>
      <c r="B453" s="163" t="str">
        <f>IFERROR(__xludf.DUMMYFUNCTION("""COMPUTED_VALUE"""),"")</f>
        <v/>
      </c>
      <c r="C453" s="163"/>
      <c r="D453" s="212"/>
      <c r="E453" s="212"/>
      <c r="F453" s="212"/>
      <c r="G453" s="212"/>
      <c r="H453" s="212"/>
      <c r="I453" s="212"/>
      <c r="J453" s="212"/>
      <c r="K453" s="212"/>
      <c r="L453" s="212"/>
      <c r="M453" s="212"/>
      <c r="N453" s="212"/>
      <c r="O453" s="212"/>
      <c r="P453" s="212"/>
      <c r="Q453" s="212"/>
      <c r="R453" s="212"/>
    </row>
    <row r="454">
      <c r="A454" s="163"/>
      <c r="B454" s="163" t="str">
        <f>IFERROR(__xludf.DUMMYFUNCTION("""COMPUTED_VALUE"""),"")</f>
        <v/>
      </c>
      <c r="C454" s="163"/>
      <c r="D454" s="212"/>
      <c r="E454" s="212"/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/>
      <c r="R454" s="212"/>
    </row>
    <row r="455">
      <c r="A455" s="163"/>
      <c r="B455" s="163" t="str">
        <f>IFERROR(__xludf.DUMMYFUNCTION("""COMPUTED_VALUE"""),"")</f>
        <v/>
      </c>
      <c r="C455" s="163"/>
      <c r="D455" s="212"/>
      <c r="E455" s="212"/>
      <c r="F455" s="212"/>
      <c r="G455" s="212"/>
      <c r="H455" s="212"/>
      <c r="I455" s="212"/>
      <c r="J455" s="212"/>
      <c r="K455" s="212"/>
      <c r="L455" s="212"/>
      <c r="M455" s="212"/>
      <c r="N455" s="212"/>
      <c r="O455" s="212"/>
      <c r="P455" s="212"/>
      <c r="Q455" s="212"/>
      <c r="R455" s="212"/>
    </row>
    <row r="456">
      <c r="A456" s="163"/>
      <c r="B456" s="163" t="str">
        <f>IFERROR(__xludf.DUMMYFUNCTION("""COMPUTED_VALUE"""),"")</f>
        <v/>
      </c>
      <c r="C456" s="163"/>
      <c r="D456" s="212"/>
      <c r="E456" s="212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/>
      <c r="R456" s="212"/>
    </row>
    <row r="457">
      <c r="A457" s="163"/>
      <c r="B457" s="163" t="str">
        <f>IFERROR(__xludf.DUMMYFUNCTION("""COMPUTED_VALUE"""),"")</f>
        <v/>
      </c>
      <c r="C457" s="163"/>
      <c r="D457" s="212"/>
      <c r="E457" s="212"/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/>
      <c r="R457" s="212"/>
    </row>
    <row r="458">
      <c r="A458" s="163"/>
      <c r="B458" s="163" t="str">
        <f>IFERROR(__xludf.DUMMYFUNCTION("""COMPUTED_VALUE"""),"")</f>
        <v/>
      </c>
      <c r="C458" s="163"/>
      <c r="D458" s="212"/>
      <c r="E458" s="212"/>
      <c r="F458" s="212"/>
      <c r="G458" s="212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/>
      <c r="R458" s="212"/>
    </row>
    <row r="459">
      <c r="A459" s="163"/>
      <c r="B459" s="163" t="str">
        <f>IFERROR(__xludf.DUMMYFUNCTION("""COMPUTED_VALUE"""),"")</f>
        <v/>
      </c>
      <c r="C459" s="163"/>
      <c r="D459" s="212"/>
      <c r="E459" s="212"/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/>
      <c r="R459" s="212"/>
    </row>
    <row r="460">
      <c r="A460" s="163"/>
      <c r="B460" s="163" t="str">
        <f>IFERROR(__xludf.DUMMYFUNCTION("""COMPUTED_VALUE"""),"")</f>
        <v/>
      </c>
      <c r="C460" s="163"/>
      <c r="D460" s="212"/>
      <c r="E460" s="212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/>
      <c r="R460" s="212"/>
    </row>
    <row r="461">
      <c r="A461" s="163"/>
      <c r="B461" s="163" t="str">
        <f>IFERROR(__xludf.DUMMYFUNCTION("""COMPUTED_VALUE"""),"")</f>
        <v/>
      </c>
      <c r="C461" s="163"/>
      <c r="D461" s="212"/>
      <c r="E461" s="212"/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/>
      <c r="R461" s="212"/>
    </row>
    <row r="462">
      <c r="A462" s="163"/>
      <c r="B462" s="163" t="str">
        <f>IFERROR(__xludf.DUMMYFUNCTION("""COMPUTED_VALUE"""),"")</f>
        <v/>
      </c>
      <c r="C462" s="163"/>
      <c r="D462" s="212"/>
      <c r="E462" s="212"/>
      <c r="F462" s="212"/>
      <c r="G462" s="212"/>
      <c r="H462" s="212"/>
      <c r="I462" s="212"/>
      <c r="J462" s="212"/>
      <c r="K462" s="212"/>
      <c r="L462" s="212"/>
      <c r="M462" s="212"/>
      <c r="N462" s="212"/>
      <c r="O462" s="212"/>
      <c r="P462" s="212"/>
      <c r="Q462" s="212"/>
      <c r="R462" s="212"/>
    </row>
    <row r="463">
      <c r="A463" s="163"/>
      <c r="B463" s="163" t="str">
        <f>IFERROR(__xludf.DUMMYFUNCTION("""COMPUTED_VALUE"""),"")</f>
        <v/>
      </c>
      <c r="C463" s="163"/>
      <c r="D463" s="212"/>
      <c r="E463" s="212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/>
      <c r="R463" s="212"/>
    </row>
    <row r="464">
      <c r="A464" s="163"/>
      <c r="B464" s="163" t="str">
        <f>IFERROR(__xludf.DUMMYFUNCTION("""COMPUTED_VALUE"""),"")</f>
        <v/>
      </c>
      <c r="C464" s="163"/>
      <c r="D464" s="212"/>
      <c r="E464" s="212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/>
      <c r="R464" s="212"/>
    </row>
    <row r="465">
      <c r="A465" s="163"/>
      <c r="B465" s="163" t="str">
        <f>IFERROR(__xludf.DUMMYFUNCTION("""COMPUTED_VALUE"""),"")</f>
        <v/>
      </c>
      <c r="C465" s="163"/>
      <c r="D465" s="212"/>
      <c r="E465" s="212"/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/>
      <c r="R465" s="212"/>
    </row>
    <row r="466">
      <c r="A466" s="163"/>
      <c r="B466" s="163" t="str">
        <f>IFERROR(__xludf.DUMMYFUNCTION("""COMPUTED_VALUE"""),"")</f>
        <v/>
      </c>
      <c r="C466" s="163"/>
      <c r="D466" s="212"/>
      <c r="E466" s="212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/>
      <c r="R466" s="212"/>
    </row>
    <row r="467">
      <c r="A467" s="163"/>
      <c r="B467" s="163" t="str">
        <f>IFERROR(__xludf.DUMMYFUNCTION("""COMPUTED_VALUE"""),"")</f>
        <v/>
      </c>
      <c r="C467" s="163"/>
      <c r="D467" s="212"/>
      <c r="E467" s="212"/>
      <c r="F467" s="212"/>
      <c r="G467" s="212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/>
      <c r="R467" s="212"/>
    </row>
    <row r="468">
      <c r="A468" s="163"/>
      <c r="B468" s="163" t="str">
        <f>IFERROR(__xludf.DUMMYFUNCTION("""COMPUTED_VALUE"""),"")</f>
        <v/>
      </c>
      <c r="C468" s="163"/>
      <c r="D468" s="212"/>
      <c r="E468" s="212"/>
      <c r="F468" s="212"/>
      <c r="G468" s="212"/>
      <c r="H468" s="212"/>
      <c r="I468" s="212"/>
      <c r="J468" s="212"/>
      <c r="K468" s="212"/>
      <c r="L468" s="212"/>
      <c r="M468" s="212"/>
      <c r="N468" s="212"/>
      <c r="O468" s="212"/>
      <c r="P468" s="212"/>
      <c r="Q468" s="212"/>
      <c r="R468" s="212"/>
    </row>
    <row r="469">
      <c r="A469" s="163"/>
      <c r="B469" s="163" t="str">
        <f>IFERROR(__xludf.DUMMYFUNCTION("""COMPUTED_VALUE"""),"")</f>
        <v/>
      </c>
      <c r="C469" s="163"/>
      <c r="D469" s="212"/>
      <c r="E469" s="212"/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/>
      <c r="R469" s="212"/>
    </row>
    <row r="470">
      <c r="A470" s="163"/>
      <c r="B470" s="163" t="str">
        <f>IFERROR(__xludf.DUMMYFUNCTION("""COMPUTED_VALUE"""),"")</f>
        <v/>
      </c>
      <c r="C470" s="163"/>
      <c r="D470" s="212"/>
      <c r="E470" s="212"/>
      <c r="F470" s="212"/>
      <c r="G470" s="212"/>
      <c r="H470" s="212"/>
      <c r="I470" s="212"/>
      <c r="J470" s="212"/>
      <c r="K470" s="212"/>
      <c r="L470" s="212"/>
      <c r="M470" s="212"/>
      <c r="N470" s="212"/>
      <c r="O470" s="212"/>
      <c r="P470" s="212"/>
      <c r="Q470" s="212"/>
      <c r="R470" s="212"/>
    </row>
    <row r="471">
      <c r="A471" s="163"/>
      <c r="B471" s="163" t="str">
        <f>IFERROR(__xludf.DUMMYFUNCTION("""COMPUTED_VALUE"""),"")</f>
        <v/>
      </c>
      <c r="C471" s="163"/>
      <c r="D471" s="212"/>
      <c r="E471" s="212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/>
      <c r="R471" s="212"/>
    </row>
    <row r="472">
      <c r="A472" s="163"/>
      <c r="B472" s="163" t="str">
        <f>IFERROR(__xludf.DUMMYFUNCTION("""COMPUTED_VALUE"""),"")</f>
        <v/>
      </c>
      <c r="C472" s="163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/>
      <c r="R472" s="212"/>
    </row>
    <row r="473">
      <c r="A473" s="163"/>
      <c r="B473" s="163" t="str">
        <f>IFERROR(__xludf.DUMMYFUNCTION("""COMPUTED_VALUE"""),"")</f>
        <v/>
      </c>
      <c r="C473" s="163"/>
      <c r="D473" s="212"/>
      <c r="E473" s="212"/>
      <c r="F473" s="212"/>
      <c r="G473" s="212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/>
      <c r="R473" s="212"/>
    </row>
    <row r="474">
      <c r="A474" s="163"/>
      <c r="B474" s="163" t="str">
        <f>IFERROR(__xludf.DUMMYFUNCTION("""COMPUTED_VALUE"""),"")</f>
        <v/>
      </c>
      <c r="C474" s="163"/>
      <c r="D474" s="212"/>
      <c r="E474" s="212"/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/>
      <c r="R474" s="212"/>
    </row>
    <row r="475">
      <c r="A475" s="163"/>
      <c r="B475" s="163" t="str">
        <f>IFERROR(__xludf.DUMMYFUNCTION("""COMPUTED_VALUE"""),"")</f>
        <v/>
      </c>
      <c r="C475" s="163"/>
      <c r="D475" s="212"/>
      <c r="E475" s="212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/>
      <c r="R475" s="212"/>
    </row>
    <row r="476">
      <c r="A476" s="163"/>
      <c r="B476" s="163" t="str">
        <f>IFERROR(__xludf.DUMMYFUNCTION("""COMPUTED_VALUE"""),"")</f>
        <v/>
      </c>
      <c r="C476" s="163"/>
      <c r="D476" s="212"/>
      <c r="E476" s="212"/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/>
      <c r="R476" s="212"/>
    </row>
    <row r="477">
      <c r="A477" s="163"/>
      <c r="B477" s="163" t="str">
        <f>IFERROR(__xludf.DUMMYFUNCTION("""COMPUTED_VALUE"""),"")</f>
        <v/>
      </c>
      <c r="C477" s="163"/>
      <c r="D477" s="212"/>
      <c r="E477" s="212"/>
      <c r="F477" s="212"/>
      <c r="G477" s="212"/>
      <c r="H477" s="212"/>
      <c r="I477" s="212"/>
      <c r="J477" s="212"/>
      <c r="K477" s="212"/>
      <c r="L477" s="212"/>
      <c r="M477" s="212"/>
      <c r="N477" s="212"/>
      <c r="O477" s="212"/>
      <c r="P477" s="212"/>
      <c r="Q477" s="212"/>
      <c r="R477" s="212"/>
    </row>
    <row r="478">
      <c r="A478" s="163"/>
      <c r="B478" s="163" t="str">
        <f>IFERROR(__xludf.DUMMYFUNCTION("""COMPUTED_VALUE"""),"")</f>
        <v/>
      </c>
      <c r="C478" s="163"/>
      <c r="D478" s="212"/>
      <c r="E478" s="212"/>
      <c r="F478" s="212"/>
      <c r="G478" s="212"/>
      <c r="H478" s="212"/>
      <c r="I478" s="212"/>
      <c r="J478" s="212"/>
      <c r="K478" s="212"/>
      <c r="L478" s="212"/>
      <c r="M478" s="212"/>
      <c r="N478" s="212"/>
      <c r="O478" s="212"/>
      <c r="P478" s="212"/>
      <c r="Q478" s="212"/>
      <c r="R478" s="212"/>
    </row>
    <row r="479">
      <c r="A479" s="163"/>
      <c r="B479" s="163" t="str">
        <f>IFERROR(__xludf.DUMMYFUNCTION("""COMPUTED_VALUE"""),"")</f>
        <v/>
      </c>
      <c r="C479" s="163"/>
      <c r="D479" s="212"/>
      <c r="E479" s="212"/>
      <c r="F479" s="212"/>
      <c r="G479" s="212"/>
      <c r="H479" s="212"/>
      <c r="I479" s="212"/>
      <c r="J479" s="212"/>
      <c r="K479" s="212"/>
      <c r="L479" s="212"/>
      <c r="M479" s="212"/>
      <c r="N479" s="212"/>
      <c r="O479" s="212"/>
      <c r="P479" s="212"/>
      <c r="Q479" s="212"/>
      <c r="R479" s="212"/>
    </row>
    <row r="480">
      <c r="A480" s="163"/>
      <c r="B480" s="163" t="str">
        <f>IFERROR(__xludf.DUMMYFUNCTION("""COMPUTED_VALUE"""),"")</f>
        <v/>
      </c>
      <c r="C480" s="163"/>
      <c r="D480" s="212"/>
      <c r="E480" s="212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/>
      <c r="R480" s="212"/>
    </row>
    <row r="481">
      <c r="A481" s="163"/>
      <c r="B481" s="163" t="str">
        <f>IFERROR(__xludf.DUMMYFUNCTION("""COMPUTED_VALUE"""),"")</f>
        <v/>
      </c>
      <c r="C481" s="163"/>
      <c r="D481" s="212"/>
      <c r="E481" s="212"/>
      <c r="F481" s="212"/>
      <c r="G481" s="212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</row>
    <row r="482">
      <c r="A482" s="163"/>
      <c r="B482" s="163" t="str">
        <f>IFERROR(__xludf.DUMMYFUNCTION("""COMPUTED_VALUE"""),"")</f>
        <v/>
      </c>
      <c r="C482" s="163"/>
      <c r="D482" s="212"/>
      <c r="E482" s="212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</row>
    <row r="483">
      <c r="A483" s="163"/>
      <c r="B483" s="163" t="str">
        <f>IFERROR(__xludf.DUMMYFUNCTION("""COMPUTED_VALUE"""),"")</f>
        <v/>
      </c>
      <c r="C483" s="163"/>
      <c r="D483" s="212"/>
      <c r="E483" s="212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</row>
    <row r="484">
      <c r="A484" s="163"/>
      <c r="B484" s="163" t="str">
        <f>IFERROR(__xludf.DUMMYFUNCTION("""COMPUTED_VALUE"""),"")</f>
        <v/>
      </c>
      <c r="C484" s="163"/>
      <c r="D484" s="212"/>
      <c r="E484" s="212"/>
      <c r="F484" s="212"/>
      <c r="G484" s="212"/>
      <c r="H484" s="212"/>
      <c r="I484" s="212"/>
      <c r="J484" s="212"/>
      <c r="K484" s="212"/>
      <c r="L484" s="212"/>
      <c r="M484" s="212"/>
      <c r="N484" s="212"/>
      <c r="O484" s="212"/>
      <c r="P484" s="212"/>
      <c r="Q484" s="212"/>
      <c r="R484" s="212"/>
    </row>
    <row r="485">
      <c r="A485" s="163"/>
      <c r="B485" s="163" t="str">
        <f>IFERROR(__xludf.DUMMYFUNCTION("""COMPUTED_VALUE"""),"")</f>
        <v/>
      </c>
      <c r="C485" s="163"/>
      <c r="D485" s="212"/>
      <c r="E485" s="212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</row>
    <row r="486">
      <c r="A486" s="163"/>
      <c r="B486" s="163" t="str">
        <f>IFERROR(__xludf.DUMMYFUNCTION("""COMPUTED_VALUE"""),"")</f>
        <v/>
      </c>
      <c r="C486" s="163"/>
      <c r="D486" s="212"/>
      <c r="E486" s="212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</row>
    <row r="487">
      <c r="A487" s="163"/>
      <c r="B487" s="163" t="str">
        <f>IFERROR(__xludf.DUMMYFUNCTION("""COMPUTED_VALUE"""),"")</f>
        <v/>
      </c>
      <c r="C487" s="163"/>
      <c r="D487" s="212"/>
      <c r="E487" s="212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</row>
    <row r="488">
      <c r="A488" s="163"/>
      <c r="B488" s="163" t="str">
        <f>IFERROR(__xludf.DUMMYFUNCTION("""COMPUTED_VALUE"""),"")</f>
        <v/>
      </c>
      <c r="C488" s="163"/>
      <c r="D488" s="212"/>
      <c r="E488" s="212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</row>
    <row r="489">
      <c r="A489" s="163"/>
      <c r="B489" s="163" t="str">
        <f>IFERROR(__xludf.DUMMYFUNCTION("""COMPUTED_VALUE"""),"")</f>
        <v/>
      </c>
      <c r="C489" s="163"/>
      <c r="D489" s="212"/>
      <c r="E489" s="212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</row>
    <row r="490">
      <c r="A490" s="163"/>
      <c r="B490" s="163" t="str">
        <f>IFERROR(__xludf.DUMMYFUNCTION("""COMPUTED_VALUE"""),"")</f>
        <v/>
      </c>
      <c r="C490" s="163"/>
      <c r="D490" s="212"/>
      <c r="E490" s="212"/>
      <c r="F490" s="212"/>
      <c r="G490" s="212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/>
      <c r="R490" s="212"/>
    </row>
    <row r="491">
      <c r="A491" s="163"/>
      <c r="B491" s="163" t="str">
        <f>IFERROR(__xludf.DUMMYFUNCTION("""COMPUTED_VALUE"""),"")</f>
        <v/>
      </c>
      <c r="C491" s="163"/>
      <c r="D491" s="212"/>
      <c r="E491" s="212"/>
      <c r="F491" s="212"/>
      <c r="G491" s="212"/>
      <c r="H491" s="212"/>
      <c r="I491" s="212"/>
      <c r="J491" s="212"/>
      <c r="K491" s="212"/>
      <c r="L491" s="212"/>
      <c r="M491" s="212"/>
      <c r="N491" s="212"/>
      <c r="O491" s="212"/>
      <c r="P491" s="212"/>
      <c r="Q491" s="212"/>
      <c r="R491" s="212"/>
    </row>
    <row r="492">
      <c r="A492" s="163"/>
      <c r="B492" s="163" t="str">
        <f>IFERROR(__xludf.DUMMYFUNCTION("""COMPUTED_VALUE"""),"")</f>
        <v/>
      </c>
      <c r="C492" s="163"/>
      <c r="D492" s="212"/>
      <c r="E492" s="212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</row>
    <row r="493">
      <c r="A493" s="163"/>
      <c r="B493" s="163" t="str">
        <f>IFERROR(__xludf.DUMMYFUNCTION("""COMPUTED_VALUE"""),"")</f>
        <v/>
      </c>
      <c r="C493" s="163"/>
      <c r="D493" s="212"/>
      <c r="E493" s="212"/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/>
      <c r="R493" s="212"/>
    </row>
    <row r="494">
      <c r="A494" s="163"/>
      <c r="B494" s="163" t="str">
        <f>IFERROR(__xludf.DUMMYFUNCTION("""COMPUTED_VALUE"""),"")</f>
        <v/>
      </c>
      <c r="C494" s="163"/>
      <c r="D494" s="212"/>
      <c r="E494" s="212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/>
      <c r="R494" s="212"/>
    </row>
    <row r="495">
      <c r="A495" s="163"/>
      <c r="B495" s="163" t="str">
        <f>IFERROR(__xludf.DUMMYFUNCTION("""COMPUTED_VALUE"""),"")</f>
        <v/>
      </c>
      <c r="C495" s="163"/>
      <c r="D495" s="212"/>
      <c r="E495" s="212"/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/>
      <c r="R495" s="212"/>
    </row>
    <row r="496">
      <c r="A496" s="163"/>
      <c r="B496" s="163" t="str">
        <f>IFERROR(__xludf.DUMMYFUNCTION("""COMPUTED_VALUE"""),"")</f>
        <v/>
      </c>
      <c r="C496" s="163"/>
      <c r="D496" s="212"/>
      <c r="E496" s="212"/>
      <c r="F496" s="212"/>
      <c r="G496" s="212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/>
      <c r="R496" s="212"/>
    </row>
    <row r="497">
      <c r="A497" s="163"/>
      <c r="B497" s="163" t="str">
        <f>IFERROR(__xludf.DUMMYFUNCTION("""COMPUTED_VALUE"""),"")</f>
        <v/>
      </c>
      <c r="C497" s="163"/>
      <c r="D497" s="212"/>
      <c r="E497" s="212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</row>
    <row r="498">
      <c r="A498" s="163"/>
      <c r="B498" s="163" t="str">
        <f>IFERROR(__xludf.DUMMYFUNCTION("""COMPUTED_VALUE"""),"")</f>
        <v/>
      </c>
      <c r="C498" s="163"/>
      <c r="D498" s="212"/>
      <c r="E498" s="212"/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</row>
    <row r="499">
      <c r="A499" s="163"/>
      <c r="B499" s="163" t="str">
        <f>IFERROR(__xludf.DUMMYFUNCTION("""COMPUTED_VALUE"""),"")</f>
        <v/>
      </c>
      <c r="C499" s="163"/>
      <c r="D499" s="212"/>
      <c r="E499" s="212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</row>
    <row r="500">
      <c r="A500" s="163"/>
      <c r="B500" s="163" t="str">
        <f>IFERROR(__xludf.DUMMYFUNCTION("""COMPUTED_VALUE"""),"")</f>
        <v/>
      </c>
      <c r="C500" s="163"/>
      <c r="D500" s="212"/>
      <c r="E500" s="212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</row>
    <row r="501">
      <c r="A501" s="163"/>
      <c r="B501" s="163" t="str">
        <f>IFERROR(__xludf.DUMMYFUNCTION("""COMPUTED_VALUE"""),"")</f>
        <v/>
      </c>
      <c r="C501" s="163"/>
      <c r="D501" s="212"/>
      <c r="E501" s="212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/>
      <c r="R501" s="212"/>
    </row>
    <row r="502">
      <c r="A502" s="163"/>
      <c r="B502" s="163" t="str">
        <f>IFERROR(__xludf.DUMMYFUNCTION("""COMPUTED_VALUE"""),"")</f>
        <v/>
      </c>
      <c r="C502" s="163"/>
      <c r="D502" s="212"/>
      <c r="E502" s="212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/>
      <c r="R502" s="212"/>
    </row>
    <row r="503">
      <c r="A503" s="163"/>
      <c r="B503" s="163" t="str">
        <f>IFERROR(__xludf.DUMMYFUNCTION("""COMPUTED_VALUE"""),"")</f>
        <v/>
      </c>
      <c r="C503" s="163"/>
      <c r="D503" s="212"/>
      <c r="E503" s="212"/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/>
      <c r="R503" s="212"/>
    </row>
    <row r="504">
      <c r="A504" s="163"/>
      <c r="B504" s="163" t="str">
        <f>IFERROR(__xludf.DUMMYFUNCTION("""COMPUTED_VALUE"""),"")</f>
        <v/>
      </c>
      <c r="C504" s="163"/>
      <c r="D504" s="212"/>
      <c r="E504" s="212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</row>
    <row r="505">
      <c r="A505" s="163"/>
      <c r="B505" s="163" t="str">
        <f>IFERROR(__xludf.DUMMYFUNCTION("""COMPUTED_VALUE"""),"")</f>
        <v/>
      </c>
      <c r="C505" s="163"/>
      <c r="D505" s="212"/>
      <c r="E505" s="212"/>
      <c r="F505" s="212"/>
      <c r="G505" s="212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</row>
    <row r="506">
      <c r="A506" s="163"/>
      <c r="B506" s="163" t="str">
        <f>IFERROR(__xludf.DUMMYFUNCTION("""COMPUTED_VALUE"""),"")</f>
        <v/>
      </c>
      <c r="C506" s="163"/>
      <c r="D506" s="212"/>
      <c r="E506" s="212"/>
      <c r="F506" s="212"/>
      <c r="G506" s="212"/>
      <c r="H506" s="212"/>
      <c r="I506" s="212"/>
      <c r="J506" s="212"/>
      <c r="K506" s="212"/>
      <c r="L506" s="212"/>
      <c r="M506" s="212"/>
      <c r="N506" s="212"/>
      <c r="O506" s="212"/>
      <c r="P506" s="212"/>
      <c r="Q506" s="212"/>
      <c r="R506" s="212"/>
    </row>
    <row r="507">
      <c r="A507" s="163"/>
      <c r="B507" s="163" t="str">
        <f>IFERROR(__xludf.DUMMYFUNCTION("""COMPUTED_VALUE"""),"")</f>
        <v/>
      </c>
      <c r="C507" s="163"/>
      <c r="D507" s="212"/>
      <c r="E507" s="212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</row>
    <row r="508">
      <c r="A508" s="163"/>
      <c r="B508" s="163" t="str">
        <f>IFERROR(__xludf.DUMMYFUNCTION("""COMPUTED_VALUE"""),"")</f>
        <v/>
      </c>
      <c r="C508" s="163"/>
      <c r="D508" s="212"/>
      <c r="E508" s="212"/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/>
      <c r="R508" s="212"/>
    </row>
    <row r="509">
      <c r="A509" s="163"/>
      <c r="B509" s="163" t="str">
        <f>IFERROR(__xludf.DUMMYFUNCTION("""COMPUTED_VALUE"""),"")</f>
        <v/>
      </c>
      <c r="C509" s="163"/>
      <c r="D509" s="212"/>
      <c r="E509" s="212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</row>
    <row r="510">
      <c r="A510" s="163"/>
      <c r="B510" s="163" t="str">
        <f>IFERROR(__xludf.DUMMYFUNCTION("""COMPUTED_VALUE"""),"")</f>
        <v/>
      </c>
      <c r="C510" s="163"/>
      <c r="D510" s="212"/>
      <c r="E510" s="212"/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</row>
    <row r="511">
      <c r="A511" s="163"/>
      <c r="B511" s="163" t="str">
        <f>IFERROR(__xludf.DUMMYFUNCTION("""COMPUTED_VALUE"""),"")</f>
        <v/>
      </c>
      <c r="C511" s="163"/>
      <c r="D511" s="212"/>
      <c r="E511" s="212"/>
      <c r="F511" s="212"/>
      <c r="G511" s="212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</row>
    <row r="512">
      <c r="A512" s="163"/>
      <c r="B512" s="163" t="str">
        <f>IFERROR(__xludf.DUMMYFUNCTION("""COMPUTED_VALUE"""),"")</f>
        <v/>
      </c>
      <c r="C512" s="163"/>
      <c r="D512" s="212"/>
      <c r="E512" s="212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</row>
    <row r="513">
      <c r="A513" s="163"/>
      <c r="B513" s="163" t="str">
        <f>IFERROR(__xludf.DUMMYFUNCTION("""COMPUTED_VALUE"""),"")</f>
        <v/>
      </c>
      <c r="C513" s="163"/>
      <c r="D513" s="212"/>
      <c r="E513" s="212"/>
      <c r="F513" s="212"/>
      <c r="G513" s="212"/>
      <c r="H513" s="212"/>
      <c r="I513" s="212"/>
      <c r="J513" s="212"/>
      <c r="K513" s="212"/>
      <c r="L513" s="212"/>
      <c r="M513" s="212"/>
      <c r="N513" s="212"/>
      <c r="O513" s="212"/>
      <c r="P513" s="212"/>
      <c r="Q513" s="212"/>
      <c r="R513" s="212"/>
    </row>
    <row r="514">
      <c r="A514" s="163"/>
      <c r="B514" s="163" t="str">
        <f>IFERROR(__xludf.DUMMYFUNCTION("""COMPUTED_VALUE"""),"")</f>
        <v/>
      </c>
      <c r="C514" s="163"/>
      <c r="D514" s="212"/>
      <c r="E514" s="212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/>
      <c r="R514" s="212"/>
    </row>
    <row r="515">
      <c r="A515" s="163"/>
      <c r="B515" s="163" t="str">
        <f>IFERROR(__xludf.DUMMYFUNCTION("""COMPUTED_VALUE"""),"")</f>
        <v/>
      </c>
      <c r="C515" s="163"/>
      <c r="D515" s="212"/>
      <c r="E515" s="212"/>
      <c r="F515" s="212"/>
      <c r="G515" s="212"/>
      <c r="H515" s="212"/>
      <c r="I515" s="212"/>
      <c r="J515" s="212"/>
      <c r="K515" s="212"/>
      <c r="L515" s="212"/>
      <c r="M515" s="212"/>
      <c r="N515" s="212"/>
      <c r="O515" s="212"/>
      <c r="P515" s="212"/>
      <c r="Q515" s="212"/>
      <c r="R515" s="212"/>
    </row>
    <row r="516">
      <c r="A516" s="163"/>
      <c r="B516" s="163" t="str">
        <f>IFERROR(__xludf.DUMMYFUNCTION("""COMPUTED_VALUE"""),"")</f>
        <v/>
      </c>
      <c r="C516" s="163"/>
      <c r="D516" s="212"/>
      <c r="E516" s="212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</row>
    <row r="517">
      <c r="A517" s="163"/>
      <c r="B517" s="163" t="str">
        <f>IFERROR(__xludf.DUMMYFUNCTION("""COMPUTED_VALUE"""),"")</f>
        <v/>
      </c>
      <c r="C517" s="163"/>
      <c r="D517" s="212"/>
      <c r="E517" s="212"/>
      <c r="F517" s="212"/>
      <c r="G517" s="212"/>
      <c r="H517" s="212"/>
      <c r="I517" s="212"/>
      <c r="J517" s="212"/>
      <c r="K517" s="212"/>
      <c r="L517" s="212"/>
      <c r="M517" s="212"/>
      <c r="N517" s="212"/>
      <c r="O517" s="212"/>
      <c r="P517" s="212"/>
      <c r="Q517" s="212"/>
      <c r="R517" s="212"/>
    </row>
    <row r="518">
      <c r="A518" s="163"/>
      <c r="B518" s="163" t="str">
        <f>IFERROR(__xludf.DUMMYFUNCTION("""COMPUTED_VALUE"""),"")</f>
        <v/>
      </c>
      <c r="C518" s="163"/>
      <c r="D518" s="212"/>
      <c r="E518" s="212"/>
      <c r="F518" s="212"/>
      <c r="G518" s="212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</row>
    <row r="519">
      <c r="A519" s="163"/>
      <c r="B519" s="163" t="str">
        <f>IFERROR(__xludf.DUMMYFUNCTION("""COMPUTED_VALUE"""),"")</f>
        <v/>
      </c>
      <c r="C519" s="163"/>
      <c r="D519" s="212"/>
      <c r="E519" s="212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</row>
    <row r="520">
      <c r="A520" s="163"/>
      <c r="B520" s="163" t="str">
        <f>IFERROR(__xludf.DUMMYFUNCTION("""COMPUTED_VALUE"""),"")</f>
        <v/>
      </c>
      <c r="C520" s="163"/>
      <c r="D520" s="212"/>
      <c r="E520" s="212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/>
      <c r="R520" s="212"/>
    </row>
    <row r="521">
      <c r="A521" s="163"/>
      <c r="B521" s="163" t="str">
        <f>IFERROR(__xludf.DUMMYFUNCTION("""COMPUTED_VALUE"""),"")</f>
        <v/>
      </c>
      <c r="C521" s="163"/>
      <c r="D521" s="212"/>
      <c r="E521" s="212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</row>
    <row r="522">
      <c r="A522" s="163"/>
      <c r="B522" s="163" t="str">
        <f>IFERROR(__xludf.DUMMYFUNCTION("""COMPUTED_VALUE"""),"")</f>
        <v/>
      </c>
      <c r="C522" s="163"/>
      <c r="D522" s="212"/>
      <c r="E522" s="212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/>
      <c r="R522" s="212"/>
    </row>
    <row r="523">
      <c r="A523" s="163"/>
      <c r="B523" s="163" t="str">
        <f>IFERROR(__xludf.DUMMYFUNCTION("""COMPUTED_VALUE"""),"")</f>
        <v/>
      </c>
      <c r="C523" s="163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</row>
    <row r="524">
      <c r="A524" s="163"/>
      <c r="B524" s="163" t="str">
        <f>IFERROR(__xludf.DUMMYFUNCTION("""COMPUTED_VALUE"""),"")</f>
        <v/>
      </c>
      <c r="C524" s="163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</row>
    <row r="525">
      <c r="A525" s="163"/>
      <c r="B525" s="163" t="str">
        <f>IFERROR(__xludf.DUMMYFUNCTION("""COMPUTED_VALUE"""),"")</f>
        <v/>
      </c>
      <c r="C525" s="163"/>
      <c r="D525" s="212"/>
      <c r="E525" s="212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  <c r="P525" s="212"/>
      <c r="Q525" s="212"/>
      <c r="R525" s="212"/>
    </row>
    <row r="526">
      <c r="A526" s="163"/>
      <c r="B526" s="163" t="str">
        <f>IFERROR(__xludf.DUMMYFUNCTION("""COMPUTED_VALUE"""),"")</f>
        <v/>
      </c>
      <c r="C526" s="163"/>
      <c r="D526" s="212"/>
      <c r="E526" s="212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/>
      <c r="R526" s="212"/>
    </row>
    <row r="527">
      <c r="A527" s="163"/>
      <c r="B527" s="163" t="str">
        <f>IFERROR(__xludf.DUMMYFUNCTION("""COMPUTED_VALUE"""),"")</f>
        <v/>
      </c>
      <c r="C527" s="163"/>
      <c r="D527" s="212"/>
      <c r="E527" s="212"/>
      <c r="F527" s="212"/>
      <c r="G527" s="212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/>
      <c r="R527" s="212"/>
    </row>
    <row r="528">
      <c r="A528" s="163"/>
      <c r="B528" s="163" t="str">
        <f>IFERROR(__xludf.DUMMYFUNCTION("""COMPUTED_VALUE"""),"")</f>
        <v/>
      </c>
      <c r="C528" s="163"/>
      <c r="D528" s="212"/>
      <c r="E528" s="212"/>
      <c r="F528" s="212"/>
      <c r="G528" s="212"/>
      <c r="H528" s="212"/>
      <c r="I528" s="212"/>
      <c r="J528" s="212"/>
      <c r="K528" s="212"/>
      <c r="L528" s="212"/>
      <c r="M528" s="212"/>
      <c r="N528" s="212"/>
      <c r="O528" s="212"/>
      <c r="P528" s="212"/>
      <c r="Q528" s="212"/>
      <c r="R528" s="212"/>
    </row>
    <row r="529">
      <c r="A529" s="163"/>
      <c r="B529" s="163" t="str">
        <f>IFERROR(__xludf.DUMMYFUNCTION("""COMPUTED_VALUE"""),"")</f>
        <v/>
      </c>
      <c r="C529" s="163"/>
      <c r="D529" s="212"/>
      <c r="E529" s="212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</row>
    <row r="530">
      <c r="A530" s="163"/>
      <c r="B530" s="163" t="str">
        <f>IFERROR(__xludf.DUMMYFUNCTION("""COMPUTED_VALUE"""),"")</f>
        <v/>
      </c>
      <c r="C530" s="163"/>
      <c r="D530" s="212"/>
      <c r="E530" s="212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/>
      <c r="R530" s="212"/>
    </row>
    <row r="531">
      <c r="A531" s="163"/>
      <c r="B531" s="163" t="str">
        <f>IFERROR(__xludf.DUMMYFUNCTION("""COMPUTED_VALUE"""),"")</f>
        <v/>
      </c>
      <c r="C531" s="163"/>
      <c r="D531" s="212"/>
      <c r="E531" s="212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/>
      <c r="R531" s="212"/>
    </row>
    <row r="532">
      <c r="A532" s="163"/>
      <c r="B532" s="163" t="str">
        <f>IFERROR(__xludf.DUMMYFUNCTION("""COMPUTED_VALUE"""),"")</f>
        <v/>
      </c>
      <c r="C532" s="163"/>
      <c r="D532" s="212"/>
      <c r="E532" s="212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/>
      <c r="R532" s="212"/>
    </row>
    <row r="533">
      <c r="A533" s="163"/>
      <c r="B533" s="163" t="str">
        <f>IFERROR(__xludf.DUMMYFUNCTION("""COMPUTED_VALUE"""),"")</f>
        <v/>
      </c>
      <c r="C533" s="163"/>
      <c r="D533" s="212"/>
      <c r="E533" s="212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</row>
    <row r="534">
      <c r="A534" s="163"/>
      <c r="B534" s="163" t="str">
        <f>IFERROR(__xludf.DUMMYFUNCTION("""COMPUTED_VALUE"""),"")</f>
        <v/>
      </c>
      <c r="C534" s="163"/>
      <c r="D534" s="212"/>
      <c r="E534" s="212"/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/>
      <c r="R534" s="212"/>
    </row>
    <row r="535">
      <c r="A535" s="163"/>
      <c r="B535" s="163" t="str">
        <f>IFERROR(__xludf.DUMMYFUNCTION("""COMPUTED_VALUE"""),"")</f>
        <v/>
      </c>
      <c r="C535" s="163"/>
      <c r="D535" s="212"/>
      <c r="E535" s="212"/>
      <c r="F535" s="212"/>
      <c r="G535" s="212"/>
      <c r="H535" s="212"/>
      <c r="I535" s="212"/>
      <c r="J535" s="212"/>
      <c r="K535" s="212"/>
      <c r="L535" s="212"/>
      <c r="M535" s="212"/>
      <c r="N535" s="212"/>
      <c r="O535" s="212"/>
      <c r="P535" s="212"/>
      <c r="Q535" s="212"/>
      <c r="R535" s="212"/>
    </row>
    <row r="536">
      <c r="A536" s="163"/>
      <c r="B536" s="163" t="str">
        <f>IFERROR(__xludf.DUMMYFUNCTION("""COMPUTED_VALUE"""),"")</f>
        <v/>
      </c>
      <c r="C536" s="163"/>
      <c r="D536" s="212"/>
      <c r="E536" s="212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/>
      <c r="R536" s="212"/>
    </row>
    <row r="537">
      <c r="A537" s="163"/>
      <c r="B537" s="163" t="str">
        <f>IFERROR(__xludf.DUMMYFUNCTION("""COMPUTED_VALUE"""),"")</f>
        <v/>
      </c>
      <c r="C537" s="163"/>
      <c r="D537" s="212"/>
      <c r="E537" s="212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</row>
    <row r="538">
      <c r="A538" s="163"/>
      <c r="B538" s="163" t="str">
        <f>IFERROR(__xludf.DUMMYFUNCTION("""COMPUTED_VALUE"""),"")</f>
        <v/>
      </c>
      <c r="C538" s="163"/>
      <c r="D538" s="212"/>
      <c r="E538" s="212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/>
      <c r="R538" s="212"/>
    </row>
    <row r="539">
      <c r="A539" s="163"/>
      <c r="B539" s="163" t="str">
        <f>IFERROR(__xludf.DUMMYFUNCTION("""COMPUTED_VALUE"""),"")</f>
        <v/>
      </c>
      <c r="C539" s="163"/>
      <c r="D539" s="212"/>
      <c r="E539" s="212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/>
      <c r="R539" s="212"/>
    </row>
    <row r="540">
      <c r="A540" s="163"/>
      <c r="B540" s="163" t="str">
        <f>IFERROR(__xludf.DUMMYFUNCTION("""COMPUTED_VALUE"""),"")</f>
        <v/>
      </c>
      <c r="C540" s="163"/>
      <c r="D540" s="212"/>
      <c r="E540" s="212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/>
      <c r="R540" s="212"/>
    </row>
    <row r="541">
      <c r="A541" s="163"/>
      <c r="B541" s="163" t="str">
        <f>IFERROR(__xludf.DUMMYFUNCTION("""COMPUTED_VALUE"""),"")</f>
        <v/>
      </c>
      <c r="C541" s="163"/>
      <c r="D541" s="212"/>
      <c r="E541" s="212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/>
      <c r="R541" s="212"/>
    </row>
    <row r="542">
      <c r="A542" s="163"/>
      <c r="B542" s="163" t="str">
        <f>IFERROR(__xludf.DUMMYFUNCTION("""COMPUTED_VALUE"""),"")</f>
        <v/>
      </c>
      <c r="C542" s="163"/>
      <c r="D542" s="212"/>
      <c r="E542" s="212"/>
      <c r="F542" s="212"/>
      <c r="G542" s="212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/>
      <c r="R542" s="212"/>
    </row>
    <row r="543">
      <c r="A543" s="163"/>
      <c r="B543" s="163" t="str">
        <f>IFERROR(__xludf.DUMMYFUNCTION("""COMPUTED_VALUE"""),"")</f>
        <v/>
      </c>
      <c r="C543" s="163"/>
      <c r="D543" s="212"/>
      <c r="E543" s="212"/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/>
      <c r="R543" s="212"/>
    </row>
    <row r="544">
      <c r="A544" s="163"/>
      <c r="B544" s="163" t="str">
        <f>IFERROR(__xludf.DUMMYFUNCTION("""COMPUTED_VALUE"""),"")</f>
        <v/>
      </c>
      <c r="C544" s="163"/>
      <c r="D544" s="212"/>
      <c r="E544" s="212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12"/>
    </row>
    <row r="545">
      <c r="A545" s="163"/>
      <c r="B545" s="163" t="str">
        <f>IFERROR(__xludf.DUMMYFUNCTION("""COMPUTED_VALUE"""),"")</f>
        <v/>
      </c>
      <c r="C545" s="163"/>
      <c r="D545" s="212"/>
      <c r="E545" s="212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/>
      <c r="R545" s="212"/>
    </row>
    <row r="546">
      <c r="A546" s="163"/>
      <c r="B546" s="163" t="str">
        <f>IFERROR(__xludf.DUMMYFUNCTION("""COMPUTED_VALUE"""),"")</f>
        <v/>
      </c>
      <c r="C546" s="163"/>
      <c r="D546" s="212"/>
      <c r="E546" s="212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</row>
    <row r="547">
      <c r="A547" s="163"/>
      <c r="B547" s="163" t="str">
        <f>IFERROR(__xludf.DUMMYFUNCTION("""COMPUTED_VALUE"""),"")</f>
        <v/>
      </c>
      <c r="C547" s="163"/>
      <c r="D547" s="212"/>
      <c r="E547" s="212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</row>
    <row r="548">
      <c r="A548" s="163"/>
      <c r="B548" s="163" t="str">
        <f>IFERROR(__xludf.DUMMYFUNCTION("""COMPUTED_VALUE"""),"")</f>
        <v/>
      </c>
      <c r="C548" s="163"/>
      <c r="D548" s="212"/>
      <c r="E548" s="212"/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</row>
    <row r="549">
      <c r="A549" s="163"/>
      <c r="B549" s="163" t="str">
        <f>IFERROR(__xludf.DUMMYFUNCTION("""COMPUTED_VALUE"""),"")</f>
        <v/>
      </c>
      <c r="C549" s="163"/>
      <c r="D549" s="212"/>
      <c r="E549" s="212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</row>
    <row r="550">
      <c r="A550" s="163"/>
      <c r="B550" s="163" t="str">
        <f>IFERROR(__xludf.DUMMYFUNCTION("""COMPUTED_VALUE"""),"")</f>
        <v/>
      </c>
      <c r="C550" s="163"/>
      <c r="D550" s="212"/>
      <c r="E550" s="212"/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</row>
    <row r="551">
      <c r="A551" s="163"/>
      <c r="B551" s="163" t="str">
        <f>IFERROR(__xludf.DUMMYFUNCTION("""COMPUTED_VALUE"""),"")</f>
        <v/>
      </c>
      <c r="C551" s="163"/>
      <c r="D551" s="212"/>
      <c r="E551" s="212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</row>
    <row r="552">
      <c r="A552" s="163"/>
      <c r="B552" s="163" t="str">
        <f>IFERROR(__xludf.DUMMYFUNCTION("""COMPUTED_VALUE"""),"")</f>
        <v/>
      </c>
      <c r="C552" s="163"/>
      <c r="D552" s="212"/>
      <c r="E552" s="212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</row>
    <row r="553">
      <c r="A553" s="163"/>
      <c r="B553" s="163" t="str">
        <f>IFERROR(__xludf.DUMMYFUNCTION("""COMPUTED_VALUE"""),"")</f>
        <v/>
      </c>
      <c r="C553" s="163"/>
      <c r="D553" s="212"/>
      <c r="E553" s="212"/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/>
      <c r="R553" s="212"/>
    </row>
    <row r="554">
      <c r="A554" s="163"/>
      <c r="B554" s="163" t="str">
        <f>IFERROR(__xludf.DUMMYFUNCTION("""COMPUTED_VALUE"""),"")</f>
        <v/>
      </c>
      <c r="C554" s="163"/>
      <c r="D554" s="212"/>
      <c r="E554" s="212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</row>
    <row r="555">
      <c r="A555" s="163"/>
      <c r="B555" s="163" t="str">
        <f>IFERROR(__xludf.DUMMYFUNCTION("""COMPUTED_VALUE"""),"")</f>
        <v/>
      </c>
      <c r="C555" s="163"/>
      <c r="D555" s="212"/>
      <c r="E555" s="212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</row>
    <row r="556">
      <c r="A556" s="163"/>
      <c r="B556" s="163" t="str">
        <f>IFERROR(__xludf.DUMMYFUNCTION("""COMPUTED_VALUE"""),"")</f>
        <v/>
      </c>
      <c r="C556" s="163"/>
      <c r="D556" s="212"/>
      <c r="E556" s="212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</row>
    <row r="557">
      <c r="A557" s="163"/>
      <c r="B557" s="163" t="str">
        <f>IFERROR(__xludf.DUMMYFUNCTION("""COMPUTED_VALUE"""),"")</f>
        <v/>
      </c>
      <c r="C557" s="163"/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</row>
    <row r="558">
      <c r="A558" s="163"/>
      <c r="B558" s="163" t="str">
        <f>IFERROR(__xludf.DUMMYFUNCTION("""COMPUTED_VALUE"""),"")</f>
        <v/>
      </c>
      <c r="C558" s="163"/>
      <c r="D558" s="212"/>
      <c r="E558" s="212"/>
      <c r="F558" s="212"/>
      <c r="G558" s="212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</row>
    <row r="559">
      <c r="A559" s="163"/>
      <c r="B559" s="163" t="str">
        <f>IFERROR(__xludf.DUMMYFUNCTION("""COMPUTED_VALUE"""),"")</f>
        <v/>
      </c>
      <c r="C559" s="163"/>
      <c r="D559" s="212"/>
      <c r="E559" s="212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</row>
    <row r="560">
      <c r="A560" s="163"/>
      <c r="B560" s="163" t="str">
        <f>IFERROR(__xludf.DUMMYFUNCTION("""COMPUTED_VALUE"""),"")</f>
        <v/>
      </c>
      <c r="C560" s="163"/>
      <c r="D560" s="212"/>
      <c r="E560" s="212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</row>
    <row r="561">
      <c r="A561" s="163"/>
      <c r="B561" s="163" t="str">
        <f>IFERROR(__xludf.DUMMYFUNCTION("""COMPUTED_VALUE"""),"")</f>
        <v/>
      </c>
      <c r="C561" s="163"/>
      <c r="D561" s="212"/>
      <c r="E561" s="212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</row>
    <row r="562">
      <c r="A562" s="163"/>
      <c r="B562" s="163" t="str">
        <f>IFERROR(__xludf.DUMMYFUNCTION("""COMPUTED_VALUE"""),"")</f>
        <v/>
      </c>
      <c r="C562" s="163"/>
      <c r="D562" s="212"/>
      <c r="E562" s="212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</row>
    <row r="563">
      <c r="A563" s="163"/>
      <c r="B563" s="163" t="str">
        <f>IFERROR(__xludf.DUMMYFUNCTION("""COMPUTED_VALUE"""),"")</f>
        <v/>
      </c>
      <c r="C563" s="163"/>
      <c r="D563" s="212"/>
      <c r="E563" s="212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</row>
    <row r="564">
      <c r="A564" s="163"/>
      <c r="B564" s="163" t="str">
        <f>IFERROR(__xludf.DUMMYFUNCTION("""COMPUTED_VALUE"""),"")</f>
        <v/>
      </c>
      <c r="C564" s="163"/>
      <c r="D564" s="212"/>
      <c r="E564" s="212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</row>
    <row r="565">
      <c r="A565" s="163"/>
      <c r="B565" s="163" t="str">
        <f>IFERROR(__xludf.DUMMYFUNCTION("""COMPUTED_VALUE"""),"")</f>
        <v/>
      </c>
      <c r="C565" s="163"/>
      <c r="D565" s="212"/>
      <c r="E565" s="212"/>
      <c r="F565" s="212"/>
      <c r="G565" s="212"/>
      <c r="H565" s="212"/>
      <c r="I565" s="212"/>
      <c r="J565" s="212"/>
      <c r="K565" s="212"/>
      <c r="L565" s="212"/>
      <c r="M565" s="212"/>
      <c r="N565" s="212"/>
      <c r="O565" s="212"/>
      <c r="P565" s="212"/>
      <c r="Q565" s="212"/>
      <c r="R565" s="212"/>
    </row>
    <row r="566">
      <c r="A566" s="163"/>
      <c r="B566" s="163" t="str">
        <f>IFERROR(__xludf.DUMMYFUNCTION("""COMPUTED_VALUE"""),"")</f>
        <v/>
      </c>
      <c r="C566" s="163"/>
      <c r="D566" s="212"/>
      <c r="E566" s="212"/>
      <c r="F566" s="212"/>
      <c r="G566" s="212"/>
      <c r="H566" s="212"/>
      <c r="I566" s="212"/>
      <c r="J566" s="212"/>
      <c r="K566" s="212"/>
      <c r="L566" s="212"/>
      <c r="M566" s="212"/>
      <c r="N566" s="212"/>
      <c r="O566" s="212"/>
      <c r="P566" s="212"/>
      <c r="Q566" s="212"/>
      <c r="R566" s="212"/>
    </row>
    <row r="567">
      <c r="A567" s="163"/>
      <c r="B567" s="163" t="str">
        <f>IFERROR(__xludf.DUMMYFUNCTION("""COMPUTED_VALUE"""),"")</f>
        <v/>
      </c>
      <c r="C567" s="163"/>
      <c r="D567" s="212"/>
      <c r="E567" s="212"/>
      <c r="F567" s="212"/>
      <c r="G567" s="212"/>
      <c r="H567" s="212"/>
      <c r="I567" s="212"/>
      <c r="J567" s="212"/>
      <c r="K567" s="212"/>
      <c r="L567" s="212"/>
      <c r="M567" s="212"/>
      <c r="N567" s="212"/>
      <c r="O567" s="212"/>
      <c r="P567" s="212"/>
      <c r="Q567" s="212"/>
      <c r="R567" s="212"/>
    </row>
    <row r="568">
      <c r="A568" s="163"/>
      <c r="B568" s="163" t="str">
        <f>IFERROR(__xludf.DUMMYFUNCTION("""COMPUTED_VALUE"""),"")</f>
        <v/>
      </c>
      <c r="C568" s="163"/>
      <c r="D568" s="212"/>
      <c r="E568" s="212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/>
      <c r="R568" s="212"/>
    </row>
    <row r="569">
      <c r="A569" s="163"/>
      <c r="B569" s="163" t="str">
        <f>IFERROR(__xludf.DUMMYFUNCTION("""COMPUTED_VALUE"""),"")</f>
        <v/>
      </c>
      <c r="C569" s="163"/>
      <c r="D569" s="212"/>
      <c r="E569" s="212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/>
      <c r="R569" s="212"/>
    </row>
    <row r="570">
      <c r="A570" s="163"/>
      <c r="B570" s="163" t="str">
        <f>IFERROR(__xludf.DUMMYFUNCTION("""COMPUTED_VALUE"""),"")</f>
        <v/>
      </c>
      <c r="C570" s="163"/>
      <c r="D570" s="212"/>
      <c r="E570" s="212"/>
      <c r="F570" s="212"/>
      <c r="G570" s="212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/>
      <c r="R570" s="212"/>
    </row>
    <row r="571">
      <c r="A571" s="163"/>
      <c r="B571" s="163" t="str">
        <f>IFERROR(__xludf.DUMMYFUNCTION("""COMPUTED_VALUE"""),"")</f>
        <v/>
      </c>
      <c r="C571" s="163"/>
      <c r="D571" s="212"/>
      <c r="E571" s="212"/>
      <c r="F571" s="212"/>
      <c r="G571" s="212"/>
      <c r="H571" s="212"/>
      <c r="I571" s="212"/>
      <c r="J571" s="212"/>
      <c r="K571" s="212"/>
      <c r="L571" s="212"/>
      <c r="M571" s="212"/>
      <c r="N571" s="212"/>
      <c r="O571" s="212"/>
      <c r="P571" s="212"/>
      <c r="Q571" s="212"/>
      <c r="R571" s="212"/>
    </row>
    <row r="572">
      <c r="A572" s="163"/>
      <c r="B572" s="163" t="str">
        <f>IFERROR(__xludf.DUMMYFUNCTION("""COMPUTED_VALUE"""),"")</f>
        <v/>
      </c>
      <c r="C572" s="163"/>
      <c r="D572" s="212"/>
      <c r="E572" s="212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</row>
    <row r="573">
      <c r="A573" s="163"/>
      <c r="B573" s="163" t="str">
        <f>IFERROR(__xludf.DUMMYFUNCTION("""COMPUTED_VALUE"""),"")</f>
        <v/>
      </c>
      <c r="C573" s="163"/>
      <c r="D573" s="212"/>
      <c r="E573" s="212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</row>
    <row r="574">
      <c r="A574" s="163"/>
      <c r="B574" s="163" t="str">
        <f>IFERROR(__xludf.DUMMYFUNCTION("""COMPUTED_VALUE"""),"")</f>
        <v/>
      </c>
      <c r="C574" s="163"/>
      <c r="D574" s="212"/>
      <c r="E574" s="212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</row>
    <row r="575">
      <c r="A575" s="163"/>
      <c r="B575" s="163" t="str">
        <f>IFERROR(__xludf.DUMMYFUNCTION("""COMPUTED_VALUE"""),"")</f>
        <v/>
      </c>
      <c r="C575" s="163"/>
      <c r="D575" s="212"/>
      <c r="E575" s="212"/>
      <c r="F575" s="212"/>
      <c r="G575" s="212"/>
      <c r="H575" s="212"/>
      <c r="I575" s="212"/>
      <c r="J575" s="212"/>
      <c r="K575" s="212"/>
      <c r="L575" s="212"/>
      <c r="M575" s="212"/>
      <c r="N575" s="212"/>
      <c r="O575" s="212"/>
      <c r="P575" s="212"/>
      <c r="Q575" s="212"/>
      <c r="R575" s="212"/>
    </row>
    <row r="576">
      <c r="A576" s="163"/>
      <c r="B576" s="163" t="str">
        <f>IFERROR(__xludf.DUMMYFUNCTION("""COMPUTED_VALUE"""),"")</f>
        <v/>
      </c>
      <c r="C576" s="163"/>
      <c r="D576" s="212"/>
      <c r="E576" s="212"/>
      <c r="F576" s="212"/>
      <c r="G576" s="212"/>
      <c r="H576" s="212"/>
      <c r="I576" s="212"/>
      <c r="J576" s="212"/>
      <c r="K576" s="212"/>
      <c r="L576" s="212"/>
      <c r="M576" s="212"/>
      <c r="N576" s="212"/>
      <c r="O576" s="212"/>
      <c r="P576" s="212"/>
      <c r="Q576" s="212"/>
      <c r="R576" s="212"/>
    </row>
    <row r="577">
      <c r="A577" s="163"/>
      <c r="B577" s="163" t="str">
        <f>IFERROR(__xludf.DUMMYFUNCTION("""COMPUTED_VALUE"""),"")</f>
        <v/>
      </c>
      <c r="C577" s="163"/>
      <c r="D577" s="212"/>
      <c r="E577" s="212"/>
      <c r="F577" s="212"/>
      <c r="G577" s="212"/>
      <c r="H577" s="212"/>
      <c r="I577" s="212"/>
      <c r="J577" s="212"/>
      <c r="K577" s="212"/>
      <c r="L577" s="212"/>
      <c r="M577" s="212"/>
      <c r="N577" s="212"/>
      <c r="O577" s="212"/>
      <c r="P577" s="212"/>
      <c r="Q577" s="212"/>
      <c r="R577" s="212"/>
    </row>
    <row r="578">
      <c r="A578" s="163"/>
      <c r="B578" s="163" t="str">
        <f>IFERROR(__xludf.DUMMYFUNCTION("""COMPUTED_VALUE"""),"")</f>
        <v/>
      </c>
      <c r="C578" s="163"/>
      <c r="D578" s="212"/>
      <c r="E578" s="212"/>
      <c r="F578" s="212"/>
      <c r="G578" s="212"/>
      <c r="H578" s="212"/>
      <c r="I578" s="212"/>
      <c r="J578" s="212"/>
      <c r="K578" s="212"/>
      <c r="L578" s="212"/>
      <c r="M578" s="212"/>
      <c r="N578" s="212"/>
      <c r="O578" s="212"/>
      <c r="P578" s="212"/>
      <c r="Q578" s="212"/>
      <c r="R578" s="212"/>
    </row>
    <row r="579">
      <c r="A579" s="163"/>
      <c r="B579" s="163" t="str">
        <f>IFERROR(__xludf.DUMMYFUNCTION("""COMPUTED_VALUE"""),"")</f>
        <v/>
      </c>
      <c r="C579" s="163"/>
      <c r="D579" s="212"/>
      <c r="E579" s="212"/>
      <c r="F579" s="212"/>
      <c r="G579" s="212"/>
      <c r="H579" s="212"/>
      <c r="I579" s="212"/>
      <c r="J579" s="212"/>
      <c r="K579" s="212"/>
      <c r="L579" s="212"/>
      <c r="M579" s="212"/>
      <c r="N579" s="212"/>
      <c r="O579" s="212"/>
      <c r="P579" s="212"/>
      <c r="Q579" s="212"/>
      <c r="R579" s="212"/>
    </row>
    <row r="580">
      <c r="A580" s="163"/>
      <c r="B580" s="163" t="str">
        <f>IFERROR(__xludf.DUMMYFUNCTION("""COMPUTED_VALUE"""),"")</f>
        <v/>
      </c>
      <c r="C580" s="163"/>
      <c r="D580" s="212"/>
      <c r="E580" s="212"/>
      <c r="F580" s="212"/>
      <c r="G580" s="212"/>
      <c r="H580" s="212"/>
      <c r="I580" s="212"/>
      <c r="J580" s="212"/>
      <c r="K580" s="212"/>
      <c r="L580" s="212"/>
      <c r="M580" s="212"/>
      <c r="N580" s="212"/>
      <c r="O580" s="212"/>
      <c r="P580" s="212"/>
      <c r="Q580" s="212"/>
      <c r="R580" s="212"/>
    </row>
    <row r="581">
      <c r="A581" s="163"/>
      <c r="B581" s="163" t="str">
        <f>IFERROR(__xludf.DUMMYFUNCTION("""COMPUTED_VALUE"""),"")</f>
        <v/>
      </c>
      <c r="C581" s="163"/>
      <c r="D581" s="212"/>
      <c r="E581" s="212"/>
      <c r="F581" s="212"/>
      <c r="G581" s="212"/>
      <c r="H581" s="212"/>
      <c r="I581" s="212"/>
      <c r="J581" s="212"/>
      <c r="K581" s="212"/>
      <c r="L581" s="212"/>
      <c r="M581" s="212"/>
      <c r="N581" s="212"/>
      <c r="O581" s="212"/>
      <c r="P581" s="212"/>
      <c r="Q581" s="212"/>
      <c r="R581" s="212"/>
    </row>
    <row r="582">
      <c r="A582" s="163"/>
      <c r="B582" s="163" t="str">
        <f>IFERROR(__xludf.DUMMYFUNCTION("""COMPUTED_VALUE"""),"")</f>
        <v/>
      </c>
      <c r="C582" s="163"/>
      <c r="D582" s="212"/>
      <c r="E582" s="212"/>
      <c r="F582" s="212"/>
      <c r="G582" s="212"/>
      <c r="H582" s="212"/>
      <c r="I582" s="212"/>
      <c r="J582" s="212"/>
      <c r="K582" s="212"/>
      <c r="L582" s="212"/>
      <c r="M582" s="212"/>
      <c r="N582" s="212"/>
      <c r="O582" s="212"/>
      <c r="P582" s="212"/>
      <c r="Q582" s="212"/>
      <c r="R582" s="212"/>
    </row>
    <row r="583">
      <c r="A583" s="163"/>
      <c r="B583" s="163" t="str">
        <f>IFERROR(__xludf.DUMMYFUNCTION("""COMPUTED_VALUE"""),"")</f>
        <v/>
      </c>
      <c r="C583" s="163"/>
      <c r="D583" s="212"/>
      <c r="E583" s="212"/>
      <c r="F583" s="212"/>
      <c r="G583" s="212"/>
      <c r="H583" s="212"/>
      <c r="I583" s="212"/>
      <c r="J583" s="212"/>
      <c r="K583" s="212"/>
      <c r="L583" s="212"/>
      <c r="M583" s="212"/>
      <c r="N583" s="212"/>
      <c r="O583" s="212"/>
      <c r="P583" s="212"/>
      <c r="Q583" s="212"/>
      <c r="R583" s="212"/>
    </row>
    <row r="584">
      <c r="A584" s="163"/>
      <c r="B584" s="163" t="str">
        <f>IFERROR(__xludf.DUMMYFUNCTION("""COMPUTED_VALUE"""),"")</f>
        <v/>
      </c>
      <c r="C584" s="163"/>
      <c r="D584" s="212"/>
      <c r="E584" s="212"/>
      <c r="F584" s="212"/>
      <c r="G584" s="212"/>
      <c r="H584" s="212"/>
      <c r="I584" s="212"/>
      <c r="J584" s="212"/>
      <c r="K584" s="212"/>
      <c r="L584" s="212"/>
      <c r="M584" s="212"/>
      <c r="N584" s="212"/>
      <c r="O584" s="212"/>
      <c r="P584" s="212"/>
      <c r="Q584" s="212"/>
      <c r="R584" s="212"/>
    </row>
    <row r="585">
      <c r="A585" s="163"/>
      <c r="B585" s="163" t="str">
        <f>IFERROR(__xludf.DUMMYFUNCTION("""COMPUTED_VALUE"""),"")</f>
        <v/>
      </c>
      <c r="C585" s="163"/>
      <c r="D585" s="212"/>
      <c r="E585" s="212"/>
      <c r="F585" s="212"/>
      <c r="G585" s="212"/>
      <c r="H585" s="212"/>
      <c r="I585" s="212"/>
      <c r="J585" s="212"/>
      <c r="K585" s="212"/>
      <c r="L585" s="212"/>
      <c r="M585" s="212"/>
      <c r="N585" s="212"/>
      <c r="O585" s="212"/>
      <c r="P585" s="212"/>
      <c r="Q585" s="212"/>
      <c r="R585" s="212"/>
    </row>
    <row r="586">
      <c r="A586" s="163"/>
      <c r="B586" s="163" t="str">
        <f>IFERROR(__xludf.DUMMYFUNCTION("""COMPUTED_VALUE"""),"")</f>
        <v/>
      </c>
      <c r="C586" s="163"/>
      <c r="D586" s="212"/>
      <c r="E586" s="212"/>
      <c r="F586" s="212"/>
      <c r="G586" s="212"/>
      <c r="H586" s="212"/>
      <c r="I586" s="212"/>
      <c r="J586" s="212"/>
      <c r="K586" s="212"/>
      <c r="L586" s="212"/>
      <c r="M586" s="212"/>
      <c r="N586" s="212"/>
      <c r="O586" s="212"/>
      <c r="P586" s="212"/>
      <c r="Q586" s="212"/>
      <c r="R586" s="212"/>
    </row>
    <row r="587">
      <c r="A587" s="163"/>
      <c r="B587" s="163" t="str">
        <f>IFERROR(__xludf.DUMMYFUNCTION("""COMPUTED_VALUE"""),"")</f>
        <v/>
      </c>
      <c r="C587" s="163"/>
      <c r="D587" s="212"/>
      <c r="E587" s="212"/>
      <c r="F587" s="212"/>
      <c r="G587" s="212"/>
      <c r="H587" s="212"/>
      <c r="I587" s="212"/>
      <c r="J587" s="212"/>
      <c r="K587" s="212"/>
      <c r="L587" s="212"/>
      <c r="M587" s="212"/>
      <c r="N587" s="212"/>
      <c r="O587" s="212"/>
      <c r="P587" s="212"/>
      <c r="Q587" s="212"/>
      <c r="R587" s="212"/>
    </row>
    <row r="588">
      <c r="A588" s="163"/>
      <c r="B588" s="163" t="str">
        <f>IFERROR(__xludf.DUMMYFUNCTION("""COMPUTED_VALUE"""),"")</f>
        <v/>
      </c>
      <c r="C588" s="163"/>
      <c r="D588" s="212"/>
      <c r="E588" s="212"/>
      <c r="F588" s="212"/>
      <c r="G588" s="212"/>
      <c r="H588" s="212"/>
      <c r="I588" s="212"/>
      <c r="J588" s="212"/>
      <c r="K588" s="212"/>
      <c r="L588" s="212"/>
      <c r="M588" s="212"/>
      <c r="N588" s="212"/>
      <c r="O588" s="212"/>
      <c r="P588" s="212"/>
      <c r="Q588" s="212"/>
      <c r="R588" s="212"/>
    </row>
    <row r="589">
      <c r="A589" s="163"/>
      <c r="B589" s="163" t="str">
        <f>IFERROR(__xludf.DUMMYFUNCTION("""COMPUTED_VALUE"""),"")</f>
        <v/>
      </c>
      <c r="C589" s="163"/>
      <c r="D589" s="212"/>
      <c r="E589" s="212"/>
      <c r="F589" s="212"/>
      <c r="G589" s="212"/>
      <c r="H589" s="212"/>
      <c r="I589" s="212"/>
      <c r="J589" s="212"/>
      <c r="K589" s="212"/>
      <c r="L589" s="212"/>
      <c r="M589" s="212"/>
      <c r="N589" s="212"/>
      <c r="O589" s="212"/>
      <c r="P589" s="212"/>
      <c r="Q589" s="212"/>
      <c r="R589" s="212"/>
    </row>
    <row r="590">
      <c r="A590" s="163"/>
      <c r="B590" s="163" t="str">
        <f>IFERROR(__xludf.DUMMYFUNCTION("""COMPUTED_VALUE"""),"")</f>
        <v/>
      </c>
      <c r="C590" s="163"/>
      <c r="D590" s="212"/>
      <c r="E590" s="212"/>
      <c r="F590" s="212"/>
      <c r="G590" s="212"/>
      <c r="H590" s="212"/>
      <c r="I590" s="212"/>
      <c r="J590" s="212"/>
      <c r="K590" s="212"/>
      <c r="L590" s="212"/>
      <c r="M590" s="212"/>
      <c r="N590" s="212"/>
      <c r="O590" s="212"/>
      <c r="P590" s="212"/>
      <c r="Q590" s="212"/>
      <c r="R590" s="212"/>
    </row>
    <row r="591">
      <c r="A591" s="163"/>
      <c r="B591" s="163" t="str">
        <f>IFERROR(__xludf.DUMMYFUNCTION("""COMPUTED_VALUE"""),"")</f>
        <v/>
      </c>
      <c r="C591" s="163"/>
      <c r="D591" s="212"/>
      <c r="E591" s="212"/>
      <c r="F591" s="212"/>
      <c r="G591" s="212"/>
      <c r="H591" s="212"/>
      <c r="I591" s="212"/>
      <c r="J591" s="212"/>
      <c r="K591" s="212"/>
      <c r="L591" s="212"/>
      <c r="M591" s="212"/>
      <c r="N591" s="212"/>
      <c r="O591" s="212"/>
      <c r="P591" s="212"/>
      <c r="Q591" s="212"/>
      <c r="R591" s="212"/>
    </row>
    <row r="592">
      <c r="A592" s="163"/>
      <c r="B592" s="163" t="str">
        <f>IFERROR(__xludf.DUMMYFUNCTION("""COMPUTED_VALUE"""),"")</f>
        <v/>
      </c>
      <c r="C592" s="163"/>
      <c r="D592" s="212"/>
      <c r="E592" s="212"/>
      <c r="F592" s="212"/>
      <c r="G592" s="212"/>
      <c r="H592" s="212"/>
      <c r="I592" s="212"/>
      <c r="J592" s="212"/>
      <c r="K592" s="212"/>
      <c r="L592" s="212"/>
      <c r="M592" s="212"/>
      <c r="N592" s="212"/>
      <c r="O592" s="212"/>
      <c r="P592" s="212"/>
      <c r="Q592" s="212"/>
      <c r="R592" s="212"/>
    </row>
    <row r="593">
      <c r="A593" s="163"/>
      <c r="B593" s="163" t="str">
        <f>IFERROR(__xludf.DUMMYFUNCTION("""COMPUTED_VALUE"""),"")</f>
        <v/>
      </c>
      <c r="C593" s="163"/>
      <c r="D593" s="212"/>
      <c r="E593" s="212"/>
      <c r="F593" s="212"/>
      <c r="G593" s="212"/>
      <c r="H593" s="212"/>
      <c r="I593" s="212"/>
      <c r="J593" s="212"/>
      <c r="K593" s="212"/>
      <c r="L593" s="212"/>
      <c r="M593" s="212"/>
      <c r="N593" s="212"/>
      <c r="O593" s="212"/>
      <c r="P593" s="212"/>
      <c r="Q593" s="212"/>
      <c r="R593" s="212"/>
    </row>
    <row r="594">
      <c r="A594" s="163"/>
      <c r="B594" s="163" t="str">
        <f>IFERROR(__xludf.DUMMYFUNCTION("""COMPUTED_VALUE"""),"")</f>
        <v/>
      </c>
      <c r="C594" s="163"/>
      <c r="D594" s="212"/>
      <c r="E594" s="212"/>
      <c r="F594" s="212"/>
      <c r="G594" s="212"/>
      <c r="H594" s="212"/>
      <c r="I594" s="212"/>
      <c r="J594" s="212"/>
      <c r="K594" s="212"/>
      <c r="L594" s="212"/>
      <c r="M594" s="212"/>
      <c r="N594" s="212"/>
      <c r="O594" s="212"/>
      <c r="P594" s="212"/>
      <c r="Q594" s="212"/>
      <c r="R594" s="212"/>
    </row>
    <row r="595">
      <c r="A595" s="163"/>
      <c r="B595" s="163" t="str">
        <f>IFERROR(__xludf.DUMMYFUNCTION("""COMPUTED_VALUE"""),"")</f>
        <v/>
      </c>
      <c r="C595" s="163"/>
      <c r="D595" s="212"/>
      <c r="E595" s="212"/>
      <c r="F595" s="212"/>
      <c r="G595" s="212"/>
      <c r="H595" s="212"/>
      <c r="I595" s="212"/>
      <c r="J595" s="212"/>
      <c r="K595" s="212"/>
      <c r="L595" s="212"/>
      <c r="M595" s="212"/>
      <c r="N595" s="212"/>
      <c r="O595" s="212"/>
      <c r="P595" s="212"/>
      <c r="Q595" s="212"/>
      <c r="R595" s="212"/>
    </row>
    <row r="596">
      <c r="A596" s="163"/>
      <c r="B596" s="163" t="str">
        <f>IFERROR(__xludf.DUMMYFUNCTION("""COMPUTED_VALUE"""),"")</f>
        <v/>
      </c>
      <c r="C596" s="163"/>
      <c r="D596" s="212"/>
      <c r="E596" s="212"/>
      <c r="F596" s="212"/>
      <c r="G596" s="212"/>
      <c r="H596" s="212"/>
      <c r="I596" s="212"/>
      <c r="J596" s="212"/>
      <c r="K596" s="212"/>
      <c r="L596" s="212"/>
      <c r="M596" s="212"/>
      <c r="N596" s="212"/>
      <c r="O596" s="212"/>
      <c r="P596" s="212"/>
      <c r="Q596" s="212"/>
      <c r="R596" s="212"/>
    </row>
    <row r="597">
      <c r="A597" s="163"/>
      <c r="B597" s="163" t="str">
        <f>IFERROR(__xludf.DUMMYFUNCTION("""COMPUTED_VALUE"""),"")</f>
        <v/>
      </c>
      <c r="C597" s="163"/>
      <c r="D597" s="212"/>
      <c r="E597" s="212"/>
      <c r="F597" s="212"/>
      <c r="G597" s="212"/>
      <c r="H597" s="212"/>
      <c r="I597" s="212"/>
      <c r="J597" s="212"/>
      <c r="K597" s="212"/>
      <c r="L597" s="212"/>
      <c r="M597" s="212"/>
      <c r="N597" s="212"/>
      <c r="O597" s="212"/>
      <c r="P597" s="212"/>
      <c r="Q597" s="212"/>
      <c r="R597" s="212"/>
    </row>
    <row r="598">
      <c r="A598" s="163"/>
      <c r="B598" s="163" t="str">
        <f>IFERROR(__xludf.DUMMYFUNCTION("""COMPUTED_VALUE"""),"")</f>
        <v/>
      </c>
      <c r="C598" s="163"/>
      <c r="D598" s="212"/>
      <c r="E598" s="212"/>
      <c r="F598" s="212"/>
      <c r="G598" s="212"/>
      <c r="H598" s="212"/>
      <c r="I598" s="212"/>
      <c r="J598" s="212"/>
      <c r="K598" s="212"/>
      <c r="L598" s="212"/>
      <c r="M598" s="212"/>
      <c r="N598" s="212"/>
      <c r="O598" s="212"/>
      <c r="P598" s="212"/>
      <c r="Q598" s="212"/>
      <c r="R598" s="212"/>
    </row>
    <row r="599">
      <c r="A599" s="163"/>
      <c r="B599" s="163" t="str">
        <f>IFERROR(__xludf.DUMMYFUNCTION("""COMPUTED_VALUE"""),"")</f>
        <v/>
      </c>
      <c r="C599" s="163"/>
      <c r="D599" s="212"/>
      <c r="E599" s="212"/>
      <c r="F599" s="212"/>
      <c r="G599" s="212"/>
      <c r="H599" s="212"/>
      <c r="I599" s="212"/>
      <c r="J599" s="212"/>
      <c r="K599" s="212"/>
      <c r="L599" s="212"/>
      <c r="M599" s="212"/>
      <c r="N599" s="212"/>
      <c r="O599" s="212"/>
      <c r="P599" s="212"/>
      <c r="Q599" s="212"/>
      <c r="R599" s="212"/>
    </row>
    <row r="600">
      <c r="A600" s="163"/>
      <c r="B600" s="163" t="str">
        <f>IFERROR(__xludf.DUMMYFUNCTION("""COMPUTED_VALUE"""),"")</f>
        <v/>
      </c>
      <c r="C600" s="163"/>
      <c r="D600" s="212"/>
      <c r="E600" s="212"/>
      <c r="F600" s="212"/>
      <c r="G600" s="212"/>
      <c r="H600" s="212"/>
      <c r="I600" s="212"/>
      <c r="J600" s="212"/>
      <c r="K600" s="212"/>
      <c r="L600" s="212"/>
      <c r="M600" s="212"/>
      <c r="N600" s="212"/>
      <c r="O600" s="212"/>
      <c r="P600" s="212"/>
      <c r="Q600" s="212"/>
      <c r="R600" s="212"/>
    </row>
    <row r="601">
      <c r="A601" s="163"/>
      <c r="B601" s="163" t="str">
        <f>IFERROR(__xludf.DUMMYFUNCTION("""COMPUTED_VALUE"""),"")</f>
        <v/>
      </c>
      <c r="C601" s="163"/>
      <c r="D601" s="212"/>
      <c r="E601" s="212"/>
      <c r="F601" s="212"/>
      <c r="G601" s="212"/>
      <c r="H601" s="212"/>
      <c r="I601" s="212"/>
      <c r="J601" s="212"/>
      <c r="K601" s="212"/>
      <c r="L601" s="212"/>
      <c r="M601" s="212"/>
      <c r="N601" s="212"/>
      <c r="O601" s="212"/>
      <c r="P601" s="212"/>
      <c r="Q601" s="212"/>
      <c r="R601" s="212"/>
    </row>
    <row r="602">
      <c r="A602" s="163"/>
      <c r="B602" s="163" t="str">
        <f>IFERROR(__xludf.DUMMYFUNCTION("""COMPUTED_VALUE"""),"")</f>
        <v/>
      </c>
      <c r="C602" s="163"/>
      <c r="D602" s="212"/>
      <c r="E602" s="212"/>
      <c r="F602" s="212"/>
      <c r="G602" s="212"/>
      <c r="H602" s="212"/>
      <c r="I602" s="212"/>
      <c r="J602" s="212"/>
      <c r="K602" s="212"/>
      <c r="L602" s="212"/>
      <c r="M602" s="212"/>
      <c r="N602" s="212"/>
      <c r="O602" s="212"/>
      <c r="P602" s="212"/>
      <c r="Q602" s="212"/>
      <c r="R602" s="212"/>
    </row>
    <row r="603">
      <c r="A603" s="163"/>
      <c r="B603" s="163" t="str">
        <f>IFERROR(__xludf.DUMMYFUNCTION("""COMPUTED_VALUE"""),"")</f>
        <v/>
      </c>
      <c r="C603" s="163"/>
      <c r="D603" s="212"/>
      <c r="E603" s="212"/>
      <c r="F603" s="212"/>
      <c r="G603" s="212"/>
      <c r="H603" s="212"/>
      <c r="I603" s="212"/>
      <c r="J603" s="212"/>
      <c r="K603" s="212"/>
      <c r="L603" s="212"/>
      <c r="M603" s="212"/>
      <c r="N603" s="212"/>
      <c r="O603" s="212"/>
      <c r="P603" s="212"/>
      <c r="Q603" s="212"/>
      <c r="R603" s="212"/>
    </row>
    <row r="604">
      <c r="A604" s="163"/>
      <c r="B604" s="163" t="str">
        <f>IFERROR(__xludf.DUMMYFUNCTION("""COMPUTED_VALUE"""),"")</f>
        <v/>
      </c>
      <c r="C604" s="163"/>
      <c r="D604" s="212"/>
      <c r="E604" s="212"/>
      <c r="F604" s="212"/>
      <c r="G604" s="212"/>
      <c r="H604" s="212"/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</row>
    <row r="605">
      <c r="A605" s="163"/>
      <c r="B605" s="163" t="str">
        <f>IFERROR(__xludf.DUMMYFUNCTION("""COMPUTED_VALUE"""),"")</f>
        <v/>
      </c>
      <c r="C605" s="163"/>
      <c r="D605" s="212"/>
      <c r="E605" s="212"/>
      <c r="F605" s="212"/>
      <c r="G605" s="212"/>
      <c r="H605" s="212"/>
      <c r="I605" s="212"/>
      <c r="J605" s="212"/>
      <c r="K605" s="212"/>
      <c r="L605" s="212"/>
      <c r="M605" s="212"/>
      <c r="N605" s="212"/>
      <c r="O605" s="212"/>
      <c r="P605" s="212"/>
      <c r="Q605" s="212"/>
      <c r="R605" s="212"/>
    </row>
    <row r="606">
      <c r="A606" s="163"/>
      <c r="B606" s="163" t="str">
        <f>IFERROR(__xludf.DUMMYFUNCTION("""COMPUTED_VALUE"""),"")</f>
        <v/>
      </c>
      <c r="C606" s="163"/>
      <c r="D606" s="212"/>
      <c r="E606" s="212"/>
      <c r="F606" s="212"/>
      <c r="G606" s="212"/>
      <c r="H606" s="212"/>
      <c r="I606" s="212"/>
      <c r="J606" s="212"/>
      <c r="K606" s="212"/>
      <c r="L606" s="212"/>
      <c r="M606" s="212"/>
      <c r="N606" s="212"/>
      <c r="O606" s="212"/>
      <c r="P606" s="212"/>
      <c r="Q606" s="212"/>
      <c r="R606" s="212"/>
    </row>
    <row r="607">
      <c r="A607" s="163"/>
      <c r="B607" s="163" t="str">
        <f>IFERROR(__xludf.DUMMYFUNCTION("""COMPUTED_VALUE"""),"")</f>
        <v/>
      </c>
      <c r="C607" s="163"/>
      <c r="D607" s="212"/>
      <c r="E607" s="212"/>
      <c r="F607" s="212"/>
      <c r="G607" s="212"/>
      <c r="H607" s="212"/>
      <c r="I607" s="212"/>
      <c r="J607" s="212"/>
      <c r="K607" s="212"/>
      <c r="L607" s="212"/>
      <c r="M607" s="212"/>
      <c r="N607" s="212"/>
      <c r="O607" s="212"/>
      <c r="P607" s="212"/>
      <c r="Q607" s="212"/>
      <c r="R607" s="212"/>
    </row>
    <row r="608">
      <c r="A608" s="163"/>
      <c r="B608" s="163" t="str">
        <f>IFERROR(__xludf.DUMMYFUNCTION("""COMPUTED_VALUE"""),"")</f>
        <v/>
      </c>
      <c r="C608" s="163"/>
      <c r="D608" s="212"/>
      <c r="E608" s="212"/>
      <c r="F608" s="212"/>
      <c r="G608" s="212"/>
      <c r="H608" s="212"/>
      <c r="I608" s="212"/>
      <c r="J608" s="212"/>
      <c r="K608" s="212"/>
      <c r="L608" s="212"/>
      <c r="M608" s="212"/>
      <c r="N608" s="212"/>
      <c r="O608" s="212"/>
      <c r="P608" s="212"/>
      <c r="Q608" s="212"/>
      <c r="R608" s="212"/>
    </row>
    <row r="609">
      <c r="A609" s="163"/>
      <c r="B609" s="163" t="str">
        <f>IFERROR(__xludf.DUMMYFUNCTION("""COMPUTED_VALUE"""),"")</f>
        <v/>
      </c>
      <c r="C609" s="163"/>
      <c r="D609" s="212"/>
      <c r="E609" s="212"/>
      <c r="F609" s="212"/>
      <c r="G609" s="212"/>
      <c r="H609" s="212"/>
      <c r="I609" s="212"/>
      <c r="J609" s="212"/>
      <c r="K609" s="212"/>
      <c r="L609" s="212"/>
      <c r="M609" s="212"/>
      <c r="N609" s="212"/>
      <c r="O609" s="212"/>
      <c r="P609" s="212"/>
      <c r="Q609" s="212"/>
      <c r="R609" s="212"/>
    </row>
    <row r="610">
      <c r="A610" s="163"/>
      <c r="B610" s="163" t="str">
        <f>IFERROR(__xludf.DUMMYFUNCTION("""COMPUTED_VALUE"""),"")</f>
        <v/>
      </c>
      <c r="C610" s="163"/>
      <c r="D610" s="212"/>
      <c r="E610" s="212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</row>
    <row r="611">
      <c r="A611" s="163"/>
      <c r="B611" s="163" t="str">
        <f>IFERROR(__xludf.DUMMYFUNCTION("""COMPUTED_VALUE"""),"")</f>
        <v/>
      </c>
      <c r="C611" s="163"/>
      <c r="D611" s="212"/>
      <c r="E611" s="212"/>
      <c r="F611" s="212"/>
      <c r="G611" s="212"/>
      <c r="H611" s="212"/>
      <c r="I611" s="212"/>
      <c r="J611" s="212"/>
      <c r="K611" s="212"/>
      <c r="L611" s="212"/>
      <c r="M611" s="212"/>
      <c r="N611" s="212"/>
      <c r="O611" s="212"/>
      <c r="P611" s="212"/>
      <c r="Q611" s="212"/>
      <c r="R611" s="212"/>
    </row>
    <row r="612">
      <c r="A612" s="163"/>
      <c r="B612" s="163" t="str">
        <f>IFERROR(__xludf.DUMMYFUNCTION("""COMPUTED_VALUE"""),"")</f>
        <v/>
      </c>
      <c r="C612" s="163"/>
      <c r="D612" s="212"/>
      <c r="E612" s="212"/>
      <c r="F612" s="212"/>
      <c r="G612" s="212"/>
      <c r="H612" s="212"/>
      <c r="I612" s="212"/>
      <c r="J612" s="212"/>
      <c r="K612" s="212"/>
      <c r="L612" s="212"/>
      <c r="M612" s="212"/>
      <c r="N612" s="212"/>
      <c r="O612" s="212"/>
      <c r="P612" s="212"/>
      <c r="Q612" s="212"/>
      <c r="R612" s="212"/>
    </row>
    <row r="613">
      <c r="A613" s="163"/>
      <c r="B613" s="163" t="str">
        <f>IFERROR(__xludf.DUMMYFUNCTION("""COMPUTED_VALUE"""),"")</f>
        <v/>
      </c>
      <c r="C613" s="163"/>
      <c r="D613" s="212"/>
      <c r="E613" s="212"/>
      <c r="F613" s="212"/>
      <c r="G613" s="212"/>
      <c r="H613" s="212"/>
      <c r="I613" s="212"/>
      <c r="J613" s="212"/>
      <c r="K613" s="212"/>
      <c r="L613" s="212"/>
      <c r="M613" s="212"/>
      <c r="N613" s="212"/>
      <c r="O613" s="212"/>
      <c r="P613" s="212"/>
      <c r="Q613" s="212"/>
      <c r="R613" s="212"/>
    </row>
    <row r="614">
      <c r="A614" s="163"/>
      <c r="B614" s="163" t="str">
        <f>IFERROR(__xludf.DUMMYFUNCTION("""COMPUTED_VALUE"""),"")</f>
        <v/>
      </c>
      <c r="C614" s="163"/>
      <c r="D614" s="212"/>
      <c r="E614" s="212"/>
      <c r="F614" s="212"/>
      <c r="G614" s="212"/>
      <c r="H614" s="212"/>
      <c r="I614" s="212"/>
      <c r="J614" s="212"/>
      <c r="K614" s="212"/>
      <c r="L614" s="212"/>
      <c r="M614" s="212"/>
      <c r="N614" s="212"/>
      <c r="O614" s="212"/>
      <c r="P614" s="212"/>
      <c r="Q614" s="212"/>
      <c r="R614" s="212"/>
    </row>
    <row r="615">
      <c r="A615" s="163"/>
      <c r="B615" s="163" t="str">
        <f>IFERROR(__xludf.DUMMYFUNCTION("""COMPUTED_VALUE"""),"")</f>
        <v/>
      </c>
      <c r="C615" s="163"/>
      <c r="D615" s="212"/>
      <c r="E615" s="212"/>
      <c r="F615" s="212"/>
      <c r="G615" s="212"/>
      <c r="H615" s="212"/>
      <c r="I615" s="212"/>
      <c r="J615" s="212"/>
      <c r="K615" s="212"/>
      <c r="L615" s="212"/>
      <c r="M615" s="212"/>
      <c r="N615" s="212"/>
      <c r="O615" s="212"/>
      <c r="P615" s="212"/>
      <c r="Q615" s="212"/>
      <c r="R615" s="212"/>
    </row>
    <row r="616">
      <c r="A616" s="163"/>
      <c r="B616" s="163" t="str">
        <f>IFERROR(__xludf.DUMMYFUNCTION("""COMPUTED_VALUE"""),"")</f>
        <v/>
      </c>
      <c r="C616" s="163"/>
      <c r="D616" s="212"/>
      <c r="E616" s="212"/>
      <c r="F616" s="212"/>
      <c r="G616" s="212"/>
      <c r="H616" s="212"/>
      <c r="I616" s="212"/>
      <c r="J616" s="212"/>
      <c r="K616" s="212"/>
      <c r="L616" s="212"/>
      <c r="M616" s="212"/>
      <c r="N616" s="212"/>
      <c r="O616" s="212"/>
      <c r="P616" s="212"/>
      <c r="Q616" s="212"/>
      <c r="R616" s="212"/>
    </row>
    <row r="617">
      <c r="A617" s="163"/>
      <c r="B617" s="163" t="str">
        <f>IFERROR(__xludf.DUMMYFUNCTION("""COMPUTED_VALUE"""),"")</f>
        <v/>
      </c>
      <c r="C617" s="163"/>
      <c r="D617" s="212"/>
      <c r="E617" s="212"/>
      <c r="F617" s="212"/>
      <c r="G617" s="212"/>
      <c r="H617" s="212"/>
      <c r="I617" s="212"/>
      <c r="J617" s="212"/>
      <c r="K617" s="212"/>
      <c r="L617" s="212"/>
      <c r="M617" s="212"/>
      <c r="N617" s="212"/>
      <c r="O617" s="212"/>
      <c r="P617" s="212"/>
      <c r="Q617" s="212"/>
      <c r="R617" s="212"/>
    </row>
    <row r="618">
      <c r="A618" s="163"/>
      <c r="B618" s="163" t="str">
        <f>IFERROR(__xludf.DUMMYFUNCTION("""COMPUTED_VALUE"""),"")</f>
        <v/>
      </c>
      <c r="C618" s="163"/>
      <c r="D618" s="212"/>
      <c r="E618" s="212"/>
      <c r="F618" s="212"/>
      <c r="G618" s="212"/>
      <c r="H618" s="212"/>
      <c r="I618" s="212"/>
      <c r="J618" s="212"/>
      <c r="K618" s="212"/>
      <c r="L618" s="212"/>
      <c r="M618" s="212"/>
      <c r="N618" s="212"/>
      <c r="O618" s="212"/>
      <c r="P618" s="212"/>
      <c r="Q618" s="212"/>
      <c r="R618" s="212"/>
    </row>
    <row r="619">
      <c r="A619" s="163"/>
      <c r="B619" s="163" t="str">
        <f>IFERROR(__xludf.DUMMYFUNCTION("""COMPUTED_VALUE"""),"")</f>
        <v/>
      </c>
      <c r="C619" s="163"/>
      <c r="D619" s="212"/>
      <c r="E619" s="212"/>
      <c r="F619" s="212"/>
      <c r="G619" s="212"/>
      <c r="H619" s="212"/>
      <c r="I619" s="212"/>
      <c r="J619" s="212"/>
      <c r="K619" s="212"/>
      <c r="L619" s="212"/>
      <c r="M619" s="212"/>
      <c r="N619" s="212"/>
      <c r="O619" s="212"/>
      <c r="P619" s="212"/>
      <c r="Q619" s="212"/>
      <c r="R619" s="212"/>
    </row>
    <row r="620">
      <c r="A620" s="163"/>
      <c r="B620" s="163" t="str">
        <f>IFERROR(__xludf.DUMMYFUNCTION("""COMPUTED_VALUE"""),"")</f>
        <v/>
      </c>
      <c r="C620" s="163"/>
      <c r="D620" s="212"/>
      <c r="E620" s="212"/>
      <c r="F620" s="212"/>
      <c r="G620" s="212"/>
      <c r="H620" s="212"/>
      <c r="I620" s="212"/>
      <c r="J620" s="212"/>
      <c r="K620" s="212"/>
      <c r="L620" s="212"/>
      <c r="M620" s="212"/>
      <c r="N620" s="212"/>
      <c r="O620" s="212"/>
      <c r="P620" s="212"/>
      <c r="Q620" s="212"/>
      <c r="R620" s="212"/>
    </row>
    <row r="621">
      <c r="A621" s="163"/>
      <c r="B621" s="163" t="str">
        <f>IFERROR(__xludf.DUMMYFUNCTION("""COMPUTED_VALUE"""),"")</f>
        <v/>
      </c>
      <c r="C621" s="163"/>
      <c r="D621" s="212"/>
      <c r="E621" s="212"/>
      <c r="F621" s="212"/>
      <c r="G621" s="212"/>
      <c r="H621" s="212"/>
      <c r="I621" s="212"/>
      <c r="J621" s="212"/>
      <c r="K621" s="212"/>
      <c r="L621" s="212"/>
      <c r="M621" s="212"/>
      <c r="N621" s="212"/>
      <c r="O621" s="212"/>
      <c r="P621" s="212"/>
      <c r="Q621" s="212"/>
      <c r="R621" s="212"/>
    </row>
    <row r="622">
      <c r="A622" s="163"/>
      <c r="B622" s="163" t="str">
        <f>IFERROR(__xludf.DUMMYFUNCTION("""COMPUTED_VALUE"""),"")</f>
        <v/>
      </c>
      <c r="C622" s="163"/>
      <c r="D622" s="212"/>
      <c r="E622" s="212"/>
      <c r="F622" s="212"/>
      <c r="G622" s="212"/>
      <c r="H622" s="212"/>
      <c r="I622" s="212"/>
      <c r="J622" s="212"/>
      <c r="K622" s="212"/>
      <c r="L622" s="212"/>
      <c r="M622" s="212"/>
      <c r="N622" s="212"/>
      <c r="O622" s="212"/>
      <c r="P622" s="212"/>
      <c r="Q622" s="212"/>
      <c r="R622" s="212"/>
    </row>
    <row r="623">
      <c r="A623" s="163"/>
      <c r="B623" s="163" t="str">
        <f>IFERROR(__xludf.DUMMYFUNCTION("""COMPUTED_VALUE"""),"")</f>
        <v/>
      </c>
      <c r="C623" s="163"/>
      <c r="D623" s="212"/>
      <c r="E623" s="212"/>
      <c r="F623" s="212"/>
      <c r="G623" s="212"/>
      <c r="H623" s="212"/>
      <c r="I623" s="212"/>
      <c r="J623" s="212"/>
      <c r="K623" s="212"/>
      <c r="L623" s="212"/>
      <c r="M623" s="212"/>
      <c r="N623" s="212"/>
      <c r="O623" s="212"/>
      <c r="P623" s="212"/>
      <c r="Q623" s="212"/>
      <c r="R623" s="212"/>
    </row>
    <row r="624">
      <c r="A624" s="163"/>
      <c r="B624" s="163" t="str">
        <f>IFERROR(__xludf.DUMMYFUNCTION("""COMPUTED_VALUE"""),"")</f>
        <v/>
      </c>
      <c r="C624" s="163"/>
      <c r="D624" s="212"/>
      <c r="E624" s="212"/>
      <c r="F624" s="212"/>
      <c r="G624" s="212"/>
      <c r="H624" s="212"/>
      <c r="I624" s="212"/>
      <c r="J624" s="212"/>
      <c r="K624" s="212"/>
      <c r="L624" s="212"/>
      <c r="M624" s="212"/>
      <c r="N624" s="212"/>
      <c r="O624" s="212"/>
      <c r="P624" s="212"/>
      <c r="Q624" s="212"/>
      <c r="R624" s="212"/>
    </row>
    <row r="625">
      <c r="A625" s="163"/>
      <c r="B625" s="163" t="str">
        <f>IFERROR(__xludf.DUMMYFUNCTION("""COMPUTED_VALUE"""),"")</f>
        <v/>
      </c>
      <c r="C625" s="163"/>
      <c r="D625" s="212"/>
      <c r="E625" s="212"/>
      <c r="F625" s="212"/>
      <c r="G625" s="212"/>
      <c r="H625" s="212"/>
      <c r="I625" s="212"/>
      <c r="J625" s="212"/>
      <c r="K625" s="212"/>
      <c r="L625" s="212"/>
      <c r="M625" s="212"/>
      <c r="N625" s="212"/>
      <c r="O625" s="212"/>
      <c r="P625" s="212"/>
      <c r="Q625" s="212"/>
      <c r="R625" s="212"/>
    </row>
    <row r="626">
      <c r="A626" s="163"/>
      <c r="B626" s="163" t="str">
        <f>IFERROR(__xludf.DUMMYFUNCTION("""COMPUTED_VALUE"""),"")</f>
        <v/>
      </c>
      <c r="C626" s="163"/>
      <c r="D626" s="212"/>
      <c r="E626" s="212"/>
      <c r="F626" s="212"/>
      <c r="G626" s="212"/>
      <c r="H626" s="212"/>
      <c r="I626" s="212"/>
      <c r="J626" s="212"/>
      <c r="K626" s="212"/>
      <c r="L626" s="212"/>
      <c r="M626" s="212"/>
      <c r="N626" s="212"/>
      <c r="O626" s="212"/>
      <c r="P626" s="212"/>
      <c r="Q626" s="212"/>
      <c r="R626" s="212"/>
    </row>
    <row r="627">
      <c r="A627" s="163"/>
      <c r="B627" s="163" t="str">
        <f>IFERROR(__xludf.DUMMYFUNCTION("""COMPUTED_VALUE"""),"")</f>
        <v/>
      </c>
      <c r="C627" s="163"/>
      <c r="D627" s="212"/>
      <c r="E627" s="212"/>
      <c r="F627" s="212"/>
      <c r="G627" s="212"/>
      <c r="H627" s="212"/>
      <c r="I627" s="212"/>
      <c r="J627" s="212"/>
      <c r="K627" s="212"/>
      <c r="L627" s="212"/>
      <c r="M627" s="212"/>
      <c r="N627" s="212"/>
      <c r="O627" s="212"/>
      <c r="P627" s="212"/>
      <c r="Q627" s="212"/>
      <c r="R627" s="212"/>
    </row>
    <row r="628">
      <c r="A628" s="163"/>
      <c r="B628" s="163" t="str">
        <f>IFERROR(__xludf.DUMMYFUNCTION("""COMPUTED_VALUE"""),"")</f>
        <v/>
      </c>
      <c r="C628" s="163"/>
      <c r="D628" s="212"/>
      <c r="E628" s="212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</row>
    <row r="629">
      <c r="A629" s="163"/>
      <c r="B629" s="163" t="str">
        <f>IFERROR(__xludf.DUMMYFUNCTION("""COMPUTED_VALUE"""),"")</f>
        <v/>
      </c>
      <c r="C629" s="163"/>
      <c r="D629" s="212"/>
      <c r="E629" s="212"/>
      <c r="F629" s="212"/>
      <c r="G629" s="212"/>
      <c r="H629" s="212"/>
      <c r="I629" s="212"/>
      <c r="J629" s="212"/>
      <c r="K629" s="212"/>
      <c r="L629" s="212"/>
      <c r="M629" s="212"/>
      <c r="N629" s="212"/>
      <c r="O629" s="212"/>
      <c r="P629" s="212"/>
      <c r="Q629" s="212"/>
      <c r="R629" s="212"/>
    </row>
    <row r="630">
      <c r="A630" s="163"/>
      <c r="B630" s="163" t="str">
        <f>IFERROR(__xludf.DUMMYFUNCTION("""COMPUTED_VALUE"""),"")</f>
        <v/>
      </c>
      <c r="C630" s="163"/>
      <c r="D630" s="212"/>
      <c r="E630" s="212"/>
      <c r="F630" s="212"/>
      <c r="G630" s="212"/>
      <c r="H630" s="212"/>
      <c r="I630" s="212"/>
      <c r="J630" s="212"/>
      <c r="K630" s="212"/>
      <c r="L630" s="212"/>
      <c r="M630" s="212"/>
      <c r="N630" s="212"/>
      <c r="O630" s="212"/>
      <c r="P630" s="212"/>
      <c r="Q630" s="212"/>
      <c r="R630" s="212"/>
    </row>
    <row r="631">
      <c r="A631" s="163"/>
      <c r="B631" s="163" t="str">
        <f>IFERROR(__xludf.DUMMYFUNCTION("""COMPUTED_VALUE"""),"")</f>
        <v/>
      </c>
      <c r="C631" s="163"/>
      <c r="D631" s="212"/>
      <c r="E631" s="212"/>
      <c r="F631" s="212"/>
      <c r="G631" s="212"/>
      <c r="H631" s="212"/>
      <c r="I631" s="212"/>
      <c r="J631" s="212"/>
      <c r="K631" s="212"/>
      <c r="L631" s="212"/>
      <c r="M631" s="212"/>
      <c r="N631" s="212"/>
      <c r="O631" s="212"/>
      <c r="P631" s="212"/>
      <c r="Q631" s="212"/>
      <c r="R631" s="212"/>
    </row>
    <row r="632">
      <c r="A632" s="163"/>
      <c r="B632" s="163" t="str">
        <f>IFERROR(__xludf.DUMMYFUNCTION("""COMPUTED_VALUE"""),"")</f>
        <v/>
      </c>
      <c r="C632" s="163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</row>
    <row r="633">
      <c r="A633" s="163"/>
      <c r="B633" s="163" t="str">
        <f>IFERROR(__xludf.DUMMYFUNCTION("""COMPUTED_VALUE"""),"")</f>
        <v/>
      </c>
      <c r="C633" s="163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</row>
    <row r="634">
      <c r="A634" s="163"/>
      <c r="B634" s="163" t="str">
        <f>IFERROR(__xludf.DUMMYFUNCTION("""COMPUTED_VALUE"""),"")</f>
        <v/>
      </c>
      <c r="C634" s="163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</row>
    <row r="635">
      <c r="A635" s="163"/>
      <c r="B635" s="163" t="str">
        <f>IFERROR(__xludf.DUMMYFUNCTION("""COMPUTED_VALUE"""),"")</f>
        <v/>
      </c>
      <c r="C635" s="163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</row>
    <row r="636">
      <c r="A636" s="163"/>
      <c r="B636" s="163" t="str">
        <f>IFERROR(__xludf.DUMMYFUNCTION("""COMPUTED_VALUE"""),"")</f>
        <v/>
      </c>
      <c r="C636" s="163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</row>
    <row r="637">
      <c r="A637" s="163"/>
      <c r="B637" s="163" t="str">
        <f>IFERROR(__xludf.DUMMYFUNCTION("""COMPUTED_VALUE"""),"")</f>
        <v/>
      </c>
      <c r="C637" s="163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</row>
    <row r="638">
      <c r="A638" s="163"/>
      <c r="B638" s="163" t="str">
        <f>IFERROR(__xludf.DUMMYFUNCTION("""COMPUTED_VALUE"""),"")</f>
        <v/>
      </c>
      <c r="C638" s="163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</row>
    <row r="639">
      <c r="A639" s="163"/>
      <c r="B639" s="163" t="str">
        <f>IFERROR(__xludf.DUMMYFUNCTION("""COMPUTED_VALUE"""),"")</f>
        <v/>
      </c>
      <c r="C639" s="163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</row>
    <row r="640">
      <c r="A640" s="163"/>
      <c r="B640" s="163" t="str">
        <f>IFERROR(__xludf.DUMMYFUNCTION("""COMPUTED_VALUE"""),"")</f>
        <v/>
      </c>
      <c r="C640" s="163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</row>
    <row r="641">
      <c r="A641" s="163"/>
      <c r="B641" s="163" t="str">
        <f>IFERROR(__xludf.DUMMYFUNCTION("""COMPUTED_VALUE"""),"")</f>
        <v/>
      </c>
      <c r="C641" s="163"/>
      <c r="D641" s="212"/>
      <c r="E641" s="212"/>
      <c r="F641" s="212"/>
      <c r="G641" s="212"/>
      <c r="H641" s="212"/>
      <c r="I641" s="212"/>
      <c r="J641" s="212"/>
      <c r="K641" s="212"/>
      <c r="L641" s="212"/>
      <c r="M641" s="212"/>
      <c r="N641" s="212"/>
      <c r="O641" s="212"/>
      <c r="P641" s="212"/>
      <c r="Q641" s="212"/>
      <c r="R641" s="212"/>
    </row>
    <row r="642">
      <c r="A642" s="163"/>
      <c r="B642" s="163" t="str">
        <f>IFERROR(__xludf.DUMMYFUNCTION("""COMPUTED_VALUE"""),"")</f>
        <v/>
      </c>
      <c r="C642" s="163"/>
      <c r="D642" s="212"/>
      <c r="E642" s="212"/>
      <c r="F642" s="212"/>
      <c r="G642" s="212"/>
      <c r="H642" s="212"/>
      <c r="I642" s="212"/>
      <c r="J642" s="212"/>
      <c r="K642" s="212"/>
      <c r="L642" s="212"/>
      <c r="M642" s="212"/>
      <c r="N642" s="212"/>
      <c r="O642" s="212"/>
      <c r="P642" s="212"/>
      <c r="Q642" s="212"/>
      <c r="R642" s="212"/>
    </row>
    <row r="643">
      <c r="A643" s="163"/>
      <c r="B643" s="163" t="str">
        <f>IFERROR(__xludf.DUMMYFUNCTION("""COMPUTED_VALUE"""),"")</f>
        <v/>
      </c>
      <c r="C643" s="163"/>
      <c r="D643" s="212"/>
      <c r="E643" s="212"/>
      <c r="F643" s="212"/>
      <c r="G643" s="212"/>
      <c r="H643" s="212"/>
      <c r="I643" s="212"/>
      <c r="J643" s="212"/>
      <c r="K643" s="212"/>
      <c r="L643" s="212"/>
      <c r="M643" s="212"/>
      <c r="N643" s="212"/>
      <c r="O643" s="212"/>
      <c r="P643" s="212"/>
      <c r="Q643" s="212"/>
      <c r="R643" s="212"/>
    </row>
    <row r="644">
      <c r="A644" s="163"/>
      <c r="B644" s="163" t="str">
        <f>IFERROR(__xludf.DUMMYFUNCTION("""COMPUTED_VALUE"""),"")</f>
        <v/>
      </c>
      <c r="C644" s="163"/>
      <c r="D644" s="212"/>
      <c r="E644" s="212"/>
      <c r="F644" s="212"/>
      <c r="G644" s="212"/>
      <c r="H644" s="212"/>
      <c r="I644" s="212"/>
      <c r="J644" s="212"/>
      <c r="K644" s="212"/>
      <c r="L644" s="212"/>
      <c r="M644" s="212"/>
      <c r="N644" s="212"/>
      <c r="O644" s="212"/>
      <c r="P644" s="212"/>
      <c r="Q644" s="212"/>
      <c r="R644" s="212"/>
    </row>
    <row r="645">
      <c r="A645" s="163"/>
      <c r="B645" s="163" t="str">
        <f>IFERROR(__xludf.DUMMYFUNCTION("""COMPUTED_VALUE"""),"")</f>
        <v/>
      </c>
      <c r="C645" s="163"/>
      <c r="D645" s="212"/>
      <c r="E645" s="212"/>
      <c r="F645" s="212"/>
      <c r="G645" s="212"/>
      <c r="H645" s="212"/>
      <c r="I645" s="212"/>
      <c r="J645" s="212"/>
      <c r="K645" s="212"/>
      <c r="L645" s="212"/>
      <c r="M645" s="212"/>
      <c r="N645" s="212"/>
      <c r="O645" s="212"/>
      <c r="P645" s="212"/>
      <c r="Q645" s="212"/>
      <c r="R645" s="212"/>
    </row>
    <row r="646">
      <c r="A646" s="163"/>
      <c r="B646" s="163" t="str">
        <f>IFERROR(__xludf.DUMMYFUNCTION("""COMPUTED_VALUE"""),"")</f>
        <v/>
      </c>
      <c r="C646" s="163"/>
      <c r="D646" s="212"/>
      <c r="E646" s="212"/>
      <c r="F646" s="212"/>
      <c r="G646" s="212"/>
      <c r="H646" s="212"/>
      <c r="I646" s="212"/>
      <c r="J646" s="212"/>
      <c r="K646" s="212"/>
      <c r="L646" s="212"/>
      <c r="M646" s="212"/>
      <c r="N646" s="212"/>
      <c r="O646" s="212"/>
      <c r="P646" s="212"/>
      <c r="Q646" s="212"/>
      <c r="R646" s="212"/>
    </row>
    <row r="647">
      <c r="A647" s="163"/>
      <c r="B647" s="163" t="str">
        <f>IFERROR(__xludf.DUMMYFUNCTION("""COMPUTED_VALUE"""),"")</f>
        <v/>
      </c>
      <c r="C647" s="163"/>
      <c r="D647" s="212"/>
      <c r="E647" s="212"/>
      <c r="F647" s="212"/>
      <c r="G647" s="212"/>
      <c r="H647" s="212"/>
      <c r="I647" s="212"/>
      <c r="J647" s="212"/>
      <c r="K647" s="212"/>
      <c r="L647" s="212"/>
      <c r="M647" s="212"/>
      <c r="N647" s="212"/>
      <c r="O647" s="212"/>
      <c r="P647" s="212"/>
      <c r="Q647" s="212"/>
      <c r="R647" s="212"/>
    </row>
    <row r="648">
      <c r="A648" s="163"/>
      <c r="B648" s="163" t="str">
        <f>IFERROR(__xludf.DUMMYFUNCTION("""COMPUTED_VALUE"""),"")</f>
        <v/>
      </c>
      <c r="C648" s="163"/>
      <c r="D648" s="212"/>
      <c r="E648" s="212"/>
      <c r="F648" s="212"/>
      <c r="G648" s="212"/>
      <c r="H648" s="212"/>
      <c r="I648" s="212"/>
      <c r="J648" s="212"/>
      <c r="K648" s="212"/>
      <c r="L648" s="212"/>
      <c r="M648" s="212"/>
      <c r="N648" s="212"/>
      <c r="O648" s="212"/>
      <c r="P648" s="212"/>
      <c r="Q648" s="212"/>
      <c r="R648" s="212"/>
    </row>
    <row r="649">
      <c r="A649" s="163"/>
      <c r="B649" s="163" t="str">
        <f>IFERROR(__xludf.DUMMYFUNCTION("""COMPUTED_VALUE"""),"")</f>
        <v/>
      </c>
      <c r="C649" s="163"/>
      <c r="D649" s="212"/>
      <c r="E649" s="212"/>
      <c r="F649" s="212"/>
      <c r="G649" s="212"/>
      <c r="H649" s="212"/>
      <c r="I649" s="212"/>
      <c r="J649" s="212"/>
      <c r="K649" s="212"/>
      <c r="L649" s="212"/>
      <c r="M649" s="212"/>
      <c r="N649" s="212"/>
      <c r="O649" s="212"/>
      <c r="P649" s="212"/>
      <c r="Q649" s="212"/>
      <c r="R649" s="212"/>
    </row>
    <row r="650">
      <c r="A650" s="163"/>
      <c r="B650" s="163" t="str">
        <f>IFERROR(__xludf.DUMMYFUNCTION("""COMPUTED_VALUE"""),"")</f>
        <v/>
      </c>
      <c r="C650" s="163"/>
      <c r="D650" s="212"/>
      <c r="E650" s="212"/>
      <c r="F650" s="212"/>
      <c r="G650" s="212"/>
      <c r="H650" s="212"/>
      <c r="I650" s="212"/>
      <c r="J650" s="212"/>
      <c r="K650" s="212"/>
      <c r="L650" s="212"/>
      <c r="M650" s="212"/>
      <c r="N650" s="212"/>
      <c r="O650" s="212"/>
      <c r="P650" s="212"/>
      <c r="Q650" s="212"/>
      <c r="R650" s="212"/>
    </row>
    <row r="651">
      <c r="A651" s="163"/>
      <c r="B651" s="163" t="str">
        <f>IFERROR(__xludf.DUMMYFUNCTION("""COMPUTED_VALUE"""),"")</f>
        <v/>
      </c>
      <c r="C651" s="163"/>
      <c r="D651" s="212"/>
      <c r="E651" s="212"/>
      <c r="F651" s="212"/>
      <c r="G651" s="212"/>
      <c r="H651" s="212"/>
      <c r="I651" s="212"/>
      <c r="J651" s="212"/>
      <c r="K651" s="212"/>
      <c r="L651" s="212"/>
      <c r="M651" s="212"/>
      <c r="N651" s="212"/>
      <c r="O651" s="212"/>
      <c r="P651" s="212"/>
      <c r="Q651" s="212"/>
      <c r="R651" s="212"/>
    </row>
    <row r="652">
      <c r="A652" s="163"/>
      <c r="B652" s="163" t="str">
        <f>IFERROR(__xludf.DUMMYFUNCTION("""COMPUTED_VALUE"""),"")</f>
        <v/>
      </c>
      <c r="C652" s="163"/>
      <c r="D652" s="212"/>
      <c r="E652" s="212"/>
      <c r="F652" s="212"/>
      <c r="G652" s="212"/>
      <c r="H652" s="212"/>
      <c r="I652" s="212"/>
      <c r="J652" s="212"/>
      <c r="K652" s="212"/>
      <c r="L652" s="212"/>
      <c r="M652" s="212"/>
      <c r="N652" s="212"/>
      <c r="O652" s="212"/>
      <c r="P652" s="212"/>
      <c r="Q652" s="212"/>
      <c r="R652" s="212"/>
    </row>
    <row r="653">
      <c r="A653" s="163"/>
      <c r="B653" s="163" t="str">
        <f>IFERROR(__xludf.DUMMYFUNCTION("""COMPUTED_VALUE"""),"")</f>
        <v/>
      </c>
      <c r="C653" s="163"/>
      <c r="D653" s="212"/>
      <c r="E653" s="212"/>
      <c r="F653" s="212"/>
      <c r="G653" s="212"/>
      <c r="H653" s="212"/>
      <c r="I653" s="212"/>
      <c r="J653" s="212"/>
      <c r="K653" s="212"/>
      <c r="L653" s="212"/>
      <c r="M653" s="212"/>
      <c r="N653" s="212"/>
      <c r="O653" s="212"/>
      <c r="P653" s="212"/>
      <c r="Q653" s="212"/>
      <c r="R653" s="212"/>
    </row>
    <row r="654">
      <c r="A654" s="163"/>
      <c r="B654" s="163" t="str">
        <f>IFERROR(__xludf.DUMMYFUNCTION("""COMPUTED_VALUE"""),"")</f>
        <v/>
      </c>
      <c r="C654" s="163"/>
      <c r="D654" s="212"/>
      <c r="E654" s="212"/>
      <c r="F654" s="212"/>
      <c r="G654" s="212"/>
      <c r="H654" s="212"/>
      <c r="I654" s="212"/>
      <c r="J654" s="212"/>
      <c r="K654" s="212"/>
      <c r="L654" s="212"/>
      <c r="M654" s="212"/>
      <c r="N654" s="212"/>
      <c r="O654" s="212"/>
      <c r="P654" s="212"/>
      <c r="Q654" s="212"/>
      <c r="R654" s="212"/>
    </row>
    <row r="655">
      <c r="A655" s="163"/>
      <c r="B655" s="163" t="str">
        <f>IFERROR(__xludf.DUMMYFUNCTION("""COMPUTED_VALUE"""),"")</f>
        <v/>
      </c>
      <c r="C655" s="163"/>
      <c r="D655" s="212"/>
      <c r="E655" s="212"/>
      <c r="F655" s="212"/>
      <c r="G655" s="212"/>
      <c r="H655" s="212"/>
      <c r="I655" s="212"/>
      <c r="J655" s="212"/>
      <c r="K655" s="212"/>
      <c r="L655" s="212"/>
      <c r="M655" s="212"/>
      <c r="N655" s="212"/>
      <c r="O655" s="212"/>
      <c r="P655" s="212"/>
      <c r="Q655" s="212"/>
      <c r="R655" s="212"/>
    </row>
    <row r="656">
      <c r="A656" s="163"/>
      <c r="B656" s="163" t="str">
        <f>IFERROR(__xludf.DUMMYFUNCTION("""COMPUTED_VALUE"""),"")</f>
        <v/>
      </c>
      <c r="C656" s="163"/>
      <c r="D656" s="212"/>
      <c r="E656" s="212"/>
      <c r="F656" s="212"/>
      <c r="G656" s="212"/>
      <c r="H656" s="212"/>
      <c r="I656" s="212"/>
      <c r="J656" s="212"/>
      <c r="K656" s="212"/>
      <c r="L656" s="212"/>
      <c r="M656" s="212"/>
      <c r="N656" s="212"/>
      <c r="O656" s="212"/>
      <c r="P656" s="212"/>
      <c r="Q656" s="212"/>
      <c r="R656" s="212"/>
    </row>
    <row r="657">
      <c r="A657" s="163"/>
      <c r="B657" s="163" t="str">
        <f>IFERROR(__xludf.DUMMYFUNCTION("""COMPUTED_VALUE"""),"")</f>
        <v/>
      </c>
      <c r="C657" s="163"/>
      <c r="D657" s="212"/>
      <c r="E657" s="212"/>
      <c r="F657" s="212"/>
      <c r="G657" s="212"/>
      <c r="H657" s="212"/>
      <c r="I657" s="212"/>
      <c r="J657" s="212"/>
      <c r="K657" s="212"/>
      <c r="L657" s="212"/>
      <c r="M657" s="212"/>
      <c r="N657" s="212"/>
      <c r="O657" s="212"/>
      <c r="P657" s="212"/>
      <c r="Q657" s="212"/>
      <c r="R657" s="212"/>
    </row>
    <row r="658">
      <c r="A658" s="163"/>
      <c r="B658" s="163" t="str">
        <f>IFERROR(__xludf.DUMMYFUNCTION("""COMPUTED_VALUE"""),"")</f>
        <v/>
      </c>
      <c r="C658" s="163"/>
      <c r="D658" s="212"/>
      <c r="E658" s="212"/>
      <c r="F658" s="212"/>
      <c r="G658" s="212"/>
      <c r="H658" s="212"/>
      <c r="I658" s="212"/>
      <c r="J658" s="212"/>
      <c r="K658" s="212"/>
      <c r="L658" s="212"/>
      <c r="M658" s="212"/>
      <c r="N658" s="212"/>
      <c r="O658" s="212"/>
      <c r="P658" s="212"/>
      <c r="Q658" s="212"/>
      <c r="R658" s="212"/>
    </row>
    <row r="659">
      <c r="A659" s="163"/>
      <c r="B659" s="163" t="str">
        <f>IFERROR(__xludf.DUMMYFUNCTION("""COMPUTED_VALUE"""),"")</f>
        <v/>
      </c>
      <c r="C659" s="163"/>
      <c r="D659" s="212"/>
      <c r="E659" s="212"/>
      <c r="F659" s="212"/>
      <c r="G659" s="212"/>
      <c r="H659" s="212"/>
      <c r="I659" s="212"/>
      <c r="J659" s="212"/>
      <c r="K659" s="212"/>
      <c r="L659" s="212"/>
      <c r="M659" s="212"/>
      <c r="N659" s="212"/>
      <c r="O659" s="212"/>
      <c r="P659" s="212"/>
      <c r="Q659" s="212"/>
      <c r="R659" s="212"/>
    </row>
    <row r="660">
      <c r="A660" s="163"/>
      <c r="B660" s="163" t="str">
        <f>IFERROR(__xludf.DUMMYFUNCTION("""COMPUTED_VALUE"""),"")</f>
        <v/>
      </c>
      <c r="C660" s="163"/>
      <c r="D660" s="212"/>
      <c r="E660" s="212"/>
      <c r="F660" s="212"/>
      <c r="G660" s="212"/>
      <c r="H660" s="212"/>
      <c r="I660" s="212"/>
      <c r="J660" s="212"/>
      <c r="K660" s="212"/>
      <c r="L660" s="212"/>
      <c r="M660" s="212"/>
      <c r="N660" s="212"/>
      <c r="O660" s="212"/>
      <c r="P660" s="212"/>
      <c r="Q660" s="212"/>
      <c r="R660" s="212"/>
    </row>
    <row r="661">
      <c r="A661" s="163"/>
      <c r="B661" s="163" t="str">
        <f>IFERROR(__xludf.DUMMYFUNCTION("""COMPUTED_VALUE"""),"")</f>
        <v/>
      </c>
      <c r="C661" s="163"/>
      <c r="D661" s="212"/>
      <c r="E661" s="212"/>
      <c r="F661" s="212"/>
      <c r="G661" s="212"/>
      <c r="H661" s="212"/>
      <c r="I661" s="212"/>
      <c r="J661" s="212"/>
      <c r="K661" s="212"/>
      <c r="L661" s="212"/>
      <c r="M661" s="212"/>
      <c r="N661" s="212"/>
      <c r="O661" s="212"/>
      <c r="P661" s="212"/>
      <c r="Q661" s="212"/>
      <c r="R661" s="212"/>
    </row>
    <row r="662">
      <c r="A662" s="163"/>
      <c r="B662" s="163" t="str">
        <f>IFERROR(__xludf.DUMMYFUNCTION("""COMPUTED_VALUE"""),"")</f>
        <v/>
      </c>
      <c r="C662" s="163"/>
      <c r="D662" s="212"/>
      <c r="E662" s="212"/>
      <c r="F662" s="212"/>
      <c r="G662" s="212"/>
      <c r="H662" s="212"/>
      <c r="I662" s="212"/>
      <c r="J662" s="212"/>
      <c r="K662" s="212"/>
      <c r="L662" s="212"/>
      <c r="M662" s="212"/>
      <c r="N662" s="212"/>
      <c r="O662" s="212"/>
      <c r="P662" s="212"/>
      <c r="Q662" s="212"/>
      <c r="R662" s="212"/>
    </row>
    <row r="663">
      <c r="A663" s="163"/>
      <c r="B663" s="163" t="str">
        <f>IFERROR(__xludf.DUMMYFUNCTION("""COMPUTED_VALUE"""),"")</f>
        <v/>
      </c>
      <c r="C663" s="163"/>
      <c r="D663" s="212"/>
      <c r="E663" s="212"/>
      <c r="F663" s="212"/>
      <c r="G663" s="212"/>
      <c r="H663" s="212"/>
      <c r="I663" s="212"/>
      <c r="J663" s="212"/>
      <c r="K663" s="212"/>
      <c r="L663" s="212"/>
      <c r="M663" s="212"/>
      <c r="N663" s="212"/>
      <c r="O663" s="212"/>
      <c r="P663" s="212"/>
      <c r="Q663" s="212"/>
      <c r="R663" s="212"/>
    </row>
    <row r="664">
      <c r="A664" s="163"/>
      <c r="B664" s="163" t="str">
        <f>IFERROR(__xludf.DUMMYFUNCTION("""COMPUTED_VALUE"""),"")</f>
        <v/>
      </c>
      <c r="C664" s="163"/>
      <c r="D664" s="212"/>
      <c r="E664" s="212"/>
      <c r="F664" s="212"/>
      <c r="G664" s="212"/>
      <c r="H664" s="212"/>
      <c r="I664" s="212"/>
      <c r="J664" s="212"/>
      <c r="K664" s="212"/>
      <c r="L664" s="212"/>
      <c r="M664" s="212"/>
      <c r="N664" s="212"/>
      <c r="O664" s="212"/>
      <c r="P664" s="212"/>
      <c r="Q664" s="212"/>
      <c r="R664" s="212"/>
    </row>
    <row r="665">
      <c r="A665" s="163"/>
      <c r="B665" s="163" t="str">
        <f>IFERROR(__xludf.DUMMYFUNCTION("""COMPUTED_VALUE"""),"")</f>
        <v/>
      </c>
      <c r="C665" s="163"/>
      <c r="D665" s="212"/>
      <c r="E665" s="212"/>
      <c r="F665" s="212"/>
      <c r="G665" s="212"/>
      <c r="H665" s="212"/>
      <c r="I665" s="212"/>
      <c r="J665" s="212"/>
      <c r="K665" s="212"/>
      <c r="L665" s="212"/>
      <c r="M665" s="212"/>
      <c r="N665" s="212"/>
      <c r="O665" s="212"/>
      <c r="P665" s="212"/>
      <c r="Q665" s="212"/>
      <c r="R665" s="212"/>
    </row>
    <row r="666">
      <c r="A666" s="163"/>
      <c r="B666" s="163" t="str">
        <f>IFERROR(__xludf.DUMMYFUNCTION("""COMPUTED_VALUE"""),"")</f>
        <v/>
      </c>
      <c r="C666" s="163"/>
      <c r="D666" s="212"/>
      <c r="E666" s="212"/>
      <c r="F666" s="212"/>
      <c r="G666" s="212"/>
      <c r="H666" s="212"/>
      <c r="I666" s="212"/>
      <c r="J666" s="212"/>
      <c r="K666" s="212"/>
      <c r="L666" s="212"/>
      <c r="M666" s="212"/>
      <c r="N666" s="212"/>
      <c r="O666" s="212"/>
      <c r="P666" s="212"/>
      <c r="Q666" s="212"/>
      <c r="R666" s="212"/>
    </row>
    <row r="667">
      <c r="A667" s="163"/>
      <c r="B667" s="163" t="str">
        <f>IFERROR(__xludf.DUMMYFUNCTION("""COMPUTED_VALUE"""),"")</f>
        <v/>
      </c>
      <c r="C667" s="163"/>
      <c r="D667" s="212"/>
      <c r="E667" s="212"/>
      <c r="F667" s="212"/>
      <c r="G667" s="212"/>
      <c r="H667" s="212"/>
      <c r="I667" s="212"/>
      <c r="J667" s="212"/>
      <c r="K667" s="212"/>
      <c r="L667" s="212"/>
      <c r="M667" s="212"/>
      <c r="N667" s="212"/>
      <c r="O667" s="212"/>
      <c r="P667" s="212"/>
      <c r="Q667" s="212"/>
      <c r="R667" s="212"/>
    </row>
    <row r="668">
      <c r="A668" s="163"/>
      <c r="B668" s="163" t="str">
        <f>IFERROR(__xludf.DUMMYFUNCTION("""COMPUTED_VALUE"""),"")</f>
        <v/>
      </c>
      <c r="C668" s="163"/>
      <c r="D668" s="212"/>
      <c r="E668" s="212"/>
      <c r="F668" s="212"/>
      <c r="G668" s="212"/>
      <c r="H668" s="212"/>
      <c r="I668" s="212"/>
      <c r="J668" s="212"/>
      <c r="K668" s="212"/>
      <c r="L668" s="212"/>
      <c r="M668" s="212"/>
      <c r="N668" s="212"/>
      <c r="O668" s="212"/>
      <c r="P668" s="212"/>
      <c r="Q668" s="212"/>
      <c r="R668" s="212"/>
    </row>
    <row r="669">
      <c r="A669" s="163"/>
      <c r="B669" s="163" t="str">
        <f>IFERROR(__xludf.DUMMYFUNCTION("""COMPUTED_VALUE"""),"")</f>
        <v/>
      </c>
      <c r="C669" s="163"/>
      <c r="D669" s="212"/>
      <c r="E669" s="212"/>
      <c r="F669" s="212"/>
      <c r="G669" s="212"/>
      <c r="H669" s="212"/>
      <c r="I669" s="212"/>
      <c r="J669" s="212"/>
      <c r="K669" s="212"/>
      <c r="L669" s="212"/>
      <c r="M669" s="212"/>
      <c r="N669" s="212"/>
      <c r="O669" s="212"/>
      <c r="P669" s="212"/>
      <c r="Q669" s="212"/>
      <c r="R669" s="212"/>
    </row>
    <row r="670">
      <c r="A670" s="163"/>
      <c r="B670" s="163" t="str">
        <f>IFERROR(__xludf.DUMMYFUNCTION("""COMPUTED_VALUE"""),"")</f>
        <v/>
      </c>
      <c r="C670" s="163"/>
      <c r="D670" s="212"/>
      <c r="E670" s="212"/>
      <c r="F670" s="212"/>
      <c r="G670" s="212"/>
      <c r="H670" s="212"/>
      <c r="I670" s="212"/>
      <c r="J670" s="212"/>
      <c r="K670" s="212"/>
      <c r="L670" s="212"/>
      <c r="M670" s="212"/>
      <c r="N670" s="212"/>
      <c r="O670" s="212"/>
      <c r="P670" s="212"/>
      <c r="Q670" s="212"/>
      <c r="R670" s="212"/>
    </row>
    <row r="671">
      <c r="A671" s="163"/>
      <c r="B671" s="163" t="str">
        <f>IFERROR(__xludf.DUMMYFUNCTION("""COMPUTED_VALUE"""),"")</f>
        <v/>
      </c>
      <c r="C671" s="163"/>
      <c r="D671" s="212"/>
      <c r="E671" s="212"/>
      <c r="F671" s="212"/>
      <c r="G671" s="212"/>
      <c r="H671" s="212"/>
      <c r="I671" s="212"/>
      <c r="J671" s="212"/>
      <c r="K671" s="212"/>
      <c r="L671" s="212"/>
      <c r="M671" s="212"/>
      <c r="N671" s="212"/>
      <c r="O671" s="212"/>
      <c r="P671" s="212"/>
      <c r="Q671" s="212"/>
      <c r="R671" s="212"/>
    </row>
    <row r="672">
      <c r="A672" s="163"/>
      <c r="B672" s="163" t="str">
        <f>IFERROR(__xludf.DUMMYFUNCTION("""COMPUTED_VALUE"""),"")</f>
        <v/>
      </c>
      <c r="C672" s="163"/>
      <c r="D672" s="212"/>
      <c r="E672" s="212"/>
      <c r="F672" s="212"/>
      <c r="G672" s="212"/>
      <c r="H672" s="212"/>
      <c r="I672" s="212"/>
      <c r="J672" s="212"/>
      <c r="K672" s="212"/>
      <c r="L672" s="212"/>
      <c r="M672" s="212"/>
      <c r="N672" s="212"/>
      <c r="O672" s="212"/>
      <c r="P672" s="212"/>
      <c r="Q672" s="212"/>
      <c r="R672" s="212"/>
    </row>
    <row r="673">
      <c r="A673" s="163"/>
      <c r="B673" s="163" t="str">
        <f>IFERROR(__xludf.DUMMYFUNCTION("""COMPUTED_VALUE"""),"")</f>
        <v/>
      </c>
      <c r="C673" s="163"/>
      <c r="D673" s="212"/>
      <c r="E673" s="212"/>
      <c r="F673" s="212"/>
      <c r="G673" s="212"/>
      <c r="H673" s="212"/>
      <c r="I673" s="212"/>
      <c r="J673" s="212"/>
      <c r="K673" s="212"/>
      <c r="L673" s="212"/>
      <c r="M673" s="212"/>
      <c r="N673" s="212"/>
      <c r="O673" s="212"/>
      <c r="P673" s="212"/>
      <c r="Q673" s="212"/>
      <c r="R673" s="212"/>
    </row>
    <row r="674">
      <c r="A674" s="163"/>
      <c r="B674" s="163" t="str">
        <f>IFERROR(__xludf.DUMMYFUNCTION("""COMPUTED_VALUE"""),"")</f>
        <v/>
      </c>
      <c r="C674" s="163"/>
      <c r="D674" s="212"/>
      <c r="E674" s="212"/>
      <c r="F674" s="212"/>
      <c r="G674" s="212"/>
      <c r="H674" s="212"/>
      <c r="I674" s="212"/>
      <c r="J674" s="212"/>
      <c r="K674" s="212"/>
      <c r="L674" s="212"/>
      <c r="M674" s="212"/>
      <c r="N674" s="212"/>
      <c r="O674" s="212"/>
      <c r="P674" s="212"/>
      <c r="Q674" s="212"/>
      <c r="R674" s="212"/>
    </row>
    <row r="675">
      <c r="A675" s="163"/>
      <c r="B675" s="163" t="str">
        <f>IFERROR(__xludf.DUMMYFUNCTION("""COMPUTED_VALUE"""),"")</f>
        <v/>
      </c>
      <c r="C675" s="163"/>
      <c r="D675" s="212"/>
      <c r="E675" s="212"/>
      <c r="F675" s="212"/>
      <c r="G675" s="212"/>
      <c r="H675" s="212"/>
      <c r="I675" s="212"/>
      <c r="J675" s="212"/>
      <c r="K675" s="212"/>
      <c r="L675" s="212"/>
      <c r="M675" s="212"/>
      <c r="N675" s="212"/>
      <c r="O675" s="212"/>
      <c r="P675" s="212"/>
      <c r="Q675" s="212"/>
      <c r="R675" s="212"/>
    </row>
    <row r="676">
      <c r="A676" s="163"/>
      <c r="B676" s="163" t="str">
        <f>IFERROR(__xludf.DUMMYFUNCTION("""COMPUTED_VALUE"""),"")</f>
        <v/>
      </c>
      <c r="C676" s="163"/>
      <c r="D676" s="212"/>
      <c r="E676" s="212"/>
      <c r="F676" s="212"/>
      <c r="G676" s="212"/>
      <c r="H676" s="212"/>
      <c r="I676" s="212"/>
      <c r="J676" s="212"/>
      <c r="K676" s="212"/>
      <c r="L676" s="212"/>
      <c r="M676" s="212"/>
      <c r="N676" s="212"/>
      <c r="O676" s="212"/>
      <c r="P676" s="212"/>
      <c r="Q676" s="212"/>
      <c r="R676" s="212"/>
    </row>
    <row r="677">
      <c r="A677" s="163"/>
      <c r="B677" s="163" t="str">
        <f>IFERROR(__xludf.DUMMYFUNCTION("""COMPUTED_VALUE"""),"")</f>
        <v/>
      </c>
      <c r="C677" s="163"/>
      <c r="D677" s="212"/>
      <c r="E677" s="212"/>
      <c r="F677" s="212"/>
      <c r="G677" s="212"/>
      <c r="H677" s="212"/>
      <c r="I677" s="212"/>
      <c r="J677" s="212"/>
      <c r="K677" s="212"/>
      <c r="L677" s="212"/>
      <c r="M677" s="212"/>
      <c r="N677" s="212"/>
      <c r="O677" s="212"/>
      <c r="P677" s="212"/>
      <c r="Q677" s="212"/>
      <c r="R677" s="212"/>
    </row>
    <row r="678">
      <c r="A678" s="163"/>
      <c r="B678" s="163" t="str">
        <f>IFERROR(__xludf.DUMMYFUNCTION("""COMPUTED_VALUE"""),"")</f>
        <v/>
      </c>
      <c r="C678" s="163"/>
      <c r="D678" s="212"/>
      <c r="E678" s="212"/>
      <c r="F678" s="212"/>
      <c r="G678" s="212"/>
      <c r="H678" s="212"/>
      <c r="I678" s="212"/>
      <c r="J678" s="212"/>
      <c r="K678" s="212"/>
      <c r="L678" s="212"/>
      <c r="M678" s="212"/>
      <c r="N678" s="212"/>
      <c r="O678" s="212"/>
      <c r="P678" s="212"/>
      <c r="Q678" s="212"/>
      <c r="R678" s="212"/>
    </row>
    <row r="679">
      <c r="A679" s="163"/>
      <c r="B679" s="163" t="str">
        <f>IFERROR(__xludf.DUMMYFUNCTION("""COMPUTED_VALUE"""),"")</f>
        <v/>
      </c>
      <c r="C679" s="163"/>
      <c r="D679" s="212"/>
      <c r="E679" s="212"/>
      <c r="F679" s="212"/>
      <c r="G679" s="212"/>
      <c r="H679" s="212"/>
      <c r="I679" s="212"/>
      <c r="J679" s="212"/>
      <c r="K679" s="212"/>
      <c r="L679" s="212"/>
      <c r="M679" s="212"/>
      <c r="N679" s="212"/>
      <c r="O679" s="212"/>
      <c r="P679" s="212"/>
      <c r="Q679" s="212"/>
      <c r="R679" s="212"/>
    </row>
    <row r="680">
      <c r="A680" s="163"/>
      <c r="B680" s="163" t="str">
        <f>IFERROR(__xludf.DUMMYFUNCTION("""COMPUTED_VALUE"""),"")</f>
        <v/>
      </c>
      <c r="C680" s="163"/>
      <c r="D680" s="212"/>
      <c r="E680" s="212"/>
      <c r="F680" s="212"/>
      <c r="G680" s="212"/>
      <c r="H680" s="212"/>
      <c r="I680" s="212"/>
      <c r="J680" s="212"/>
      <c r="K680" s="212"/>
      <c r="L680" s="212"/>
      <c r="M680" s="212"/>
      <c r="N680" s="212"/>
      <c r="O680" s="212"/>
      <c r="P680" s="212"/>
      <c r="Q680" s="212"/>
      <c r="R680" s="212"/>
    </row>
    <row r="681">
      <c r="A681" s="163"/>
      <c r="B681" s="163" t="str">
        <f>IFERROR(__xludf.DUMMYFUNCTION("""COMPUTED_VALUE"""),"")</f>
        <v/>
      </c>
      <c r="C681" s="163"/>
      <c r="D681" s="212"/>
      <c r="E681" s="212"/>
      <c r="F681" s="212"/>
      <c r="G681" s="212"/>
      <c r="H681" s="212"/>
      <c r="I681" s="212"/>
      <c r="J681" s="212"/>
      <c r="K681" s="212"/>
      <c r="L681" s="212"/>
      <c r="M681" s="212"/>
      <c r="N681" s="212"/>
      <c r="O681" s="212"/>
      <c r="P681" s="212"/>
      <c r="Q681" s="212"/>
      <c r="R681" s="212"/>
    </row>
    <row r="682">
      <c r="A682" s="163"/>
      <c r="B682" s="163" t="str">
        <f>IFERROR(__xludf.DUMMYFUNCTION("""COMPUTED_VALUE"""),"")</f>
        <v/>
      </c>
      <c r="C682" s="163"/>
      <c r="D682" s="212"/>
      <c r="E682" s="212"/>
      <c r="F682" s="212"/>
      <c r="G682" s="212"/>
      <c r="H682" s="212"/>
      <c r="I682" s="212"/>
      <c r="J682" s="212"/>
      <c r="K682" s="212"/>
      <c r="L682" s="212"/>
      <c r="M682" s="212"/>
      <c r="N682" s="212"/>
      <c r="O682" s="212"/>
      <c r="P682" s="212"/>
      <c r="Q682" s="212"/>
      <c r="R682" s="212"/>
    </row>
    <row r="683">
      <c r="A683" s="163"/>
      <c r="B683" s="163" t="str">
        <f>IFERROR(__xludf.DUMMYFUNCTION("""COMPUTED_VALUE"""),"")</f>
        <v/>
      </c>
      <c r="C683" s="163"/>
      <c r="D683" s="212"/>
      <c r="E683" s="212"/>
      <c r="F683" s="212"/>
      <c r="G683" s="212"/>
      <c r="H683" s="212"/>
      <c r="I683" s="212"/>
      <c r="J683" s="212"/>
      <c r="K683" s="212"/>
      <c r="L683" s="212"/>
      <c r="M683" s="212"/>
      <c r="N683" s="212"/>
      <c r="O683" s="212"/>
      <c r="P683" s="212"/>
      <c r="Q683" s="212"/>
      <c r="R683" s="212"/>
    </row>
    <row r="684">
      <c r="A684" s="163"/>
      <c r="B684" s="163" t="str">
        <f>IFERROR(__xludf.DUMMYFUNCTION("""COMPUTED_VALUE"""),"")</f>
        <v/>
      </c>
      <c r="C684" s="163"/>
      <c r="D684" s="212"/>
      <c r="E684" s="212"/>
      <c r="F684" s="212"/>
      <c r="G684" s="212"/>
      <c r="H684" s="212"/>
      <c r="I684" s="212"/>
      <c r="J684" s="212"/>
      <c r="K684" s="212"/>
      <c r="L684" s="212"/>
      <c r="M684" s="212"/>
      <c r="N684" s="212"/>
      <c r="O684" s="212"/>
      <c r="P684" s="212"/>
      <c r="Q684" s="212"/>
      <c r="R684" s="212"/>
    </row>
    <row r="685">
      <c r="A685" s="163"/>
      <c r="B685" s="163" t="str">
        <f>IFERROR(__xludf.DUMMYFUNCTION("""COMPUTED_VALUE"""),"")</f>
        <v/>
      </c>
      <c r="C685" s="163"/>
      <c r="D685" s="212"/>
      <c r="E685" s="212"/>
      <c r="F685" s="212"/>
      <c r="G685" s="212"/>
      <c r="H685" s="212"/>
      <c r="I685" s="212"/>
      <c r="J685" s="212"/>
      <c r="K685" s="212"/>
      <c r="L685" s="212"/>
      <c r="M685" s="212"/>
      <c r="N685" s="212"/>
      <c r="O685" s="212"/>
      <c r="P685" s="212"/>
      <c r="Q685" s="212"/>
      <c r="R685" s="212"/>
    </row>
    <row r="686">
      <c r="A686" s="163"/>
      <c r="B686" s="163" t="str">
        <f>IFERROR(__xludf.DUMMYFUNCTION("""COMPUTED_VALUE"""),"")</f>
        <v/>
      </c>
      <c r="C686" s="163"/>
      <c r="D686" s="212"/>
      <c r="E686" s="212"/>
      <c r="F686" s="212"/>
      <c r="G686" s="212"/>
      <c r="H686" s="212"/>
      <c r="I686" s="212"/>
      <c r="J686" s="212"/>
      <c r="K686" s="212"/>
      <c r="L686" s="212"/>
      <c r="M686" s="212"/>
      <c r="N686" s="212"/>
      <c r="O686" s="212"/>
      <c r="P686" s="212"/>
      <c r="Q686" s="212"/>
      <c r="R686" s="212"/>
    </row>
    <row r="687">
      <c r="A687" s="163"/>
      <c r="B687" s="163" t="str">
        <f>IFERROR(__xludf.DUMMYFUNCTION("""COMPUTED_VALUE"""),"")</f>
        <v/>
      </c>
      <c r="C687" s="163"/>
      <c r="D687" s="212"/>
      <c r="E687" s="212"/>
      <c r="F687" s="212"/>
      <c r="G687" s="212"/>
      <c r="H687" s="212"/>
      <c r="I687" s="212"/>
      <c r="J687" s="212"/>
      <c r="K687" s="212"/>
      <c r="L687" s="212"/>
      <c r="M687" s="212"/>
      <c r="N687" s="212"/>
      <c r="O687" s="212"/>
      <c r="P687" s="212"/>
      <c r="Q687" s="212"/>
      <c r="R687" s="212"/>
    </row>
    <row r="688">
      <c r="A688" s="163"/>
      <c r="B688" s="163" t="str">
        <f>IFERROR(__xludf.DUMMYFUNCTION("""COMPUTED_VALUE"""),"")</f>
        <v/>
      </c>
      <c r="C688" s="163"/>
      <c r="D688" s="212"/>
      <c r="E688" s="212"/>
      <c r="F688" s="212"/>
      <c r="G688" s="212"/>
      <c r="H688" s="212"/>
      <c r="I688" s="212"/>
      <c r="J688" s="212"/>
      <c r="K688" s="212"/>
      <c r="L688" s="212"/>
      <c r="M688" s="212"/>
      <c r="N688" s="212"/>
      <c r="O688" s="212"/>
      <c r="P688" s="212"/>
      <c r="Q688" s="212"/>
      <c r="R688" s="212"/>
    </row>
    <row r="689">
      <c r="A689" s="163"/>
      <c r="B689" s="163" t="str">
        <f>IFERROR(__xludf.DUMMYFUNCTION("""COMPUTED_VALUE"""),"")</f>
        <v/>
      </c>
      <c r="C689" s="163"/>
      <c r="D689" s="212"/>
      <c r="E689" s="212"/>
      <c r="F689" s="212"/>
      <c r="G689" s="212"/>
      <c r="H689" s="212"/>
      <c r="I689" s="212"/>
      <c r="J689" s="212"/>
      <c r="K689" s="212"/>
      <c r="L689" s="212"/>
      <c r="M689" s="212"/>
      <c r="N689" s="212"/>
      <c r="O689" s="212"/>
      <c r="P689" s="212"/>
      <c r="Q689" s="212"/>
      <c r="R689" s="212"/>
    </row>
    <row r="690">
      <c r="A690" s="163"/>
      <c r="B690" s="163" t="str">
        <f>IFERROR(__xludf.DUMMYFUNCTION("""COMPUTED_VALUE"""),"")</f>
        <v/>
      </c>
      <c r="C690" s="163"/>
      <c r="D690" s="212"/>
      <c r="E690" s="212"/>
      <c r="F690" s="212"/>
      <c r="G690" s="212"/>
      <c r="H690" s="212"/>
      <c r="I690" s="212"/>
      <c r="J690" s="212"/>
      <c r="K690" s="212"/>
      <c r="L690" s="212"/>
      <c r="M690" s="212"/>
      <c r="N690" s="212"/>
      <c r="O690" s="212"/>
      <c r="P690" s="212"/>
      <c r="Q690" s="212"/>
      <c r="R690" s="212"/>
    </row>
    <row r="691">
      <c r="A691" s="163"/>
      <c r="B691" s="163" t="str">
        <f>IFERROR(__xludf.DUMMYFUNCTION("""COMPUTED_VALUE"""),"")</f>
        <v/>
      </c>
      <c r="C691" s="163"/>
      <c r="D691" s="212"/>
      <c r="E691" s="212"/>
      <c r="F691" s="212"/>
      <c r="G691" s="212"/>
      <c r="H691" s="212"/>
      <c r="I691" s="212"/>
      <c r="J691" s="212"/>
      <c r="K691" s="212"/>
      <c r="L691" s="212"/>
      <c r="M691" s="212"/>
      <c r="N691" s="212"/>
      <c r="O691" s="212"/>
      <c r="P691" s="212"/>
      <c r="Q691" s="212"/>
      <c r="R691" s="212"/>
    </row>
    <row r="692">
      <c r="A692" s="163"/>
      <c r="B692" s="163" t="str">
        <f>IFERROR(__xludf.DUMMYFUNCTION("""COMPUTED_VALUE"""),"")</f>
        <v/>
      </c>
      <c r="C692" s="163"/>
      <c r="D692" s="212"/>
      <c r="E692" s="212"/>
      <c r="F692" s="212"/>
      <c r="G692" s="212"/>
      <c r="H692" s="212"/>
      <c r="I692" s="212"/>
      <c r="J692" s="212"/>
      <c r="K692" s="212"/>
      <c r="L692" s="212"/>
      <c r="M692" s="212"/>
      <c r="N692" s="212"/>
      <c r="O692" s="212"/>
      <c r="P692" s="212"/>
      <c r="Q692" s="212"/>
      <c r="R692" s="212"/>
    </row>
    <row r="693">
      <c r="A693" s="163"/>
      <c r="B693" s="163" t="str">
        <f>IFERROR(__xludf.DUMMYFUNCTION("""COMPUTED_VALUE"""),"")</f>
        <v/>
      </c>
      <c r="C693" s="163"/>
      <c r="D693" s="212"/>
      <c r="E693" s="212"/>
      <c r="F693" s="212"/>
      <c r="G693" s="212"/>
      <c r="H693" s="212"/>
      <c r="I693" s="212"/>
      <c r="J693" s="212"/>
      <c r="K693" s="212"/>
      <c r="L693" s="212"/>
      <c r="M693" s="212"/>
      <c r="N693" s="212"/>
      <c r="O693" s="212"/>
      <c r="P693" s="212"/>
      <c r="Q693" s="212"/>
      <c r="R693" s="212"/>
    </row>
    <row r="694">
      <c r="A694" s="163"/>
      <c r="B694" s="163" t="str">
        <f>IFERROR(__xludf.DUMMYFUNCTION("""COMPUTED_VALUE"""),"")</f>
        <v/>
      </c>
      <c r="C694" s="163"/>
      <c r="D694" s="212"/>
      <c r="E694" s="212"/>
      <c r="F694" s="212"/>
      <c r="G694" s="212"/>
      <c r="H694" s="212"/>
      <c r="I694" s="212"/>
      <c r="J694" s="212"/>
      <c r="K694" s="212"/>
      <c r="L694" s="212"/>
      <c r="M694" s="212"/>
      <c r="N694" s="212"/>
      <c r="O694" s="212"/>
      <c r="P694" s="212"/>
      <c r="Q694" s="212"/>
      <c r="R694" s="212"/>
    </row>
    <row r="695">
      <c r="A695" s="163"/>
      <c r="B695" s="163" t="str">
        <f>IFERROR(__xludf.DUMMYFUNCTION("""COMPUTED_VALUE"""),"")</f>
        <v/>
      </c>
      <c r="C695" s="163"/>
      <c r="D695" s="212"/>
      <c r="E695" s="212"/>
      <c r="F695" s="212"/>
      <c r="G695" s="212"/>
      <c r="H695" s="212"/>
      <c r="I695" s="212"/>
      <c r="J695" s="212"/>
      <c r="K695" s="212"/>
      <c r="L695" s="212"/>
      <c r="M695" s="212"/>
      <c r="N695" s="212"/>
      <c r="O695" s="212"/>
      <c r="P695" s="212"/>
      <c r="Q695" s="212"/>
      <c r="R695" s="212"/>
    </row>
    <row r="696">
      <c r="A696" s="163"/>
      <c r="B696" s="163" t="str">
        <f>IFERROR(__xludf.DUMMYFUNCTION("""COMPUTED_VALUE"""),"")</f>
        <v/>
      </c>
      <c r="C696" s="163"/>
      <c r="D696" s="212"/>
      <c r="E696" s="212"/>
      <c r="F696" s="212"/>
      <c r="G696" s="212"/>
      <c r="H696" s="212"/>
      <c r="I696" s="212"/>
      <c r="J696" s="212"/>
      <c r="K696" s="212"/>
      <c r="L696" s="212"/>
      <c r="M696" s="212"/>
      <c r="N696" s="212"/>
      <c r="O696" s="212"/>
      <c r="P696" s="212"/>
      <c r="Q696" s="212"/>
      <c r="R696" s="212"/>
    </row>
    <row r="697">
      <c r="A697" s="163"/>
      <c r="B697" s="163" t="str">
        <f>IFERROR(__xludf.DUMMYFUNCTION("""COMPUTED_VALUE"""),"")</f>
        <v/>
      </c>
      <c r="C697" s="163"/>
      <c r="D697" s="212"/>
      <c r="E697" s="212"/>
      <c r="F697" s="212"/>
      <c r="G697" s="212"/>
      <c r="H697" s="212"/>
      <c r="I697" s="212"/>
      <c r="J697" s="212"/>
      <c r="K697" s="212"/>
      <c r="L697" s="212"/>
      <c r="M697" s="212"/>
      <c r="N697" s="212"/>
      <c r="O697" s="212"/>
      <c r="P697" s="212"/>
      <c r="Q697" s="212"/>
      <c r="R697" s="212"/>
    </row>
    <row r="698">
      <c r="A698" s="163"/>
      <c r="B698" s="163" t="str">
        <f>IFERROR(__xludf.DUMMYFUNCTION("""COMPUTED_VALUE"""),"")</f>
        <v/>
      </c>
      <c r="C698" s="163"/>
      <c r="D698" s="212"/>
      <c r="E698" s="212"/>
      <c r="F698" s="212"/>
      <c r="G698" s="212"/>
      <c r="H698" s="212"/>
      <c r="I698" s="212"/>
      <c r="J698" s="212"/>
      <c r="K698" s="212"/>
      <c r="L698" s="212"/>
      <c r="M698" s="212"/>
      <c r="N698" s="212"/>
      <c r="O698" s="212"/>
      <c r="P698" s="212"/>
      <c r="Q698" s="212"/>
      <c r="R698" s="212"/>
    </row>
    <row r="699">
      <c r="A699" s="163"/>
      <c r="B699" s="163" t="str">
        <f>IFERROR(__xludf.DUMMYFUNCTION("""COMPUTED_VALUE"""),"")</f>
        <v/>
      </c>
      <c r="C699" s="163"/>
      <c r="D699" s="212"/>
      <c r="E699" s="212"/>
      <c r="F699" s="212"/>
      <c r="G699" s="212"/>
      <c r="H699" s="212"/>
      <c r="I699" s="212"/>
      <c r="J699" s="212"/>
      <c r="K699" s="212"/>
      <c r="L699" s="212"/>
      <c r="M699" s="212"/>
      <c r="N699" s="212"/>
      <c r="O699" s="212"/>
      <c r="P699" s="212"/>
      <c r="Q699" s="212"/>
      <c r="R699" s="212"/>
    </row>
    <row r="700">
      <c r="A700" s="163"/>
      <c r="B700" s="163" t="str">
        <f>IFERROR(__xludf.DUMMYFUNCTION("""COMPUTED_VALUE"""),"")</f>
        <v/>
      </c>
      <c r="C700" s="163"/>
      <c r="D700" s="212"/>
      <c r="E700" s="212"/>
      <c r="F700" s="212"/>
      <c r="G700" s="212"/>
      <c r="H700" s="212"/>
      <c r="I700" s="212"/>
      <c r="J700" s="212"/>
      <c r="K700" s="212"/>
      <c r="L700" s="212"/>
      <c r="M700" s="212"/>
      <c r="N700" s="212"/>
      <c r="O700" s="212"/>
      <c r="P700" s="212"/>
      <c r="Q700" s="212"/>
      <c r="R700" s="212"/>
    </row>
    <row r="701">
      <c r="A701" s="163"/>
      <c r="B701" s="163" t="str">
        <f>IFERROR(__xludf.DUMMYFUNCTION("""COMPUTED_VALUE"""),"")</f>
        <v/>
      </c>
      <c r="C701" s="163"/>
      <c r="D701" s="212"/>
      <c r="E701" s="212"/>
      <c r="F701" s="212"/>
      <c r="G701" s="212"/>
      <c r="H701" s="212"/>
      <c r="I701" s="212"/>
      <c r="J701" s="212"/>
      <c r="K701" s="212"/>
      <c r="L701" s="212"/>
      <c r="M701" s="212"/>
      <c r="N701" s="212"/>
      <c r="O701" s="212"/>
      <c r="P701" s="212"/>
      <c r="Q701" s="212"/>
      <c r="R701" s="212"/>
    </row>
    <row r="702">
      <c r="A702" s="163"/>
      <c r="B702" s="163" t="str">
        <f>IFERROR(__xludf.DUMMYFUNCTION("""COMPUTED_VALUE"""),"")</f>
        <v/>
      </c>
      <c r="C702" s="163"/>
      <c r="D702" s="212"/>
      <c r="E702" s="212"/>
      <c r="F702" s="212"/>
      <c r="G702" s="212"/>
      <c r="H702" s="212"/>
      <c r="I702" s="212"/>
      <c r="J702" s="212"/>
      <c r="K702" s="212"/>
      <c r="L702" s="212"/>
      <c r="M702" s="212"/>
      <c r="N702" s="212"/>
      <c r="O702" s="212"/>
      <c r="P702" s="212"/>
      <c r="Q702" s="212"/>
      <c r="R702" s="212"/>
    </row>
    <row r="703">
      <c r="A703" s="163"/>
      <c r="B703" s="163" t="str">
        <f>IFERROR(__xludf.DUMMYFUNCTION("""COMPUTED_VALUE"""),"")</f>
        <v/>
      </c>
      <c r="C703" s="163"/>
      <c r="D703" s="212"/>
      <c r="E703" s="212"/>
      <c r="F703" s="212"/>
      <c r="G703" s="212"/>
      <c r="H703" s="212"/>
      <c r="I703" s="212"/>
      <c r="J703" s="212"/>
      <c r="K703" s="212"/>
      <c r="L703" s="212"/>
      <c r="M703" s="212"/>
      <c r="N703" s="212"/>
      <c r="O703" s="212"/>
      <c r="P703" s="212"/>
      <c r="Q703" s="212"/>
      <c r="R703" s="212"/>
    </row>
    <row r="704">
      <c r="A704" s="163"/>
      <c r="B704" s="163" t="str">
        <f>IFERROR(__xludf.DUMMYFUNCTION("""COMPUTED_VALUE"""),"")</f>
        <v/>
      </c>
      <c r="C704" s="163"/>
      <c r="D704" s="212"/>
      <c r="E704" s="212"/>
      <c r="F704" s="212"/>
      <c r="G704" s="212"/>
      <c r="H704" s="212"/>
      <c r="I704" s="212"/>
      <c r="J704" s="212"/>
      <c r="K704" s="212"/>
      <c r="L704" s="212"/>
      <c r="M704" s="212"/>
      <c r="N704" s="212"/>
      <c r="O704" s="212"/>
      <c r="P704" s="212"/>
      <c r="Q704" s="212"/>
      <c r="R704" s="212"/>
    </row>
    <row r="705">
      <c r="A705" s="163"/>
      <c r="B705" s="163" t="str">
        <f>IFERROR(__xludf.DUMMYFUNCTION("""COMPUTED_VALUE"""),"")</f>
        <v/>
      </c>
      <c r="C705" s="163"/>
      <c r="D705" s="212"/>
      <c r="E705" s="212"/>
      <c r="F705" s="212"/>
      <c r="G705" s="212"/>
      <c r="H705" s="212"/>
      <c r="I705" s="212"/>
      <c r="J705" s="212"/>
      <c r="K705" s="212"/>
      <c r="L705" s="212"/>
      <c r="M705" s="212"/>
      <c r="N705" s="212"/>
      <c r="O705" s="212"/>
      <c r="P705" s="212"/>
      <c r="Q705" s="212"/>
      <c r="R705" s="212"/>
    </row>
    <row r="706">
      <c r="A706" s="163"/>
      <c r="B706" s="163" t="str">
        <f>IFERROR(__xludf.DUMMYFUNCTION("""COMPUTED_VALUE"""),"")</f>
        <v/>
      </c>
      <c r="C706" s="163"/>
      <c r="D706" s="212"/>
      <c r="E706" s="212"/>
      <c r="F706" s="212"/>
      <c r="G706" s="212"/>
      <c r="H706" s="212"/>
      <c r="I706" s="212"/>
      <c r="J706" s="212"/>
      <c r="K706" s="212"/>
      <c r="L706" s="212"/>
      <c r="M706" s="212"/>
      <c r="N706" s="212"/>
      <c r="O706" s="212"/>
      <c r="P706" s="212"/>
      <c r="Q706" s="212"/>
      <c r="R706" s="212"/>
    </row>
    <row r="707">
      <c r="A707" s="163"/>
      <c r="B707" s="163" t="str">
        <f>IFERROR(__xludf.DUMMYFUNCTION("""COMPUTED_VALUE"""),"")</f>
        <v/>
      </c>
      <c r="C707" s="163"/>
      <c r="D707" s="212"/>
      <c r="E707" s="212"/>
      <c r="F707" s="212"/>
      <c r="G707" s="212"/>
      <c r="H707" s="212"/>
      <c r="I707" s="212"/>
      <c r="J707" s="212"/>
      <c r="K707" s="212"/>
      <c r="L707" s="212"/>
      <c r="M707" s="212"/>
      <c r="N707" s="212"/>
      <c r="O707" s="212"/>
      <c r="P707" s="212"/>
      <c r="Q707" s="212"/>
      <c r="R707" s="212"/>
    </row>
    <row r="708">
      <c r="A708" s="163"/>
      <c r="B708" s="163" t="str">
        <f>IFERROR(__xludf.DUMMYFUNCTION("""COMPUTED_VALUE"""),"")</f>
        <v/>
      </c>
      <c r="C708" s="163"/>
      <c r="D708" s="212"/>
      <c r="E708" s="212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212"/>
      <c r="Q708" s="212"/>
      <c r="R708" s="212"/>
    </row>
    <row r="709">
      <c r="A709" s="163"/>
      <c r="B709" s="163" t="str">
        <f>IFERROR(__xludf.DUMMYFUNCTION("""COMPUTED_VALUE"""),"")</f>
        <v/>
      </c>
      <c r="C709" s="163"/>
      <c r="D709" s="212"/>
      <c r="E709" s="212"/>
      <c r="F709" s="212"/>
      <c r="G709" s="212"/>
      <c r="H709" s="212"/>
      <c r="I709" s="212"/>
      <c r="J709" s="212"/>
      <c r="K709" s="212"/>
      <c r="L709" s="212"/>
      <c r="M709" s="212"/>
      <c r="N709" s="212"/>
      <c r="O709" s="212"/>
      <c r="P709" s="212"/>
      <c r="Q709" s="212"/>
      <c r="R709" s="212"/>
    </row>
    <row r="710">
      <c r="A710" s="163"/>
      <c r="B710" s="163" t="str">
        <f>IFERROR(__xludf.DUMMYFUNCTION("""COMPUTED_VALUE"""),"")</f>
        <v/>
      </c>
      <c r="C710" s="163"/>
      <c r="D710" s="212"/>
      <c r="E710" s="212"/>
      <c r="F710" s="212"/>
      <c r="G710" s="212"/>
      <c r="H710" s="212"/>
      <c r="I710" s="212"/>
      <c r="J710" s="212"/>
      <c r="K710" s="212"/>
      <c r="L710" s="212"/>
      <c r="M710" s="212"/>
      <c r="N710" s="212"/>
      <c r="O710" s="212"/>
      <c r="P710" s="212"/>
      <c r="Q710" s="212"/>
      <c r="R710" s="212"/>
    </row>
    <row r="711">
      <c r="A711" s="163"/>
      <c r="B711" s="163" t="str">
        <f>IFERROR(__xludf.DUMMYFUNCTION("""COMPUTED_VALUE"""),"")</f>
        <v/>
      </c>
      <c r="C711" s="163"/>
      <c r="D711" s="212"/>
      <c r="E711" s="212"/>
      <c r="F711" s="212"/>
      <c r="G711" s="212"/>
      <c r="H711" s="212"/>
      <c r="I711" s="212"/>
      <c r="J711" s="212"/>
      <c r="K711" s="212"/>
      <c r="L711" s="212"/>
      <c r="M711" s="212"/>
      <c r="N711" s="212"/>
      <c r="O711" s="212"/>
      <c r="P711" s="212"/>
      <c r="Q711" s="212"/>
      <c r="R711" s="212"/>
    </row>
    <row r="712">
      <c r="A712" s="163"/>
      <c r="B712" s="163" t="str">
        <f>IFERROR(__xludf.DUMMYFUNCTION("""COMPUTED_VALUE"""),"")</f>
        <v/>
      </c>
      <c r="C712" s="163"/>
      <c r="D712" s="212"/>
      <c r="E712" s="212"/>
      <c r="F712" s="212"/>
      <c r="G712" s="212"/>
      <c r="H712" s="212"/>
      <c r="I712" s="212"/>
      <c r="J712" s="212"/>
      <c r="K712" s="212"/>
      <c r="L712" s="212"/>
      <c r="M712" s="212"/>
      <c r="N712" s="212"/>
      <c r="O712" s="212"/>
      <c r="P712" s="212"/>
      <c r="Q712" s="212"/>
      <c r="R712" s="212"/>
    </row>
    <row r="713">
      <c r="A713" s="163"/>
      <c r="B713" s="163" t="str">
        <f>IFERROR(__xludf.DUMMYFUNCTION("""COMPUTED_VALUE"""),"")</f>
        <v/>
      </c>
      <c r="C713" s="163"/>
      <c r="D713" s="212"/>
      <c r="E713" s="212"/>
      <c r="F713" s="212"/>
      <c r="G713" s="212"/>
      <c r="H713" s="212"/>
      <c r="I713" s="212"/>
      <c r="J713" s="212"/>
      <c r="K713" s="212"/>
      <c r="L713" s="212"/>
      <c r="M713" s="212"/>
      <c r="N713" s="212"/>
      <c r="O713" s="212"/>
      <c r="P713" s="212"/>
      <c r="Q713" s="212"/>
      <c r="R713" s="212"/>
    </row>
    <row r="714">
      <c r="A714" s="163"/>
      <c r="B714" s="163" t="str">
        <f>IFERROR(__xludf.DUMMYFUNCTION("""COMPUTED_VALUE"""),"")</f>
        <v/>
      </c>
      <c r="C714" s="163"/>
      <c r="D714" s="212"/>
      <c r="E714" s="212"/>
      <c r="F714" s="212"/>
      <c r="G714" s="212"/>
      <c r="H714" s="212"/>
      <c r="I714" s="212"/>
      <c r="J714" s="212"/>
      <c r="K714" s="212"/>
      <c r="L714" s="212"/>
      <c r="M714" s="212"/>
      <c r="N714" s="212"/>
      <c r="O714" s="212"/>
      <c r="P714" s="212"/>
      <c r="Q714" s="212"/>
      <c r="R714" s="212"/>
    </row>
    <row r="715">
      <c r="A715" s="163"/>
      <c r="B715" s="163" t="str">
        <f>IFERROR(__xludf.DUMMYFUNCTION("""COMPUTED_VALUE"""),"")</f>
        <v/>
      </c>
      <c r="C715" s="163"/>
      <c r="D715" s="212"/>
      <c r="E715" s="212"/>
      <c r="F715" s="212"/>
      <c r="G715" s="212"/>
      <c r="H715" s="212"/>
      <c r="I715" s="212"/>
      <c r="J715" s="212"/>
      <c r="K715" s="212"/>
      <c r="L715" s="212"/>
      <c r="M715" s="212"/>
      <c r="N715" s="212"/>
      <c r="O715" s="212"/>
      <c r="P715" s="212"/>
      <c r="Q715" s="212"/>
      <c r="R715" s="212"/>
    </row>
    <row r="716">
      <c r="A716" s="163"/>
      <c r="B716" s="163" t="str">
        <f>IFERROR(__xludf.DUMMYFUNCTION("""COMPUTED_VALUE"""),"")</f>
        <v/>
      </c>
      <c r="C716" s="163"/>
      <c r="D716" s="212"/>
      <c r="E716" s="212"/>
      <c r="F716" s="212"/>
      <c r="G716" s="212"/>
      <c r="H716" s="212"/>
      <c r="I716" s="212"/>
      <c r="J716" s="212"/>
      <c r="K716" s="212"/>
      <c r="L716" s="212"/>
      <c r="M716" s="212"/>
      <c r="N716" s="212"/>
      <c r="O716" s="212"/>
      <c r="P716" s="212"/>
      <c r="Q716" s="212"/>
      <c r="R716" s="212"/>
    </row>
    <row r="717">
      <c r="A717" s="163"/>
      <c r="B717" s="163" t="str">
        <f>IFERROR(__xludf.DUMMYFUNCTION("""COMPUTED_VALUE"""),"")</f>
        <v/>
      </c>
      <c r="C717" s="163"/>
      <c r="D717" s="212"/>
      <c r="E717" s="212"/>
      <c r="F717" s="212"/>
      <c r="G717" s="212"/>
      <c r="H717" s="212"/>
      <c r="I717" s="212"/>
      <c r="J717" s="212"/>
      <c r="K717" s="212"/>
      <c r="L717" s="212"/>
      <c r="M717" s="212"/>
      <c r="N717" s="212"/>
      <c r="O717" s="212"/>
      <c r="P717" s="212"/>
      <c r="Q717" s="212"/>
      <c r="R717" s="212"/>
    </row>
    <row r="718">
      <c r="A718" s="163"/>
      <c r="B718" s="163" t="str">
        <f>IFERROR(__xludf.DUMMYFUNCTION("""COMPUTED_VALUE"""),"")</f>
        <v/>
      </c>
      <c r="C718" s="163"/>
      <c r="D718" s="212"/>
      <c r="E718" s="212"/>
      <c r="F718" s="212"/>
      <c r="G718" s="212"/>
      <c r="H718" s="212"/>
      <c r="I718" s="212"/>
      <c r="J718" s="212"/>
      <c r="K718" s="212"/>
      <c r="L718" s="212"/>
      <c r="M718" s="212"/>
      <c r="N718" s="212"/>
      <c r="O718" s="212"/>
      <c r="P718" s="212"/>
      <c r="Q718" s="212"/>
      <c r="R718" s="212"/>
    </row>
    <row r="719">
      <c r="A719" s="163"/>
      <c r="B719" s="163" t="str">
        <f>IFERROR(__xludf.DUMMYFUNCTION("""COMPUTED_VALUE"""),"")</f>
        <v/>
      </c>
      <c r="C719" s="163"/>
      <c r="D719" s="212"/>
      <c r="E719" s="212"/>
      <c r="F719" s="212"/>
      <c r="G719" s="212"/>
      <c r="H719" s="212"/>
      <c r="I719" s="212"/>
      <c r="J719" s="212"/>
      <c r="K719" s="212"/>
      <c r="L719" s="212"/>
      <c r="M719" s="212"/>
      <c r="N719" s="212"/>
      <c r="O719" s="212"/>
      <c r="P719" s="212"/>
      <c r="Q719" s="212"/>
      <c r="R719" s="212"/>
    </row>
    <row r="720">
      <c r="A720" s="163"/>
      <c r="B720" s="163" t="str">
        <f>IFERROR(__xludf.DUMMYFUNCTION("""COMPUTED_VALUE"""),"")</f>
        <v/>
      </c>
      <c r="C720" s="163"/>
      <c r="D720" s="212"/>
      <c r="E720" s="212"/>
      <c r="F720" s="212"/>
      <c r="G720" s="212"/>
      <c r="H720" s="212"/>
      <c r="I720" s="212"/>
      <c r="J720" s="212"/>
      <c r="K720" s="212"/>
      <c r="L720" s="212"/>
      <c r="M720" s="212"/>
      <c r="N720" s="212"/>
      <c r="O720" s="212"/>
      <c r="P720" s="212"/>
      <c r="Q720" s="212"/>
      <c r="R720" s="212"/>
    </row>
    <row r="721">
      <c r="A721" s="163"/>
      <c r="B721" s="163" t="str">
        <f>IFERROR(__xludf.DUMMYFUNCTION("""COMPUTED_VALUE"""),"")</f>
        <v/>
      </c>
      <c r="C721" s="163"/>
      <c r="D721" s="212"/>
      <c r="E721" s="212"/>
      <c r="F721" s="212"/>
      <c r="G721" s="212"/>
      <c r="H721" s="212"/>
      <c r="I721" s="212"/>
      <c r="J721" s="212"/>
      <c r="K721" s="212"/>
      <c r="L721" s="212"/>
      <c r="M721" s="212"/>
      <c r="N721" s="212"/>
      <c r="O721" s="212"/>
      <c r="P721" s="212"/>
      <c r="Q721" s="212"/>
      <c r="R721" s="212"/>
    </row>
    <row r="722">
      <c r="A722" s="163"/>
      <c r="B722" s="163" t="str">
        <f>IFERROR(__xludf.DUMMYFUNCTION("""COMPUTED_VALUE"""),"")</f>
        <v/>
      </c>
      <c r="C722" s="163"/>
      <c r="D722" s="212"/>
      <c r="E722" s="212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212"/>
      <c r="Q722" s="212"/>
      <c r="R722" s="212"/>
    </row>
    <row r="723">
      <c r="A723" s="163"/>
      <c r="B723" s="163" t="str">
        <f>IFERROR(__xludf.DUMMYFUNCTION("""COMPUTED_VALUE"""),"")</f>
        <v/>
      </c>
      <c r="C723" s="163"/>
      <c r="D723" s="212"/>
      <c r="E723" s="212"/>
      <c r="F723" s="212"/>
      <c r="G723" s="212"/>
      <c r="H723" s="212"/>
      <c r="I723" s="212"/>
      <c r="J723" s="212"/>
      <c r="K723" s="212"/>
      <c r="L723" s="212"/>
      <c r="M723" s="212"/>
      <c r="N723" s="212"/>
      <c r="O723" s="212"/>
      <c r="P723" s="212"/>
      <c r="Q723" s="212"/>
      <c r="R723" s="212"/>
    </row>
    <row r="724">
      <c r="A724" s="163"/>
      <c r="B724" s="163" t="str">
        <f>IFERROR(__xludf.DUMMYFUNCTION("""COMPUTED_VALUE"""),"")</f>
        <v/>
      </c>
      <c r="C724" s="163"/>
      <c r="D724" s="212"/>
      <c r="E724" s="212"/>
      <c r="F724" s="212"/>
      <c r="G724" s="212"/>
      <c r="H724" s="212"/>
      <c r="I724" s="212"/>
      <c r="J724" s="212"/>
      <c r="K724" s="212"/>
      <c r="L724" s="212"/>
      <c r="M724" s="212"/>
      <c r="N724" s="212"/>
      <c r="O724" s="212"/>
      <c r="P724" s="212"/>
      <c r="Q724" s="212"/>
      <c r="R724" s="212"/>
    </row>
    <row r="725">
      <c r="A725" s="163"/>
      <c r="B725" s="163" t="str">
        <f>IFERROR(__xludf.DUMMYFUNCTION("""COMPUTED_VALUE"""),"")</f>
        <v/>
      </c>
      <c r="C725" s="163"/>
      <c r="D725" s="212"/>
      <c r="E725" s="212"/>
      <c r="F725" s="212"/>
      <c r="G725" s="212"/>
      <c r="H725" s="212"/>
      <c r="I725" s="212"/>
      <c r="J725" s="212"/>
      <c r="K725" s="212"/>
      <c r="L725" s="212"/>
      <c r="M725" s="212"/>
      <c r="N725" s="212"/>
      <c r="O725" s="212"/>
      <c r="P725" s="212"/>
      <c r="Q725" s="212"/>
      <c r="R725" s="212"/>
    </row>
    <row r="726">
      <c r="A726" s="163"/>
      <c r="B726" s="163" t="str">
        <f>IFERROR(__xludf.DUMMYFUNCTION("""COMPUTED_VALUE"""),"")</f>
        <v/>
      </c>
      <c r="C726" s="163"/>
      <c r="D726" s="212"/>
      <c r="E726" s="212"/>
      <c r="F726" s="212"/>
      <c r="G726" s="212"/>
      <c r="H726" s="212"/>
      <c r="I726" s="212"/>
      <c r="J726" s="212"/>
      <c r="K726" s="212"/>
      <c r="L726" s="212"/>
      <c r="M726" s="212"/>
      <c r="N726" s="212"/>
      <c r="O726" s="212"/>
      <c r="P726" s="212"/>
      <c r="Q726" s="212"/>
      <c r="R726" s="212"/>
    </row>
    <row r="727">
      <c r="A727" s="163"/>
      <c r="B727" s="163" t="str">
        <f>IFERROR(__xludf.DUMMYFUNCTION("""COMPUTED_VALUE"""),"")</f>
        <v/>
      </c>
      <c r="C727" s="163"/>
      <c r="D727" s="212"/>
      <c r="E727" s="212"/>
      <c r="F727" s="212"/>
      <c r="G727" s="212"/>
      <c r="H727" s="212"/>
      <c r="I727" s="212"/>
      <c r="J727" s="212"/>
      <c r="K727" s="212"/>
      <c r="L727" s="212"/>
      <c r="M727" s="212"/>
      <c r="N727" s="212"/>
      <c r="O727" s="212"/>
      <c r="P727" s="212"/>
      <c r="Q727" s="212"/>
      <c r="R727" s="212"/>
    </row>
    <row r="728">
      <c r="A728" s="163"/>
      <c r="B728" s="163" t="str">
        <f>IFERROR(__xludf.DUMMYFUNCTION("""COMPUTED_VALUE"""),"")</f>
        <v/>
      </c>
      <c r="C728" s="163"/>
      <c r="D728" s="212"/>
      <c r="E728" s="212"/>
      <c r="F728" s="212"/>
      <c r="G728" s="212"/>
      <c r="H728" s="212"/>
      <c r="I728" s="212"/>
      <c r="J728" s="212"/>
      <c r="K728" s="212"/>
      <c r="L728" s="212"/>
      <c r="M728" s="212"/>
      <c r="N728" s="212"/>
      <c r="O728" s="212"/>
      <c r="P728" s="212"/>
      <c r="Q728" s="212"/>
      <c r="R728" s="212"/>
    </row>
    <row r="729">
      <c r="A729" s="163"/>
      <c r="B729" s="163" t="str">
        <f>IFERROR(__xludf.DUMMYFUNCTION("""COMPUTED_VALUE"""),"")</f>
        <v/>
      </c>
      <c r="C729" s="163"/>
      <c r="D729" s="212"/>
      <c r="E729" s="212"/>
      <c r="F729" s="212"/>
      <c r="G729" s="212"/>
      <c r="H729" s="212"/>
      <c r="I729" s="212"/>
      <c r="J729" s="212"/>
      <c r="K729" s="212"/>
      <c r="L729" s="212"/>
      <c r="M729" s="212"/>
      <c r="N729" s="212"/>
      <c r="O729" s="212"/>
      <c r="P729" s="212"/>
      <c r="Q729" s="212"/>
      <c r="R729" s="212"/>
    </row>
    <row r="730">
      <c r="A730" s="163"/>
      <c r="B730" s="163" t="str">
        <f>IFERROR(__xludf.DUMMYFUNCTION("""COMPUTED_VALUE"""),"")</f>
        <v/>
      </c>
      <c r="C730" s="163"/>
      <c r="D730" s="212"/>
      <c r="E730" s="212"/>
      <c r="F730" s="212"/>
      <c r="G730" s="212"/>
      <c r="H730" s="212"/>
      <c r="I730" s="212"/>
      <c r="J730" s="212"/>
      <c r="K730" s="212"/>
      <c r="L730" s="212"/>
      <c r="M730" s="212"/>
      <c r="N730" s="212"/>
      <c r="O730" s="212"/>
      <c r="P730" s="212"/>
      <c r="Q730" s="212"/>
      <c r="R730" s="212"/>
    </row>
    <row r="731">
      <c r="A731" s="163"/>
      <c r="B731" s="163" t="str">
        <f>IFERROR(__xludf.DUMMYFUNCTION("""COMPUTED_VALUE"""),"")</f>
        <v/>
      </c>
      <c r="C731" s="163"/>
      <c r="D731" s="212"/>
      <c r="E731" s="212"/>
      <c r="F731" s="212"/>
      <c r="G731" s="212"/>
      <c r="H731" s="212"/>
      <c r="I731" s="212"/>
      <c r="J731" s="212"/>
      <c r="K731" s="212"/>
      <c r="L731" s="212"/>
      <c r="M731" s="212"/>
      <c r="N731" s="212"/>
      <c r="O731" s="212"/>
      <c r="P731" s="212"/>
      <c r="Q731" s="212"/>
      <c r="R731" s="212"/>
    </row>
    <row r="732">
      <c r="A732" s="163"/>
      <c r="B732" s="163" t="str">
        <f>IFERROR(__xludf.DUMMYFUNCTION("""COMPUTED_VALUE"""),"")</f>
        <v/>
      </c>
      <c r="C732" s="163"/>
      <c r="D732" s="212"/>
      <c r="E732" s="212"/>
      <c r="F732" s="212"/>
      <c r="G732" s="212"/>
      <c r="H732" s="212"/>
      <c r="I732" s="212"/>
      <c r="J732" s="212"/>
      <c r="K732" s="212"/>
      <c r="L732" s="212"/>
      <c r="M732" s="212"/>
      <c r="N732" s="212"/>
      <c r="O732" s="212"/>
      <c r="P732" s="212"/>
      <c r="Q732" s="212"/>
      <c r="R732" s="212"/>
    </row>
    <row r="733">
      <c r="A733" s="163"/>
      <c r="B733" s="163" t="str">
        <f>IFERROR(__xludf.DUMMYFUNCTION("""COMPUTED_VALUE"""),"")</f>
        <v/>
      </c>
      <c r="C733" s="163"/>
      <c r="D733" s="212"/>
      <c r="E733" s="212"/>
      <c r="F733" s="212"/>
      <c r="G733" s="212"/>
      <c r="H733" s="212"/>
      <c r="I733" s="212"/>
      <c r="J733" s="212"/>
      <c r="K733" s="212"/>
      <c r="L733" s="212"/>
      <c r="M733" s="212"/>
      <c r="N733" s="212"/>
      <c r="O733" s="212"/>
      <c r="P733" s="212"/>
      <c r="Q733" s="212"/>
      <c r="R733" s="212"/>
    </row>
    <row r="734">
      <c r="A734" s="163"/>
      <c r="B734" s="163" t="str">
        <f>IFERROR(__xludf.DUMMYFUNCTION("""COMPUTED_VALUE"""),"")</f>
        <v/>
      </c>
      <c r="C734" s="163"/>
      <c r="D734" s="212"/>
      <c r="E734" s="212"/>
      <c r="F734" s="212"/>
      <c r="G734" s="212"/>
      <c r="H734" s="212"/>
      <c r="I734" s="212"/>
      <c r="J734" s="212"/>
      <c r="K734" s="212"/>
      <c r="L734" s="212"/>
      <c r="M734" s="212"/>
      <c r="N734" s="212"/>
      <c r="O734" s="212"/>
      <c r="P734" s="212"/>
      <c r="Q734" s="212"/>
      <c r="R734" s="212"/>
    </row>
    <row r="735">
      <c r="A735" s="163"/>
      <c r="B735" s="163" t="str">
        <f>IFERROR(__xludf.DUMMYFUNCTION("""COMPUTED_VALUE"""),"")</f>
        <v/>
      </c>
      <c r="C735" s="163"/>
      <c r="D735" s="212"/>
      <c r="E735" s="212"/>
      <c r="F735" s="212"/>
      <c r="G735" s="212"/>
      <c r="H735" s="212"/>
      <c r="I735" s="212"/>
      <c r="J735" s="212"/>
      <c r="K735" s="212"/>
      <c r="L735" s="212"/>
      <c r="M735" s="212"/>
      <c r="N735" s="212"/>
      <c r="O735" s="212"/>
      <c r="P735" s="212"/>
      <c r="Q735" s="212"/>
      <c r="R735" s="212"/>
    </row>
    <row r="736">
      <c r="A736" s="163"/>
      <c r="B736" s="163" t="str">
        <f>IFERROR(__xludf.DUMMYFUNCTION("""COMPUTED_VALUE"""),"")</f>
        <v/>
      </c>
      <c r="C736" s="163"/>
      <c r="D736" s="212"/>
      <c r="E736" s="212"/>
      <c r="F736" s="212"/>
      <c r="G736" s="212"/>
      <c r="H736" s="212"/>
      <c r="I736" s="212"/>
      <c r="J736" s="212"/>
      <c r="K736" s="212"/>
      <c r="L736" s="212"/>
      <c r="M736" s="212"/>
      <c r="N736" s="212"/>
      <c r="O736" s="212"/>
      <c r="P736" s="212"/>
      <c r="Q736" s="212"/>
      <c r="R736" s="212"/>
    </row>
    <row r="737">
      <c r="A737" s="163"/>
      <c r="B737" s="163" t="str">
        <f>IFERROR(__xludf.DUMMYFUNCTION("""COMPUTED_VALUE"""),"")</f>
        <v/>
      </c>
      <c r="C737" s="163"/>
      <c r="D737" s="212"/>
      <c r="E737" s="212"/>
      <c r="F737" s="212"/>
      <c r="G737" s="212"/>
      <c r="H737" s="212"/>
      <c r="I737" s="212"/>
      <c r="J737" s="212"/>
      <c r="K737" s="212"/>
      <c r="L737" s="212"/>
      <c r="M737" s="212"/>
      <c r="N737" s="212"/>
      <c r="O737" s="212"/>
      <c r="P737" s="212"/>
      <c r="Q737" s="212"/>
      <c r="R737" s="212"/>
    </row>
    <row r="738">
      <c r="A738" s="163"/>
      <c r="B738" s="163" t="str">
        <f>IFERROR(__xludf.DUMMYFUNCTION("""COMPUTED_VALUE"""),"")</f>
        <v/>
      </c>
      <c r="C738" s="163"/>
      <c r="D738" s="212"/>
      <c r="E738" s="212"/>
      <c r="F738" s="212"/>
      <c r="G738" s="212"/>
      <c r="H738" s="212"/>
      <c r="I738" s="212"/>
      <c r="J738" s="212"/>
      <c r="K738" s="212"/>
      <c r="L738" s="212"/>
      <c r="M738" s="212"/>
      <c r="N738" s="212"/>
      <c r="O738" s="212"/>
      <c r="P738" s="212"/>
      <c r="Q738" s="212"/>
      <c r="R738" s="212"/>
    </row>
    <row r="739">
      <c r="A739" s="163"/>
      <c r="B739" s="163" t="str">
        <f>IFERROR(__xludf.DUMMYFUNCTION("""COMPUTED_VALUE"""),"")</f>
        <v/>
      </c>
      <c r="C739" s="163"/>
      <c r="D739" s="212"/>
      <c r="E739" s="212"/>
      <c r="F739" s="212"/>
      <c r="G739" s="212"/>
      <c r="H739" s="212"/>
      <c r="I739" s="212"/>
      <c r="J739" s="212"/>
      <c r="K739" s="212"/>
      <c r="L739" s="212"/>
      <c r="M739" s="212"/>
      <c r="N739" s="212"/>
      <c r="O739" s="212"/>
      <c r="P739" s="212"/>
      <c r="Q739" s="212"/>
      <c r="R739" s="212"/>
    </row>
    <row r="740">
      <c r="A740" s="163"/>
      <c r="B740" s="163" t="str">
        <f>IFERROR(__xludf.DUMMYFUNCTION("""COMPUTED_VALUE"""),"")</f>
        <v/>
      </c>
      <c r="C740" s="163"/>
      <c r="D740" s="212"/>
      <c r="E740" s="212"/>
      <c r="F740" s="212"/>
      <c r="G740" s="212"/>
      <c r="H740" s="212"/>
      <c r="I740" s="212"/>
      <c r="J740" s="212"/>
      <c r="K740" s="212"/>
      <c r="L740" s="212"/>
      <c r="M740" s="212"/>
      <c r="N740" s="212"/>
      <c r="O740" s="212"/>
      <c r="P740" s="212"/>
      <c r="Q740" s="212"/>
      <c r="R740" s="212"/>
    </row>
    <row r="741">
      <c r="A741" s="163"/>
      <c r="B741" s="163" t="str">
        <f>IFERROR(__xludf.DUMMYFUNCTION("""COMPUTED_VALUE"""),"")</f>
        <v/>
      </c>
      <c r="C741" s="163"/>
      <c r="D741" s="212"/>
      <c r="E741" s="212"/>
      <c r="F741" s="212"/>
      <c r="G741" s="212"/>
      <c r="H741" s="212"/>
      <c r="I741" s="212"/>
      <c r="J741" s="212"/>
      <c r="K741" s="212"/>
      <c r="L741" s="212"/>
      <c r="M741" s="212"/>
      <c r="N741" s="212"/>
      <c r="O741" s="212"/>
      <c r="P741" s="212"/>
      <c r="Q741" s="212"/>
      <c r="R741" s="212"/>
    </row>
    <row r="742">
      <c r="A742" s="163"/>
      <c r="B742" s="163" t="str">
        <f>IFERROR(__xludf.DUMMYFUNCTION("""COMPUTED_VALUE"""),"")</f>
        <v/>
      </c>
      <c r="C742" s="163"/>
      <c r="D742" s="212"/>
      <c r="E742" s="212"/>
      <c r="F742" s="212"/>
      <c r="G742" s="212"/>
      <c r="H742" s="212"/>
      <c r="I742" s="212"/>
      <c r="J742" s="212"/>
      <c r="K742" s="212"/>
      <c r="L742" s="212"/>
      <c r="M742" s="212"/>
      <c r="N742" s="212"/>
      <c r="O742" s="212"/>
      <c r="P742" s="212"/>
      <c r="Q742" s="212"/>
      <c r="R742" s="212"/>
    </row>
    <row r="743">
      <c r="A743" s="163"/>
      <c r="B743" s="163" t="str">
        <f>IFERROR(__xludf.DUMMYFUNCTION("""COMPUTED_VALUE"""),"")</f>
        <v/>
      </c>
      <c r="C743" s="163"/>
      <c r="D743" s="212"/>
      <c r="E743" s="212"/>
      <c r="F743" s="212"/>
      <c r="G743" s="212"/>
      <c r="H743" s="212"/>
      <c r="I743" s="212"/>
      <c r="J743" s="212"/>
      <c r="K743" s="212"/>
      <c r="L743" s="212"/>
      <c r="M743" s="212"/>
      <c r="N743" s="212"/>
      <c r="O743" s="212"/>
      <c r="P743" s="212"/>
      <c r="Q743" s="212"/>
      <c r="R743" s="212"/>
    </row>
    <row r="744">
      <c r="A744" s="163"/>
      <c r="B744" s="163" t="str">
        <f>IFERROR(__xludf.DUMMYFUNCTION("""COMPUTED_VALUE"""),"")</f>
        <v/>
      </c>
      <c r="C744" s="163"/>
      <c r="D744" s="212"/>
      <c r="E744" s="212"/>
      <c r="F744" s="212"/>
      <c r="G744" s="212"/>
      <c r="H744" s="212"/>
      <c r="I744" s="212"/>
      <c r="J744" s="212"/>
      <c r="K744" s="212"/>
      <c r="L744" s="212"/>
      <c r="M744" s="212"/>
      <c r="N744" s="212"/>
      <c r="O744" s="212"/>
      <c r="P744" s="212"/>
      <c r="Q744" s="212"/>
      <c r="R744" s="212"/>
    </row>
    <row r="745">
      <c r="A745" s="163"/>
      <c r="B745" s="163" t="str">
        <f>IFERROR(__xludf.DUMMYFUNCTION("""COMPUTED_VALUE"""),"")</f>
        <v/>
      </c>
      <c r="C745" s="163"/>
      <c r="D745" s="212"/>
      <c r="E745" s="212"/>
      <c r="F745" s="212"/>
      <c r="G745" s="212"/>
      <c r="H745" s="212"/>
      <c r="I745" s="212"/>
      <c r="J745" s="212"/>
      <c r="K745" s="212"/>
      <c r="L745" s="212"/>
      <c r="M745" s="212"/>
      <c r="N745" s="212"/>
      <c r="O745" s="212"/>
      <c r="P745" s="212"/>
      <c r="Q745" s="212"/>
      <c r="R745" s="212"/>
    </row>
    <row r="746">
      <c r="A746" s="163"/>
      <c r="B746" s="163" t="str">
        <f>IFERROR(__xludf.DUMMYFUNCTION("""COMPUTED_VALUE"""),"")</f>
        <v/>
      </c>
      <c r="C746" s="163"/>
      <c r="D746" s="212"/>
      <c r="E746" s="212"/>
      <c r="F746" s="212"/>
      <c r="G746" s="212"/>
      <c r="H746" s="212"/>
      <c r="I746" s="212"/>
      <c r="J746" s="212"/>
      <c r="K746" s="212"/>
      <c r="L746" s="212"/>
      <c r="M746" s="212"/>
      <c r="N746" s="212"/>
      <c r="O746" s="212"/>
      <c r="P746" s="212"/>
      <c r="Q746" s="212"/>
      <c r="R746" s="212"/>
    </row>
    <row r="747">
      <c r="A747" s="163"/>
      <c r="B747" s="163" t="str">
        <f>IFERROR(__xludf.DUMMYFUNCTION("""COMPUTED_VALUE"""),"")</f>
        <v/>
      </c>
      <c r="C747" s="163"/>
      <c r="D747" s="212"/>
      <c r="E747" s="212"/>
      <c r="F747" s="212"/>
      <c r="G747" s="212"/>
      <c r="H747" s="212"/>
      <c r="I747" s="212"/>
      <c r="J747" s="212"/>
      <c r="K747" s="212"/>
      <c r="L747" s="212"/>
      <c r="M747" s="212"/>
      <c r="N747" s="212"/>
      <c r="O747" s="212"/>
      <c r="P747" s="212"/>
      <c r="Q747" s="212"/>
      <c r="R747" s="212"/>
    </row>
    <row r="748">
      <c r="A748" s="163"/>
      <c r="B748" s="163" t="str">
        <f>IFERROR(__xludf.DUMMYFUNCTION("""COMPUTED_VALUE"""),"")</f>
        <v/>
      </c>
      <c r="C748" s="163"/>
      <c r="D748" s="212"/>
      <c r="E748" s="212"/>
      <c r="F748" s="212"/>
      <c r="G748" s="212"/>
      <c r="H748" s="212"/>
      <c r="I748" s="212"/>
      <c r="J748" s="212"/>
      <c r="K748" s="212"/>
      <c r="L748" s="212"/>
      <c r="M748" s="212"/>
      <c r="N748" s="212"/>
      <c r="O748" s="212"/>
      <c r="P748" s="212"/>
      <c r="Q748" s="212"/>
      <c r="R748" s="212"/>
    </row>
    <row r="749">
      <c r="A749" s="163"/>
      <c r="B749" s="163" t="str">
        <f>IFERROR(__xludf.DUMMYFUNCTION("""COMPUTED_VALUE"""),"")</f>
        <v/>
      </c>
      <c r="C749" s="163"/>
      <c r="D749" s="212"/>
      <c r="E749" s="212"/>
      <c r="F749" s="212"/>
      <c r="G749" s="212"/>
      <c r="H749" s="212"/>
      <c r="I749" s="212"/>
      <c r="J749" s="212"/>
      <c r="K749" s="212"/>
      <c r="L749" s="212"/>
      <c r="M749" s="212"/>
      <c r="N749" s="212"/>
      <c r="O749" s="212"/>
      <c r="P749" s="212"/>
      <c r="Q749" s="212"/>
      <c r="R749" s="212"/>
    </row>
    <row r="750">
      <c r="A750" s="163"/>
      <c r="B750" s="163" t="str">
        <f>IFERROR(__xludf.DUMMYFUNCTION("""COMPUTED_VALUE"""),"")</f>
        <v/>
      </c>
      <c r="C750" s="163"/>
      <c r="D750" s="212"/>
      <c r="E750" s="212"/>
      <c r="F750" s="212"/>
      <c r="G750" s="212"/>
      <c r="H750" s="212"/>
      <c r="I750" s="212"/>
      <c r="J750" s="212"/>
      <c r="K750" s="212"/>
      <c r="L750" s="212"/>
      <c r="M750" s="212"/>
      <c r="N750" s="212"/>
      <c r="O750" s="212"/>
      <c r="P750" s="212"/>
      <c r="Q750" s="212"/>
      <c r="R750" s="212"/>
    </row>
    <row r="751">
      <c r="A751" s="163"/>
      <c r="B751" s="163" t="str">
        <f>IFERROR(__xludf.DUMMYFUNCTION("""COMPUTED_VALUE"""),"")</f>
        <v/>
      </c>
      <c r="C751" s="163"/>
      <c r="D751" s="212"/>
      <c r="E751" s="212"/>
      <c r="F751" s="212"/>
      <c r="G751" s="212"/>
      <c r="H751" s="212"/>
      <c r="I751" s="212"/>
      <c r="J751" s="212"/>
      <c r="K751" s="212"/>
      <c r="L751" s="212"/>
      <c r="M751" s="212"/>
      <c r="N751" s="212"/>
      <c r="O751" s="212"/>
      <c r="P751" s="212"/>
      <c r="Q751" s="212"/>
      <c r="R751" s="212"/>
    </row>
    <row r="752">
      <c r="A752" s="163"/>
      <c r="B752" s="163" t="str">
        <f>IFERROR(__xludf.DUMMYFUNCTION("""COMPUTED_VALUE"""),"")</f>
        <v/>
      </c>
      <c r="C752" s="163"/>
      <c r="D752" s="212"/>
      <c r="E752" s="212"/>
      <c r="F752" s="212"/>
      <c r="G752" s="212"/>
      <c r="H752" s="212"/>
      <c r="I752" s="212"/>
      <c r="J752" s="212"/>
      <c r="K752" s="212"/>
      <c r="L752" s="212"/>
      <c r="M752" s="212"/>
      <c r="N752" s="212"/>
      <c r="O752" s="212"/>
      <c r="P752" s="212"/>
      <c r="Q752" s="212"/>
      <c r="R752" s="212"/>
    </row>
    <row r="753">
      <c r="A753" s="163"/>
      <c r="B753" s="163" t="str">
        <f>IFERROR(__xludf.DUMMYFUNCTION("""COMPUTED_VALUE"""),"")</f>
        <v/>
      </c>
      <c r="C753" s="163"/>
      <c r="D753" s="212"/>
      <c r="E753" s="212"/>
      <c r="F753" s="212"/>
      <c r="G753" s="212"/>
      <c r="H753" s="212"/>
      <c r="I753" s="212"/>
      <c r="J753" s="212"/>
      <c r="K753" s="212"/>
      <c r="L753" s="212"/>
      <c r="M753" s="212"/>
      <c r="N753" s="212"/>
      <c r="O753" s="212"/>
      <c r="P753" s="212"/>
      <c r="Q753" s="212"/>
      <c r="R753" s="212"/>
    </row>
    <row r="754">
      <c r="A754" s="163"/>
      <c r="B754" s="163" t="str">
        <f>IFERROR(__xludf.DUMMYFUNCTION("""COMPUTED_VALUE"""),"")</f>
        <v/>
      </c>
      <c r="C754" s="163"/>
      <c r="D754" s="212"/>
      <c r="E754" s="212"/>
      <c r="F754" s="212"/>
      <c r="G754" s="212"/>
      <c r="H754" s="212"/>
      <c r="I754" s="212"/>
      <c r="J754" s="212"/>
      <c r="K754" s="212"/>
      <c r="L754" s="212"/>
      <c r="M754" s="212"/>
      <c r="N754" s="212"/>
      <c r="O754" s="212"/>
      <c r="P754" s="212"/>
      <c r="Q754" s="212"/>
      <c r="R754" s="212"/>
    </row>
    <row r="755">
      <c r="A755" s="163"/>
      <c r="B755" s="163" t="str">
        <f>IFERROR(__xludf.DUMMYFUNCTION("""COMPUTED_VALUE"""),"")</f>
        <v/>
      </c>
      <c r="C755" s="163"/>
      <c r="D755" s="212"/>
      <c r="E755" s="212"/>
      <c r="F755" s="212"/>
      <c r="G755" s="212"/>
      <c r="H755" s="212"/>
      <c r="I755" s="212"/>
      <c r="J755" s="212"/>
      <c r="K755" s="212"/>
      <c r="L755" s="212"/>
      <c r="M755" s="212"/>
      <c r="N755" s="212"/>
      <c r="O755" s="212"/>
      <c r="P755" s="212"/>
      <c r="Q755" s="212"/>
      <c r="R755" s="212"/>
    </row>
    <row r="756">
      <c r="A756" s="163"/>
      <c r="B756" s="163" t="str">
        <f>IFERROR(__xludf.DUMMYFUNCTION("""COMPUTED_VALUE"""),"")</f>
        <v/>
      </c>
      <c r="C756" s="163"/>
      <c r="D756" s="212"/>
      <c r="E756" s="212"/>
      <c r="F756" s="212"/>
      <c r="G756" s="212"/>
      <c r="H756" s="212"/>
      <c r="I756" s="212"/>
      <c r="J756" s="212"/>
      <c r="K756" s="212"/>
      <c r="L756" s="212"/>
      <c r="M756" s="212"/>
      <c r="N756" s="212"/>
      <c r="O756" s="212"/>
      <c r="P756" s="212"/>
      <c r="Q756" s="212"/>
      <c r="R756" s="212"/>
    </row>
    <row r="757">
      <c r="A757" s="163"/>
      <c r="B757" s="163" t="str">
        <f>IFERROR(__xludf.DUMMYFUNCTION("""COMPUTED_VALUE"""),"")</f>
        <v/>
      </c>
      <c r="C757" s="163"/>
      <c r="D757" s="212"/>
      <c r="E757" s="212"/>
      <c r="F757" s="212"/>
      <c r="G757" s="212"/>
      <c r="H757" s="212"/>
      <c r="I757" s="212"/>
      <c r="J757" s="212"/>
      <c r="K757" s="212"/>
      <c r="L757" s="212"/>
      <c r="M757" s="212"/>
      <c r="N757" s="212"/>
      <c r="O757" s="212"/>
      <c r="P757" s="212"/>
      <c r="Q757" s="212"/>
      <c r="R757" s="212"/>
    </row>
    <row r="758">
      <c r="A758" s="163"/>
      <c r="B758" s="163" t="str">
        <f>IFERROR(__xludf.DUMMYFUNCTION("""COMPUTED_VALUE"""),"")</f>
        <v/>
      </c>
      <c r="C758" s="163"/>
      <c r="D758" s="212"/>
      <c r="E758" s="212"/>
      <c r="F758" s="212"/>
      <c r="G758" s="212"/>
      <c r="H758" s="212"/>
      <c r="I758" s="212"/>
      <c r="J758" s="212"/>
      <c r="K758" s="212"/>
      <c r="L758" s="212"/>
      <c r="M758" s="212"/>
      <c r="N758" s="212"/>
      <c r="O758" s="212"/>
      <c r="P758" s="212"/>
      <c r="Q758" s="212"/>
      <c r="R758" s="212"/>
    </row>
    <row r="759">
      <c r="A759" s="163"/>
      <c r="B759" s="163" t="str">
        <f>IFERROR(__xludf.DUMMYFUNCTION("""COMPUTED_VALUE"""),"")</f>
        <v/>
      </c>
      <c r="C759" s="163"/>
      <c r="D759" s="212"/>
      <c r="E759" s="212"/>
      <c r="F759" s="212"/>
      <c r="G759" s="212"/>
      <c r="H759" s="212"/>
      <c r="I759" s="212"/>
      <c r="J759" s="212"/>
      <c r="K759" s="212"/>
      <c r="L759" s="212"/>
      <c r="M759" s="212"/>
      <c r="N759" s="212"/>
      <c r="O759" s="212"/>
      <c r="P759" s="212"/>
      <c r="Q759" s="212"/>
      <c r="R759" s="212"/>
    </row>
    <row r="760">
      <c r="A760" s="163"/>
      <c r="B760" s="163" t="str">
        <f>IFERROR(__xludf.DUMMYFUNCTION("""COMPUTED_VALUE"""),"")</f>
        <v/>
      </c>
      <c r="C760" s="163"/>
      <c r="D760" s="212"/>
      <c r="E760" s="212"/>
      <c r="F760" s="212"/>
      <c r="G760" s="212"/>
      <c r="H760" s="212"/>
      <c r="I760" s="212"/>
      <c r="J760" s="212"/>
      <c r="K760" s="212"/>
      <c r="L760" s="212"/>
      <c r="M760" s="212"/>
      <c r="N760" s="212"/>
      <c r="O760" s="212"/>
      <c r="P760" s="212"/>
      <c r="Q760" s="212"/>
      <c r="R760" s="212"/>
    </row>
    <row r="761">
      <c r="A761" s="163"/>
      <c r="B761" s="163" t="str">
        <f>IFERROR(__xludf.DUMMYFUNCTION("""COMPUTED_VALUE"""),"")</f>
        <v/>
      </c>
      <c r="C761" s="163"/>
      <c r="D761" s="212"/>
      <c r="E761" s="212"/>
      <c r="F761" s="212"/>
      <c r="G761" s="212"/>
      <c r="H761" s="212"/>
      <c r="I761" s="212"/>
      <c r="J761" s="212"/>
      <c r="K761" s="212"/>
      <c r="L761" s="212"/>
      <c r="M761" s="212"/>
      <c r="N761" s="212"/>
      <c r="O761" s="212"/>
      <c r="P761" s="212"/>
      <c r="Q761" s="212"/>
      <c r="R761" s="212"/>
    </row>
    <row r="762">
      <c r="A762" s="163"/>
      <c r="B762" s="163" t="str">
        <f>IFERROR(__xludf.DUMMYFUNCTION("""COMPUTED_VALUE"""),"")</f>
        <v/>
      </c>
      <c r="C762" s="163"/>
      <c r="D762" s="212"/>
      <c r="E762" s="212"/>
      <c r="F762" s="212"/>
      <c r="G762" s="212"/>
      <c r="H762" s="212"/>
      <c r="I762" s="212"/>
      <c r="J762" s="212"/>
      <c r="K762" s="212"/>
      <c r="L762" s="212"/>
      <c r="M762" s="212"/>
      <c r="N762" s="212"/>
      <c r="O762" s="212"/>
      <c r="P762" s="212"/>
      <c r="Q762" s="212"/>
      <c r="R762" s="212"/>
    </row>
    <row r="763">
      <c r="A763" s="163"/>
      <c r="B763" s="163" t="str">
        <f>IFERROR(__xludf.DUMMYFUNCTION("""COMPUTED_VALUE"""),"")</f>
        <v/>
      </c>
      <c r="C763" s="163"/>
      <c r="D763" s="212"/>
      <c r="E763" s="212"/>
      <c r="F763" s="212"/>
      <c r="G763" s="212"/>
      <c r="H763" s="212"/>
      <c r="I763" s="212"/>
      <c r="J763" s="212"/>
      <c r="K763" s="212"/>
      <c r="L763" s="212"/>
      <c r="M763" s="212"/>
      <c r="N763" s="212"/>
      <c r="O763" s="212"/>
      <c r="P763" s="212"/>
      <c r="Q763" s="212"/>
      <c r="R763" s="212"/>
    </row>
    <row r="764">
      <c r="A764" s="163"/>
      <c r="B764" s="163" t="str">
        <f>IFERROR(__xludf.DUMMYFUNCTION("""COMPUTED_VALUE"""),"")</f>
        <v/>
      </c>
      <c r="C764" s="163"/>
      <c r="D764" s="212"/>
      <c r="E764" s="212"/>
      <c r="F764" s="212"/>
      <c r="G764" s="212"/>
      <c r="H764" s="212"/>
      <c r="I764" s="212"/>
      <c r="J764" s="212"/>
      <c r="K764" s="212"/>
      <c r="L764" s="212"/>
      <c r="M764" s="212"/>
      <c r="N764" s="212"/>
      <c r="O764" s="212"/>
      <c r="P764" s="212"/>
      <c r="Q764" s="212"/>
      <c r="R764" s="212"/>
    </row>
    <row r="765">
      <c r="A765" s="163"/>
      <c r="B765" s="163" t="str">
        <f>IFERROR(__xludf.DUMMYFUNCTION("""COMPUTED_VALUE"""),"")</f>
        <v/>
      </c>
      <c r="C765" s="163"/>
      <c r="D765" s="212"/>
      <c r="E765" s="212"/>
      <c r="F765" s="212"/>
      <c r="G765" s="212"/>
      <c r="H765" s="212"/>
      <c r="I765" s="212"/>
      <c r="J765" s="212"/>
      <c r="K765" s="212"/>
      <c r="L765" s="212"/>
      <c r="M765" s="212"/>
      <c r="N765" s="212"/>
      <c r="O765" s="212"/>
      <c r="P765" s="212"/>
      <c r="Q765" s="212"/>
      <c r="R765" s="212"/>
    </row>
    <row r="766">
      <c r="A766" s="163"/>
      <c r="B766" s="163" t="str">
        <f>IFERROR(__xludf.DUMMYFUNCTION("""COMPUTED_VALUE"""),"")</f>
        <v/>
      </c>
      <c r="C766" s="163"/>
      <c r="D766" s="212"/>
      <c r="E766" s="212"/>
      <c r="F766" s="212"/>
      <c r="G766" s="212"/>
      <c r="H766" s="212"/>
      <c r="I766" s="212"/>
      <c r="J766" s="212"/>
      <c r="K766" s="212"/>
      <c r="L766" s="212"/>
      <c r="M766" s="212"/>
      <c r="N766" s="212"/>
      <c r="O766" s="212"/>
      <c r="P766" s="212"/>
      <c r="Q766" s="212"/>
      <c r="R766" s="212"/>
    </row>
    <row r="767">
      <c r="A767" s="163"/>
      <c r="B767" s="163" t="str">
        <f>IFERROR(__xludf.DUMMYFUNCTION("""COMPUTED_VALUE"""),"")</f>
        <v/>
      </c>
      <c r="C767" s="163"/>
      <c r="D767" s="212"/>
      <c r="E767" s="212"/>
      <c r="F767" s="212"/>
      <c r="G767" s="212"/>
      <c r="H767" s="212"/>
      <c r="I767" s="212"/>
      <c r="J767" s="212"/>
      <c r="K767" s="212"/>
      <c r="L767" s="212"/>
      <c r="M767" s="212"/>
      <c r="N767" s="212"/>
      <c r="O767" s="212"/>
      <c r="P767" s="212"/>
      <c r="Q767" s="212"/>
      <c r="R767" s="212"/>
    </row>
    <row r="768">
      <c r="A768" s="163"/>
      <c r="B768" s="163" t="str">
        <f>IFERROR(__xludf.DUMMYFUNCTION("""COMPUTED_VALUE"""),"")</f>
        <v/>
      </c>
      <c r="C768" s="163"/>
      <c r="D768" s="212"/>
      <c r="E768" s="212"/>
      <c r="F768" s="212"/>
      <c r="G768" s="212"/>
      <c r="H768" s="212"/>
      <c r="I768" s="212"/>
      <c r="J768" s="212"/>
      <c r="K768" s="212"/>
      <c r="L768" s="212"/>
      <c r="M768" s="212"/>
      <c r="N768" s="212"/>
      <c r="O768" s="212"/>
      <c r="P768" s="212"/>
      <c r="Q768" s="212"/>
      <c r="R768" s="212"/>
    </row>
    <row r="769">
      <c r="A769" s="163"/>
      <c r="B769" s="163" t="str">
        <f>IFERROR(__xludf.DUMMYFUNCTION("""COMPUTED_VALUE"""),"")</f>
        <v/>
      </c>
      <c r="C769" s="163"/>
      <c r="D769" s="212"/>
      <c r="E769" s="212"/>
      <c r="F769" s="212"/>
      <c r="G769" s="212"/>
      <c r="H769" s="212"/>
      <c r="I769" s="212"/>
      <c r="J769" s="212"/>
      <c r="K769" s="212"/>
      <c r="L769" s="212"/>
      <c r="M769" s="212"/>
      <c r="N769" s="212"/>
      <c r="O769" s="212"/>
      <c r="P769" s="212"/>
      <c r="Q769" s="212"/>
      <c r="R769" s="212"/>
    </row>
    <row r="770">
      <c r="A770" s="163"/>
      <c r="B770" s="163" t="str">
        <f>IFERROR(__xludf.DUMMYFUNCTION("""COMPUTED_VALUE"""),"")</f>
        <v/>
      </c>
      <c r="C770" s="163"/>
      <c r="D770" s="212"/>
      <c r="E770" s="212"/>
      <c r="F770" s="212"/>
      <c r="G770" s="212"/>
      <c r="H770" s="212"/>
      <c r="I770" s="212"/>
      <c r="J770" s="212"/>
      <c r="K770" s="212"/>
      <c r="L770" s="212"/>
      <c r="M770" s="212"/>
      <c r="N770" s="212"/>
      <c r="O770" s="212"/>
      <c r="P770" s="212"/>
      <c r="Q770" s="212"/>
      <c r="R770" s="212"/>
    </row>
    <row r="771">
      <c r="A771" s="163"/>
      <c r="B771" s="163" t="str">
        <f>IFERROR(__xludf.DUMMYFUNCTION("""COMPUTED_VALUE"""),"")</f>
        <v/>
      </c>
      <c r="C771" s="163"/>
      <c r="D771" s="212"/>
      <c r="E771" s="212"/>
      <c r="F771" s="212"/>
      <c r="G771" s="212"/>
      <c r="H771" s="212"/>
      <c r="I771" s="212"/>
      <c r="J771" s="212"/>
      <c r="K771" s="212"/>
      <c r="L771" s="212"/>
      <c r="M771" s="212"/>
      <c r="N771" s="212"/>
      <c r="O771" s="212"/>
      <c r="P771" s="212"/>
      <c r="Q771" s="212"/>
      <c r="R771" s="212"/>
    </row>
    <row r="772">
      <c r="A772" s="163"/>
      <c r="B772" s="163" t="str">
        <f>IFERROR(__xludf.DUMMYFUNCTION("""COMPUTED_VALUE"""),"")</f>
        <v/>
      </c>
      <c r="C772" s="163"/>
      <c r="D772" s="212"/>
      <c r="E772" s="212"/>
      <c r="F772" s="212"/>
      <c r="G772" s="212"/>
      <c r="H772" s="212"/>
      <c r="I772" s="212"/>
      <c r="J772" s="212"/>
      <c r="K772" s="212"/>
      <c r="L772" s="212"/>
      <c r="M772" s="212"/>
      <c r="N772" s="212"/>
      <c r="O772" s="212"/>
      <c r="P772" s="212"/>
      <c r="Q772" s="212"/>
      <c r="R772" s="212"/>
    </row>
    <row r="773">
      <c r="A773" s="163"/>
      <c r="B773" s="163" t="str">
        <f>IFERROR(__xludf.DUMMYFUNCTION("""COMPUTED_VALUE"""),"")</f>
        <v/>
      </c>
      <c r="C773" s="163"/>
      <c r="D773" s="212"/>
      <c r="E773" s="212"/>
      <c r="F773" s="212"/>
      <c r="G773" s="212"/>
      <c r="H773" s="212"/>
      <c r="I773" s="212"/>
      <c r="J773" s="212"/>
      <c r="K773" s="212"/>
      <c r="L773" s="212"/>
      <c r="M773" s="212"/>
      <c r="N773" s="212"/>
      <c r="O773" s="212"/>
      <c r="P773" s="212"/>
      <c r="Q773" s="212"/>
      <c r="R773" s="212"/>
    </row>
    <row r="774">
      <c r="A774" s="163"/>
      <c r="B774" s="163" t="str">
        <f>IFERROR(__xludf.DUMMYFUNCTION("""COMPUTED_VALUE"""),"")</f>
        <v/>
      </c>
      <c r="C774" s="163"/>
      <c r="D774" s="212"/>
      <c r="E774" s="212"/>
      <c r="F774" s="212"/>
      <c r="G774" s="212"/>
      <c r="H774" s="212"/>
      <c r="I774" s="212"/>
      <c r="J774" s="212"/>
      <c r="K774" s="212"/>
      <c r="L774" s="212"/>
      <c r="M774" s="212"/>
      <c r="N774" s="212"/>
      <c r="O774" s="212"/>
      <c r="P774" s="212"/>
      <c r="Q774" s="212"/>
      <c r="R774" s="212"/>
    </row>
    <row r="775">
      <c r="A775" s="163"/>
      <c r="B775" s="163" t="str">
        <f>IFERROR(__xludf.DUMMYFUNCTION("""COMPUTED_VALUE"""),"")</f>
        <v/>
      </c>
      <c r="C775" s="163"/>
      <c r="D775" s="212"/>
      <c r="E775" s="212"/>
      <c r="F775" s="212"/>
      <c r="G775" s="212"/>
      <c r="H775" s="212"/>
      <c r="I775" s="212"/>
      <c r="J775" s="212"/>
      <c r="K775" s="212"/>
      <c r="L775" s="212"/>
      <c r="M775" s="212"/>
      <c r="N775" s="212"/>
      <c r="O775" s="212"/>
      <c r="P775" s="212"/>
      <c r="Q775" s="212"/>
      <c r="R775" s="212"/>
    </row>
    <row r="776">
      <c r="A776" s="163"/>
      <c r="B776" s="163" t="str">
        <f>IFERROR(__xludf.DUMMYFUNCTION("""COMPUTED_VALUE"""),"")</f>
        <v/>
      </c>
      <c r="C776" s="163"/>
      <c r="D776" s="212"/>
      <c r="E776" s="212"/>
      <c r="F776" s="212"/>
      <c r="G776" s="212"/>
      <c r="H776" s="212"/>
      <c r="I776" s="212"/>
      <c r="J776" s="212"/>
      <c r="K776" s="212"/>
      <c r="L776" s="212"/>
      <c r="M776" s="212"/>
      <c r="N776" s="212"/>
      <c r="O776" s="212"/>
      <c r="P776" s="212"/>
      <c r="Q776" s="212"/>
      <c r="R776" s="212"/>
    </row>
    <row r="777">
      <c r="A777" s="163"/>
      <c r="B777" s="163" t="str">
        <f>IFERROR(__xludf.DUMMYFUNCTION("""COMPUTED_VALUE"""),"")</f>
        <v/>
      </c>
      <c r="C777" s="163"/>
      <c r="D777" s="212"/>
      <c r="E777" s="212"/>
      <c r="F777" s="212"/>
      <c r="G777" s="212"/>
      <c r="H777" s="212"/>
      <c r="I777" s="212"/>
      <c r="J777" s="212"/>
      <c r="K777" s="212"/>
      <c r="L777" s="212"/>
      <c r="M777" s="212"/>
      <c r="N777" s="212"/>
      <c r="O777" s="212"/>
      <c r="P777" s="212"/>
      <c r="Q777" s="212"/>
      <c r="R777" s="212"/>
    </row>
    <row r="778">
      <c r="A778" s="163"/>
      <c r="B778" s="163" t="str">
        <f>IFERROR(__xludf.DUMMYFUNCTION("""COMPUTED_VALUE"""),"")</f>
        <v/>
      </c>
      <c r="C778" s="163"/>
      <c r="D778" s="212"/>
      <c r="E778" s="212"/>
      <c r="F778" s="212"/>
      <c r="G778" s="212"/>
      <c r="H778" s="212"/>
      <c r="I778" s="212"/>
      <c r="J778" s="212"/>
      <c r="K778" s="212"/>
      <c r="L778" s="212"/>
      <c r="M778" s="212"/>
      <c r="N778" s="212"/>
      <c r="O778" s="212"/>
      <c r="P778" s="212"/>
      <c r="Q778" s="212"/>
      <c r="R778" s="212"/>
    </row>
    <row r="779">
      <c r="A779" s="163"/>
      <c r="B779" s="163" t="str">
        <f>IFERROR(__xludf.DUMMYFUNCTION("""COMPUTED_VALUE"""),"")</f>
        <v/>
      </c>
      <c r="C779" s="163"/>
      <c r="D779" s="212"/>
      <c r="E779" s="212"/>
      <c r="F779" s="212"/>
      <c r="G779" s="212"/>
      <c r="H779" s="212"/>
      <c r="I779" s="212"/>
      <c r="J779" s="212"/>
      <c r="K779" s="212"/>
      <c r="L779" s="212"/>
      <c r="M779" s="212"/>
      <c r="N779" s="212"/>
      <c r="O779" s="212"/>
      <c r="P779" s="212"/>
      <c r="Q779" s="212"/>
      <c r="R779" s="212"/>
    </row>
    <row r="780">
      <c r="A780" s="163"/>
      <c r="B780" s="163" t="str">
        <f>IFERROR(__xludf.DUMMYFUNCTION("""COMPUTED_VALUE"""),"")</f>
        <v/>
      </c>
      <c r="C780" s="163"/>
      <c r="D780" s="212"/>
      <c r="E780" s="212"/>
      <c r="F780" s="212"/>
      <c r="G780" s="212"/>
      <c r="H780" s="212"/>
      <c r="I780" s="212"/>
      <c r="J780" s="212"/>
      <c r="K780" s="212"/>
      <c r="L780" s="212"/>
      <c r="M780" s="212"/>
      <c r="N780" s="212"/>
      <c r="O780" s="212"/>
      <c r="P780" s="212"/>
      <c r="Q780" s="212"/>
      <c r="R780" s="212"/>
    </row>
    <row r="781">
      <c r="A781" s="163"/>
      <c r="B781" s="163" t="str">
        <f>IFERROR(__xludf.DUMMYFUNCTION("""COMPUTED_VALUE"""),"")</f>
        <v/>
      </c>
      <c r="C781" s="163"/>
      <c r="D781" s="212"/>
      <c r="E781" s="212"/>
      <c r="F781" s="212"/>
      <c r="G781" s="212"/>
      <c r="H781" s="212"/>
      <c r="I781" s="212"/>
      <c r="J781" s="212"/>
      <c r="K781" s="212"/>
      <c r="L781" s="212"/>
      <c r="M781" s="212"/>
      <c r="N781" s="212"/>
      <c r="O781" s="212"/>
      <c r="P781" s="212"/>
      <c r="Q781" s="212"/>
      <c r="R781" s="212"/>
    </row>
    <row r="782">
      <c r="A782" s="163"/>
      <c r="B782" s="163" t="str">
        <f>IFERROR(__xludf.DUMMYFUNCTION("""COMPUTED_VALUE"""),"")</f>
        <v/>
      </c>
      <c r="C782" s="163"/>
      <c r="D782" s="212"/>
      <c r="E782" s="212"/>
      <c r="F782" s="212"/>
      <c r="G782" s="212"/>
      <c r="H782" s="212"/>
      <c r="I782" s="212"/>
      <c r="J782" s="212"/>
      <c r="K782" s="212"/>
      <c r="L782" s="212"/>
      <c r="M782" s="212"/>
      <c r="N782" s="212"/>
      <c r="O782" s="212"/>
      <c r="P782" s="212"/>
      <c r="Q782" s="212"/>
      <c r="R782" s="212"/>
    </row>
    <row r="783">
      <c r="A783" s="163"/>
      <c r="B783" s="163" t="str">
        <f>IFERROR(__xludf.DUMMYFUNCTION("""COMPUTED_VALUE"""),"")</f>
        <v/>
      </c>
      <c r="C783" s="163"/>
      <c r="D783" s="212"/>
      <c r="E783" s="212"/>
      <c r="F783" s="212"/>
      <c r="G783" s="212"/>
      <c r="H783" s="212"/>
      <c r="I783" s="212"/>
      <c r="J783" s="212"/>
      <c r="K783" s="212"/>
      <c r="L783" s="212"/>
      <c r="M783" s="212"/>
      <c r="N783" s="212"/>
      <c r="O783" s="212"/>
      <c r="P783" s="212"/>
      <c r="Q783" s="212"/>
      <c r="R783" s="212"/>
    </row>
    <row r="784">
      <c r="A784" s="163"/>
      <c r="B784" s="163" t="str">
        <f>IFERROR(__xludf.DUMMYFUNCTION("""COMPUTED_VALUE"""),"")</f>
        <v/>
      </c>
      <c r="C784" s="163"/>
      <c r="D784" s="212"/>
      <c r="E784" s="212"/>
      <c r="F784" s="212"/>
      <c r="G784" s="212"/>
      <c r="H784" s="212"/>
      <c r="I784" s="212"/>
      <c r="J784" s="212"/>
      <c r="K784" s="212"/>
      <c r="L784" s="212"/>
      <c r="M784" s="212"/>
      <c r="N784" s="212"/>
      <c r="O784" s="212"/>
      <c r="P784" s="212"/>
      <c r="Q784" s="212"/>
      <c r="R784" s="212"/>
    </row>
    <row r="785">
      <c r="A785" s="163"/>
      <c r="B785" s="163" t="str">
        <f>IFERROR(__xludf.DUMMYFUNCTION("""COMPUTED_VALUE"""),"")</f>
        <v/>
      </c>
      <c r="C785" s="163"/>
      <c r="D785" s="212"/>
      <c r="E785" s="212"/>
      <c r="F785" s="212"/>
      <c r="G785" s="212"/>
      <c r="H785" s="212"/>
      <c r="I785" s="212"/>
      <c r="J785" s="212"/>
      <c r="K785" s="212"/>
      <c r="L785" s="212"/>
      <c r="M785" s="212"/>
      <c r="N785" s="212"/>
      <c r="O785" s="212"/>
      <c r="P785" s="212"/>
      <c r="Q785" s="212"/>
      <c r="R785" s="212"/>
    </row>
    <row r="786">
      <c r="A786" s="163"/>
      <c r="B786" s="163" t="str">
        <f>IFERROR(__xludf.DUMMYFUNCTION("""COMPUTED_VALUE"""),"")</f>
        <v/>
      </c>
      <c r="C786" s="163"/>
      <c r="D786" s="212"/>
      <c r="E786" s="212"/>
      <c r="F786" s="212"/>
      <c r="G786" s="212"/>
      <c r="H786" s="212"/>
      <c r="I786" s="212"/>
      <c r="J786" s="212"/>
      <c r="K786" s="212"/>
      <c r="L786" s="212"/>
      <c r="M786" s="212"/>
      <c r="N786" s="212"/>
      <c r="O786" s="212"/>
      <c r="P786" s="212"/>
      <c r="Q786" s="212"/>
      <c r="R786" s="212"/>
    </row>
    <row r="787">
      <c r="A787" s="163"/>
      <c r="B787" s="163" t="str">
        <f>IFERROR(__xludf.DUMMYFUNCTION("""COMPUTED_VALUE"""),"")</f>
        <v/>
      </c>
      <c r="C787" s="163"/>
      <c r="D787" s="212"/>
      <c r="E787" s="212"/>
      <c r="F787" s="212"/>
      <c r="G787" s="212"/>
      <c r="H787" s="212"/>
      <c r="I787" s="212"/>
      <c r="J787" s="212"/>
      <c r="K787" s="212"/>
      <c r="L787" s="212"/>
      <c r="M787" s="212"/>
      <c r="N787" s="212"/>
      <c r="O787" s="212"/>
      <c r="P787" s="212"/>
      <c r="Q787" s="212"/>
      <c r="R787" s="212"/>
    </row>
    <row r="788">
      <c r="A788" s="163"/>
      <c r="B788" s="163" t="str">
        <f>IFERROR(__xludf.DUMMYFUNCTION("""COMPUTED_VALUE"""),"")</f>
        <v/>
      </c>
      <c r="C788" s="163"/>
      <c r="D788" s="212"/>
      <c r="E788" s="212"/>
      <c r="F788" s="212"/>
      <c r="G788" s="212"/>
      <c r="H788" s="212"/>
      <c r="I788" s="212"/>
      <c r="J788" s="212"/>
      <c r="K788" s="212"/>
      <c r="L788" s="212"/>
      <c r="M788" s="212"/>
      <c r="N788" s="212"/>
      <c r="O788" s="212"/>
      <c r="P788" s="212"/>
      <c r="Q788" s="212"/>
      <c r="R788" s="212"/>
    </row>
    <row r="789">
      <c r="A789" s="163"/>
      <c r="B789" s="163" t="str">
        <f>IFERROR(__xludf.DUMMYFUNCTION("""COMPUTED_VALUE"""),"")</f>
        <v/>
      </c>
      <c r="C789" s="163"/>
      <c r="D789" s="212"/>
      <c r="E789" s="212"/>
      <c r="F789" s="212"/>
      <c r="G789" s="212"/>
      <c r="H789" s="212"/>
      <c r="I789" s="212"/>
      <c r="J789" s="212"/>
      <c r="K789" s="212"/>
      <c r="L789" s="212"/>
      <c r="M789" s="212"/>
      <c r="N789" s="212"/>
      <c r="O789" s="212"/>
      <c r="P789" s="212"/>
      <c r="Q789" s="212"/>
      <c r="R789" s="212"/>
    </row>
    <row r="790">
      <c r="A790" s="163"/>
      <c r="B790" s="163" t="str">
        <f>IFERROR(__xludf.DUMMYFUNCTION("""COMPUTED_VALUE"""),"")</f>
        <v/>
      </c>
      <c r="C790" s="163"/>
      <c r="D790" s="212"/>
      <c r="E790" s="212"/>
      <c r="F790" s="212"/>
      <c r="G790" s="212"/>
      <c r="H790" s="212"/>
      <c r="I790" s="212"/>
      <c r="J790" s="212"/>
      <c r="K790" s="212"/>
      <c r="L790" s="212"/>
      <c r="M790" s="212"/>
      <c r="N790" s="212"/>
      <c r="O790" s="212"/>
      <c r="P790" s="212"/>
      <c r="Q790" s="212"/>
      <c r="R790" s="212"/>
    </row>
    <row r="791">
      <c r="A791" s="163"/>
      <c r="B791" s="163" t="str">
        <f>IFERROR(__xludf.DUMMYFUNCTION("""COMPUTED_VALUE"""),"")</f>
        <v/>
      </c>
      <c r="C791" s="163"/>
      <c r="D791" s="212"/>
      <c r="E791" s="212"/>
      <c r="F791" s="212"/>
      <c r="G791" s="212"/>
      <c r="H791" s="212"/>
      <c r="I791" s="212"/>
      <c r="J791" s="212"/>
      <c r="K791" s="212"/>
      <c r="L791" s="212"/>
      <c r="M791" s="212"/>
      <c r="N791" s="212"/>
      <c r="O791" s="212"/>
      <c r="P791" s="212"/>
      <c r="Q791" s="212"/>
      <c r="R791" s="212"/>
    </row>
    <row r="792">
      <c r="A792" s="163"/>
      <c r="B792" s="163" t="str">
        <f>IFERROR(__xludf.DUMMYFUNCTION("""COMPUTED_VALUE"""),"")</f>
        <v/>
      </c>
      <c r="C792" s="163"/>
      <c r="D792" s="212"/>
      <c r="E792" s="212"/>
      <c r="F792" s="212"/>
      <c r="G792" s="212"/>
      <c r="H792" s="212"/>
      <c r="I792" s="212"/>
      <c r="J792" s="212"/>
      <c r="K792" s="212"/>
      <c r="L792" s="212"/>
      <c r="M792" s="212"/>
      <c r="N792" s="212"/>
      <c r="O792" s="212"/>
      <c r="P792" s="212"/>
      <c r="Q792" s="212"/>
      <c r="R792" s="212"/>
    </row>
    <row r="793">
      <c r="A793" s="163"/>
      <c r="B793" s="163" t="str">
        <f>IFERROR(__xludf.DUMMYFUNCTION("""COMPUTED_VALUE"""),"")</f>
        <v/>
      </c>
      <c r="C793" s="163"/>
      <c r="D793" s="212"/>
      <c r="E793" s="212"/>
      <c r="F793" s="212"/>
      <c r="G793" s="212"/>
      <c r="H793" s="212"/>
      <c r="I793" s="212"/>
      <c r="J793" s="212"/>
      <c r="K793" s="212"/>
      <c r="L793" s="212"/>
      <c r="M793" s="212"/>
      <c r="N793" s="212"/>
      <c r="O793" s="212"/>
      <c r="P793" s="212"/>
      <c r="Q793" s="212"/>
      <c r="R793" s="212"/>
    </row>
    <row r="794">
      <c r="A794" s="163"/>
      <c r="B794" s="163" t="str">
        <f>IFERROR(__xludf.DUMMYFUNCTION("""COMPUTED_VALUE"""),"")</f>
        <v/>
      </c>
      <c r="C794" s="163"/>
      <c r="D794" s="212"/>
      <c r="E794" s="212"/>
      <c r="F794" s="212"/>
      <c r="G794" s="212"/>
      <c r="H794" s="212"/>
      <c r="I794" s="212"/>
      <c r="J794" s="212"/>
      <c r="K794" s="212"/>
      <c r="L794" s="212"/>
      <c r="M794" s="212"/>
      <c r="N794" s="212"/>
      <c r="O794" s="212"/>
      <c r="P794" s="212"/>
      <c r="Q794" s="212"/>
      <c r="R794" s="212"/>
    </row>
    <row r="795">
      <c r="A795" s="163"/>
      <c r="B795" s="163" t="str">
        <f>IFERROR(__xludf.DUMMYFUNCTION("""COMPUTED_VALUE"""),"")</f>
        <v/>
      </c>
      <c r="C795" s="163"/>
      <c r="D795" s="212"/>
      <c r="E795" s="212"/>
      <c r="F795" s="212"/>
      <c r="G795" s="212"/>
      <c r="H795" s="212"/>
      <c r="I795" s="212"/>
      <c r="J795" s="212"/>
      <c r="K795" s="212"/>
      <c r="L795" s="212"/>
      <c r="M795" s="212"/>
      <c r="N795" s="212"/>
      <c r="O795" s="212"/>
      <c r="P795" s="212"/>
      <c r="Q795" s="212"/>
      <c r="R795" s="212"/>
    </row>
    <row r="796">
      <c r="A796" s="163"/>
      <c r="B796" s="163" t="str">
        <f>IFERROR(__xludf.DUMMYFUNCTION("""COMPUTED_VALUE"""),"")</f>
        <v/>
      </c>
      <c r="C796" s="163"/>
      <c r="D796" s="212"/>
      <c r="E796" s="212"/>
      <c r="F796" s="212"/>
      <c r="G796" s="212"/>
      <c r="H796" s="212"/>
      <c r="I796" s="212"/>
      <c r="J796" s="212"/>
      <c r="K796" s="212"/>
      <c r="L796" s="212"/>
      <c r="M796" s="212"/>
      <c r="N796" s="212"/>
      <c r="O796" s="212"/>
      <c r="P796" s="212"/>
      <c r="Q796" s="212"/>
      <c r="R796" s="212"/>
    </row>
    <row r="797">
      <c r="A797" s="163"/>
      <c r="B797" s="163" t="str">
        <f>IFERROR(__xludf.DUMMYFUNCTION("""COMPUTED_VALUE"""),"")</f>
        <v/>
      </c>
      <c r="C797" s="163"/>
      <c r="D797" s="212"/>
      <c r="E797" s="212"/>
      <c r="F797" s="212"/>
      <c r="G797" s="212"/>
      <c r="H797" s="212"/>
      <c r="I797" s="212"/>
      <c r="J797" s="212"/>
      <c r="K797" s="212"/>
      <c r="L797" s="212"/>
      <c r="M797" s="212"/>
      <c r="N797" s="212"/>
      <c r="O797" s="212"/>
      <c r="P797" s="212"/>
      <c r="Q797" s="212"/>
      <c r="R797" s="212"/>
    </row>
    <row r="798">
      <c r="A798" s="163"/>
      <c r="B798" s="163" t="str">
        <f>IFERROR(__xludf.DUMMYFUNCTION("""COMPUTED_VALUE"""),"")</f>
        <v/>
      </c>
      <c r="C798" s="163"/>
      <c r="D798" s="212"/>
      <c r="E798" s="212"/>
      <c r="F798" s="212"/>
      <c r="G798" s="212"/>
      <c r="H798" s="212"/>
      <c r="I798" s="212"/>
      <c r="J798" s="212"/>
      <c r="K798" s="212"/>
      <c r="L798" s="212"/>
      <c r="M798" s="212"/>
      <c r="N798" s="212"/>
      <c r="O798" s="212"/>
      <c r="P798" s="212"/>
      <c r="Q798" s="212"/>
      <c r="R798" s="212"/>
    </row>
    <row r="799">
      <c r="A799" s="163"/>
      <c r="B799" s="163" t="str">
        <f>IFERROR(__xludf.DUMMYFUNCTION("""COMPUTED_VALUE"""),"")</f>
        <v/>
      </c>
      <c r="C799" s="163"/>
      <c r="D799" s="212"/>
      <c r="E799" s="212"/>
      <c r="F799" s="212"/>
      <c r="G799" s="212"/>
      <c r="H799" s="212"/>
      <c r="I799" s="212"/>
      <c r="J799" s="212"/>
      <c r="K799" s="212"/>
      <c r="L799" s="212"/>
      <c r="M799" s="212"/>
      <c r="N799" s="212"/>
      <c r="O799" s="212"/>
      <c r="P799" s="212"/>
      <c r="Q799" s="212"/>
      <c r="R799" s="212"/>
    </row>
    <row r="800">
      <c r="A800" s="163"/>
      <c r="B800" s="163" t="str">
        <f>IFERROR(__xludf.DUMMYFUNCTION("""COMPUTED_VALUE"""),"")</f>
        <v/>
      </c>
      <c r="C800" s="163"/>
      <c r="D800" s="212"/>
      <c r="E800" s="212"/>
      <c r="F800" s="212"/>
      <c r="G800" s="212"/>
      <c r="H800" s="212"/>
      <c r="I800" s="212"/>
      <c r="J800" s="212"/>
      <c r="K800" s="212"/>
      <c r="L800" s="212"/>
      <c r="M800" s="212"/>
      <c r="N800" s="212"/>
      <c r="O800" s="212"/>
      <c r="P800" s="212"/>
      <c r="Q800" s="212"/>
      <c r="R800" s="212"/>
    </row>
    <row r="801">
      <c r="A801" s="163"/>
      <c r="B801" s="163" t="str">
        <f>IFERROR(__xludf.DUMMYFUNCTION("""COMPUTED_VALUE"""),"")</f>
        <v/>
      </c>
      <c r="C801" s="163"/>
      <c r="D801" s="212"/>
      <c r="E801" s="212"/>
      <c r="F801" s="212"/>
      <c r="G801" s="212"/>
      <c r="H801" s="212"/>
      <c r="I801" s="212"/>
      <c r="J801" s="212"/>
      <c r="K801" s="212"/>
      <c r="L801" s="212"/>
      <c r="M801" s="212"/>
      <c r="N801" s="212"/>
      <c r="O801" s="212"/>
      <c r="P801" s="212"/>
      <c r="Q801" s="212"/>
      <c r="R801" s="212"/>
    </row>
    <row r="802">
      <c r="A802" s="163"/>
      <c r="B802" s="163" t="str">
        <f>IFERROR(__xludf.DUMMYFUNCTION("""COMPUTED_VALUE"""),"")</f>
        <v/>
      </c>
      <c r="C802" s="163"/>
      <c r="D802" s="212"/>
      <c r="E802" s="212"/>
      <c r="F802" s="212"/>
      <c r="G802" s="212"/>
      <c r="H802" s="212"/>
      <c r="I802" s="212"/>
      <c r="J802" s="212"/>
      <c r="K802" s="212"/>
      <c r="L802" s="212"/>
      <c r="M802" s="212"/>
      <c r="N802" s="212"/>
      <c r="O802" s="212"/>
      <c r="P802" s="212"/>
      <c r="Q802" s="212"/>
      <c r="R802" s="212"/>
    </row>
    <row r="803">
      <c r="A803" s="163"/>
      <c r="B803" s="163" t="str">
        <f>IFERROR(__xludf.DUMMYFUNCTION("""COMPUTED_VALUE"""),"")</f>
        <v/>
      </c>
      <c r="C803" s="163"/>
      <c r="D803" s="212"/>
      <c r="E803" s="212"/>
      <c r="F803" s="212"/>
      <c r="G803" s="212"/>
      <c r="H803" s="212"/>
      <c r="I803" s="212"/>
      <c r="J803" s="212"/>
      <c r="K803" s="212"/>
      <c r="L803" s="212"/>
      <c r="M803" s="212"/>
      <c r="N803" s="212"/>
      <c r="O803" s="212"/>
      <c r="P803" s="212"/>
      <c r="Q803" s="212"/>
      <c r="R803" s="212"/>
    </row>
    <row r="804">
      <c r="A804" s="163"/>
      <c r="B804" s="163" t="str">
        <f>IFERROR(__xludf.DUMMYFUNCTION("""COMPUTED_VALUE"""),"")</f>
        <v/>
      </c>
      <c r="C804" s="163"/>
      <c r="D804" s="212"/>
      <c r="E804" s="212"/>
      <c r="F804" s="212"/>
      <c r="G804" s="212"/>
      <c r="H804" s="212"/>
      <c r="I804" s="212"/>
      <c r="J804" s="212"/>
      <c r="K804" s="212"/>
      <c r="L804" s="212"/>
      <c r="M804" s="212"/>
      <c r="N804" s="212"/>
      <c r="O804" s="212"/>
      <c r="P804" s="212"/>
      <c r="Q804" s="212"/>
      <c r="R804" s="212"/>
    </row>
    <row r="805">
      <c r="A805" s="163"/>
      <c r="B805" s="163" t="str">
        <f>IFERROR(__xludf.DUMMYFUNCTION("""COMPUTED_VALUE"""),"")</f>
        <v/>
      </c>
      <c r="C805" s="163"/>
      <c r="D805" s="212"/>
      <c r="E805" s="212"/>
      <c r="F805" s="212"/>
      <c r="G805" s="212"/>
      <c r="H805" s="212"/>
      <c r="I805" s="212"/>
      <c r="J805" s="212"/>
      <c r="K805" s="212"/>
      <c r="L805" s="212"/>
      <c r="M805" s="212"/>
      <c r="N805" s="212"/>
      <c r="O805" s="212"/>
      <c r="P805" s="212"/>
      <c r="Q805" s="212"/>
      <c r="R805" s="212"/>
    </row>
    <row r="806">
      <c r="A806" s="163"/>
      <c r="B806" s="163" t="str">
        <f>IFERROR(__xludf.DUMMYFUNCTION("""COMPUTED_VALUE"""),"")</f>
        <v/>
      </c>
      <c r="C806" s="163"/>
      <c r="D806" s="212"/>
      <c r="E806" s="212"/>
      <c r="F806" s="212"/>
      <c r="G806" s="212"/>
      <c r="H806" s="212"/>
      <c r="I806" s="212"/>
      <c r="J806" s="212"/>
      <c r="K806" s="212"/>
      <c r="L806" s="212"/>
      <c r="M806" s="212"/>
      <c r="N806" s="212"/>
      <c r="O806" s="212"/>
      <c r="P806" s="212"/>
      <c r="Q806" s="212"/>
      <c r="R806" s="212"/>
    </row>
    <row r="807">
      <c r="A807" s="163"/>
      <c r="B807" s="163" t="str">
        <f>IFERROR(__xludf.DUMMYFUNCTION("""COMPUTED_VALUE"""),"")</f>
        <v/>
      </c>
      <c r="C807" s="163"/>
      <c r="D807" s="212"/>
      <c r="E807" s="212"/>
      <c r="F807" s="212"/>
      <c r="G807" s="212"/>
      <c r="H807" s="212"/>
      <c r="I807" s="212"/>
      <c r="J807" s="212"/>
      <c r="K807" s="212"/>
      <c r="L807" s="212"/>
      <c r="M807" s="212"/>
      <c r="N807" s="212"/>
      <c r="O807" s="212"/>
      <c r="P807" s="212"/>
      <c r="Q807" s="212"/>
      <c r="R807" s="212"/>
    </row>
    <row r="808">
      <c r="A808" s="163"/>
      <c r="B808" s="163" t="str">
        <f>IFERROR(__xludf.DUMMYFUNCTION("""COMPUTED_VALUE"""),"")</f>
        <v/>
      </c>
      <c r="C808" s="163"/>
      <c r="D808" s="212"/>
      <c r="E808" s="212"/>
      <c r="F808" s="212"/>
      <c r="G808" s="212"/>
      <c r="H808" s="212"/>
      <c r="I808" s="212"/>
      <c r="J808" s="212"/>
      <c r="K808" s="212"/>
      <c r="L808" s="212"/>
      <c r="M808" s="212"/>
      <c r="N808" s="212"/>
      <c r="O808" s="212"/>
      <c r="P808" s="212"/>
      <c r="Q808" s="212"/>
      <c r="R808" s="212"/>
    </row>
    <row r="809">
      <c r="A809" s="163"/>
      <c r="B809" s="163" t="str">
        <f>IFERROR(__xludf.DUMMYFUNCTION("""COMPUTED_VALUE"""),"")</f>
        <v/>
      </c>
      <c r="C809" s="163"/>
      <c r="D809" s="212"/>
      <c r="E809" s="212"/>
      <c r="F809" s="212"/>
      <c r="G809" s="212"/>
      <c r="H809" s="212"/>
      <c r="I809" s="212"/>
      <c r="J809" s="212"/>
      <c r="K809" s="212"/>
      <c r="L809" s="212"/>
      <c r="M809" s="212"/>
      <c r="N809" s="212"/>
      <c r="O809" s="212"/>
      <c r="P809" s="212"/>
      <c r="Q809" s="212"/>
      <c r="R809" s="212"/>
    </row>
    <row r="810">
      <c r="A810" s="163"/>
      <c r="B810" s="163" t="str">
        <f>IFERROR(__xludf.DUMMYFUNCTION("""COMPUTED_VALUE"""),"")</f>
        <v/>
      </c>
      <c r="C810" s="163"/>
      <c r="D810" s="212"/>
      <c r="E810" s="212"/>
      <c r="F810" s="212"/>
      <c r="G810" s="212"/>
      <c r="H810" s="212"/>
      <c r="I810" s="212"/>
      <c r="J810" s="212"/>
      <c r="K810" s="212"/>
      <c r="L810" s="212"/>
      <c r="M810" s="212"/>
      <c r="N810" s="212"/>
      <c r="O810" s="212"/>
      <c r="P810" s="212"/>
      <c r="Q810" s="212"/>
      <c r="R810" s="212"/>
    </row>
    <row r="811">
      <c r="A811" s="163"/>
      <c r="B811" s="163" t="str">
        <f>IFERROR(__xludf.DUMMYFUNCTION("""COMPUTED_VALUE"""),"")</f>
        <v/>
      </c>
      <c r="C811" s="163"/>
      <c r="D811" s="212"/>
      <c r="E811" s="212"/>
      <c r="F811" s="212"/>
      <c r="G811" s="212"/>
      <c r="H811" s="212"/>
      <c r="I811" s="212"/>
      <c r="J811" s="212"/>
      <c r="K811" s="212"/>
      <c r="L811" s="212"/>
      <c r="M811" s="212"/>
      <c r="N811" s="212"/>
      <c r="O811" s="212"/>
      <c r="P811" s="212"/>
      <c r="Q811" s="212"/>
      <c r="R811" s="212"/>
    </row>
    <row r="812">
      <c r="A812" s="163"/>
      <c r="B812" s="163" t="str">
        <f>IFERROR(__xludf.DUMMYFUNCTION("""COMPUTED_VALUE"""),"")</f>
        <v/>
      </c>
      <c r="C812" s="163"/>
      <c r="D812" s="212"/>
      <c r="E812" s="212"/>
      <c r="F812" s="212"/>
      <c r="G812" s="212"/>
      <c r="H812" s="212"/>
      <c r="I812" s="212"/>
      <c r="J812" s="212"/>
      <c r="K812" s="212"/>
      <c r="L812" s="212"/>
      <c r="M812" s="212"/>
      <c r="N812" s="212"/>
      <c r="O812" s="212"/>
      <c r="P812" s="212"/>
      <c r="Q812" s="212"/>
      <c r="R812" s="212"/>
    </row>
    <row r="813">
      <c r="A813" s="163"/>
      <c r="B813" s="163" t="str">
        <f>IFERROR(__xludf.DUMMYFUNCTION("""COMPUTED_VALUE"""),"")</f>
        <v/>
      </c>
      <c r="C813" s="163"/>
      <c r="D813" s="212"/>
      <c r="E813" s="212"/>
      <c r="F813" s="212"/>
      <c r="G813" s="212"/>
      <c r="H813" s="212"/>
      <c r="I813" s="212"/>
      <c r="J813" s="212"/>
      <c r="K813" s="212"/>
      <c r="L813" s="212"/>
      <c r="M813" s="212"/>
      <c r="N813" s="212"/>
      <c r="O813" s="212"/>
      <c r="P813" s="212"/>
      <c r="Q813" s="212"/>
      <c r="R813" s="212"/>
    </row>
    <row r="814">
      <c r="A814" s="163"/>
      <c r="B814" s="163" t="str">
        <f>IFERROR(__xludf.DUMMYFUNCTION("""COMPUTED_VALUE"""),"")</f>
        <v/>
      </c>
      <c r="C814" s="163"/>
      <c r="D814" s="212"/>
      <c r="E814" s="212"/>
      <c r="F814" s="212"/>
      <c r="G814" s="212"/>
      <c r="H814" s="212"/>
      <c r="I814" s="212"/>
      <c r="J814" s="212"/>
      <c r="K814" s="212"/>
      <c r="L814" s="212"/>
      <c r="M814" s="212"/>
      <c r="N814" s="212"/>
      <c r="O814" s="212"/>
      <c r="P814" s="212"/>
      <c r="Q814" s="212"/>
      <c r="R814" s="212"/>
    </row>
    <row r="815">
      <c r="A815" s="163"/>
      <c r="B815" s="163" t="str">
        <f>IFERROR(__xludf.DUMMYFUNCTION("""COMPUTED_VALUE"""),"")</f>
        <v/>
      </c>
      <c r="C815" s="163"/>
      <c r="D815" s="212"/>
      <c r="E815" s="212"/>
      <c r="F815" s="212"/>
      <c r="G815" s="212"/>
      <c r="H815" s="212"/>
      <c r="I815" s="212"/>
      <c r="J815" s="212"/>
      <c r="K815" s="212"/>
      <c r="L815" s="212"/>
      <c r="M815" s="212"/>
      <c r="N815" s="212"/>
      <c r="O815" s="212"/>
      <c r="P815" s="212"/>
      <c r="Q815" s="212"/>
      <c r="R815" s="212"/>
    </row>
    <row r="816">
      <c r="A816" s="163"/>
      <c r="B816" s="163" t="str">
        <f>IFERROR(__xludf.DUMMYFUNCTION("""COMPUTED_VALUE"""),"")</f>
        <v/>
      </c>
      <c r="C816" s="163"/>
      <c r="D816" s="212"/>
      <c r="E816" s="212"/>
      <c r="F816" s="212"/>
      <c r="G816" s="212"/>
      <c r="H816" s="212"/>
      <c r="I816" s="212"/>
      <c r="J816" s="212"/>
      <c r="K816" s="212"/>
      <c r="L816" s="212"/>
      <c r="M816" s="212"/>
      <c r="N816" s="212"/>
      <c r="O816" s="212"/>
      <c r="P816" s="212"/>
      <c r="Q816" s="212"/>
      <c r="R816" s="212"/>
    </row>
    <row r="817">
      <c r="A817" s="163"/>
      <c r="B817" s="163" t="str">
        <f>IFERROR(__xludf.DUMMYFUNCTION("""COMPUTED_VALUE"""),"")</f>
        <v/>
      </c>
      <c r="C817" s="163"/>
      <c r="D817" s="212"/>
      <c r="E817" s="212"/>
      <c r="F817" s="212"/>
      <c r="G817" s="212"/>
      <c r="H817" s="212"/>
      <c r="I817" s="212"/>
      <c r="J817" s="212"/>
      <c r="K817" s="212"/>
      <c r="L817" s="212"/>
      <c r="M817" s="212"/>
      <c r="N817" s="212"/>
      <c r="O817" s="212"/>
      <c r="P817" s="212"/>
      <c r="Q817" s="212"/>
      <c r="R817" s="212"/>
    </row>
    <row r="818">
      <c r="A818" s="163"/>
      <c r="B818" s="163" t="str">
        <f>IFERROR(__xludf.DUMMYFUNCTION("""COMPUTED_VALUE"""),"")</f>
        <v/>
      </c>
      <c r="C818" s="163"/>
      <c r="D818" s="212"/>
      <c r="E818" s="212"/>
      <c r="F818" s="212"/>
      <c r="G818" s="212"/>
      <c r="H818" s="212"/>
      <c r="I818" s="212"/>
      <c r="J818" s="212"/>
      <c r="K818" s="212"/>
      <c r="L818" s="212"/>
      <c r="M818" s="212"/>
      <c r="N818" s="212"/>
      <c r="O818" s="212"/>
      <c r="P818" s="212"/>
      <c r="Q818" s="212"/>
      <c r="R818" s="212"/>
    </row>
    <row r="819">
      <c r="A819" s="163"/>
      <c r="B819" s="163" t="str">
        <f>IFERROR(__xludf.DUMMYFUNCTION("""COMPUTED_VALUE"""),"")</f>
        <v/>
      </c>
      <c r="C819" s="163"/>
      <c r="D819" s="212"/>
      <c r="E819" s="212"/>
      <c r="F819" s="212"/>
      <c r="G819" s="212"/>
      <c r="H819" s="212"/>
      <c r="I819" s="212"/>
      <c r="J819" s="212"/>
      <c r="K819" s="212"/>
      <c r="L819" s="212"/>
      <c r="M819" s="212"/>
      <c r="N819" s="212"/>
      <c r="O819" s="212"/>
      <c r="P819" s="212"/>
      <c r="Q819" s="212"/>
      <c r="R819" s="212"/>
    </row>
    <row r="820">
      <c r="A820" s="163"/>
      <c r="B820" s="163" t="str">
        <f>IFERROR(__xludf.DUMMYFUNCTION("""COMPUTED_VALUE"""),"")</f>
        <v/>
      </c>
      <c r="C820" s="163"/>
      <c r="D820" s="212"/>
      <c r="E820" s="212"/>
      <c r="F820" s="212"/>
      <c r="G820" s="212"/>
      <c r="H820" s="212"/>
      <c r="I820" s="212"/>
      <c r="J820" s="212"/>
      <c r="K820" s="212"/>
      <c r="L820" s="212"/>
      <c r="M820" s="212"/>
      <c r="N820" s="212"/>
      <c r="O820" s="212"/>
      <c r="P820" s="212"/>
      <c r="Q820" s="212"/>
      <c r="R820" s="212"/>
    </row>
    <row r="821">
      <c r="A821" s="163"/>
      <c r="B821" s="163" t="str">
        <f>IFERROR(__xludf.DUMMYFUNCTION("""COMPUTED_VALUE"""),"")</f>
        <v/>
      </c>
      <c r="C821" s="163"/>
      <c r="D821" s="212"/>
      <c r="E821" s="212"/>
      <c r="F821" s="212"/>
      <c r="G821" s="212"/>
      <c r="H821" s="212"/>
      <c r="I821" s="212"/>
      <c r="J821" s="212"/>
      <c r="K821" s="212"/>
      <c r="L821" s="212"/>
      <c r="M821" s="212"/>
      <c r="N821" s="212"/>
      <c r="O821" s="212"/>
      <c r="P821" s="212"/>
      <c r="Q821" s="212"/>
      <c r="R821" s="212"/>
    </row>
    <row r="822">
      <c r="A822" s="163"/>
      <c r="B822" s="163" t="str">
        <f>IFERROR(__xludf.DUMMYFUNCTION("""COMPUTED_VALUE"""),"")</f>
        <v/>
      </c>
      <c r="C822" s="163"/>
      <c r="D822" s="212"/>
      <c r="E822" s="212"/>
      <c r="F822" s="212"/>
      <c r="G822" s="212"/>
      <c r="H822" s="212"/>
      <c r="I822" s="212"/>
      <c r="J822" s="212"/>
      <c r="K822" s="212"/>
      <c r="L822" s="212"/>
      <c r="M822" s="212"/>
      <c r="N822" s="212"/>
      <c r="O822" s="212"/>
      <c r="P822" s="212"/>
      <c r="Q822" s="212"/>
      <c r="R822" s="212"/>
    </row>
    <row r="823">
      <c r="A823" s="163"/>
      <c r="B823" s="163" t="str">
        <f>IFERROR(__xludf.DUMMYFUNCTION("""COMPUTED_VALUE"""),"")</f>
        <v/>
      </c>
      <c r="C823" s="163"/>
      <c r="D823" s="212"/>
      <c r="E823" s="212"/>
      <c r="F823" s="212"/>
      <c r="G823" s="212"/>
      <c r="H823" s="212"/>
      <c r="I823" s="212"/>
      <c r="J823" s="212"/>
      <c r="K823" s="212"/>
      <c r="L823" s="212"/>
      <c r="M823" s="212"/>
      <c r="N823" s="212"/>
      <c r="O823" s="212"/>
      <c r="P823" s="212"/>
      <c r="Q823" s="212"/>
      <c r="R823" s="212"/>
    </row>
    <row r="824">
      <c r="A824" s="163"/>
      <c r="B824" s="163" t="str">
        <f>IFERROR(__xludf.DUMMYFUNCTION("""COMPUTED_VALUE"""),"")</f>
        <v/>
      </c>
      <c r="C824" s="163"/>
      <c r="D824" s="212"/>
      <c r="E824" s="212"/>
      <c r="F824" s="212"/>
      <c r="G824" s="212"/>
      <c r="H824" s="212"/>
      <c r="I824" s="212"/>
      <c r="J824" s="212"/>
      <c r="K824" s="212"/>
      <c r="L824" s="212"/>
      <c r="M824" s="212"/>
      <c r="N824" s="212"/>
      <c r="O824" s="212"/>
      <c r="P824" s="212"/>
      <c r="Q824" s="212"/>
      <c r="R824" s="212"/>
    </row>
    <row r="825">
      <c r="A825" s="163"/>
      <c r="B825" s="163" t="str">
        <f>IFERROR(__xludf.DUMMYFUNCTION("""COMPUTED_VALUE"""),"")</f>
        <v/>
      </c>
      <c r="C825" s="163"/>
      <c r="D825" s="212"/>
      <c r="E825" s="212"/>
      <c r="F825" s="212"/>
      <c r="G825" s="212"/>
      <c r="H825" s="212"/>
      <c r="I825" s="212"/>
      <c r="J825" s="212"/>
      <c r="K825" s="212"/>
      <c r="L825" s="212"/>
      <c r="M825" s="212"/>
      <c r="N825" s="212"/>
      <c r="O825" s="212"/>
      <c r="P825" s="212"/>
      <c r="Q825" s="212"/>
      <c r="R825" s="212"/>
    </row>
    <row r="826">
      <c r="A826" s="163"/>
      <c r="B826" s="163" t="str">
        <f>IFERROR(__xludf.DUMMYFUNCTION("""COMPUTED_VALUE"""),"")</f>
        <v/>
      </c>
      <c r="C826" s="163"/>
      <c r="D826" s="212"/>
      <c r="E826" s="212"/>
      <c r="F826" s="212"/>
      <c r="G826" s="212"/>
      <c r="H826" s="212"/>
      <c r="I826" s="212"/>
      <c r="J826" s="212"/>
      <c r="K826" s="212"/>
      <c r="L826" s="212"/>
      <c r="M826" s="212"/>
      <c r="N826" s="212"/>
      <c r="O826" s="212"/>
      <c r="P826" s="212"/>
      <c r="Q826" s="212"/>
      <c r="R826" s="212"/>
    </row>
    <row r="827">
      <c r="A827" s="163"/>
      <c r="B827" s="163" t="str">
        <f>IFERROR(__xludf.DUMMYFUNCTION("""COMPUTED_VALUE"""),"")</f>
        <v/>
      </c>
      <c r="C827" s="163"/>
      <c r="D827" s="212"/>
      <c r="E827" s="212"/>
      <c r="F827" s="212"/>
      <c r="G827" s="212"/>
      <c r="H827" s="212"/>
      <c r="I827" s="212"/>
      <c r="J827" s="212"/>
      <c r="K827" s="212"/>
      <c r="L827" s="212"/>
      <c r="M827" s="212"/>
      <c r="N827" s="212"/>
      <c r="O827" s="212"/>
      <c r="P827" s="212"/>
      <c r="Q827" s="212"/>
      <c r="R827" s="212"/>
    </row>
    <row r="828">
      <c r="A828" s="163"/>
      <c r="B828" s="163" t="str">
        <f>IFERROR(__xludf.DUMMYFUNCTION("""COMPUTED_VALUE"""),"")</f>
        <v/>
      </c>
      <c r="C828" s="163"/>
      <c r="D828" s="212"/>
      <c r="E828" s="212"/>
      <c r="F828" s="212"/>
      <c r="G828" s="212"/>
      <c r="H828" s="212"/>
      <c r="I828" s="212"/>
      <c r="J828" s="212"/>
      <c r="K828" s="212"/>
      <c r="L828" s="212"/>
      <c r="M828" s="212"/>
      <c r="N828" s="212"/>
      <c r="O828" s="212"/>
      <c r="P828" s="212"/>
      <c r="Q828" s="212"/>
      <c r="R828" s="212"/>
    </row>
    <row r="829">
      <c r="A829" s="163"/>
      <c r="B829" s="163" t="str">
        <f>IFERROR(__xludf.DUMMYFUNCTION("""COMPUTED_VALUE"""),"")</f>
        <v/>
      </c>
      <c r="C829" s="163"/>
      <c r="D829" s="212"/>
      <c r="E829" s="212"/>
      <c r="F829" s="212"/>
      <c r="G829" s="212"/>
      <c r="H829" s="212"/>
      <c r="I829" s="212"/>
      <c r="J829" s="212"/>
      <c r="K829" s="212"/>
      <c r="L829" s="212"/>
      <c r="M829" s="212"/>
      <c r="N829" s="212"/>
      <c r="O829" s="212"/>
      <c r="P829" s="212"/>
      <c r="Q829" s="212"/>
      <c r="R829" s="212"/>
    </row>
    <row r="830">
      <c r="A830" s="163"/>
      <c r="B830" s="163" t="str">
        <f>IFERROR(__xludf.DUMMYFUNCTION("""COMPUTED_VALUE"""),"")</f>
        <v/>
      </c>
      <c r="C830" s="163"/>
      <c r="D830" s="212"/>
      <c r="E830" s="212"/>
      <c r="F830" s="212"/>
      <c r="G830" s="212"/>
      <c r="H830" s="212"/>
      <c r="I830" s="212"/>
      <c r="J830" s="212"/>
      <c r="K830" s="212"/>
      <c r="L830" s="212"/>
      <c r="M830" s="212"/>
      <c r="N830" s="212"/>
      <c r="O830" s="212"/>
      <c r="P830" s="212"/>
      <c r="Q830" s="212"/>
      <c r="R830" s="212"/>
    </row>
    <row r="831">
      <c r="A831" s="163"/>
      <c r="B831" s="163" t="str">
        <f>IFERROR(__xludf.DUMMYFUNCTION("""COMPUTED_VALUE"""),"")</f>
        <v/>
      </c>
      <c r="C831" s="163"/>
      <c r="D831" s="212"/>
      <c r="E831" s="212"/>
      <c r="F831" s="212"/>
      <c r="G831" s="212"/>
      <c r="H831" s="212"/>
      <c r="I831" s="212"/>
      <c r="J831" s="212"/>
      <c r="K831" s="212"/>
      <c r="L831" s="212"/>
      <c r="M831" s="212"/>
      <c r="N831" s="212"/>
      <c r="O831" s="212"/>
      <c r="P831" s="212"/>
      <c r="Q831" s="212"/>
      <c r="R831" s="212"/>
    </row>
    <row r="832">
      <c r="A832" s="163"/>
      <c r="B832" s="163" t="str">
        <f>IFERROR(__xludf.DUMMYFUNCTION("""COMPUTED_VALUE"""),"")</f>
        <v/>
      </c>
      <c r="C832" s="163"/>
      <c r="D832" s="212"/>
      <c r="E832" s="212"/>
      <c r="F832" s="212"/>
      <c r="G832" s="212"/>
      <c r="H832" s="212"/>
      <c r="I832" s="212"/>
      <c r="J832" s="212"/>
      <c r="K832" s="212"/>
      <c r="L832" s="212"/>
      <c r="M832" s="212"/>
      <c r="N832" s="212"/>
      <c r="O832" s="212"/>
      <c r="P832" s="212"/>
      <c r="Q832" s="212"/>
      <c r="R832" s="212"/>
    </row>
    <row r="833">
      <c r="A833" s="163"/>
      <c r="B833" s="163" t="str">
        <f>IFERROR(__xludf.DUMMYFUNCTION("""COMPUTED_VALUE"""),"")</f>
        <v/>
      </c>
      <c r="C833" s="163"/>
      <c r="D833" s="212"/>
      <c r="E833" s="212"/>
      <c r="F833" s="212"/>
      <c r="G833" s="212"/>
      <c r="H833" s="212"/>
      <c r="I833" s="212"/>
      <c r="J833" s="212"/>
      <c r="K833" s="212"/>
      <c r="L833" s="212"/>
      <c r="M833" s="212"/>
      <c r="N833" s="212"/>
      <c r="O833" s="212"/>
      <c r="P833" s="212"/>
      <c r="Q833" s="212"/>
      <c r="R833" s="212"/>
    </row>
    <row r="834">
      <c r="A834" s="163"/>
      <c r="B834" s="163" t="str">
        <f>IFERROR(__xludf.DUMMYFUNCTION("""COMPUTED_VALUE"""),"")</f>
        <v/>
      </c>
      <c r="C834" s="163"/>
      <c r="D834" s="212"/>
      <c r="E834" s="212"/>
      <c r="F834" s="212"/>
      <c r="G834" s="212"/>
      <c r="H834" s="212"/>
      <c r="I834" s="212"/>
      <c r="J834" s="212"/>
      <c r="K834" s="212"/>
      <c r="L834" s="212"/>
      <c r="M834" s="212"/>
      <c r="N834" s="212"/>
      <c r="O834" s="212"/>
      <c r="P834" s="212"/>
      <c r="Q834" s="212"/>
      <c r="R834" s="212"/>
    </row>
    <row r="835">
      <c r="A835" s="163"/>
      <c r="B835" s="163" t="str">
        <f>IFERROR(__xludf.DUMMYFUNCTION("""COMPUTED_VALUE"""),"")</f>
        <v/>
      </c>
      <c r="C835" s="163"/>
      <c r="D835" s="212"/>
      <c r="E835" s="212"/>
      <c r="F835" s="212"/>
      <c r="G835" s="212"/>
      <c r="H835" s="212"/>
      <c r="I835" s="212"/>
      <c r="J835" s="212"/>
      <c r="K835" s="212"/>
      <c r="L835" s="212"/>
      <c r="M835" s="212"/>
      <c r="N835" s="212"/>
      <c r="O835" s="212"/>
      <c r="P835" s="212"/>
      <c r="Q835" s="212"/>
      <c r="R835" s="212"/>
    </row>
    <row r="836">
      <c r="A836" s="163"/>
      <c r="B836" s="163" t="str">
        <f>IFERROR(__xludf.DUMMYFUNCTION("""COMPUTED_VALUE"""),"")</f>
        <v/>
      </c>
      <c r="C836" s="163"/>
      <c r="D836" s="212"/>
      <c r="E836" s="212"/>
      <c r="F836" s="212"/>
      <c r="G836" s="212"/>
      <c r="H836" s="212"/>
      <c r="I836" s="212"/>
      <c r="J836" s="212"/>
      <c r="K836" s="212"/>
      <c r="L836" s="212"/>
      <c r="M836" s="212"/>
      <c r="N836" s="212"/>
      <c r="O836" s="212"/>
      <c r="P836" s="212"/>
      <c r="Q836" s="212"/>
      <c r="R836" s="212"/>
    </row>
    <row r="837">
      <c r="A837" s="163"/>
      <c r="B837" s="163" t="str">
        <f>IFERROR(__xludf.DUMMYFUNCTION("""COMPUTED_VALUE"""),"")</f>
        <v/>
      </c>
      <c r="C837" s="163"/>
      <c r="D837" s="212"/>
      <c r="E837" s="212"/>
      <c r="F837" s="212"/>
      <c r="G837" s="212"/>
      <c r="H837" s="212"/>
      <c r="I837" s="212"/>
      <c r="J837" s="212"/>
      <c r="K837" s="212"/>
      <c r="L837" s="212"/>
      <c r="M837" s="212"/>
      <c r="N837" s="212"/>
      <c r="O837" s="212"/>
      <c r="P837" s="212"/>
      <c r="Q837" s="212"/>
      <c r="R837" s="212"/>
    </row>
    <row r="838">
      <c r="A838" s="163"/>
      <c r="B838" s="163" t="str">
        <f>IFERROR(__xludf.DUMMYFUNCTION("""COMPUTED_VALUE"""),"")</f>
        <v/>
      </c>
      <c r="C838" s="163"/>
      <c r="D838" s="212"/>
      <c r="E838" s="212"/>
      <c r="F838" s="212"/>
      <c r="G838" s="212"/>
      <c r="H838" s="212"/>
      <c r="I838" s="212"/>
      <c r="J838" s="212"/>
      <c r="K838" s="212"/>
      <c r="L838" s="212"/>
      <c r="M838" s="212"/>
      <c r="N838" s="212"/>
      <c r="O838" s="212"/>
      <c r="P838" s="212"/>
      <c r="Q838" s="212"/>
      <c r="R838" s="212"/>
    </row>
    <row r="839">
      <c r="A839" s="163"/>
      <c r="B839" s="163" t="str">
        <f>IFERROR(__xludf.DUMMYFUNCTION("""COMPUTED_VALUE"""),"")</f>
        <v/>
      </c>
      <c r="C839" s="163"/>
      <c r="D839" s="212"/>
      <c r="E839" s="212"/>
      <c r="F839" s="212"/>
      <c r="G839" s="212"/>
      <c r="H839" s="212"/>
      <c r="I839" s="212"/>
      <c r="J839" s="212"/>
      <c r="K839" s="212"/>
      <c r="L839" s="212"/>
      <c r="M839" s="212"/>
      <c r="N839" s="212"/>
      <c r="O839" s="212"/>
      <c r="P839" s="212"/>
      <c r="Q839" s="212"/>
      <c r="R839" s="212"/>
    </row>
    <row r="840">
      <c r="A840" s="163"/>
      <c r="B840" s="163" t="str">
        <f>IFERROR(__xludf.DUMMYFUNCTION("""COMPUTED_VALUE"""),"")</f>
        <v/>
      </c>
      <c r="C840" s="163"/>
      <c r="D840" s="212"/>
      <c r="E840" s="212"/>
      <c r="F840" s="212"/>
      <c r="G840" s="212"/>
      <c r="H840" s="212"/>
      <c r="I840" s="212"/>
      <c r="J840" s="212"/>
      <c r="K840" s="212"/>
      <c r="L840" s="212"/>
      <c r="M840" s="212"/>
      <c r="N840" s="212"/>
      <c r="O840" s="212"/>
      <c r="P840" s="212"/>
      <c r="Q840" s="212"/>
      <c r="R840" s="212"/>
    </row>
    <row r="841">
      <c r="A841" s="163"/>
      <c r="B841" s="163" t="str">
        <f>IFERROR(__xludf.DUMMYFUNCTION("""COMPUTED_VALUE"""),"")</f>
        <v/>
      </c>
      <c r="C841" s="163"/>
      <c r="D841" s="212"/>
      <c r="E841" s="212"/>
      <c r="F841" s="212"/>
      <c r="G841" s="212"/>
      <c r="H841" s="212"/>
      <c r="I841" s="212"/>
      <c r="J841" s="212"/>
      <c r="K841" s="212"/>
      <c r="L841" s="212"/>
      <c r="M841" s="212"/>
      <c r="N841" s="212"/>
      <c r="O841" s="212"/>
      <c r="P841" s="212"/>
      <c r="Q841" s="212"/>
      <c r="R841" s="212"/>
    </row>
    <row r="842">
      <c r="A842" s="163"/>
      <c r="B842" s="163" t="str">
        <f>IFERROR(__xludf.DUMMYFUNCTION("""COMPUTED_VALUE"""),"")</f>
        <v/>
      </c>
      <c r="C842" s="163"/>
      <c r="D842" s="212"/>
      <c r="E842" s="212"/>
      <c r="F842" s="212"/>
      <c r="G842" s="212"/>
      <c r="H842" s="212"/>
      <c r="I842" s="212"/>
      <c r="J842" s="212"/>
      <c r="K842" s="212"/>
      <c r="L842" s="212"/>
      <c r="M842" s="212"/>
      <c r="N842" s="212"/>
      <c r="O842" s="212"/>
      <c r="P842" s="212"/>
      <c r="Q842" s="212"/>
      <c r="R842" s="212"/>
    </row>
    <row r="843">
      <c r="A843" s="163"/>
      <c r="B843" s="163" t="str">
        <f>IFERROR(__xludf.DUMMYFUNCTION("""COMPUTED_VALUE"""),"")</f>
        <v/>
      </c>
      <c r="C843" s="163"/>
      <c r="D843" s="212"/>
      <c r="E843" s="212"/>
      <c r="F843" s="212"/>
      <c r="G843" s="212"/>
      <c r="H843" s="212"/>
      <c r="I843" s="212"/>
      <c r="J843" s="212"/>
      <c r="K843" s="212"/>
      <c r="L843" s="212"/>
      <c r="M843" s="212"/>
      <c r="N843" s="212"/>
      <c r="O843" s="212"/>
      <c r="P843" s="212"/>
      <c r="Q843" s="212"/>
      <c r="R843" s="212"/>
    </row>
    <row r="844">
      <c r="A844" s="163"/>
      <c r="B844" s="163" t="str">
        <f>IFERROR(__xludf.DUMMYFUNCTION("""COMPUTED_VALUE"""),"")</f>
        <v/>
      </c>
      <c r="C844" s="163"/>
      <c r="D844" s="212"/>
      <c r="E844" s="212"/>
      <c r="F844" s="212"/>
      <c r="G844" s="212"/>
      <c r="H844" s="212"/>
      <c r="I844" s="212"/>
      <c r="J844" s="212"/>
      <c r="K844" s="212"/>
      <c r="L844" s="212"/>
      <c r="M844" s="212"/>
      <c r="N844" s="212"/>
      <c r="O844" s="212"/>
      <c r="P844" s="212"/>
      <c r="Q844" s="212"/>
      <c r="R844" s="212"/>
    </row>
    <row r="845">
      <c r="A845" s="163"/>
      <c r="B845" s="163" t="str">
        <f>IFERROR(__xludf.DUMMYFUNCTION("""COMPUTED_VALUE"""),"")</f>
        <v/>
      </c>
      <c r="C845" s="163"/>
      <c r="D845" s="212"/>
      <c r="E845" s="212"/>
      <c r="F845" s="212"/>
      <c r="G845" s="212"/>
      <c r="H845" s="212"/>
      <c r="I845" s="212"/>
      <c r="J845" s="212"/>
      <c r="K845" s="212"/>
      <c r="L845" s="212"/>
      <c r="M845" s="212"/>
      <c r="N845" s="212"/>
      <c r="O845" s="212"/>
      <c r="P845" s="212"/>
      <c r="Q845" s="212"/>
      <c r="R845" s="212"/>
    </row>
    <row r="846">
      <c r="A846" s="163"/>
      <c r="B846" s="163" t="str">
        <f>IFERROR(__xludf.DUMMYFUNCTION("""COMPUTED_VALUE"""),"")</f>
        <v/>
      </c>
      <c r="C846" s="163"/>
      <c r="D846" s="212"/>
      <c r="E846" s="212"/>
      <c r="F846" s="212"/>
      <c r="G846" s="212"/>
      <c r="H846" s="212"/>
      <c r="I846" s="212"/>
      <c r="J846" s="212"/>
      <c r="K846" s="212"/>
      <c r="L846" s="212"/>
      <c r="M846" s="212"/>
      <c r="N846" s="212"/>
      <c r="O846" s="212"/>
      <c r="P846" s="212"/>
      <c r="Q846" s="212"/>
      <c r="R846" s="212"/>
    </row>
    <row r="847">
      <c r="A847" s="163"/>
      <c r="B847" s="163" t="str">
        <f>IFERROR(__xludf.DUMMYFUNCTION("""COMPUTED_VALUE"""),"")</f>
        <v/>
      </c>
      <c r="C847" s="163"/>
      <c r="D847" s="212"/>
      <c r="E847" s="212"/>
      <c r="F847" s="212"/>
      <c r="G847" s="212"/>
      <c r="H847" s="212"/>
      <c r="I847" s="212"/>
      <c r="J847" s="212"/>
      <c r="K847" s="212"/>
      <c r="L847" s="212"/>
      <c r="M847" s="212"/>
      <c r="N847" s="212"/>
      <c r="O847" s="212"/>
      <c r="P847" s="212"/>
      <c r="Q847" s="212"/>
      <c r="R847" s="212"/>
    </row>
    <row r="848">
      <c r="A848" s="163"/>
      <c r="B848" s="163" t="str">
        <f>IFERROR(__xludf.DUMMYFUNCTION("""COMPUTED_VALUE"""),"")</f>
        <v/>
      </c>
      <c r="C848" s="163"/>
      <c r="D848" s="212"/>
      <c r="E848" s="212"/>
      <c r="F848" s="212"/>
      <c r="G848" s="212"/>
      <c r="H848" s="212"/>
      <c r="I848" s="212"/>
      <c r="J848" s="212"/>
      <c r="K848" s="212"/>
      <c r="L848" s="212"/>
      <c r="M848" s="212"/>
      <c r="N848" s="212"/>
      <c r="O848" s="212"/>
      <c r="P848" s="212"/>
      <c r="Q848" s="212"/>
      <c r="R848" s="212"/>
    </row>
    <row r="849">
      <c r="A849" s="163"/>
      <c r="B849" s="163" t="str">
        <f>IFERROR(__xludf.DUMMYFUNCTION("""COMPUTED_VALUE"""),"")</f>
        <v/>
      </c>
      <c r="C849" s="163"/>
      <c r="D849" s="212"/>
      <c r="E849" s="212"/>
      <c r="F849" s="212"/>
      <c r="G849" s="212"/>
      <c r="H849" s="212"/>
      <c r="I849" s="212"/>
      <c r="J849" s="212"/>
      <c r="K849" s="212"/>
      <c r="L849" s="212"/>
      <c r="M849" s="212"/>
      <c r="N849" s="212"/>
      <c r="O849" s="212"/>
      <c r="P849" s="212"/>
      <c r="Q849" s="212"/>
      <c r="R849" s="212"/>
    </row>
    <row r="850">
      <c r="A850" s="163"/>
      <c r="B850" s="163" t="str">
        <f>IFERROR(__xludf.DUMMYFUNCTION("""COMPUTED_VALUE"""),"")</f>
        <v/>
      </c>
      <c r="C850" s="163"/>
      <c r="D850" s="212"/>
      <c r="E850" s="212"/>
      <c r="F850" s="212"/>
      <c r="G850" s="212"/>
      <c r="H850" s="212"/>
      <c r="I850" s="212"/>
      <c r="J850" s="212"/>
      <c r="K850" s="212"/>
      <c r="L850" s="212"/>
      <c r="M850" s="212"/>
      <c r="N850" s="212"/>
      <c r="O850" s="212"/>
      <c r="P850" s="212"/>
      <c r="Q850" s="212"/>
      <c r="R850" s="212"/>
    </row>
    <row r="851">
      <c r="A851" s="163"/>
      <c r="B851" s="163" t="str">
        <f>IFERROR(__xludf.DUMMYFUNCTION("""COMPUTED_VALUE"""),"")</f>
        <v/>
      </c>
      <c r="C851" s="163"/>
      <c r="D851" s="212"/>
      <c r="E851" s="212"/>
      <c r="F851" s="212"/>
      <c r="G851" s="212"/>
      <c r="H851" s="212"/>
      <c r="I851" s="212"/>
      <c r="J851" s="212"/>
      <c r="K851" s="212"/>
      <c r="L851" s="212"/>
      <c r="M851" s="212"/>
      <c r="N851" s="212"/>
      <c r="O851" s="212"/>
      <c r="P851" s="212"/>
      <c r="Q851" s="212"/>
      <c r="R851" s="212"/>
    </row>
    <row r="852">
      <c r="A852" s="163"/>
      <c r="B852" s="163" t="str">
        <f>IFERROR(__xludf.DUMMYFUNCTION("""COMPUTED_VALUE"""),"")</f>
        <v/>
      </c>
      <c r="C852" s="163"/>
      <c r="D852" s="212"/>
      <c r="E852" s="212"/>
      <c r="F852" s="212"/>
      <c r="G852" s="212"/>
      <c r="H852" s="212"/>
      <c r="I852" s="212"/>
      <c r="J852" s="212"/>
      <c r="K852" s="212"/>
      <c r="L852" s="212"/>
      <c r="M852" s="212"/>
      <c r="N852" s="212"/>
      <c r="O852" s="212"/>
      <c r="P852" s="212"/>
      <c r="Q852" s="212"/>
      <c r="R852" s="212"/>
    </row>
    <row r="853">
      <c r="A853" s="163"/>
      <c r="B853" s="163" t="str">
        <f>IFERROR(__xludf.DUMMYFUNCTION("""COMPUTED_VALUE"""),"")</f>
        <v/>
      </c>
      <c r="C853" s="163"/>
      <c r="D853" s="212"/>
      <c r="E853" s="212"/>
      <c r="F853" s="212"/>
      <c r="G853" s="212"/>
      <c r="H853" s="212"/>
      <c r="I853" s="212"/>
      <c r="J853" s="212"/>
      <c r="K853" s="212"/>
      <c r="L853" s="212"/>
      <c r="M853" s="212"/>
      <c r="N853" s="212"/>
      <c r="O853" s="212"/>
      <c r="P853" s="212"/>
      <c r="Q853" s="212"/>
      <c r="R853" s="212"/>
    </row>
    <row r="854">
      <c r="A854" s="163"/>
      <c r="B854" s="163" t="str">
        <f>IFERROR(__xludf.DUMMYFUNCTION("""COMPUTED_VALUE"""),"")</f>
        <v/>
      </c>
      <c r="C854" s="163"/>
      <c r="D854" s="212"/>
      <c r="E854" s="212"/>
      <c r="F854" s="212"/>
      <c r="G854" s="212"/>
      <c r="H854" s="212"/>
      <c r="I854" s="212"/>
      <c r="J854" s="212"/>
      <c r="K854" s="212"/>
      <c r="L854" s="212"/>
      <c r="M854" s="212"/>
      <c r="N854" s="212"/>
      <c r="O854" s="212"/>
      <c r="P854" s="212"/>
      <c r="Q854" s="212"/>
      <c r="R854" s="212"/>
    </row>
    <row r="855">
      <c r="A855" s="163"/>
      <c r="B855" s="163" t="str">
        <f>IFERROR(__xludf.DUMMYFUNCTION("""COMPUTED_VALUE"""),"")</f>
        <v/>
      </c>
      <c r="C855" s="163"/>
      <c r="D855" s="212"/>
      <c r="E855" s="212"/>
      <c r="F855" s="212"/>
      <c r="G855" s="212"/>
      <c r="H855" s="212"/>
      <c r="I855" s="212"/>
      <c r="J855" s="212"/>
      <c r="K855" s="212"/>
      <c r="L855" s="212"/>
      <c r="M855" s="212"/>
      <c r="N855" s="212"/>
      <c r="O855" s="212"/>
      <c r="P855" s="212"/>
      <c r="Q855" s="212"/>
      <c r="R855" s="212"/>
    </row>
    <row r="856">
      <c r="A856" s="163"/>
      <c r="B856" s="163" t="str">
        <f>IFERROR(__xludf.DUMMYFUNCTION("""COMPUTED_VALUE"""),"")</f>
        <v/>
      </c>
      <c r="C856" s="163"/>
      <c r="D856" s="212"/>
      <c r="E856" s="212"/>
      <c r="F856" s="212"/>
      <c r="G856" s="212"/>
      <c r="H856" s="212"/>
      <c r="I856" s="212"/>
      <c r="J856" s="212"/>
      <c r="K856" s="212"/>
      <c r="L856" s="212"/>
      <c r="M856" s="212"/>
      <c r="N856" s="212"/>
      <c r="O856" s="212"/>
      <c r="P856" s="212"/>
      <c r="Q856" s="212"/>
      <c r="R856" s="212"/>
    </row>
    <row r="857">
      <c r="A857" s="163"/>
      <c r="B857" s="163" t="str">
        <f>IFERROR(__xludf.DUMMYFUNCTION("""COMPUTED_VALUE"""),"")</f>
        <v/>
      </c>
      <c r="C857" s="163"/>
      <c r="D857" s="212"/>
      <c r="E857" s="212"/>
      <c r="F857" s="212"/>
      <c r="G857" s="212"/>
      <c r="H857" s="212"/>
      <c r="I857" s="212"/>
      <c r="J857" s="212"/>
      <c r="K857" s="212"/>
      <c r="L857" s="212"/>
      <c r="M857" s="212"/>
      <c r="N857" s="212"/>
      <c r="O857" s="212"/>
      <c r="P857" s="212"/>
      <c r="Q857" s="212"/>
      <c r="R857" s="212"/>
    </row>
    <row r="858">
      <c r="A858" s="163"/>
      <c r="B858" s="163" t="str">
        <f>IFERROR(__xludf.DUMMYFUNCTION("""COMPUTED_VALUE"""),"")</f>
        <v/>
      </c>
      <c r="C858" s="163"/>
      <c r="D858" s="212"/>
      <c r="E858" s="212"/>
      <c r="F858" s="212"/>
      <c r="G858" s="212"/>
      <c r="H858" s="212"/>
      <c r="I858" s="212"/>
      <c r="J858" s="212"/>
      <c r="K858" s="212"/>
      <c r="L858" s="212"/>
      <c r="M858" s="212"/>
      <c r="N858" s="212"/>
      <c r="O858" s="212"/>
      <c r="P858" s="212"/>
      <c r="Q858" s="212"/>
      <c r="R858" s="212"/>
    </row>
    <row r="859">
      <c r="A859" s="163"/>
      <c r="B859" s="163" t="str">
        <f>IFERROR(__xludf.DUMMYFUNCTION("""COMPUTED_VALUE"""),"")</f>
        <v/>
      </c>
      <c r="C859" s="163"/>
      <c r="D859" s="212"/>
      <c r="E859" s="212"/>
      <c r="F859" s="212"/>
      <c r="G859" s="212"/>
      <c r="H859" s="212"/>
      <c r="I859" s="212"/>
      <c r="J859" s="212"/>
      <c r="K859" s="212"/>
      <c r="L859" s="212"/>
      <c r="M859" s="212"/>
      <c r="N859" s="212"/>
      <c r="O859" s="212"/>
      <c r="P859" s="212"/>
      <c r="Q859" s="212"/>
      <c r="R859" s="212"/>
    </row>
    <row r="860">
      <c r="A860" s="163"/>
      <c r="B860" s="163" t="str">
        <f>IFERROR(__xludf.DUMMYFUNCTION("""COMPUTED_VALUE"""),"")</f>
        <v/>
      </c>
      <c r="C860" s="163"/>
      <c r="D860" s="212"/>
      <c r="E860" s="212"/>
      <c r="F860" s="212"/>
      <c r="G860" s="212"/>
      <c r="H860" s="212"/>
      <c r="I860" s="212"/>
      <c r="J860" s="212"/>
      <c r="K860" s="212"/>
      <c r="L860" s="212"/>
      <c r="M860" s="212"/>
      <c r="N860" s="212"/>
      <c r="O860" s="212"/>
      <c r="P860" s="212"/>
      <c r="Q860" s="212"/>
      <c r="R860" s="212"/>
    </row>
    <row r="861">
      <c r="A861" s="163"/>
      <c r="B861" s="163" t="str">
        <f>IFERROR(__xludf.DUMMYFUNCTION("""COMPUTED_VALUE"""),"")</f>
        <v/>
      </c>
      <c r="C861" s="163"/>
      <c r="D861" s="212"/>
      <c r="E861" s="212"/>
      <c r="F861" s="212"/>
      <c r="G861" s="212"/>
      <c r="H861" s="212"/>
      <c r="I861" s="212"/>
      <c r="J861" s="212"/>
      <c r="K861" s="212"/>
      <c r="L861" s="212"/>
      <c r="M861" s="212"/>
      <c r="N861" s="212"/>
      <c r="O861" s="212"/>
      <c r="P861" s="212"/>
      <c r="Q861" s="212"/>
      <c r="R861" s="212"/>
    </row>
    <row r="862">
      <c r="A862" s="163"/>
      <c r="B862" s="163" t="str">
        <f>IFERROR(__xludf.DUMMYFUNCTION("""COMPUTED_VALUE"""),"")</f>
        <v/>
      </c>
      <c r="C862" s="163"/>
      <c r="D862" s="212"/>
      <c r="E862" s="212"/>
      <c r="F862" s="212"/>
      <c r="G862" s="212"/>
      <c r="H862" s="212"/>
      <c r="I862" s="212"/>
      <c r="J862" s="212"/>
      <c r="K862" s="212"/>
      <c r="L862" s="212"/>
      <c r="M862" s="212"/>
      <c r="N862" s="212"/>
      <c r="O862" s="212"/>
      <c r="P862" s="212"/>
      <c r="Q862" s="212"/>
      <c r="R862" s="212"/>
    </row>
    <row r="863">
      <c r="A863" s="163"/>
      <c r="B863" s="163" t="str">
        <f>IFERROR(__xludf.DUMMYFUNCTION("""COMPUTED_VALUE"""),"")</f>
        <v/>
      </c>
      <c r="C863" s="163"/>
      <c r="D863" s="212"/>
      <c r="E863" s="212"/>
      <c r="F863" s="212"/>
      <c r="G863" s="212"/>
      <c r="H863" s="212"/>
      <c r="I863" s="212"/>
      <c r="J863" s="212"/>
      <c r="K863" s="212"/>
      <c r="L863" s="212"/>
      <c r="M863" s="212"/>
      <c r="N863" s="212"/>
      <c r="O863" s="212"/>
      <c r="P863" s="212"/>
      <c r="Q863" s="212"/>
      <c r="R863" s="212"/>
    </row>
    <row r="864">
      <c r="A864" s="163"/>
      <c r="B864" s="163" t="str">
        <f>IFERROR(__xludf.DUMMYFUNCTION("""COMPUTED_VALUE"""),"")</f>
        <v/>
      </c>
      <c r="C864" s="163"/>
      <c r="D864" s="212"/>
      <c r="E864" s="212"/>
      <c r="F864" s="212"/>
      <c r="G864" s="212"/>
      <c r="H864" s="212"/>
      <c r="I864" s="212"/>
      <c r="J864" s="212"/>
      <c r="K864" s="212"/>
      <c r="L864" s="212"/>
      <c r="M864" s="212"/>
      <c r="N864" s="212"/>
      <c r="O864" s="212"/>
      <c r="P864" s="212"/>
      <c r="Q864" s="212"/>
      <c r="R864" s="212"/>
    </row>
    <row r="865">
      <c r="A865" s="163"/>
      <c r="B865" s="163" t="str">
        <f>IFERROR(__xludf.DUMMYFUNCTION("""COMPUTED_VALUE"""),"")</f>
        <v/>
      </c>
      <c r="C865" s="163"/>
      <c r="D865" s="212"/>
      <c r="E865" s="212"/>
      <c r="F865" s="212"/>
      <c r="G865" s="212"/>
      <c r="H865" s="212"/>
      <c r="I865" s="212"/>
      <c r="J865" s="212"/>
      <c r="K865" s="212"/>
      <c r="L865" s="212"/>
      <c r="M865" s="212"/>
      <c r="N865" s="212"/>
      <c r="O865" s="212"/>
      <c r="P865" s="212"/>
      <c r="Q865" s="212"/>
      <c r="R865" s="212"/>
    </row>
    <row r="866">
      <c r="A866" s="163"/>
      <c r="B866" s="163" t="str">
        <f>IFERROR(__xludf.DUMMYFUNCTION("""COMPUTED_VALUE"""),"")</f>
        <v/>
      </c>
      <c r="C866" s="163"/>
      <c r="D866" s="212"/>
      <c r="E866" s="212"/>
      <c r="F866" s="212"/>
      <c r="G866" s="212"/>
      <c r="H866" s="212"/>
      <c r="I866" s="212"/>
      <c r="J866" s="212"/>
      <c r="K866" s="212"/>
      <c r="L866" s="212"/>
      <c r="M866" s="212"/>
      <c r="N866" s="212"/>
      <c r="O866" s="212"/>
      <c r="P866" s="212"/>
      <c r="Q866" s="212"/>
      <c r="R866" s="212"/>
    </row>
    <row r="867">
      <c r="A867" s="163"/>
      <c r="B867" s="163" t="str">
        <f>IFERROR(__xludf.DUMMYFUNCTION("""COMPUTED_VALUE"""),"")</f>
        <v/>
      </c>
      <c r="C867" s="163"/>
      <c r="D867" s="212"/>
      <c r="E867" s="212"/>
      <c r="F867" s="212"/>
      <c r="G867" s="212"/>
      <c r="H867" s="212"/>
      <c r="I867" s="212"/>
      <c r="J867" s="212"/>
      <c r="K867" s="212"/>
      <c r="L867" s="212"/>
      <c r="M867" s="212"/>
      <c r="N867" s="212"/>
      <c r="O867" s="212"/>
      <c r="P867" s="212"/>
      <c r="Q867" s="212"/>
      <c r="R867" s="212"/>
    </row>
    <row r="868">
      <c r="A868" s="163"/>
      <c r="B868" s="163" t="str">
        <f>IFERROR(__xludf.DUMMYFUNCTION("""COMPUTED_VALUE"""),"")</f>
        <v/>
      </c>
      <c r="C868" s="163"/>
      <c r="D868" s="212"/>
      <c r="E868" s="212"/>
      <c r="F868" s="212"/>
      <c r="G868" s="212"/>
      <c r="H868" s="212"/>
      <c r="I868" s="212"/>
      <c r="J868" s="212"/>
      <c r="K868" s="212"/>
      <c r="L868" s="212"/>
      <c r="M868" s="212"/>
      <c r="N868" s="212"/>
      <c r="O868" s="212"/>
      <c r="P868" s="212"/>
      <c r="Q868" s="212"/>
      <c r="R868" s="212"/>
    </row>
    <row r="869">
      <c r="A869" s="163"/>
      <c r="B869" s="163" t="str">
        <f>IFERROR(__xludf.DUMMYFUNCTION("""COMPUTED_VALUE"""),"")</f>
        <v/>
      </c>
      <c r="C869" s="163"/>
      <c r="D869" s="212"/>
      <c r="E869" s="212"/>
      <c r="F869" s="212"/>
      <c r="G869" s="212"/>
      <c r="H869" s="212"/>
      <c r="I869" s="212"/>
      <c r="J869" s="212"/>
      <c r="K869" s="212"/>
      <c r="L869" s="212"/>
      <c r="M869" s="212"/>
      <c r="N869" s="212"/>
      <c r="O869" s="212"/>
      <c r="P869" s="212"/>
      <c r="Q869" s="212"/>
      <c r="R869" s="212"/>
    </row>
    <row r="870">
      <c r="A870" s="163"/>
      <c r="B870" s="163" t="str">
        <f>IFERROR(__xludf.DUMMYFUNCTION("""COMPUTED_VALUE"""),"")</f>
        <v/>
      </c>
      <c r="C870" s="163"/>
      <c r="D870" s="212"/>
      <c r="E870" s="212"/>
      <c r="F870" s="212"/>
      <c r="G870" s="212"/>
      <c r="H870" s="212"/>
      <c r="I870" s="212"/>
      <c r="J870" s="212"/>
      <c r="K870" s="212"/>
      <c r="L870" s="212"/>
      <c r="M870" s="212"/>
      <c r="N870" s="212"/>
      <c r="O870" s="212"/>
      <c r="P870" s="212"/>
      <c r="Q870" s="212"/>
      <c r="R870" s="212"/>
    </row>
    <row r="871">
      <c r="A871" s="163"/>
      <c r="B871" s="163" t="str">
        <f>IFERROR(__xludf.DUMMYFUNCTION("""COMPUTED_VALUE"""),"")</f>
        <v/>
      </c>
      <c r="C871" s="163"/>
      <c r="D871" s="212"/>
      <c r="E871" s="212"/>
      <c r="F871" s="212"/>
      <c r="G871" s="212"/>
      <c r="H871" s="212"/>
      <c r="I871" s="212"/>
      <c r="J871" s="212"/>
      <c r="K871" s="212"/>
      <c r="L871" s="212"/>
      <c r="M871" s="212"/>
      <c r="N871" s="212"/>
      <c r="O871" s="212"/>
      <c r="P871" s="212"/>
      <c r="Q871" s="212"/>
      <c r="R871" s="212"/>
    </row>
    <row r="872">
      <c r="A872" s="163"/>
      <c r="B872" s="163" t="str">
        <f>IFERROR(__xludf.DUMMYFUNCTION("""COMPUTED_VALUE"""),"")</f>
        <v/>
      </c>
      <c r="C872" s="163"/>
      <c r="D872" s="212"/>
      <c r="E872" s="212"/>
      <c r="F872" s="212"/>
      <c r="G872" s="212"/>
      <c r="H872" s="212"/>
      <c r="I872" s="212"/>
      <c r="J872" s="212"/>
      <c r="K872" s="212"/>
      <c r="L872" s="212"/>
      <c r="M872" s="212"/>
      <c r="N872" s="212"/>
      <c r="O872" s="212"/>
      <c r="P872" s="212"/>
      <c r="Q872" s="212"/>
      <c r="R872" s="212"/>
    </row>
    <row r="873">
      <c r="A873" s="163"/>
      <c r="B873" s="163" t="str">
        <f>IFERROR(__xludf.DUMMYFUNCTION("""COMPUTED_VALUE"""),"")</f>
        <v/>
      </c>
      <c r="C873" s="163"/>
      <c r="D873" s="212"/>
      <c r="E873" s="212"/>
      <c r="F873" s="212"/>
      <c r="G873" s="212"/>
      <c r="H873" s="212"/>
      <c r="I873" s="212"/>
      <c r="J873" s="212"/>
      <c r="K873" s="212"/>
      <c r="L873" s="212"/>
      <c r="M873" s="212"/>
      <c r="N873" s="212"/>
      <c r="O873" s="212"/>
      <c r="P873" s="212"/>
      <c r="Q873" s="212"/>
      <c r="R873" s="212"/>
    </row>
    <row r="874">
      <c r="A874" s="163"/>
      <c r="B874" s="163" t="str">
        <f>IFERROR(__xludf.DUMMYFUNCTION("""COMPUTED_VALUE"""),"")</f>
        <v/>
      </c>
      <c r="C874" s="163"/>
      <c r="D874" s="212"/>
      <c r="E874" s="212"/>
      <c r="F874" s="212"/>
      <c r="G874" s="212"/>
      <c r="H874" s="212"/>
      <c r="I874" s="212"/>
      <c r="J874" s="212"/>
      <c r="K874" s="212"/>
      <c r="L874" s="212"/>
      <c r="M874" s="212"/>
      <c r="N874" s="212"/>
      <c r="O874" s="212"/>
      <c r="P874" s="212"/>
      <c r="Q874" s="212"/>
      <c r="R874" s="212"/>
    </row>
    <row r="875">
      <c r="A875" s="163"/>
      <c r="B875" s="163" t="str">
        <f>IFERROR(__xludf.DUMMYFUNCTION("""COMPUTED_VALUE"""),"")</f>
        <v/>
      </c>
      <c r="C875" s="163"/>
      <c r="D875" s="212"/>
      <c r="E875" s="212"/>
      <c r="F875" s="212"/>
      <c r="G875" s="212"/>
      <c r="H875" s="212"/>
      <c r="I875" s="212"/>
      <c r="J875" s="212"/>
      <c r="K875" s="212"/>
      <c r="L875" s="212"/>
      <c r="M875" s="212"/>
      <c r="N875" s="212"/>
      <c r="O875" s="212"/>
      <c r="P875" s="212"/>
      <c r="Q875" s="212"/>
      <c r="R875" s="212"/>
    </row>
    <row r="876">
      <c r="A876" s="163"/>
      <c r="B876" s="163" t="str">
        <f>IFERROR(__xludf.DUMMYFUNCTION("""COMPUTED_VALUE"""),"")</f>
        <v/>
      </c>
      <c r="C876" s="163"/>
      <c r="D876" s="212"/>
      <c r="E876" s="212"/>
      <c r="F876" s="212"/>
      <c r="G876" s="212"/>
      <c r="H876" s="212"/>
      <c r="I876" s="212"/>
      <c r="J876" s="212"/>
      <c r="K876" s="212"/>
      <c r="L876" s="212"/>
      <c r="M876" s="212"/>
      <c r="N876" s="212"/>
      <c r="O876" s="212"/>
      <c r="P876" s="212"/>
      <c r="Q876" s="212"/>
      <c r="R876" s="212"/>
    </row>
    <row r="877">
      <c r="A877" s="163"/>
      <c r="B877" s="163" t="str">
        <f>IFERROR(__xludf.DUMMYFUNCTION("""COMPUTED_VALUE"""),"")</f>
        <v/>
      </c>
      <c r="C877" s="163"/>
      <c r="D877" s="212"/>
      <c r="E877" s="212"/>
      <c r="F877" s="212"/>
      <c r="G877" s="212"/>
      <c r="H877" s="212"/>
      <c r="I877" s="212"/>
      <c r="J877" s="212"/>
      <c r="K877" s="212"/>
      <c r="L877" s="212"/>
      <c r="M877" s="212"/>
      <c r="N877" s="212"/>
      <c r="O877" s="212"/>
      <c r="P877" s="212"/>
      <c r="Q877" s="212"/>
      <c r="R877" s="212"/>
    </row>
    <row r="878">
      <c r="A878" s="163"/>
      <c r="B878" s="163" t="str">
        <f>IFERROR(__xludf.DUMMYFUNCTION("""COMPUTED_VALUE"""),"")</f>
        <v/>
      </c>
      <c r="C878" s="163"/>
      <c r="D878" s="212"/>
      <c r="E878" s="212"/>
      <c r="F878" s="212"/>
      <c r="G878" s="212"/>
      <c r="H878" s="212"/>
      <c r="I878" s="212"/>
      <c r="J878" s="212"/>
      <c r="K878" s="212"/>
      <c r="L878" s="212"/>
      <c r="M878" s="212"/>
      <c r="N878" s="212"/>
      <c r="O878" s="212"/>
      <c r="P878" s="212"/>
      <c r="Q878" s="212"/>
      <c r="R878" s="212"/>
    </row>
    <row r="879">
      <c r="A879" s="163"/>
      <c r="B879" s="163" t="str">
        <f>IFERROR(__xludf.DUMMYFUNCTION("""COMPUTED_VALUE"""),"")</f>
        <v/>
      </c>
      <c r="C879" s="163"/>
      <c r="D879" s="212"/>
      <c r="E879" s="212"/>
      <c r="F879" s="212"/>
      <c r="G879" s="212"/>
      <c r="H879" s="212"/>
      <c r="I879" s="212"/>
      <c r="J879" s="212"/>
      <c r="K879" s="212"/>
      <c r="L879" s="212"/>
      <c r="M879" s="212"/>
      <c r="N879" s="212"/>
      <c r="O879" s="212"/>
      <c r="P879" s="212"/>
      <c r="Q879" s="212"/>
      <c r="R879" s="212"/>
    </row>
    <row r="880">
      <c r="A880" s="163"/>
      <c r="B880" s="163" t="str">
        <f>IFERROR(__xludf.DUMMYFUNCTION("""COMPUTED_VALUE"""),"")</f>
        <v/>
      </c>
      <c r="C880" s="163"/>
      <c r="D880" s="212"/>
      <c r="E880" s="212"/>
      <c r="F880" s="212"/>
      <c r="G880" s="212"/>
      <c r="H880" s="212"/>
      <c r="I880" s="212"/>
      <c r="J880" s="212"/>
      <c r="K880" s="212"/>
      <c r="L880" s="212"/>
      <c r="M880" s="212"/>
      <c r="N880" s="212"/>
      <c r="O880" s="212"/>
      <c r="P880" s="212"/>
      <c r="Q880" s="212"/>
      <c r="R880" s="212"/>
    </row>
    <row r="881">
      <c r="A881" s="163"/>
      <c r="B881" s="163" t="str">
        <f>IFERROR(__xludf.DUMMYFUNCTION("""COMPUTED_VALUE"""),"")</f>
        <v/>
      </c>
      <c r="C881" s="163"/>
      <c r="D881" s="212"/>
      <c r="E881" s="212"/>
      <c r="F881" s="212"/>
      <c r="G881" s="212"/>
      <c r="H881" s="212"/>
      <c r="I881" s="212"/>
      <c r="J881" s="212"/>
      <c r="K881" s="212"/>
      <c r="L881" s="212"/>
      <c r="M881" s="212"/>
      <c r="N881" s="212"/>
      <c r="O881" s="212"/>
      <c r="P881" s="212"/>
      <c r="Q881" s="212"/>
      <c r="R881" s="212"/>
    </row>
    <row r="882">
      <c r="A882" s="163"/>
      <c r="B882" s="163" t="str">
        <f>IFERROR(__xludf.DUMMYFUNCTION("""COMPUTED_VALUE"""),"")</f>
        <v/>
      </c>
      <c r="C882" s="163"/>
      <c r="D882" s="212"/>
      <c r="E882" s="212"/>
      <c r="F882" s="212"/>
      <c r="G882" s="212"/>
      <c r="H882" s="212"/>
      <c r="I882" s="212"/>
      <c r="J882" s="212"/>
      <c r="K882" s="212"/>
      <c r="L882" s="212"/>
      <c r="M882" s="212"/>
      <c r="N882" s="212"/>
      <c r="O882" s="212"/>
      <c r="P882" s="212"/>
      <c r="Q882" s="212"/>
      <c r="R882" s="212"/>
    </row>
    <row r="883">
      <c r="A883" s="163"/>
      <c r="B883" s="163" t="str">
        <f>IFERROR(__xludf.DUMMYFUNCTION("""COMPUTED_VALUE"""),"")</f>
        <v/>
      </c>
      <c r="C883" s="163"/>
      <c r="D883" s="212"/>
      <c r="E883" s="212"/>
      <c r="F883" s="212"/>
      <c r="G883" s="212"/>
      <c r="H883" s="212"/>
      <c r="I883" s="212"/>
      <c r="J883" s="212"/>
      <c r="K883" s="212"/>
      <c r="L883" s="212"/>
      <c r="M883" s="212"/>
      <c r="N883" s="212"/>
      <c r="O883" s="212"/>
      <c r="P883" s="212"/>
      <c r="Q883" s="212"/>
      <c r="R883" s="212"/>
    </row>
    <row r="884">
      <c r="A884" s="163"/>
      <c r="B884" s="163" t="str">
        <f>IFERROR(__xludf.DUMMYFUNCTION("""COMPUTED_VALUE"""),"")</f>
        <v/>
      </c>
      <c r="C884" s="163"/>
      <c r="D884" s="212"/>
      <c r="E884" s="212"/>
      <c r="F884" s="212"/>
      <c r="G884" s="212"/>
      <c r="H884" s="212"/>
      <c r="I884" s="212"/>
      <c r="J884" s="212"/>
      <c r="K884" s="212"/>
      <c r="L884" s="212"/>
      <c r="M884" s="212"/>
      <c r="N884" s="212"/>
      <c r="O884" s="212"/>
      <c r="P884" s="212"/>
      <c r="Q884" s="212"/>
      <c r="R884" s="212"/>
    </row>
    <row r="885">
      <c r="A885" s="163"/>
      <c r="B885" s="163" t="str">
        <f>IFERROR(__xludf.DUMMYFUNCTION("""COMPUTED_VALUE"""),"")</f>
        <v/>
      </c>
      <c r="C885" s="163"/>
      <c r="D885" s="212"/>
      <c r="E885" s="212"/>
      <c r="F885" s="212"/>
      <c r="G885" s="212"/>
      <c r="H885" s="212"/>
      <c r="I885" s="212"/>
      <c r="J885" s="212"/>
      <c r="K885" s="212"/>
      <c r="L885" s="212"/>
      <c r="M885" s="212"/>
      <c r="N885" s="212"/>
      <c r="O885" s="212"/>
      <c r="P885" s="212"/>
      <c r="Q885" s="212"/>
      <c r="R885" s="212"/>
    </row>
    <row r="886">
      <c r="A886" s="163"/>
      <c r="B886" s="163" t="str">
        <f>IFERROR(__xludf.DUMMYFUNCTION("""COMPUTED_VALUE"""),"")</f>
        <v/>
      </c>
      <c r="C886" s="163"/>
      <c r="D886" s="212"/>
      <c r="E886" s="212"/>
      <c r="F886" s="212"/>
      <c r="G886" s="212"/>
      <c r="H886" s="212"/>
      <c r="I886" s="212"/>
      <c r="J886" s="212"/>
      <c r="K886" s="212"/>
      <c r="L886" s="212"/>
      <c r="M886" s="212"/>
      <c r="N886" s="212"/>
      <c r="O886" s="212"/>
      <c r="P886" s="212"/>
      <c r="Q886" s="212"/>
      <c r="R886" s="212"/>
    </row>
    <row r="887">
      <c r="A887" s="163"/>
      <c r="B887" s="163" t="str">
        <f>IFERROR(__xludf.DUMMYFUNCTION("""COMPUTED_VALUE"""),"")</f>
        <v/>
      </c>
      <c r="C887" s="163"/>
      <c r="D887" s="212"/>
      <c r="E887" s="212"/>
      <c r="F887" s="212"/>
      <c r="G887" s="212"/>
      <c r="H887" s="212"/>
      <c r="I887" s="212"/>
      <c r="J887" s="212"/>
      <c r="K887" s="212"/>
      <c r="L887" s="212"/>
      <c r="M887" s="212"/>
      <c r="N887" s="212"/>
      <c r="O887" s="212"/>
      <c r="P887" s="212"/>
      <c r="Q887" s="212"/>
      <c r="R887" s="212"/>
    </row>
    <row r="888">
      <c r="A888" s="163"/>
      <c r="B888" s="163" t="str">
        <f>IFERROR(__xludf.DUMMYFUNCTION("""COMPUTED_VALUE"""),"")</f>
        <v/>
      </c>
      <c r="C888" s="163"/>
      <c r="D888" s="212"/>
      <c r="E888" s="212"/>
      <c r="F888" s="212"/>
      <c r="G888" s="212"/>
      <c r="H888" s="212"/>
      <c r="I888" s="212"/>
      <c r="J888" s="212"/>
      <c r="K888" s="212"/>
      <c r="L888" s="212"/>
      <c r="M888" s="212"/>
      <c r="N888" s="212"/>
      <c r="O888" s="212"/>
      <c r="P888" s="212"/>
      <c r="Q888" s="212"/>
      <c r="R888" s="212"/>
    </row>
    <row r="889">
      <c r="A889" s="163"/>
      <c r="B889" s="163" t="str">
        <f>IFERROR(__xludf.DUMMYFUNCTION("""COMPUTED_VALUE"""),"")</f>
        <v/>
      </c>
      <c r="C889" s="163"/>
      <c r="D889" s="212"/>
      <c r="E889" s="212"/>
      <c r="F889" s="212"/>
      <c r="G889" s="212"/>
      <c r="H889" s="212"/>
      <c r="I889" s="212"/>
      <c r="J889" s="212"/>
      <c r="K889" s="212"/>
      <c r="L889" s="212"/>
      <c r="M889" s="212"/>
      <c r="N889" s="212"/>
      <c r="O889" s="212"/>
      <c r="P889" s="212"/>
      <c r="Q889" s="212"/>
      <c r="R889" s="212"/>
    </row>
    <row r="890">
      <c r="A890" s="163"/>
      <c r="B890" s="163" t="str">
        <f>IFERROR(__xludf.DUMMYFUNCTION("""COMPUTED_VALUE"""),"")</f>
        <v/>
      </c>
      <c r="C890" s="163"/>
      <c r="D890" s="212"/>
      <c r="E890" s="212"/>
      <c r="F890" s="212"/>
      <c r="G890" s="212"/>
      <c r="H890" s="212"/>
      <c r="I890" s="212"/>
      <c r="J890" s="212"/>
      <c r="K890" s="212"/>
      <c r="L890" s="212"/>
      <c r="M890" s="212"/>
      <c r="N890" s="212"/>
      <c r="O890" s="212"/>
      <c r="P890" s="212"/>
      <c r="Q890" s="212"/>
      <c r="R890" s="212"/>
    </row>
    <row r="891">
      <c r="A891" s="163"/>
      <c r="B891" s="163" t="str">
        <f>IFERROR(__xludf.DUMMYFUNCTION("""COMPUTED_VALUE"""),"")</f>
        <v/>
      </c>
      <c r="C891" s="163"/>
      <c r="D891" s="212"/>
      <c r="E891" s="212"/>
      <c r="F891" s="212"/>
      <c r="G891" s="212"/>
      <c r="H891" s="212"/>
      <c r="I891" s="212"/>
      <c r="J891" s="212"/>
      <c r="K891" s="212"/>
      <c r="L891" s="212"/>
      <c r="M891" s="212"/>
      <c r="N891" s="212"/>
      <c r="O891" s="212"/>
      <c r="P891" s="212"/>
      <c r="Q891" s="212"/>
      <c r="R891" s="212"/>
    </row>
    <row r="892">
      <c r="A892" s="163"/>
      <c r="B892" s="163" t="str">
        <f>IFERROR(__xludf.DUMMYFUNCTION("""COMPUTED_VALUE"""),"")</f>
        <v/>
      </c>
      <c r="C892" s="163"/>
      <c r="D892" s="212"/>
      <c r="E892" s="212"/>
      <c r="F892" s="212"/>
      <c r="G892" s="212"/>
      <c r="H892" s="212"/>
      <c r="I892" s="212"/>
      <c r="J892" s="212"/>
      <c r="K892" s="212"/>
      <c r="L892" s="212"/>
      <c r="M892" s="212"/>
      <c r="N892" s="212"/>
      <c r="O892" s="212"/>
      <c r="P892" s="212"/>
      <c r="Q892" s="212"/>
      <c r="R892" s="212"/>
    </row>
    <row r="893">
      <c r="A893" s="163"/>
      <c r="B893" s="163" t="str">
        <f>IFERROR(__xludf.DUMMYFUNCTION("""COMPUTED_VALUE"""),"")</f>
        <v/>
      </c>
      <c r="C893" s="163"/>
      <c r="D893" s="212"/>
      <c r="E893" s="212"/>
      <c r="F893" s="212"/>
      <c r="G893" s="212"/>
      <c r="H893" s="212"/>
      <c r="I893" s="212"/>
      <c r="J893" s="212"/>
      <c r="K893" s="212"/>
      <c r="L893" s="212"/>
      <c r="M893" s="212"/>
      <c r="N893" s="212"/>
      <c r="O893" s="212"/>
      <c r="P893" s="212"/>
      <c r="Q893" s="212"/>
      <c r="R893" s="212"/>
    </row>
    <row r="894">
      <c r="A894" s="163"/>
      <c r="B894" s="163" t="str">
        <f>IFERROR(__xludf.DUMMYFUNCTION("""COMPUTED_VALUE"""),"")</f>
        <v/>
      </c>
      <c r="C894" s="163"/>
      <c r="D894" s="212"/>
      <c r="E894" s="212"/>
      <c r="F894" s="212"/>
      <c r="G894" s="212"/>
      <c r="H894" s="212"/>
      <c r="I894" s="212"/>
      <c r="J894" s="212"/>
      <c r="K894" s="212"/>
      <c r="L894" s="212"/>
      <c r="M894" s="212"/>
      <c r="N894" s="212"/>
      <c r="O894" s="212"/>
      <c r="P894" s="212"/>
      <c r="Q894" s="212"/>
      <c r="R894" s="212"/>
    </row>
    <row r="895">
      <c r="A895" s="163"/>
      <c r="B895" s="163" t="str">
        <f>IFERROR(__xludf.DUMMYFUNCTION("""COMPUTED_VALUE"""),"")</f>
        <v/>
      </c>
      <c r="C895" s="163"/>
      <c r="D895" s="212"/>
      <c r="E895" s="212"/>
      <c r="F895" s="212"/>
      <c r="G895" s="212"/>
      <c r="H895" s="212"/>
      <c r="I895" s="212"/>
      <c r="J895" s="212"/>
      <c r="K895" s="212"/>
      <c r="L895" s="212"/>
      <c r="M895" s="212"/>
      <c r="N895" s="212"/>
      <c r="O895" s="212"/>
      <c r="P895" s="212"/>
      <c r="Q895" s="212"/>
      <c r="R895" s="212"/>
    </row>
    <row r="896">
      <c r="A896" s="163"/>
      <c r="B896" s="163" t="str">
        <f>IFERROR(__xludf.DUMMYFUNCTION("""COMPUTED_VALUE"""),"")</f>
        <v/>
      </c>
      <c r="C896" s="163"/>
      <c r="D896" s="212"/>
      <c r="E896" s="212"/>
      <c r="F896" s="212"/>
      <c r="G896" s="212"/>
      <c r="H896" s="212"/>
      <c r="I896" s="212"/>
      <c r="J896" s="212"/>
      <c r="K896" s="212"/>
      <c r="L896" s="212"/>
      <c r="M896" s="212"/>
      <c r="N896" s="212"/>
      <c r="O896" s="212"/>
      <c r="P896" s="212"/>
      <c r="Q896" s="212"/>
      <c r="R896" s="212"/>
    </row>
    <row r="897">
      <c r="A897" s="163"/>
      <c r="B897" s="163" t="str">
        <f>IFERROR(__xludf.DUMMYFUNCTION("""COMPUTED_VALUE"""),"")</f>
        <v/>
      </c>
      <c r="C897" s="163"/>
      <c r="D897" s="212"/>
      <c r="E897" s="212"/>
      <c r="F897" s="212"/>
      <c r="G897" s="212"/>
      <c r="H897" s="212"/>
      <c r="I897" s="212"/>
      <c r="J897" s="212"/>
      <c r="K897" s="212"/>
      <c r="L897" s="212"/>
      <c r="M897" s="212"/>
      <c r="N897" s="212"/>
      <c r="O897" s="212"/>
      <c r="P897" s="212"/>
      <c r="Q897" s="212"/>
      <c r="R897" s="212"/>
    </row>
    <row r="898">
      <c r="A898" s="163"/>
      <c r="B898" s="163" t="str">
        <f>IFERROR(__xludf.DUMMYFUNCTION("""COMPUTED_VALUE"""),"")</f>
        <v/>
      </c>
      <c r="C898" s="163"/>
      <c r="D898" s="212"/>
      <c r="E898" s="212"/>
      <c r="F898" s="212"/>
      <c r="G898" s="212"/>
      <c r="H898" s="212"/>
      <c r="I898" s="212"/>
      <c r="J898" s="212"/>
      <c r="K898" s="212"/>
      <c r="L898" s="212"/>
      <c r="M898" s="212"/>
      <c r="N898" s="212"/>
      <c r="O898" s="212"/>
      <c r="P898" s="212"/>
      <c r="Q898" s="212"/>
      <c r="R898" s="212"/>
    </row>
    <row r="899">
      <c r="A899" s="163"/>
      <c r="B899" s="163" t="str">
        <f>IFERROR(__xludf.DUMMYFUNCTION("""COMPUTED_VALUE"""),"")</f>
        <v/>
      </c>
      <c r="C899" s="163"/>
      <c r="D899" s="212"/>
      <c r="E899" s="212"/>
      <c r="F899" s="212"/>
      <c r="G899" s="212"/>
      <c r="H899" s="212"/>
      <c r="I899" s="212"/>
      <c r="J899" s="212"/>
      <c r="K899" s="212"/>
      <c r="L899" s="212"/>
      <c r="M899" s="212"/>
      <c r="N899" s="212"/>
      <c r="O899" s="212"/>
      <c r="P899" s="212"/>
      <c r="Q899" s="212"/>
      <c r="R899" s="212"/>
    </row>
    <row r="900">
      <c r="A900" s="163"/>
      <c r="B900" s="163" t="str">
        <f>IFERROR(__xludf.DUMMYFUNCTION("""COMPUTED_VALUE"""),"")</f>
        <v/>
      </c>
      <c r="C900" s="163"/>
      <c r="D900" s="212"/>
      <c r="E900" s="212"/>
      <c r="F900" s="212"/>
      <c r="G900" s="212"/>
      <c r="H900" s="212"/>
      <c r="I900" s="212"/>
      <c r="J900" s="212"/>
      <c r="K900" s="212"/>
      <c r="L900" s="212"/>
      <c r="M900" s="212"/>
      <c r="N900" s="212"/>
      <c r="O900" s="212"/>
      <c r="P900" s="212"/>
      <c r="Q900" s="212"/>
      <c r="R900" s="212"/>
    </row>
    <row r="901">
      <c r="A901" s="163"/>
      <c r="B901" s="163" t="str">
        <f>IFERROR(__xludf.DUMMYFUNCTION("""COMPUTED_VALUE"""),"")</f>
        <v/>
      </c>
      <c r="C901" s="163"/>
      <c r="D901" s="212"/>
      <c r="E901" s="212"/>
      <c r="F901" s="212"/>
      <c r="G901" s="212"/>
      <c r="H901" s="212"/>
      <c r="I901" s="212"/>
      <c r="J901" s="212"/>
      <c r="K901" s="212"/>
      <c r="L901" s="212"/>
      <c r="M901" s="212"/>
      <c r="N901" s="212"/>
      <c r="O901" s="212"/>
      <c r="P901" s="212"/>
      <c r="Q901" s="212"/>
      <c r="R901" s="212"/>
    </row>
    <row r="902">
      <c r="A902" s="163"/>
      <c r="B902" s="163" t="str">
        <f>IFERROR(__xludf.DUMMYFUNCTION("""COMPUTED_VALUE"""),"")</f>
        <v/>
      </c>
      <c r="C902" s="163"/>
      <c r="D902" s="212"/>
      <c r="E902" s="212"/>
      <c r="F902" s="212"/>
      <c r="G902" s="212"/>
      <c r="H902" s="212"/>
      <c r="I902" s="212"/>
      <c r="J902" s="212"/>
      <c r="K902" s="212"/>
      <c r="L902" s="212"/>
      <c r="M902" s="212"/>
      <c r="N902" s="212"/>
      <c r="O902" s="212"/>
      <c r="P902" s="212"/>
      <c r="Q902" s="212"/>
      <c r="R902" s="212"/>
    </row>
    <row r="903">
      <c r="A903" s="163"/>
      <c r="B903" s="163" t="str">
        <f>IFERROR(__xludf.DUMMYFUNCTION("""COMPUTED_VALUE"""),"")</f>
        <v/>
      </c>
      <c r="C903" s="163"/>
      <c r="D903" s="212"/>
      <c r="E903" s="212"/>
      <c r="F903" s="212"/>
      <c r="G903" s="212"/>
      <c r="H903" s="212"/>
      <c r="I903" s="212"/>
      <c r="J903" s="212"/>
      <c r="K903" s="212"/>
      <c r="L903" s="212"/>
      <c r="M903" s="212"/>
      <c r="N903" s="212"/>
      <c r="O903" s="212"/>
      <c r="P903" s="212"/>
      <c r="Q903" s="212"/>
      <c r="R903" s="212"/>
    </row>
    <row r="904">
      <c r="A904" s="163"/>
      <c r="B904" s="163" t="str">
        <f>IFERROR(__xludf.DUMMYFUNCTION("""COMPUTED_VALUE"""),"")</f>
        <v/>
      </c>
      <c r="C904" s="163"/>
      <c r="D904" s="212"/>
      <c r="E904" s="212"/>
      <c r="F904" s="212"/>
      <c r="G904" s="212"/>
      <c r="H904" s="212"/>
      <c r="I904" s="212"/>
      <c r="J904" s="212"/>
      <c r="K904" s="212"/>
      <c r="L904" s="212"/>
      <c r="M904" s="212"/>
      <c r="N904" s="212"/>
      <c r="O904" s="212"/>
      <c r="P904" s="212"/>
      <c r="Q904" s="212"/>
      <c r="R904" s="212"/>
    </row>
    <row r="905">
      <c r="A905" s="163"/>
      <c r="B905" s="163" t="str">
        <f>IFERROR(__xludf.DUMMYFUNCTION("""COMPUTED_VALUE"""),"")</f>
        <v/>
      </c>
      <c r="C905" s="163"/>
      <c r="D905" s="212"/>
      <c r="E905" s="212"/>
      <c r="F905" s="212"/>
      <c r="G905" s="212"/>
      <c r="H905" s="212"/>
      <c r="I905" s="212"/>
      <c r="J905" s="212"/>
      <c r="K905" s="212"/>
      <c r="L905" s="212"/>
      <c r="M905" s="212"/>
      <c r="N905" s="212"/>
      <c r="O905" s="212"/>
      <c r="P905" s="212"/>
      <c r="Q905" s="212"/>
      <c r="R905" s="212"/>
    </row>
    <row r="906">
      <c r="A906" s="163"/>
      <c r="B906" s="163" t="str">
        <f>IFERROR(__xludf.DUMMYFUNCTION("""COMPUTED_VALUE"""),"")</f>
        <v/>
      </c>
      <c r="C906" s="163"/>
      <c r="D906" s="212"/>
      <c r="E906" s="212"/>
      <c r="F906" s="212"/>
      <c r="G906" s="212"/>
      <c r="H906" s="212"/>
      <c r="I906" s="212"/>
      <c r="J906" s="212"/>
      <c r="K906" s="212"/>
      <c r="L906" s="212"/>
      <c r="M906" s="212"/>
      <c r="N906" s="212"/>
      <c r="O906" s="212"/>
      <c r="P906" s="212"/>
      <c r="Q906" s="212"/>
      <c r="R906" s="212"/>
    </row>
    <row r="907">
      <c r="A907" s="163"/>
      <c r="B907" s="163" t="str">
        <f>IFERROR(__xludf.DUMMYFUNCTION("""COMPUTED_VALUE"""),"")</f>
        <v/>
      </c>
      <c r="C907" s="163"/>
      <c r="D907" s="212"/>
      <c r="E907" s="212"/>
      <c r="F907" s="212"/>
      <c r="G907" s="212"/>
      <c r="H907" s="212"/>
      <c r="I907" s="212"/>
      <c r="J907" s="212"/>
      <c r="K907" s="212"/>
      <c r="L907" s="212"/>
      <c r="M907" s="212"/>
      <c r="N907" s="212"/>
      <c r="O907" s="212"/>
      <c r="P907" s="212"/>
      <c r="Q907" s="212"/>
      <c r="R907" s="212"/>
    </row>
    <row r="908">
      <c r="A908" s="163"/>
      <c r="B908" s="163" t="str">
        <f>IFERROR(__xludf.DUMMYFUNCTION("""COMPUTED_VALUE"""),"")</f>
        <v/>
      </c>
      <c r="C908" s="163"/>
      <c r="D908" s="212"/>
      <c r="E908" s="212"/>
      <c r="F908" s="212"/>
      <c r="G908" s="212"/>
      <c r="H908" s="212"/>
      <c r="I908" s="212"/>
      <c r="J908" s="212"/>
      <c r="K908" s="212"/>
      <c r="L908" s="212"/>
      <c r="M908" s="212"/>
      <c r="N908" s="212"/>
      <c r="O908" s="212"/>
      <c r="P908" s="212"/>
      <c r="Q908" s="212"/>
      <c r="R908" s="212"/>
    </row>
    <row r="909">
      <c r="A909" s="163"/>
      <c r="B909" s="163" t="str">
        <f>IFERROR(__xludf.DUMMYFUNCTION("""COMPUTED_VALUE"""),"")</f>
        <v/>
      </c>
      <c r="C909" s="163"/>
      <c r="D909" s="212"/>
      <c r="E909" s="212"/>
      <c r="F909" s="212"/>
      <c r="G909" s="212"/>
      <c r="H909" s="212"/>
      <c r="I909" s="212"/>
      <c r="J909" s="212"/>
      <c r="K909" s="212"/>
      <c r="L909" s="212"/>
      <c r="M909" s="212"/>
      <c r="N909" s="212"/>
      <c r="O909" s="212"/>
      <c r="P909" s="212"/>
      <c r="Q909" s="212"/>
      <c r="R909" s="212"/>
    </row>
    <row r="910">
      <c r="A910" s="163"/>
      <c r="B910" s="163" t="str">
        <f>IFERROR(__xludf.DUMMYFUNCTION("""COMPUTED_VALUE"""),"")</f>
        <v/>
      </c>
      <c r="C910" s="163"/>
      <c r="D910" s="212"/>
      <c r="E910" s="212"/>
      <c r="F910" s="212"/>
      <c r="G910" s="212"/>
      <c r="H910" s="212"/>
      <c r="I910" s="212"/>
      <c r="J910" s="212"/>
      <c r="K910" s="212"/>
      <c r="L910" s="212"/>
      <c r="M910" s="212"/>
      <c r="N910" s="212"/>
      <c r="O910" s="212"/>
      <c r="P910" s="212"/>
      <c r="Q910" s="212"/>
      <c r="R910" s="212"/>
    </row>
    <row r="911">
      <c r="A911" s="163"/>
      <c r="B911" s="163" t="str">
        <f>IFERROR(__xludf.DUMMYFUNCTION("""COMPUTED_VALUE"""),"")</f>
        <v/>
      </c>
      <c r="C911" s="163"/>
      <c r="D911" s="212"/>
      <c r="E911" s="212"/>
      <c r="F911" s="212"/>
      <c r="G911" s="212"/>
      <c r="H911" s="212"/>
      <c r="I911" s="212"/>
      <c r="J911" s="212"/>
      <c r="K911" s="212"/>
      <c r="L911" s="212"/>
      <c r="M911" s="212"/>
      <c r="N911" s="212"/>
      <c r="O911" s="212"/>
      <c r="P911" s="212"/>
      <c r="Q911" s="212"/>
      <c r="R911" s="212"/>
    </row>
    <row r="912">
      <c r="A912" s="163"/>
      <c r="B912" s="163" t="str">
        <f>IFERROR(__xludf.DUMMYFUNCTION("""COMPUTED_VALUE"""),"")</f>
        <v/>
      </c>
      <c r="C912" s="163"/>
      <c r="D912" s="212"/>
      <c r="E912" s="212"/>
      <c r="F912" s="212"/>
      <c r="G912" s="212"/>
      <c r="H912" s="212"/>
      <c r="I912" s="212"/>
      <c r="J912" s="212"/>
      <c r="K912" s="212"/>
      <c r="L912" s="212"/>
      <c r="M912" s="212"/>
      <c r="N912" s="212"/>
      <c r="O912" s="212"/>
      <c r="P912" s="212"/>
      <c r="Q912" s="212"/>
      <c r="R912" s="212"/>
    </row>
    <row r="913">
      <c r="A913" s="163"/>
      <c r="B913" s="163" t="str">
        <f>IFERROR(__xludf.DUMMYFUNCTION("""COMPUTED_VALUE"""),"")</f>
        <v/>
      </c>
      <c r="C913" s="163"/>
      <c r="D913" s="212"/>
      <c r="E913" s="212"/>
      <c r="F913" s="212"/>
      <c r="G913" s="212"/>
      <c r="H913" s="212"/>
      <c r="I913" s="212"/>
      <c r="J913" s="212"/>
      <c r="K913" s="212"/>
      <c r="L913" s="212"/>
      <c r="M913" s="212"/>
      <c r="N913" s="212"/>
      <c r="O913" s="212"/>
      <c r="P913" s="212"/>
      <c r="Q913" s="212"/>
      <c r="R913" s="212"/>
    </row>
    <row r="914">
      <c r="A914" s="163"/>
      <c r="B914" s="163" t="str">
        <f>IFERROR(__xludf.DUMMYFUNCTION("""COMPUTED_VALUE"""),"")</f>
        <v/>
      </c>
      <c r="C914" s="163"/>
      <c r="D914" s="212"/>
      <c r="E914" s="212"/>
      <c r="F914" s="212"/>
      <c r="G914" s="212"/>
      <c r="H914" s="212"/>
      <c r="I914" s="212"/>
      <c r="J914" s="212"/>
      <c r="K914" s="212"/>
      <c r="L914" s="212"/>
      <c r="M914" s="212"/>
      <c r="N914" s="212"/>
      <c r="O914" s="212"/>
      <c r="P914" s="212"/>
      <c r="Q914" s="212"/>
      <c r="R914" s="212"/>
    </row>
    <row r="915">
      <c r="A915" s="163"/>
      <c r="B915" s="163" t="str">
        <f>IFERROR(__xludf.DUMMYFUNCTION("""COMPUTED_VALUE"""),"")</f>
        <v/>
      </c>
      <c r="C915" s="163"/>
      <c r="D915" s="212"/>
      <c r="E915" s="212"/>
      <c r="F915" s="212"/>
      <c r="G915" s="212"/>
      <c r="H915" s="212"/>
      <c r="I915" s="212"/>
      <c r="J915" s="212"/>
      <c r="K915" s="212"/>
      <c r="L915" s="212"/>
      <c r="M915" s="212"/>
      <c r="N915" s="212"/>
      <c r="O915" s="212"/>
      <c r="P915" s="212"/>
      <c r="Q915" s="212"/>
      <c r="R915" s="212"/>
    </row>
    <row r="916">
      <c r="A916" s="163"/>
      <c r="B916" s="163" t="str">
        <f>IFERROR(__xludf.DUMMYFUNCTION("""COMPUTED_VALUE"""),"")</f>
        <v/>
      </c>
      <c r="C916" s="163"/>
      <c r="D916" s="212"/>
      <c r="E916" s="212"/>
      <c r="F916" s="212"/>
      <c r="G916" s="212"/>
      <c r="H916" s="212"/>
      <c r="I916" s="212"/>
      <c r="J916" s="212"/>
      <c r="K916" s="212"/>
      <c r="L916" s="212"/>
      <c r="M916" s="212"/>
      <c r="N916" s="212"/>
      <c r="O916" s="212"/>
      <c r="P916" s="212"/>
      <c r="Q916" s="212"/>
      <c r="R916" s="212"/>
    </row>
    <row r="917">
      <c r="A917" s="163"/>
      <c r="B917" s="163" t="str">
        <f>IFERROR(__xludf.DUMMYFUNCTION("""COMPUTED_VALUE"""),"")</f>
        <v/>
      </c>
      <c r="C917" s="163"/>
      <c r="D917" s="212"/>
      <c r="E917" s="212"/>
      <c r="F917" s="212"/>
      <c r="G917" s="212"/>
      <c r="H917" s="212"/>
      <c r="I917" s="212"/>
      <c r="J917" s="212"/>
      <c r="K917" s="212"/>
      <c r="L917" s="212"/>
      <c r="M917" s="212"/>
      <c r="N917" s="212"/>
      <c r="O917" s="212"/>
      <c r="P917" s="212"/>
      <c r="Q917" s="212"/>
      <c r="R917" s="212"/>
    </row>
    <row r="918">
      <c r="A918" s="163"/>
      <c r="B918" s="163" t="str">
        <f>IFERROR(__xludf.DUMMYFUNCTION("""COMPUTED_VALUE"""),"")</f>
        <v/>
      </c>
      <c r="C918" s="163"/>
      <c r="D918" s="212"/>
      <c r="E918" s="212"/>
      <c r="F918" s="212"/>
      <c r="G918" s="212"/>
      <c r="H918" s="212"/>
      <c r="I918" s="212"/>
      <c r="J918" s="212"/>
      <c r="K918" s="212"/>
      <c r="L918" s="212"/>
      <c r="M918" s="212"/>
      <c r="N918" s="212"/>
      <c r="O918" s="212"/>
      <c r="P918" s="212"/>
      <c r="Q918" s="212"/>
      <c r="R918" s="212"/>
    </row>
    <row r="919">
      <c r="A919" s="163"/>
      <c r="B919" s="163" t="str">
        <f>IFERROR(__xludf.DUMMYFUNCTION("""COMPUTED_VALUE"""),"")</f>
        <v/>
      </c>
      <c r="C919" s="163"/>
      <c r="D919" s="212"/>
      <c r="E919" s="212"/>
      <c r="F919" s="212"/>
      <c r="G919" s="212"/>
      <c r="H919" s="212"/>
      <c r="I919" s="212"/>
      <c r="J919" s="212"/>
      <c r="K919" s="212"/>
      <c r="L919" s="212"/>
      <c r="M919" s="212"/>
      <c r="N919" s="212"/>
      <c r="O919" s="212"/>
      <c r="P919" s="212"/>
      <c r="Q919" s="212"/>
      <c r="R919" s="212"/>
    </row>
    <row r="920">
      <c r="A920" s="163"/>
      <c r="B920" s="163" t="str">
        <f>IFERROR(__xludf.DUMMYFUNCTION("""COMPUTED_VALUE"""),"")</f>
        <v/>
      </c>
      <c r="C920" s="163"/>
      <c r="D920" s="212"/>
      <c r="E920" s="212"/>
      <c r="F920" s="212"/>
      <c r="G920" s="212"/>
      <c r="H920" s="212"/>
      <c r="I920" s="212"/>
      <c r="J920" s="212"/>
      <c r="K920" s="212"/>
      <c r="L920" s="212"/>
      <c r="M920" s="212"/>
      <c r="N920" s="212"/>
      <c r="O920" s="212"/>
      <c r="P920" s="212"/>
      <c r="Q920" s="212"/>
      <c r="R920" s="212"/>
    </row>
    <row r="921">
      <c r="A921" s="163"/>
      <c r="B921" s="163" t="str">
        <f>IFERROR(__xludf.DUMMYFUNCTION("""COMPUTED_VALUE"""),"")</f>
        <v/>
      </c>
      <c r="C921" s="163"/>
      <c r="D921" s="212"/>
      <c r="E921" s="212"/>
      <c r="F921" s="212"/>
      <c r="G921" s="212"/>
      <c r="H921" s="212"/>
      <c r="I921" s="212"/>
      <c r="J921" s="212"/>
      <c r="K921" s="212"/>
      <c r="L921" s="212"/>
      <c r="M921" s="212"/>
      <c r="N921" s="212"/>
      <c r="O921" s="212"/>
      <c r="P921" s="212"/>
      <c r="Q921" s="212"/>
      <c r="R921" s="212"/>
    </row>
    <row r="922">
      <c r="A922" s="163"/>
      <c r="B922" s="163" t="str">
        <f>IFERROR(__xludf.DUMMYFUNCTION("""COMPUTED_VALUE"""),"")</f>
        <v/>
      </c>
      <c r="C922" s="163"/>
      <c r="D922" s="212"/>
      <c r="E922" s="212"/>
      <c r="F922" s="212"/>
      <c r="G922" s="212"/>
      <c r="H922" s="212"/>
      <c r="I922" s="212"/>
      <c r="J922" s="212"/>
      <c r="K922" s="212"/>
      <c r="L922" s="212"/>
      <c r="M922" s="212"/>
      <c r="N922" s="212"/>
      <c r="O922" s="212"/>
      <c r="P922" s="212"/>
      <c r="Q922" s="212"/>
      <c r="R922" s="212"/>
    </row>
    <row r="923">
      <c r="A923" s="163"/>
      <c r="B923" s="163" t="str">
        <f>IFERROR(__xludf.DUMMYFUNCTION("""COMPUTED_VALUE"""),"")</f>
        <v/>
      </c>
      <c r="C923" s="163"/>
      <c r="D923" s="212"/>
      <c r="E923" s="212"/>
      <c r="F923" s="212"/>
      <c r="G923" s="212"/>
      <c r="H923" s="212"/>
      <c r="I923" s="212"/>
      <c r="J923" s="212"/>
      <c r="K923" s="212"/>
      <c r="L923" s="212"/>
      <c r="M923" s="212"/>
      <c r="N923" s="212"/>
      <c r="O923" s="212"/>
      <c r="P923" s="212"/>
      <c r="Q923" s="212"/>
      <c r="R923" s="212"/>
    </row>
    <row r="924">
      <c r="A924" s="163"/>
      <c r="B924" s="163" t="str">
        <f>IFERROR(__xludf.DUMMYFUNCTION("""COMPUTED_VALUE"""),"")</f>
        <v/>
      </c>
      <c r="C924" s="163"/>
      <c r="D924" s="212"/>
      <c r="E924" s="212"/>
      <c r="F924" s="212"/>
      <c r="G924" s="212"/>
      <c r="H924" s="212"/>
      <c r="I924" s="212"/>
      <c r="J924" s="212"/>
      <c r="K924" s="212"/>
      <c r="L924" s="212"/>
      <c r="M924" s="212"/>
      <c r="N924" s="212"/>
      <c r="O924" s="212"/>
      <c r="P924" s="212"/>
      <c r="Q924" s="212"/>
      <c r="R924" s="212"/>
    </row>
    <row r="925">
      <c r="A925" s="163"/>
      <c r="B925" s="163" t="str">
        <f>IFERROR(__xludf.DUMMYFUNCTION("""COMPUTED_VALUE"""),"")</f>
        <v/>
      </c>
      <c r="C925" s="163"/>
      <c r="D925" s="212"/>
      <c r="E925" s="212"/>
      <c r="F925" s="212"/>
      <c r="G925" s="212"/>
      <c r="H925" s="212"/>
      <c r="I925" s="212"/>
      <c r="J925" s="212"/>
      <c r="K925" s="212"/>
      <c r="L925" s="212"/>
      <c r="M925" s="212"/>
      <c r="N925" s="212"/>
      <c r="O925" s="212"/>
      <c r="P925" s="212"/>
      <c r="Q925" s="212"/>
      <c r="R925" s="212"/>
    </row>
    <row r="926">
      <c r="A926" s="163"/>
      <c r="B926" s="163" t="str">
        <f>IFERROR(__xludf.DUMMYFUNCTION("""COMPUTED_VALUE"""),"")</f>
        <v/>
      </c>
      <c r="C926" s="163"/>
      <c r="D926" s="212"/>
      <c r="E926" s="212"/>
      <c r="F926" s="212"/>
      <c r="G926" s="212"/>
      <c r="H926" s="212"/>
      <c r="I926" s="212"/>
      <c r="J926" s="212"/>
      <c r="K926" s="212"/>
      <c r="L926" s="212"/>
      <c r="M926" s="212"/>
      <c r="N926" s="212"/>
      <c r="O926" s="212"/>
      <c r="P926" s="212"/>
      <c r="Q926" s="212"/>
      <c r="R926" s="212"/>
    </row>
    <row r="927">
      <c r="A927" s="163"/>
      <c r="B927" s="163" t="str">
        <f>IFERROR(__xludf.DUMMYFUNCTION("""COMPUTED_VALUE"""),"")</f>
        <v/>
      </c>
      <c r="C927" s="163"/>
      <c r="D927" s="212"/>
      <c r="E927" s="212"/>
      <c r="F927" s="212"/>
      <c r="G927" s="212"/>
      <c r="H927" s="212"/>
      <c r="I927" s="212"/>
      <c r="J927" s="212"/>
      <c r="K927" s="212"/>
      <c r="L927" s="212"/>
      <c r="M927" s="212"/>
      <c r="N927" s="212"/>
      <c r="O927" s="212"/>
      <c r="P927" s="212"/>
      <c r="Q927" s="212"/>
      <c r="R927" s="212"/>
    </row>
    <row r="928">
      <c r="A928" s="163"/>
      <c r="B928" s="163" t="str">
        <f>IFERROR(__xludf.DUMMYFUNCTION("""COMPUTED_VALUE"""),"")</f>
        <v/>
      </c>
      <c r="C928" s="163"/>
      <c r="D928" s="212"/>
      <c r="E928" s="212"/>
      <c r="F928" s="212"/>
      <c r="G928" s="212"/>
      <c r="H928" s="212"/>
      <c r="I928" s="212"/>
      <c r="J928" s="212"/>
      <c r="K928" s="212"/>
      <c r="L928" s="212"/>
      <c r="M928" s="212"/>
      <c r="N928" s="212"/>
      <c r="O928" s="212"/>
      <c r="P928" s="212"/>
      <c r="Q928" s="212"/>
      <c r="R928" s="212"/>
    </row>
    <row r="929">
      <c r="A929" s="163"/>
      <c r="B929" s="163" t="str">
        <f>IFERROR(__xludf.DUMMYFUNCTION("""COMPUTED_VALUE"""),"")</f>
        <v/>
      </c>
      <c r="C929" s="163"/>
      <c r="D929" s="212"/>
      <c r="E929" s="212"/>
      <c r="F929" s="212"/>
      <c r="G929" s="212"/>
      <c r="H929" s="212"/>
      <c r="I929" s="212"/>
      <c r="J929" s="212"/>
      <c r="K929" s="212"/>
      <c r="L929" s="212"/>
      <c r="M929" s="212"/>
      <c r="N929" s="212"/>
      <c r="O929" s="212"/>
      <c r="P929" s="212"/>
      <c r="Q929" s="212"/>
      <c r="R929" s="212"/>
    </row>
    <row r="930">
      <c r="A930" s="163"/>
      <c r="B930" s="163" t="str">
        <f>IFERROR(__xludf.DUMMYFUNCTION("""COMPUTED_VALUE"""),"")</f>
        <v/>
      </c>
      <c r="C930" s="163"/>
      <c r="D930" s="212"/>
      <c r="E930" s="212"/>
      <c r="F930" s="212"/>
      <c r="G930" s="212"/>
      <c r="H930" s="212"/>
      <c r="I930" s="212"/>
      <c r="J930" s="212"/>
      <c r="K930" s="212"/>
      <c r="L930" s="212"/>
      <c r="M930" s="212"/>
      <c r="N930" s="212"/>
      <c r="O930" s="212"/>
      <c r="P930" s="212"/>
      <c r="Q930" s="212"/>
      <c r="R930" s="212"/>
    </row>
    <row r="931">
      <c r="A931" s="163"/>
      <c r="B931" s="163" t="str">
        <f>IFERROR(__xludf.DUMMYFUNCTION("""COMPUTED_VALUE"""),"")</f>
        <v/>
      </c>
      <c r="C931" s="163"/>
      <c r="D931" s="212"/>
      <c r="E931" s="212"/>
      <c r="F931" s="212"/>
      <c r="G931" s="212"/>
      <c r="H931" s="212"/>
      <c r="I931" s="212"/>
      <c r="J931" s="212"/>
      <c r="K931" s="212"/>
      <c r="L931" s="212"/>
      <c r="M931" s="212"/>
      <c r="N931" s="212"/>
      <c r="O931" s="212"/>
      <c r="P931" s="212"/>
      <c r="Q931" s="212"/>
      <c r="R931" s="212"/>
    </row>
    <row r="932">
      <c r="A932" s="163"/>
      <c r="B932" s="163" t="str">
        <f>IFERROR(__xludf.DUMMYFUNCTION("""COMPUTED_VALUE"""),"")</f>
        <v/>
      </c>
      <c r="C932" s="163"/>
      <c r="D932" s="212"/>
      <c r="E932" s="212"/>
      <c r="F932" s="212"/>
      <c r="G932" s="212"/>
      <c r="H932" s="212"/>
      <c r="I932" s="212"/>
      <c r="J932" s="212"/>
      <c r="K932" s="212"/>
      <c r="L932" s="212"/>
      <c r="M932" s="212"/>
      <c r="N932" s="212"/>
      <c r="O932" s="212"/>
      <c r="P932" s="212"/>
      <c r="Q932" s="212"/>
      <c r="R932" s="212"/>
    </row>
    <row r="933">
      <c r="A933" s="163"/>
      <c r="B933" s="163" t="str">
        <f>IFERROR(__xludf.DUMMYFUNCTION("""COMPUTED_VALUE"""),"")</f>
        <v/>
      </c>
      <c r="C933" s="163"/>
      <c r="D933" s="212"/>
      <c r="E933" s="212"/>
      <c r="F933" s="212"/>
      <c r="G933" s="212"/>
      <c r="H933" s="212"/>
      <c r="I933" s="212"/>
      <c r="J933" s="212"/>
      <c r="K933" s="212"/>
      <c r="L933" s="212"/>
      <c r="M933" s="212"/>
      <c r="N933" s="212"/>
      <c r="O933" s="212"/>
      <c r="P933" s="212"/>
      <c r="Q933" s="212"/>
      <c r="R933" s="212"/>
    </row>
    <row r="934">
      <c r="A934" s="163"/>
      <c r="B934" s="163" t="str">
        <f>IFERROR(__xludf.DUMMYFUNCTION("""COMPUTED_VALUE"""),"")</f>
        <v/>
      </c>
      <c r="C934" s="163"/>
      <c r="D934" s="212"/>
      <c r="E934" s="212"/>
      <c r="F934" s="212"/>
      <c r="G934" s="212"/>
      <c r="H934" s="212"/>
      <c r="I934" s="212"/>
      <c r="J934" s="212"/>
      <c r="K934" s="212"/>
      <c r="L934" s="212"/>
      <c r="M934" s="212"/>
      <c r="N934" s="212"/>
      <c r="O934" s="212"/>
      <c r="P934" s="212"/>
      <c r="Q934" s="212"/>
      <c r="R934" s="212"/>
    </row>
    <row r="935">
      <c r="A935" s="163"/>
      <c r="B935" s="163" t="str">
        <f>IFERROR(__xludf.DUMMYFUNCTION("""COMPUTED_VALUE"""),"")</f>
        <v/>
      </c>
      <c r="C935" s="163"/>
      <c r="D935" s="212"/>
      <c r="E935" s="212"/>
      <c r="F935" s="212"/>
      <c r="G935" s="212"/>
      <c r="H935" s="212"/>
      <c r="I935" s="212"/>
      <c r="J935" s="212"/>
      <c r="K935" s="212"/>
      <c r="L935" s="212"/>
      <c r="M935" s="212"/>
      <c r="N935" s="212"/>
      <c r="O935" s="212"/>
      <c r="P935" s="212"/>
      <c r="Q935" s="212"/>
      <c r="R935" s="212"/>
    </row>
    <row r="936">
      <c r="A936" s="163"/>
      <c r="B936" s="163" t="str">
        <f>IFERROR(__xludf.DUMMYFUNCTION("""COMPUTED_VALUE"""),"")</f>
        <v/>
      </c>
      <c r="C936" s="163"/>
      <c r="D936" s="212"/>
      <c r="E936" s="212"/>
      <c r="F936" s="212"/>
      <c r="G936" s="212"/>
      <c r="H936" s="212"/>
      <c r="I936" s="212"/>
      <c r="J936" s="212"/>
      <c r="K936" s="212"/>
      <c r="L936" s="212"/>
      <c r="M936" s="212"/>
      <c r="N936" s="212"/>
      <c r="O936" s="212"/>
      <c r="P936" s="212"/>
      <c r="Q936" s="212"/>
      <c r="R936" s="212"/>
    </row>
    <row r="937">
      <c r="A937" s="163"/>
      <c r="B937" s="163" t="str">
        <f>IFERROR(__xludf.DUMMYFUNCTION("""COMPUTED_VALUE"""),"")</f>
        <v/>
      </c>
      <c r="C937" s="163"/>
      <c r="D937" s="212"/>
      <c r="E937" s="212"/>
      <c r="F937" s="212"/>
      <c r="G937" s="212"/>
      <c r="H937" s="212"/>
      <c r="I937" s="212"/>
      <c r="J937" s="212"/>
      <c r="K937" s="212"/>
      <c r="L937" s="212"/>
      <c r="M937" s="212"/>
      <c r="N937" s="212"/>
      <c r="O937" s="212"/>
      <c r="P937" s="212"/>
      <c r="Q937" s="212"/>
      <c r="R937" s="212"/>
    </row>
    <row r="938">
      <c r="A938" s="163"/>
      <c r="B938" s="163" t="str">
        <f>IFERROR(__xludf.DUMMYFUNCTION("""COMPUTED_VALUE"""),"")</f>
        <v/>
      </c>
      <c r="C938" s="163"/>
      <c r="D938" s="212"/>
      <c r="E938" s="212"/>
      <c r="F938" s="212"/>
      <c r="G938" s="212"/>
      <c r="H938" s="212"/>
      <c r="I938" s="212"/>
      <c r="J938" s="212"/>
      <c r="K938" s="212"/>
      <c r="L938" s="212"/>
      <c r="M938" s="212"/>
      <c r="N938" s="212"/>
      <c r="O938" s="212"/>
      <c r="P938" s="212"/>
      <c r="Q938" s="212"/>
      <c r="R938" s="212"/>
    </row>
    <row r="939">
      <c r="A939" s="163"/>
      <c r="B939" s="163" t="str">
        <f>IFERROR(__xludf.DUMMYFUNCTION("""COMPUTED_VALUE"""),"")</f>
        <v/>
      </c>
      <c r="C939" s="163"/>
      <c r="D939" s="212"/>
      <c r="E939" s="212"/>
      <c r="F939" s="212"/>
      <c r="G939" s="212"/>
      <c r="H939" s="212"/>
      <c r="I939" s="212"/>
      <c r="J939" s="212"/>
      <c r="K939" s="212"/>
      <c r="L939" s="212"/>
      <c r="M939" s="212"/>
      <c r="N939" s="212"/>
      <c r="O939" s="212"/>
      <c r="P939" s="212"/>
      <c r="Q939" s="212"/>
      <c r="R939" s="212"/>
    </row>
    <row r="940">
      <c r="A940" s="163"/>
      <c r="B940" s="163" t="str">
        <f>IFERROR(__xludf.DUMMYFUNCTION("""COMPUTED_VALUE"""),"")</f>
        <v/>
      </c>
      <c r="C940" s="163"/>
      <c r="D940" s="212"/>
      <c r="E940" s="212"/>
      <c r="F940" s="212"/>
      <c r="G940" s="212"/>
      <c r="H940" s="212"/>
      <c r="I940" s="212"/>
      <c r="J940" s="212"/>
      <c r="K940" s="212"/>
      <c r="L940" s="212"/>
      <c r="M940" s="212"/>
      <c r="N940" s="212"/>
      <c r="O940" s="212"/>
      <c r="P940" s="212"/>
      <c r="Q940" s="212"/>
      <c r="R940" s="212"/>
    </row>
    <row r="941">
      <c r="A941" s="163"/>
      <c r="B941" s="163" t="str">
        <f>IFERROR(__xludf.DUMMYFUNCTION("""COMPUTED_VALUE"""),"")</f>
        <v/>
      </c>
      <c r="C941" s="163"/>
      <c r="D941" s="212"/>
      <c r="E941" s="212"/>
      <c r="F941" s="212"/>
      <c r="G941" s="212"/>
      <c r="H941" s="212"/>
      <c r="I941" s="212"/>
      <c r="J941" s="212"/>
      <c r="K941" s="212"/>
      <c r="L941" s="212"/>
      <c r="M941" s="212"/>
      <c r="N941" s="212"/>
      <c r="O941" s="212"/>
      <c r="P941" s="212"/>
      <c r="Q941" s="212"/>
      <c r="R941" s="212"/>
    </row>
    <row r="942">
      <c r="A942" s="163"/>
      <c r="B942" s="163" t="str">
        <f>IFERROR(__xludf.DUMMYFUNCTION("""COMPUTED_VALUE"""),"")</f>
        <v/>
      </c>
      <c r="C942" s="163"/>
      <c r="D942" s="212"/>
      <c r="E942" s="212"/>
      <c r="F942" s="212"/>
      <c r="G942" s="212"/>
      <c r="H942" s="212"/>
      <c r="I942" s="212"/>
      <c r="J942" s="212"/>
      <c r="K942" s="212"/>
      <c r="L942" s="212"/>
      <c r="M942" s="212"/>
      <c r="N942" s="212"/>
      <c r="O942" s="212"/>
      <c r="P942" s="212"/>
      <c r="Q942" s="212"/>
      <c r="R942" s="212"/>
    </row>
    <row r="943">
      <c r="A943" s="163"/>
      <c r="B943" s="163" t="str">
        <f>IFERROR(__xludf.DUMMYFUNCTION("""COMPUTED_VALUE"""),"")</f>
        <v/>
      </c>
      <c r="C943" s="163"/>
      <c r="D943" s="212"/>
      <c r="E943" s="212"/>
      <c r="F943" s="212"/>
      <c r="G943" s="212"/>
      <c r="H943" s="212"/>
      <c r="I943" s="212"/>
      <c r="J943" s="212"/>
      <c r="K943" s="212"/>
      <c r="L943" s="212"/>
      <c r="M943" s="212"/>
      <c r="N943" s="212"/>
      <c r="O943" s="212"/>
      <c r="P943" s="212"/>
      <c r="Q943" s="212"/>
      <c r="R943" s="212"/>
    </row>
    <row r="944">
      <c r="A944" s="163"/>
      <c r="B944" s="163" t="str">
        <f>IFERROR(__xludf.DUMMYFUNCTION("""COMPUTED_VALUE"""),"")</f>
        <v/>
      </c>
      <c r="C944" s="163"/>
      <c r="D944" s="212"/>
      <c r="E944" s="212"/>
      <c r="F944" s="212"/>
      <c r="G944" s="212"/>
      <c r="H944" s="212"/>
      <c r="I944" s="212"/>
      <c r="J944" s="212"/>
      <c r="K944" s="212"/>
      <c r="L944" s="212"/>
      <c r="M944" s="212"/>
      <c r="N944" s="212"/>
      <c r="O944" s="212"/>
      <c r="P944" s="212"/>
      <c r="Q944" s="212"/>
      <c r="R944" s="212"/>
    </row>
    <row r="945">
      <c r="A945" s="163"/>
      <c r="B945" s="163" t="str">
        <f>IFERROR(__xludf.DUMMYFUNCTION("""COMPUTED_VALUE"""),"")</f>
        <v/>
      </c>
      <c r="C945" s="163"/>
      <c r="D945" s="212"/>
      <c r="E945" s="212"/>
      <c r="F945" s="212"/>
      <c r="G945" s="212"/>
      <c r="H945" s="212"/>
      <c r="I945" s="212"/>
      <c r="J945" s="212"/>
      <c r="K945" s="212"/>
      <c r="L945" s="212"/>
      <c r="M945" s="212"/>
      <c r="N945" s="212"/>
      <c r="O945" s="212"/>
      <c r="P945" s="212"/>
      <c r="Q945" s="212"/>
      <c r="R945" s="212"/>
    </row>
    <row r="946">
      <c r="A946" s="163"/>
      <c r="B946" s="163" t="str">
        <f>IFERROR(__xludf.DUMMYFUNCTION("""COMPUTED_VALUE"""),"")</f>
        <v/>
      </c>
      <c r="C946" s="163"/>
      <c r="D946" s="212"/>
      <c r="E946" s="212"/>
      <c r="F946" s="212"/>
      <c r="G946" s="212"/>
      <c r="H946" s="212"/>
      <c r="I946" s="212"/>
      <c r="J946" s="212"/>
      <c r="K946" s="212"/>
      <c r="L946" s="212"/>
      <c r="M946" s="212"/>
      <c r="N946" s="212"/>
      <c r="O946" s="212"/>
      <c r="P946" s="212"/>
      <c r="Q946" s="212"/>
      <c r="R946" s="212"/>
    </row>
    <row r="947">
      <c r="A947" s="163"/>
      <c r="B947" s="163" t="str">
        <f>IFERROR(__xludf.DUMMYFUNCTION("""COMPUTED_VALUE"""),"")</f>
        <v/>
      </c>
      <c r="C947" s="163"/>
      <c r="D947" s="212"/>
      <c r="E947" s="212"/>
      <c r="F947" s="212"/>
      <c r="G947" s="212"/>
      <c r="H947" s="212"/>
      <c r="I947" s="212"/>
      <c r="J947" s="212"/>
      <c r="K947" s="212"/>
      <c r="L947" s="212"/>
      <c r="M947" s="212"/>
      <c r="N947" s="212"/>
      <c r="O947" s="212"/>
      <c r="P947" s="212"/>
      <c r="Q947" s="212"/>
      <c r="R947" s="212"/>
    </row>
    <row r="948">
      <c r="A948" s="163"/>
      <c r="B948" s="163" t="str">
        <f>IFERROR(__xludf.DUMMYFUNCTION("""COMPUTED_VALUE"""),"")</f>
        <v/>
      </c>
      <c r="C948" s="163"/>
      <c r="D948" s="212"/>
      <c r="E948" s="212"/>
      <c r="F948" s="212"/>
      <c r="G948" s="212"/>
      <c r="H948" s="212"/>
      <c r="I948" s="212"/>
      <c r="J948" s="212"/>
      <c r="K948" s="212"/>
      <c r="L948" s="212"/>
      <c r="M948" s="212"/>
      <c r="N948" s="212"/>
      <c r="O948" s="212"/>
      <c r="P948" s="212"/>
      <c r="Q948" s="212"/>
      <c r="R948" s="212"/>
    </row>
    <row r="949">
      <c r="A949" s="163"/>
      <c r="B949" s="163" t="str">
        <f>IFERROR(__xludf.DUMMYFUNCTION("""COMPUTED_VALUE"""),"")</f>
        <v/>
      </c>
      <c r="C949" s="163"/>
      <c r="D949" s="212"/>
      <c r="E949" s="212"/>
      <c r="F949" s="212"/>
      <c r="G949" s="212"/>
      <c r="H949" s="212"/>
      <c r="I949" s="212"/>
      <c r="J949" s="212"/>
      <c r="K949" s="212"/>
      <c r="L949" s="212"/>
      <c r="M949" s="212"/>
      <c r="N949" s="212"/>
      <c r="O949" s="212"/>
      <c r="P949" s="212"/>
      <c r="Q949" s="212"/>
      <c r="R949" s="212"/>
    </row>
    <row r="950">
      <c r="A950" s="163"/>
      <c r="B950" s="163" t="str">
        <f>IFERROR(__xludf.DUMMYFUNCTION("""COMPUTED_VALUE"""),"")</f>
        <v/>
      </c>
      <c r="C950" s="163"/>
      <c r="D950" s="212"/>
      <c r="E950" s="212"/>
      <c r="F950" s="212"/>
      <c r="G950" s="212"/>
      <c r="H950" s="212"/>
      <c r="I950" s="212"/>
      <c r="J950" s="212"/>
      <c r="K950" s="212"/>
      <c r="L950" s="212"/>
      <c r="M950" s="212"/>
      <c r="N950" s="212"/>
      <c r="O950" s="212"/>
      <c r="P950" s="212"/>
      <c r="Q950" s="212"/>
      <c r="R950" s="212"/>
    </row>
    <row r="951">
      <c r="A951" s="163"/>
      <c r="B951" s="163" t="str">
        <f>IFERROR(__xludf.DUMMYFUNCTION("""COMPUTED_VALUE"""),"")</f>
        <v/>
      </c>
      <c r="C951" s="163"/>
      <c r="D951" s="212"/>
      <c r="E951" s="212"/>
      <c r="F951" s="212"/>
      <c r="G951" s="212"/>
      <c r="H951" s="212"/>
      <c r="I951" s="212"/>
      <c r="J951" s="212"/>
      <c r="K951" s="212"/>
      <c r="L951" s="212"/>
      <c r="M951" s="212"/>
      <c r="N951" s="212"/>
      <c r="O951" s="212"/>
      <c r="P951" s="212"/>
      <c r="Q951" s="212"/>
      <c r="R951" s="212"/>
    </row>
    <row r="952">
      <c r="A952" s="163"/>
      <c r="B952" s="163" t="str">
        <f>IFERROR(__xludf.DUMMYFUNCTION("""COMPUTED_VALUE"""),"")</f>
        <v/>
      </c>
      <c r="C952" s="163"/>
      <c r="D952" s="212"/>
      <c r="E952" s="212"/>
      <c r="F952" s="212"/>
      <c r="G952" s="212"/>
      <c r="H952" s="212"/>
      <c r="I952" s="212"/>
      <c r="J952" s="212"/>
      <c r="K952" s="212"/>
      <c r="L952" s="212"/>
      <c r="M952" s="212"/>
      <c r="N952" s="212"/>
      <c r="O952" s="212"/>
      <c r="P952" s="212"/>
      <c r="Q952" s="212"/>
      <c r="R952" s="212"/>
    </row>
    <row r="953">
      <c r="A953" s="163"/>
      <c r="B953" s="163" t="str">
        <f>IFERROR(__xludf.DUMMYFUNCTION("""COMPUTED_VALUE"""),"")</f>
        <v/>
      </c>
      <c r="C953" s="163"/>
      <c r="D953" s="212"/>
      <c r="E953" s="212"/>
      <c r="F953" s="212"/>
      <c r="G953" s="212"/>
      <c r="H953" s="212"/>
      <c r="I953" s="212"/>
      <c r="J953" s="212"/>
      <c r="K953" s="212"/>
      <c r="L953" s="212"/>
      <c r="M953" s="212"/>
      <c r="N953" s="212"/>
      <c r="O953" s="212"/>
      <c r="P953" s="212"/>
      <c r="Q953" s="212"/>
      <c r="R953" s="212"/>
    </row>
    <row r="954">
      <c r="A954" s="163"/>
      <c r="B954" s="163" t="str">
        <f>IFERROR(__xludf.DUMMYFUNCTION("""COMPUTED_VALUE"""),"")</f>
        <v/>
      </c>
      <c r="C954" s="163"/>
      <c r="D954" s="212"/>
      <c r="E954" s="212"/>
      <c r="F954" s="212"/>
      <c r="G954" s="212"/>
      <c r="H954" s="212"/>
      <c r="I954" s="212"/>
      <c r="J954" s="212"/>
      <c r="K954" s="212"/>
      <c r="L954" s="212"/>
      <c r="M954" s="212"/>
      <c r="N954" s="212"/>
      <c r="O954" s="212"/>
      <c r="P954" s="212"/>
      <c r="Q954" s="212"/>
      <c r="R954" s="212"/>
    </row>
    <row r="955">
      <c r="A955" s="163"/>
      <c r="B955" s="163" t="str">
        <f>IFERROR(__xludf.DUMMYFUNCTION("""COMPUTED_VALUE"""),"")</f>
        <v/>
      </c>
      <c r="C955" s="163"/>
      <c r="D955" s="212"/>
      <c r="E955" s="212"/>
      <c r="F955" s="212"/>
      <c r="G955" s="212"/>
      <c r="H955" s="212"/>
      <c r="I955" s="212"/>
      <c r="J955" s="212"/>
      <c r="K955" s="212"/>
      <c r="L955" s="212"/>
      <c r="M955" s="212"/>
      <c r="N955" s="212"/>
      <c r="O955" s="212"/>
      <c r="P955" s="212"/>
      <c r="Q955" s="212"/>
      <c r="R955" s="212"/>
    </row>
    <row r="956">
      <c r="A956" s="163"/>
      <c r="B956" s="163" t="str">
        <f>IFERROR(__xludf.DUMMYFUNCTION("""COMPUTED_VALUE"""),"")</f>
        <v/>
      </c>
      <c r="C956" s="163"/>
      <c r="D956" s="212"/>
      <c r="E956" s="212"/>
      <c r="F956" s="212"/>
      <c r="G956" s="212"/>
      <c r="H956" s="212"/>
      <c r="I956" s="212"/>
      <c r="J956" s="212"/>
      <c r="K956" s="212"/>
      <c r="L956" s="212"/>
      <c r="M956" s="212"/>
      <c r="N956" s="212"/>
      <c r="O956" s="212"/>
      <c r="P956" s="212"/>
      <c r="Q956" s="212"/>
      <c r="R956" s="212"/>
    </row>
    <row r="957">
      <c r="A957" s="163"/>
      <c r="B957" s="163" t="str">
        <f>IFERROR(__xludf.DUMMYFUNCTION("""COMPUTED_VALUE"""),"")</f>
        <v/>
      </c>
      <c r="C957" s="163"/>
      <c r="D957" s="212"/>
      <c r="E957" s="212"/>
      <c r="F957" s="212"/>
      <c r="G957" s="212"/>
      <c r="H957" s="212"/>
      <c r="I957" s="212"/>
      <c r="J957" s="212"/>
      <c r="K957" s="212"/>
      <c r="L957" s="212"/>
      <c r="M957" s="212"/>
      <c r="N957" s="212"/>
      <c r="O957" s="212"/>
      <c r="P957" s="212"/>
      <c r="Q957" s="212"/>
      <c r="R957" s="212"/>
    </row>
    <row r="958">
      <c r="A958" s="163"/>
      <c r="B958" s="163" t="str">
        <f>IFERROR(__xludf.DUMMYFUNCTION("""COMPUTED_VALUE"""),"")</f>
        <v/>
      </c>
      <c r="C958" s="163"/>
      <c r="D958" s="212"/>
      <c r="E958" s="212"/>
      <c r="F958" s="212"/>
      <c r="G958" s="212"/>
      <c r="H958" s="212"/>
      <c r="I958" s="212"/>
      <c r="J958" s="212"/>
      <c r="K958" s="212"/>
      <c r="L958" s="212"/>
      <c r="M958" s="212"/>
      <c r="N958" s="212"/>
      <c r="O958" s="212"/>
      <c r="P958" s="212"/>
      <c r="Q958" s="212"/>
      <c r="R958" s="212"/>
    </row>
    <row r="959">
      <c r="A959" s="163"/>
      <c r="B959" s="163" t="str">
        <f>IFERROR(__xludf.DUMMYFUNCTION("""COMPUTED_VALUE"""),"")</f>
        <v/>
      </c>
      <c r="C959" s="163"/>
      <c r="D959" s="212"/>
      <c r="E959" s="212"/>
      <c r="F959" s="212"/>
      <c r="G959" s="212"/>
      <c r="H959" s="212"/>
      <c r="I959" s="212"/>
      <c r="J959" s="212"/>
      <c r="K959" s="212"/>
      <c r="L959" s="212"/>
      <c r="M959" s="212"/>
      <c r="N959" s="212"/>
      <c r="O959" s="212"/>
      <c r="P959" s="212"/>
      <c r="Q959" s="212"/>
      <c r="R959" s="212"/>
    </row>
    <row r="960">
      <c r="A960" s="163"/>
      <c r="B960" s="163" t="str">
        <f>IFERROR(__xludf.DUMMYFUNCTION("""COMPUTED_VALUE"""),"")</f>
        <v/>
      </c>
      <c r="C960" s="163"/>
      <c r="D960" s="212"/>
      <c r="E960" s="212"/>
      <c r="F960" s="212"/>
      <c r="G960" s="212"/>
      <c r="H960" s="212"/>
      <c r="I960" s="212"/>
      <c r="J960" s="212"/>
      <c r="K960" s="212"/>
      <c r="L960" s="212"/>
      <c r="M960" s="212"/>
      <c r="N960" s="212"/>
      <c r="O960" s="212"/>
      <c r="P960" s="212"/>
      <c r="Q960" s="212"/>
      <c r="R960" s="212"/>
    </row>
    <row r="961">
      <c r="A961" s="163"/>
      <c r="B961" s="163" t="str">
        <f>IFERROR(__xludf.DUMMYFUNCTION("""COMPUTED_VALUE"""),"")</f>
        <v/>
      </c>
      <c r="C961" s="163"/>
      <c r="D961" s="212"/>
      <c r="E961" s="212"/>
      <c r="F961" s="212"/>
      <c r="G961" s="212"/>
      <c r="H961" s="212"/>
      <c r="I961" s="212"/>
      <c r="J961" s="212"/>
      <c r="K961" s="212"/>
      <c r="L961" s="212"/>
      <c r="M961" s="212"/>
      <c r="N961" s="212"/>
      <c r="O961" s="212"/>
      <c r="P961" s="212"/>
      <c r="Q961" s="212"/>
      <c r="R961" s="212"/>
    </row>
    <row r="962">
      <c r="A962" s="163"/>
      <c r="B962" s="163" t="str">
        <f>IFERROR(__xludf.DUMMYFUNCTION("""COMPUTED_VALUE"""),"")</f>
        <v/>
      </c>
      <c r="C962" s="163"/>
      <c r="D962" s="212"/>
      <c r="E962" s="212"/>
      <c r="F962" s="212"/>
      <c r="G962" s="212"/>
      <c r="H962" s="212"/>
      <c r="I962" s="212"/>
      <c r="J962" s="212"/>
      <c r="K962" s="212"/>
      <c r="L962" s="212"/>
      <c r="M962" s="212"/>
      <c r="N962" s="212"/>
      <c r="O962" s="212"/>
      <c r="P962" s="212"/>
      <c r="Q962" s="212"/>
      <c r="R962" s="212"/>
    </row>
    <row r="963">
      <c r="A963" s="163"/>
      <c r="B963" s="163" t="str">
        <f>IFERROR(__xludf.DUMMYFUNCTION("""COMPUTED_VALUE"""),"")</f>
        <v/>
      </c>
      <c r="C963" s="163"/>
      <c r="D963" s="212"/>
      <c r="E963" s="212"/>
      <c r="F963" s="212"/>
      <c r="G963" s="212"/>
      <c r="H963" s="212"/>
      <c r="I963" s="212"/>
      <c r="J963" s="212"/>
      <c r="K963" s="212"/>
      <c r="L963" s="212"/>
      <c r="M963" s="212"/>
      <c r="N963" s="212"/>
      <c r="O963" s="212"/>
      <c r="P963" s="212"/>
      <c r="Q963" s="212"/>
      <c r="R963" s="212"/>
    </row>
    <row r="964">
      <c r="A964" s="163"/>
      <c r="B964" s="163" t="str">
        <f>IFERROR(__xludf.DUMMYFUNCTION("""COMPUTED_VALUE"""),"")</f>
        <v/>
      </c>
      <c r="C964" s="163"/>
      <c r="D964" s="212"/>
      <c r="E964" s="212"/>
      <c r="F964" s="212"/>
      <c r="G964" s="212"/>
      <c r="H964" s="212"/>
      <c r="I964" s="212"/>
      <c r="J964" s="212"/>
      <c r="K964" s="212"/>
      <c r="L964" s="212"/>
      <c r="M964" s="212"/>
      <c r="N964" s="212"/>
      <c r="O964" s="212"/>
      <c r="P964" s="212"/>
      <c r="Q964" s="212"/>
      <c r="R964" s="212"/>
    </row>
    <row r="965">
      <c r="A965" s="163"/>
      <c r="B965" s="163" t="str">
        <f>IFERROR(__xludf.DUMMYFUNCTION("""COMPUTED_VALUE"""),"")</f>
        <v/>
      </c>
      <c r="C965" s="163"/>
      <c r="D965" s="212"/>
      <c r="E965" s="212"/>
      <c r="F965" s="212"/>
      <c r="G965" s="212"/>
      <c r="H965" s="212"/>
      <c r="I965" s="212"/>
      <c r="J965" s="212"/>
      <c r="K965" s="212"/>
      <c r="L965" s="212"/>
      <c r="M965" s="212"/>
      <c r="N965" s="212"/>
      <c r="O965" s="212"/>
      <c r="P965" s="212"/>
      <c r="Q965" s="212"/>
      <c r="R965" s="212"/>
    </row>
    <row r="966">
      <c r="A966" s="163"/>
      <c r="B966" s="163" t="str">
        <f>IFERROR(__xludf.DUMMYFUNCTION("""COMPUTED_VALUE"""),"")</f>
        <v/>
      </c>
      <c r="C966" s="163"/>
      <c r="D966" s="212"/>
      <c r="E966" s="212"/>
      <c r="F966" s="212"/>
      <c r="G966" s="212"/>
      <c r="H966" s="212"/>
      <c r="I966" s="212"/>
      <c r="J966" s="212"/>
      <c r="K966" s="212"/>
      <c r="L966" s="212"/>
      <c r="M966" s="212"/>
      <c r="N966" s="212"/>
      <c r="O966" s="212"/>
      <c r="P966" s="212"/>
      <c r="Q966" s="212"/>
      <c r="R966" s="212"/>
    </row>
    <row r="967">
      <c r="A967" s="163"/>
      <c r="B967" s="163" t="str">
        <f>IFERROR(__xludf.DUMMYFUNCTION("""COMPUTED_VALUE"""),"")</f>
        <v/>
      </c>
      <c r="C967" s="163"/>
      <c r="D967" s="212"/>
      <c r="E967" s="212"/>
      <c r="F967" s="212"/>
      <c r="G967" s="212"/>
      <c r="H967" s="212"/>
      <c r="I967" s="212"/>
      <c r="J967" s="212"/>
      <c r="K967" s="212"/>
      <c r="L967" s="212"/>
      <c r="M967" s="212"/>
      <c r="N967" s="212"/>
      <c r="O967" s="212"/>
      <c r="P967" s="212"/>
      <c r="Q967" s="212"/>
      <c r="R967" s="212"/>
    </row>
    <row r="968">
      <c r="A968" s="163"/>
      <c r="B968" s="163" t="str">
        <f>IFERROR(__xludf.DUMMYFUNCTION("""COMPUTED_VALUE"""),"")</f>
        <v/>
      </c>
      <c r="C968" s="163"/>
      <c r="D968" s="212"/>
      <c r="E968" s="212"/>
      <c r="F968" s="212"/>
      <c r="G968" s="212"/>
      <c r="H968" s="212"/>
      <c r="I968" s="212"/>
      <c r="J968" s="212"/>
      <c r="K968" s="212"/>
      <c r="L968" s="212"/>
      <c r="M968" s="212"/>
      <c r="N968" s="212"/>
      <c r="O968" s="212"/>
      <c r="P968" s="212"/>
      <c r="Q968" s="212"/>
      <c r="R968" s="212"/>
    </row>
    <row r="969">
      <c r="A969" s="163"/>
      <c r="B969" s="163" t="str">
        <f>IFERROR(__xludf.DUMMYFUNCTION("""COMPUTED_VALUE"""),"")</f>
        <v/>
      </c>
      <c r="C969" s="163"/>
      <c r="D969" s="212"/>
      <c r="E969" s="212"/>
      <c r="F969" s="212"/>
      <c r="G969" s="212"/>
      <c r="H969" s="212"/>
      <c r="I969" s="212"/>
      <c r="J969" s="212"/>
      <c r="K969" s="212"/>
      <c r="L969" s="212"/>
      <c r="M969" s="212"/>
      <c r="N969" s="212"/>
      <c r="O969" s="212"/>
      <c r="P969" s="212"/>
      <c r="Q969" s="212"/>
      <c r="R969" s="212"/>
    </row>
    <row r="970">
      <c r="A970" s="163"/>
      <c r="B970" s="163" t="str">
        <f>IFERROR(__xludf.DUMMYFUNCTION("""COMPUTED_VALUE"""),"")</f>
        <v/>
      </c>
      <c r="C970" s="163"/>
      <c r="D970" s="212"/>
      <c r="E970" s="212"/>
      <c r="F970" s="212"/>
      <c r="G970" s="212"/>
      <c r="H970" s="212"/>
      <c r="I970" s="212"/>
      <c r="J970" s="212"/>
      <c r="K970" s="212"/>
      <c r="L970" s="212"/>
      <c r="M970" s="212"/>
      <c r="N970" s="212"/>
      <c r="O970" s="212"/>
      <c r="P970" s="212"/>
      <c r="Q970" s="212"/>
      <c r="R970" s="212"/>
    </row>
    <row r="971">
      <c r="A971" s="163"/>
      <c r="B971" s="163" t="str">
        <f>IFERROR(__xludf.DUMMYFUNCTION("""COMPUTED_VALUE"""),"")</f>
        <v/>
      </c>
      <c r="C971" s="163"/>
      <c r="D971" s="212"/>
      <c r="E971" s="212"/>
      <c r="F971" s="212"/>
      <c r="G971" s="212"/>
      <c r="H971" s="212"/>
      <c r="I971" s="212"/>
      <c r="J971" s="212"/>
      <c r="K971" s="212"/>
      <c r="L971" s="212"/>
      <c r="M971" s="212"/>
      <c r="N971" s="212"/>
      <c r="O971" s="212"/>
      <c r="P971" s="212"/>
      <c r="Q971" s="212"/>
      <c r="R971" s="212"/>
    </row>
    <row r="972">
      <c r="A972" s="163"/>
      <c r="B972" s="163" t="str">
        <f>IFERROR(__xludf.DUMMYFUNCTION("""COMPUTED_VALUE"""),"")</f>
        <v/>
      </c>
      <c r="C972" s="163"/>
      <c r="D972" s="212"/>
      <c r="E972" s="212"/>
      <c r="F972" s="212"/>
      <c r="G972" s="212"/>
      <c r="H972" s="212"/>
      <c r="I972" s="212"/>
      <c r="J972" s="212"/>
      <c r="K972" s="212"/>
      <c r="L972" s="212"/>
      <c r="M972" s="212"/>
      <c r="N972" s="212"/>
      <c r="O972" s="212"/>
      <c r="P972" s="212"/>
      <c r="Q972" s="212"/>
      <c r="R972" s="212"/>
    </row>
    <row r="973">
      <c r="A973" s="163"/>
      <c r="B973" s="163" t="str">
        <f>IFERROR(__xludf.DUMMYFUNCTION("""COMPUTED_VALUE"""),"")</f>
        <v/>
      </c>
      <c r="C973" s="163"/>
      <c r="D973" s="212"/>
      <c r="E973" s="212"/>
      <c r="F973" s="212"/>
      <c r="G973" s="212"/>
      <c r="H973" s="212"/>
      <c r="I973" s="212"/>
      <c r="J973" s="212"/>
      <c r="K973" s="212"/>
      <c r="L973" s="212"/>
      <c r="M973" s="212"/>
      <c r="N973" s="212"/>
      <c r="O973" s="212"/>
      <c r="P973" s="212"/>
      <c r="Q973" s="212"/>
      <c r="R973" s="212"/>
    </row>
    <row r="974">
      <c r="A974" s="163"/>
      <c r="B974" s="163" t="str">
        <f>IFERROR(__xludf.DUMMYFUNCTION("""COMPUTED_VALUE"""),"")</f>
        <v/>
      </c>
      <c r="C974" s="163"/>
      <c r="D974" s="212"/>
      <c r="E974" s="212"/>
      <c r="F974" s="212"/>
      <c r="G974" s="212"/>
      <c r="H974" s="212"/>
      <c r="I974" s="212"/>
      <c r="J974" s="212"/>
      <c r="K974" s="212"/>
      <c r="L974" s="212"/>
      <c r="M974" s="212"/>
      <c r="N974" s="212"/>
      <c r="O974" s="212"/>
      <c r="P974" s="212"/>
      <c r="Q974" s="212"/>
      <c r="R974" s="212"/>
    </row>
    <row r="975">
      <c r="A975" s="163"/>
      <c r="B975" s="163" t="str">
        <f>IFERROR(__xludf.DUMMYFUNCTION("""COMPUTED_VALUE"""),"")</f>
        <v/>
      </c>
      <c r="C975" s="163"/>
      <c r="D975" s="212"/>
      <c r="E975" s="212"/>
      <c r="F975" s="212"/>
      <c r="G975" s="212"/>
      <c r="H975" s="212"/>
      <c r="I975" s="212"/>
      <c r="J975" s="212"/>
      <c r="K975" s="212"/>
      <c r="L975" s="212"/>
      <c r="M975" s="212"/>
      <c r="N975" s="212"/>
      <c r="O975" s="212"/>
      <c r="P975" s="212"/>
      <c r="Q975" s="212"/>
      <c r="R975" s="212"/>
    </row>
    <row r="976">
      <c r="A976" s="163"/>
      <c r="B976" s="163" t="str">
        <f>IFERROR(__xludf.DUMMYFUNCTION("""COMPUTED_VALUE"""),"")</f>
        <v/>
      </c>
      <c r="C976" s="163"/>
      <c r="D976" s="212"/>
      <c r="E976" s="212"/>
      <c r="F976" s="212"/>
      <c r="G976" s="212"/>
      <c r="H976" s="212"/>
      <c r="I976" s="212"/>
      <c r="J976" s="212"/>
      <c r="K976" s="212"/>
      <c r="L976" s="212"/>
      <c r="M976" s="212"/>
      <c r="N976" s="212"/>
      <c r="O976" s="212"/>
      <c r="P976" s="212"/>
      <c r="Q976" s="212"/>
      <c r="R976" s="212"/>
    </row>
    <row r="977">
      <c r="A977" s="163"/>
      <c r="B977" s="163" t="str">
        <f>IFERROR(__xludf.DUMMYFUNCTION("""COMPUTED_VALUE"""),"")</f>
        <v/>
      </c>
      <c r="C977" s="163"/>
      <c r="D977" s="212"/>
      <c r="E977" s="212"/>
      <c r="F977" s="212"/>
      <c r="G977" s="212"/>
      <c r="H977" s="212"/>
      <c r="I977" s="212"/>
      <c r="J977" s="212"/>
      <c r="K977" s="212"/>
      <c r="L977" s="212"/>
      <c r="M977" s="212"/>
      <c r="N977" s="212"/>
      <c r="O977" s="212"/>
      <c r="P977" s="212"/>
      <c r="Q977" s="212"/>
      <c r="R977" s="212"/>
    </row>
    <row r="978">
      <c r="A978" s="163"/>
      <c r="B978" s="163" t="str">
        <f>IFERROR(__xludf.DUMMYFUNCTION("""COMPUTED_VALUE"""),"")</f>
        <v/>
      </c>
      <c r="C978" s="163"/>
      <c r="D978" s="212"/>
      <c r="E978" s="212"/>
      <c r="F978" s="212"/>
      <c r="G978" s="212"/>
      <c r="H978" s="212"/>
      <c r="I978" s="212"/>
      <c r="J978" s="212"/>
      <c r="K978" s="212"/>
      <c r="L978" s="212"/>
      <c r="M978" s="212"/>
      <c r="N978" s="212"/>
      <c r="O978" s="212"/>
      <c r="P978" s="212"/>
      <c r="Q978" s="212"/>
      <c r="R978" s="212"/>
    </row>
    <row r="979">
      <c r="A979" s="163"/>
      <c r="B979" s="163" t="str">
        <f>IFERROR(__xludf.DUMMYFUNCTION("""COMPUTED_VALUE"""),"")</f>
        <v/>
      </c>
      <c r="C979" s="163"/>
      <c r="D979" s="212"/>
      <c r="E979" s="212"/>
      <c r="F979" s="212"/>
      <c r="G979" s="212"/>
      <c r="H979" s="212"/>
      <c r="I979" s="212"/>
      <c r="J979" s="212"/>
      <c r="K979" s="212"/>
      <c r="L979" s="212"/>
      <c r="M979" s="212"/>
      <c r="N979" s="212"/>
      <c r="O979" s="212"/>
      <c r="P979" s="212"/>
      <c r="Q979" s="212"/>
      <c r="R979" s="212"/>
    </row>
    <row r="980">
      <c r="A980" s="163"/>
      <c r="B980" s="163" t="str">
        <f>IFERROR(__xludf.DUMMYFUNCTION("""COMPUTED_VALUE"""),"")</f>
        <v/>
      </c>
      <c r="C980" s="163"/>
      <c r="D980" s="212"/>
      <c r="E980" s="212"/>
      <c r="F980" s="212"/>
      <c r="G980" s="212"/>
      <c r="H980" s="212"/>
      <c r="I980" s="212"/>
      <c r="J980" s="212"/>
      <c r="K980" s="212"/>
      <c r="L980" s="212"/>
      <c r="M980" s="212"/>
      <c r="N980" s="212"/>
      <c r="O980" s="212"/>
      <c r="P980" s="212"/>
      <c r="Q980" s="212"/>
      <c r="R980" s="212"/>
    </row>
    <row r="981">
      <c r="A981" s="163"/>
      <c r="B981" s="163" t="str">
        <f>IFERROR(__xludf.DUMMYFUNCTION("""COMPUTED_VALUE"""),"")</f>
        <v/>
      </c>
      <c r="C981" s="163"/>
      <c r="D981" s="212"/>
      <c r="E981" s="212"/>
      <c r="F981" s="212"/>
      <c r="G981" s="212"/>
      <c r="H981" s="212"/>
      <c r="I981" s="212"/>
      <c r="J981" s="212"/>
      <c r="K981" s="212"/>
      <c r="L981" s="212"/>
      <c r="M981" s="212"/>
      <c r="N981" s="212"/>
      <c r="O981" s="212"/>
      <c r="P981" s="212"/>
      <c r="Q981" s="212"/>
      <c r="R981" s="212"/>
    </row>
    <row r="982">
      <c r="A982" s="163"/>
      <c r="B982" s="163" t="str">
        <f>IFERROR(__xludf.DUMMYFUNCTION("""COMPUTED_VALUE"""),"")</f>
        <v/>
      </c>
      <c r="C982" s="163"/>
      <c r="D982" s="212"/>
      <c r="E982" s="212"/>
      <c r="F982" s="212"/>
      <c r="G982" s="212"/>
      <c r="H982" s="212"/>
      <c r="I982" s="212"/>
      <c r="J982" s="212"/>
      <c r="K982" s="212"/>
      <c r="L982" s="212"/>
      <c r="M982" s="212"/>
      <c r="N982" s="212"/>
      <c r="O982" s="212"/>
      <c r="P982" s="212"/>
      <c r="Q982" s="212"/>
      <c r="R982" s="212"/>
    </row>
    <row r="983">
      <c r="A983" s="163"/>
      <c r="B983" s="163" t="str">
        <f>IFERROR(__xludf.DUMMYFUNCTION("""COMPUTED_VALUE"""),"")</f>
        <v/>
      </c>
      <c r="C983" s="163"/>
      <c r="D983" s="212"/>
      <c r="E983" s="212"/>
      <c r="F983" s="212"/>
      <c r="G983" s="212"/>
      <c r="H983" s="212"/>
      <c r="I983" s="212"/>
      <c r="J983" s="212"/>
      <c r="K983" s="212"/>
      <c r="L983" s="212"/>
      <c r="M983" s="212"/>
      <c r="N983" s="212"/>
      <c r="O983" s="212"/>
      <c r="P983" s="212"/>
      <c r="Q983" s="212"/>
      <c r="R983" s="212"/>
    </row>
    <row r="984">
      <c r="A984" s="163"/>
      <c r="B984" s="163" t="str">
        <f>IFERROR(__xludf.DUMMYFUNCTION("""COMPUTED_VALUE"""),"")</f>
        <v/>
      </c>
      <c r="C984" s="163"/>
      <c r="D984" s="212"/>
      <c r="E984" s="212"/>
      <c r="F984" s="212"/>
      <c r="G984" s="212"/>
      <c r="H984" s="212"/>
      <c r="I984" s="212"/>
      <c r="J984" s="212"/>
      <c r="K984" s="212"/>
      <c r="L984" s="212"/>
      <c r="M984" s="212"/>
      <c r="N984" s="212"/>
      <c r="O984" s="212"/>
      <c r="P984" s="212"/>
      <c r="Q984" s="212"/>
      <c r="R984" s="212"/>
    </row>
    <row r="985">
      <c r="A985" s="163"/>
      <c r="B985" s="163" t="str">
        <f>IFERROR(__xludf.DUMMYFUNCTION("""COMPUTED_VALUE"""),"")</f>
        <v/>
      </c>
      <c r="C985" s="163"/>
      <c r="D985" s="212"/>
      <c r="E985" s="212"/>
      <c r="F985" s="212"/>
      <c r="G985" s="212"/>
      <c r="H985" s="212"/>
      <c r="I985" s="212"/>
      <c r="J985" s="212"/>
      <c r="K985" s="212"/>
      <c r="L985" s="212"/>
      <c r="M985" s="212"/>
      <c r="N985" s="212"/>
      <c r="O985" s="212"/>
      <c r="P985" s="212"/>
      <c r="Q985" s="212"/>
      <c r="R985" s="212"/>
    </row>
    <row r="986">
      <c r="A986" s="163"/>
      <c r="B986" s="163" t="str">
        <f>IFERROR(__xludf.DUMMYFUNCTION("""COMPUTED_VALUE"""),"")</f>
        <v/>
      </c>
      <c r="C986" s="163"/>
      <c r="D986" s="212"/>
      <c r="E986" s="212"/>
      <c r="F986" s="212"/>
      <c r="G986" s="212"/>
      <c r="H986" s="212"/>
      <c r="I986" s="212"/>
      <c r="J986" s="212"/>
      <c r="K986" s="212"/>
      <c r="L986" s="212"/>
      <c r="M986" s="212"/>
      <c r="N986" s="212"/>
      <c r="O986" s="212"/>
      <c r="P986" s="212"/>
      <c r="Q986" s="212"/>
      <c r="R986" s="212"/>
    </row>
    <row r="987">
      <c r="A987" s="163"/>
      <c r="B987" s="163" t="str">
        <f>IFERROR(__xludf.DUMMYFUNCTION("""COMPUTED_VALUE"""),"")</f>
        <v/>
      </c>
      <c r="C987" s="163"/>
      <c r="D987" s="212"/>
      <c r="E987" s="212"/>
      <c r="F987" s="212"/>
      <c r="G987" s="212"/>
      <c r="H987" s="212"/>
      <c r="I987" s="212"/>
      <c r="J987" s="212"/>
      <c r="K987" s="212"/>
      <c r="L987" s="212"/>
      <c r="M987" s="212"/>
      <c r="N987" s="212"/>
      <c r="O987" s="212"/>
      <c r="P987" s="212"/>
      <c r="Q987" s="212"/>
      <c r="R987" s="212"/>
    </row>
    <row r="988">
      <c r="A988" s="163"/>
      <c r="B988" s="163" t="str">
        <f>IFERROR(__xludf.DUMMYFUNCTION("""COMPUTED_VALUE"""),"")</f>
        <v/>
      </c>
      <c r="C988" s="163"/>
      <c r="D988" s="212"/>
      <c r="E988" s="212"/>
      <c r="F988" s="212"/>
      <c r="G988" s="212"/>
      <c r="H988" s="212"/>
      <c r="I988" s="212"/>
      <c r="J988" s="212"/>
      <c r="K988" s="212"/>
      <c r="L988" s="212"/>
      <c r="M988" s="212"/>
      <c r="N988" s="212"/>
      <c r="O988" s="212"/>
      <c r="P988" s="212"/>
      <c r="Q988" s="212"/>
      <c r="R988" s="212"/>
    </row>
    <row r="989">
      <c r="A989" s="163"/>
      <c r="B989" s="163" t="str">
        <f>IFERROR(__xludf.DUMMYFUNCTION("""COMPUTED_VALUE"""),"")</f>
        <v/>
      </c>
      <c r="C989" s="163"/>
      <c r="D989" s="212"/>
      <c r="E989" s="212"/>
      <c r="F989" s="212"/>
      <c r="G989" s="212"/>
      <c r="H989" s="212"/>
      <c r="I989" s="212"/>
      <c r="J989" s="212"/>
      <c r="K989" s="212"/>
      <c r="L989" s="212"/>
      <c r="M989" s="212"/>
      <c r="N989" s="212"/>
      <c r="O989" s="212"/>
      <c r="P989" s="212"/>
      <c r="Q989" s="212"/>
      <c r="R989" s="212"/>
    </row>
    <row r="990">
      <c r="A990" s="163"/>
      <c r="B990" s="163" t="str">
        <f>IFERROR(__xludf.DUMMYFUNCTION("""COMPUTED_VALUE"""),"")</f>
        <v/>
      </c>
      <c r="C990" s="163"/>
      <c r="D990" s="212"/>
      <c r="E990" s="212"/>
      <c r="F990" s="212"/>
      <c r="G990" s="212"/>
      <c r="H990" s="212"/>
      <c r="I990" s="212"/>
      <c r="J990" s="212"/>
      <c r="K990" s="212"/>
      <c r="L990" s="212"/>
      <c r="M990" s="212"/>
      <c r="N990" s="212"/>
      <c r="O990" s="212"/>
      <c r="P990" s="212"/>
      <c r="Q990" s="212"/>
      <c r="R990" s="212"/>
    </row>
    <row r="991">
      <c r="A991" s="163"/>
      <c r="B991" s="163" t="str">
        <f>IFERROR(__xludf.DUMMYFUNCTION("""COMPUTED_VALUE"""),"")</f>
        <v/>
      </c>
      <c r="C991" s="163"/>
      <c r="D991" s="212"/>
      <c r="E991" s="212"/>
      <c r="F991" s="212"/>
      <c r="G991" s="212"/>
      <c r="H991" s="212"/>
      <c r="I991" s="212"/>
      <c r="J991" s="212"/>
      <c r="K991" s="212"/>
      <c r="L991" s="212"/>
      <c r="M991" s="212"/>
      <c r="N991" s="212"/>
      <c r="O991" s="212"/>
      <c r="P991" s="212"/>
      <c r="Q991" s="212"/>
      <c r="R991" s="212"/>
    </row>
    <row r="992">
      <c r="A992" s="163"/>
      <c r="B992" s="163" t="str">
        <f>IFERROR(__xludf.DUMMYFUNCTION("""COMPUTED_VALUE"""),"")</f>
        <v/>
      </c>
      <c r="C992" s="163"/>
      <c r="D992" s="212"/>
      <c r="E992" s="212"/>
      <c r="F992" s="212"/>
      <c r="G992" s="212"/>
      <c r="H992" s="212"/>
      <c r="I992" s="212"/>
      <c r="J992" s="212"/>
      <c r="K992" s="212"/>
      <c r="L992" s="212"/>
      <c r="M992" s="212"/>
      <c r="N992" s="212"/>
      <c r="O992" s="212"/>
      <c r="P992" s="212"/>
      <c r="Q992" s="212"/>
      <c r="R992" s="212"/>
    </row>
    <row r="993">
      <c r="A993" s="163"/>
      <c r="B993" s="163" t="str">
        <f>IFERROR(__xludf.DUMMYFUNCTION("""COMPUTED_VALUE"""),"")</f>
        <v/>
      </c>
      <c r="C993" s="163"/>
      <c r="D993" s="212"/>
      <c r="E993" s="212"/>
      <c r="F993" s="212"/>
      <c r="G993" s="212"/>
      <c r="H993" s="212"/>
      <c r="I993" s="212"/>
      <c r="J993" s="212"/>
      <c r="K993" s="212"/>
      <c r="L993" s="212"/>
      <c r="M993" s="212"/>
      <c r="N993" s="212"/>
      <c r="O993" s="212"/>
      <c r="P993" s="212"/>
      <c r="Q993" s="212"/>
      <c r="R993" s="212"/>
    </row>
    <row r="994">
      <c r="A994" s="163"/>
      <c r="B994" s="163" t="str">
        <f>IFERROR(__xludf.DUMMYFUNCTION("""COMPUTED_VALUE"""),"")</f>
        <v/>
      </c>
      <c r="C994" s="163"/>
      <c r="D994" s="212"/>
      <c r="E994" s="212"/>
      <c r="F994" s="212"/>
      <c r="G994" s="212"/>
      <c r="H994" s="212"/>
      <c r="I994" s="212"/>
      <c r="J994" s="212"/>
      <c r="K994" s="212"/>
      <c r="L994" s="212"/>
      <c r="M994" s="212"/>
      <c r="N994" s="212"/>
      <c r="O994" s="212"/>
      <c r="P994" s="212"/>
      <c r="Q994" s="212"/>
      <c r="R994" s="212"/>
    </row>
    <row r="995">
      <c r="A995" s="163"/>
      <c r="B995" s="163" t="str">
        <f>IFERROR(__xludf.DUMMYFUNCTION("""COMPUTED_VALUE"""),"")</f>
        <v/>
      </c>
      <c r="C995" s="163"/>
      <c r="D995" s="212"/>
      <c r="E995" s="212"/>
      <c r="F995" s="212"/>
      <c r="G995" s="212"/>
      <c r="H995" s="212"/>
      <c r="I995" s="212"/>
      <c r="J995" s="212"/>
      <c r="K995" s="212"/>
      <c r="L995" s="212"/>
      <c r="M995" s="212"/>
      <c r="N995" s="212"/>
      <c r="O995" s="212"/>
      <c r="P995" s="212"/>
      <c r="Q995" s="212"/>
      <c r="R995" s="212"/>
    </row>
    <row r="996">
      <c r="A996" s="163"/>
      <c r="B996" s="163" t="str">
        <f>IFERROR(__xludf.DUMMYFUNCTION("""COMPUTED_VALUE"""),"")</f>
        <v/>
      </c>
      <c r="C996" s="163"/>
      <c r="D996" s="212"/>
      <c r="E996" s="212"/>
      <c r="F996" s="212"/>
      <c r="G996" s="212"/>
      <c r="H996" s="212"/>
      <c r="I996" s="212"/>
      <c r="J996" s="212"/>
      <c r="K996" s="212"/>
      <c r="L996" s="212"/>
      <c r="M996" s="212"/>
      <c r="N996" s="212"/>
      <c r="O996" s="212"/>
      <c r="P996" s="212"/>
      <c r="Q996" s="212"/>
      <c r="R996" s="212"/>
    </row>
    <row r="997">
      <c r="A997" s="163"/>
      <c r="B997" s="163" t="str">
        <f>IFERROR(__xludf.DUMMYFUNCTION("""COMPUTED_VALUE"""),"")</f>
        <v/>
      </c>
      <c r="C997" s="163"/>
      <c r="D997" s="212"/>
      <c r="E997" s="212"/>
      <c r="F997" s="212"/>
      <c r="G997" s="212"/>
      <c r="H997" s="212"/>
      <c r="I997" s="212"/>
      <c r="J997" s="212"/>
      <c r="K997" s="212"/>
      <c r="L997" s="212"/>
      <c r="M997" s="212"/>
      <c r="N997" s="212"/>
      <c r="O997" s="212"/>
      <c r="P997" s="212"/>
      <c r="Q997" s="212"/>
      <c r="R997" s="212"/>
    </row>
    <row r="998">
      <c r="A998" s="163"/>
      <c r="B998" s="163"/>
      <c r="C998" s="163"/>
      <c r="D998" s="212"/>
      <c r="E998" s="212"/>
      <c r="F998" s="212"/>
      <c r="G998" s="212"/>
      <c r="H998" s="212"/>
      <c r="I998" s="212"/>
      <c r="J998" s="212"/>
      <c r="K998" s="212"/>
      <c r="L998" s="212"/>
      <c r="M998" s="212"/>
      <c r="N998" s="212"/>
      <c r="O998" s="212"/>
      <c r="P998" s="212"/>
      <c r="Q998" s="212"/>
      <c r="R998" s="212"/>
    </row>
    <row r="999">
      <c r="A999" s="163"/>
      <c r="B999" s="163"/>
      <c r="C999" s="163"/>
      <c r="D999" s="212"/>
      <c r="E999" s="212"/>
      <c r="F999" s="212"/>
      <c r="G999" s="212"/>
      <c r="H999" s="212"/>
      <c r="I999" s="212"/>
      <c r="J999" s="212"/>
      <c r="K999" s="212"/>
      <c r="L999" s="212"/>
      <c r="M999" s="212"/>
      <c r="N999" s="212"/>
      <c r="O999" s="212"/>
      <c r="P999" s="212"/>
      <c r="Q999" s="212"/>
      <c r="R999" s="212"/>
    </row>
    <row r="1000">
      <c r="A1000" s="163"/>
      <c r="B1000" s="163"/>
      <c r="C1000" s="163"/>
      <c r="D1000" s="212"/>
      <c r="E1000" s="212"/>
      <c r="F1000" s="212"/>
      <c r="G1000" s="212"/>
      <c r="H1000" s="212"/>
      <c r="I1000" s="212"/>
      <c r="J1000" s="212"/>
      <c r="K1000" s="212"/>
      <c r="L1000" s="212"/>
      <c r="M1000" s="212"/>
      <c r="N1000" s="212"/>
      <c r="O1000" s="212"/>
      <c r="P1000" s="212"/>
      <c r="Q1000" s="212"/>
      <c r="R1000" s="212"/>
    </row>
  </sheetData>
  <drawing r:id="rId2"/>
  <tableParts count="1">
    <tablePart r:id="rId4"/>
  </tableParts>
</worksheet>
</file>